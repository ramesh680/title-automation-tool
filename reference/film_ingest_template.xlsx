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DR" sheetId="1" r:id="rId4"/>
    <sheet state="visible" name="Ingest Template" sheetId="2" r:id="rId5"/>
    <sheet state="visible" name="Media Conglomerate Brand Sets" sheetId="3" r:id="rId6"/>
    <sheet state="visible" name="Twitter Keyword Methodology" sheetId="4" r:id="rId7"/>
    <sheet state="visible" name="DropDown" sheetId="5" r:id="rId8"/>
  </sheets>
  <definedNames>
    <definedName hidden="1" localSheetId="1" name="_xlnm._FilterDatabase">'Ingest Template'!$A$1:$AA$1000</definedName>
    <definedName hidden="1" localSheetId="4" name="_xlnm._FilterDatabase">DropDown!$A$1:$O$277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tc={1492c59b-5fc5-4452-98c5-e9d1f0ca5e26}</author>
    <author>tc={1663db3d-88a6-4c79-843b-0482df88b862}</author>
    <author>tc={7b96e87d-b1f4-4bd8-a676-9c3984e96dd9}</author>
    <author>tc={9a84cd1c-77de-4bcf-8239-321df268e69e}</author>
    <author>tc={a060bb6e-15bd-4bea-bc8b-4eecf53e1f0e}</author>
    <author>tc={bda36703-557b-46fe-8b3c-517a3d2b046a}</author>
  </authors>
  <commentList>
    <comment authorId="0" ref="A1">
      <text>
        <t xml:space="preserve">blank for new brands</t>
      </text>
    </comment>
    <comment authorId="0" ref="AG1">
      <text>
        <t xml:space="preserve">Type in #hashtags here</t>
      </text>
    </comment>
    <comment authorId="0" ref="AI1">
      <text>
        <t xml:space="preserve">No longer applicable</t>
      </text>
    </comment>
    <comment authorId="0" ref="D1">
      <text>
        <t xml:space="preserve">Merges multiple brand sets into one cell. Drop Down available</t>
      </text>
    </comment>
    <comment authorId="0" ref="AJ1">
      <text>
        <t xml:space="preserve">Switch to the "Twitter Episodic Keyword Template" tab on this sheet to populate the twitter keyword string.</t>
      </text>
    </comment>
    <comment authorId="0" ref="E1">
      <text>
        <t xml:space="preserve">Merges multiple brand sets into one cell. Drop Down available</t>
      </text>
    </comment>
    <comment authorId="0" ref="F1">
      <text>
        <t xml:space="preserve">Auto-populates based on genre</t>
      </text>
    </comment>
    <comment authorId="0" ref="AL1">
      <text>
        <t xml:space="preserve">Automatically Populate for brands. This would only have to be populated to create a custom unofficial search term/s</t>
      </text>
    </comment>
    <comment authorId="0" ref="G1">
      <text>
        <t xml:space="preserve">optional</t>
      </text>
    </comment>
    <comment authorId="0" ref="J1">
      <text>
        <t xml:space="preserve">Populates based on DAR vs Non-DAR &amp; Network</t>
      </text>
    </comment>
    <comment authorId="0" ref="K1">
      <text>
        <t xml:space="preserve">Merges multiple brand sets into one cell. Drop Down available</t>
      </text>
    </comment>
    <comment authorId="0" ref="L1">
      <text>
        <t xml:space="preserve">t vs f. defaults t</t>
      </text>
    </comment>
    <comment authorId="0" ref="M1">
      <text>
        <t xml:space="preserve">Auto-format</t>
      </text>
    </comment>
    <comment authorId="0" ref="R1">
      <text>
        <t xml:space="preserve">DropDown</t>
      </text>
    </comment>
    <comment authorId="0" ref="S1">
      <text>
        <t xml:space="preserve">defaults F</t>
      </text>
    </comment>
    <comment authorId="0" ref="U1">
      <text>
        <t xml:space="preserve">Insert the full URL of the Twitter account handle (i.e. http:@twittername).</t>
      </text>
    </comment>
    <comment authorId="0" ref="V1">
      <text>
        <t xml:space="preserve">Only insert the IG handle without the @ 
(i.e. the show Taskmaster, or @taskmaster, would be ingested as "taskmaster")</t>
      </text>
    </comment>
    <comment authorId="0" ref="AA1">
      <text>
        <t xml:space="preserve">Boards automatically add based on the user</t>
      </text>
    </comment>
    <comment authorId="1" xr:uid="{1492c59b-5fc5-4452-98c5-e9d1f0ca5e26}" ref="A1">
      <text>
        <t xml:space="preserve">[Threaded comment]
 Your version of Excel allows you to read this threaded comment; however, any edits to it will get removed if the file is opened in a newer version of Excel. Learn more: https://go.microsoft.com/fwlink/?linkid=870924
Comment:
	Not a brand YouTube
</t>
      </text>
    </comment>
    <comment authorId="2" xr:uid="{1663db3d-88a6-4c79-843b-0482df88b862}" ref="A1">
      <text>
        <t xml:space="preserve">[Threaded comment]
 Your version of Excel allows you to read this threaded comment; however, any edits to it will get removed if the file is opened in a newer version of Excel. Learn more: https://go.microsoft.com/fwlink/?linkid=870924
Comment:
	Not a brand YouTube, also don't include search queries in the URL
</t>
      </text>
    </comment>
    <comment authorId="3" xr:uid="{7b96e87d-b1f4-4bd8-a676-9c3984e96dd9}" ref="A1">
      <text>
        <t xml:space="preserve">[Threaded comment]
 Your version of Excel allows you to read this threaded comment; however, any edits to it will get removed if the file is opened in a newer version of Excel. Learn more: https://go.microsoft.com/fwlink/?linkid=870924
Comment:
	Not a brand YouTube
</t>
      </text>
    </comment>
    <comment authorId="4" xr:uid="{9a84cd1c-77de-4bcf-8239-321df268e69e}" ref="A1">
      <text>
        <t xml:space="preserve">[Threaded comment]
 Your version of Excel allows you to read this threaded comment; however, any edits to it will get removed if the file is opened in a newer version of Excel. Learn more: https://go.microsoft.com/fwlink/?linkid=870924
Comment:
	Not a brand YouTube
</t>
      </text>
    </comment>
    <comment authorId="5" xr:uid="{a060bb6e-15bd-4bea-bc8b-4eecf53e1f0e}" ref="A1">
      <text>
        <t xml:space="preserve">[Threaded comment]
 Your version of Excel allows you to read this threaded comment; however, any edits to it will get removed if the file is opened in a newer version of Excel. Learn more: https://go.microsoft.com/fwlink/?linkid=870924
Comment:
	In system as 'Ballerina'
</t>
      </text>
    </comment>
    <comment authorId="6" xr:uid="{bda36703-557b-46fe-8b3c-517a3d2b046a}" ref="A1">
      <text>
        <t xml:space="preserve">[Threaded comment]
 Your version of Excel allows you to read this threaded comment; however, any edits to it will get removed if the file is opened in a newer version of Excel. Learn more: https://go.microsoft.com/fwlink/?linkid=870924
Comment:
	Focus Features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Twitter Hashtag #3</t>
      </text>
    </comment>
    <comment authorId="0" ref="U1">
      <text>
        <t xml:space="preserve">Double check on BrandDef sheet to see if Instagram string is stripped of everything besides the unique instagram handle (no @'s, no "https://")</t>
      </text>
    </comment>
    <comment authorId="0" ref="P1">
      <text>
        <t xml:space="preserve">Twitter Hashtag #3</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tc={ca028c20-036c-40f8-8372-1873757cba4f}</author>
  </authors>
  <commentList>
    <comment authorId="0" xr:uid="{ca028c20-036c-40f8-8372-1873757cba4f}" ref="L22">
      <text>
        <t xml:space="preserve">[Threaded comment]
 Your version of Excel allows you to read this threaded comment; however, any edits to it will get removed if the file is opened in a newer version of Excel. Learn more: https://go.microsoft.com/fwlink/?linkid=870924
Comment:
	@alex.gaylord@listenfirstmedia.com I’ve identified a new official YouTube channel for this studio: [https://www.youtube.com/@BrainstormMedia90212]. It looks like the Ballistic trailer was recently launched there.
Should we update the channel in our system to ensure we don't miss any upcoming trailer data?
Looking forward to your thoughts.
Assigned to alex.gaylord@listenfirstmedia.com
Reply:
	Thanks for flagging. Please update the ingest templates and any recent brands from the studio that are missing trailers.
</t>
      </text>
    </comment>
  </commentList>
</comments>
</file>

<file path=xl/sharedStrings.xml><?xml version="1.0" encoding="utf-8"?>
<sst xmlns="http://schemas.openxmlformats.org/spreadsheetml/2006/main" count="6650" uniqueCount="1143">
  <si>
    <t>Perspective</t>
  </si>
  <si>
    <t>brand_id</t>
  </si>
  <si>
    <t xml:space="preserve"> </t>
  </si>
  <si>
    <t>Film</t>
  </si>
  <si>
    <t>1. Default:</t>
  </si>
  <si>
    <r>
      <rPr/>
      <t>(“title name”)(</t>
    </r>
    <r>
      <rPr>
        <b/>
      </rPr>
      <t>“Network/Studio Name” OR Network/Studio Handle OR Network/Studio Hashtag</t>
    </r>
    <r>
      <rPr/>
      <t xml:space="preserve"> OR “Year of release" OR "All New" OR Episode OR Watch OR tv OR Show OR Series OR season OR binge OR Stream OR Film OR Movie OR Premiere OR Screening OR Feature OR Trailer OR Teaser OR theater OR release)</t>
    </r>
  </si>
  <si>
    <t>Title Name</t>
  </si>
  <si>
    <t>2. Modified</t>
  </si>
  <si>
    <t>IMDB URL</t>
  </si>
  <si>
    <r>
      <rPr/>
      <t>(“title name”)(</t>
    </r>
    <r>
      <rPr>
        <b/>
      </rPr>
      <t>“Network/Studio Name” OR Network/Studio Handle OR Network/Studio Hashtag)</t>
    </r>
  </si>
  <si>
    <t>Release Date</t>
  </si>
  <si>
    <t>Studio</t>
  </si>
  <si>
    <t>3. Human Judgement</t>
  </si>
  <si>
    <t>Release Type</t>
  </si>
  <si>
    <t>title</t>
  </si>
  <si>
    <t>Studio Type</t>
  </si>
  <si>
    <t>Genre 1</t>
  </si>
  <si>
    <t>Genre 2</t>
  </si>
  <si>
    <t>title_category</t>
  </si>
  <si>
    <t>Genre 3</t>
  </si>
  <si>
    <t>title_sub_category</t>
  </si>
  <si>
    <t>Film Brand Sets</t>
  </si>
  <si>
    <t>CBS Films</t>
  </si>
  <si>
    <t>Media Conglomerate Brand Sets</t>
  </si>
  <si>
    <t>Paramount</t>
  </si>
  <si>
    <t>Wikipedia</t>
  </si>
  <si>
    <t>genre</t>
  </si>
  <si>
    <t>Twitter Keyword (Search String)</t>
  </si>
  <si>
    <t>20th Century Studios</t>
  </si>
  <si>
    <t>primary_genre</t>
  </si>
  <si>
    <t>rovi_id</t>
  </si>
  <si>
    <t>Searchlight Pictures</t>
  </si>
  <si>
    <t>ticker_symbol</t>
  </si>
  <si>
    <t>Walt Disney Pictures</t>
  </si>
  <si>
    <t>title_content_windows</t>
  </si>
  <si>
    <t>Warner Bros. Pictures</t>
  </si>
  <si>
    <t>Twitter Hashtag 1</t>
  </si>
  <si>
    <t>companies</t>
  </si>
  <si>
    <t>Universal Pictures</t>
  </si>
  <si>
    <t>Focus Features</t>
  </si>
  <si>
    <t>Focus World</t>
  </si>
  <si>
    <t>brand_set</t>
  </si>
  <si>
    <t>Netflix</t>
  </si>
  <si>
    <t>HBO Max</t>
  </si>
  <si>
    <t>active</t>
  </si>
  <si>
    <t>Disney+</t>
  </si>
  <si>
    <t>Amazon Prime Video</t>
  </si>
  <si>
    <t>released_on</t>
  </si>
  <si>
    <t>Paramount+</t>
  </si>
  <si>
    <t>box_office</t>
  </si>
  <si>
    <t># 2</t>
  </si>
  <si>
    <t>Hulu</t>
  </si>
  <si>
    <t>street_date</t>
  </si>
  <si>
    <t>gross_screen</t>
  </si>
  <si>
    <t>Roll-Up 1</t>
  </si>
  <si>
    <t>Paramount &gt; Overall Roll-up</t>
  </si>
  <si>
    <t>opening_weekend_box_office</t>
  </si>
  <si>
    <t># 3</t>
  </si>
  <si>
    <t>network</t>
  </si>
  <si>
    <t>The Walt Disney Company &gt; Overall Roll-up</t>
  </si>
  <si>
    <t>Reddit Keyword (Search String)</t>
  </si>
  <si>
    <t>brand_listing_hidden</t>
  </si>
  <si>
    <t>WarnerMedia &gt; Overall Roll-up</t>
  </si>
  <si>
    <t>facebook_page</t>
  </si>
  <si>
    <t>NBCUniversal &gt; Overall Roll-up</t>
  </si>
  <si>
    <t>Netflix - Emerging Titles</t>
  </si>
  <si>
    <t>twitter_handle</t>
  </si>
  <si>
    <t>instagram_user</t>
  </si>
  <si>
    <t>Twitter Page (URL)</t>
  </si>
  <si>
    <t>HBO Max - Emerging Titles</t>
  </si>
  <si>
    <t>youtube_channel_username</t>
  </si>
  <si>
    <t>Disney+ - Emerging Titles</t>
  </si>
  <si>
    <t>Facebook Page (URL)</t>
  </si>
  <si>
    <t>Amazon Prime Video - Emerging Titles</t>
  </si>
  <si>
    <t>Paramount+ - Emerging Titles</t>
  </si>
  <si>
    <t>Hulu - Emerging Titles</t>
  </si>
  <si>
    <t>tiktok_user</t>
  </si>
  <si>
    <t>Instagram Account (URL)</t>
  </si>
  <si>
    <t>Roll-Up 2</t>
  </si>
  <si>
    <t>Paramount &gt; Film Roll-up</t>
  </si>
  <si>
    <t>YouTube (Brand)</t>
  </si>
  <si>
    <t>The Walt Disney Company &gt; Film Roll-up</t>
  </si>
  <si>
    <t>TikTok</t>
  </si>
  <si>
    <t>tumblr_page</t>
  </si>
  <si>
    <t>WarnerMedia &gt; Film Roll-up</t>
  </si>
  <si>
    <t>Tumblr</t>
  </si>
  <si>
    <t>NBCUniversal &gt; Film Roll-up</t>
  </si>
  <si>
    <t>pinterest_user_username</t>
  </si>
  <si>
    <t>Rotten Tomatoes</t>
  </si>
  <si>
    <t>PV Monthly - Emerging Titles</t>
  </si>
  <si>
    <t>Metacritic</t>
  </si>
  <si>
    <t>pinterest_board</t>
  </si>
  <si>
    <t>Pinterest Username</t>
  </si>
  <si>
    <t>wikipedia_page</t>
  </si>
  <si>
    <t>Roll-Up 3</t>
  </si>
  <si>
    <t>rottentomatoes</t>
  </si>
  <si>
    <t>imdb_id</t>
  </si>
  <si>
    <t>The Walt Disney Company &gt; Film + TV + Publishing Roll-up</t>
  </si>
  <si>
    <t>metacritic</t>
  </si>
  <si>
    <t>WarnerMedia &gt; Film + TV + Publishing Roll-up</t>
  </si>
  <si>
    <t>NBCUniversal &gt; Film + TV + Publishing Roll-up</t>
  </si>
  <si>
    <t>facebook_search_terms</t>
  </si>
  <si>
    <t>twitter_search_terms</t>
  </si>
  <si>
    <t>instagram_search_terms</t>
  </si>
  <si>
    <t>tumblr_search_terms</t>
  </si>
  <si>
    <t>twitter_search_term_keywords</t>
  </si>
  <si>
    <t>reddit_search_terms</t>
  </si>
  <si>
    <t>youtube_search_terms</t>
  </si>
  <si>
    <t>url_managers</t>
  </si>
  <si>
    <t>Movies</t>
  </si>
  <si>
    <t>Action</t>
  </si>
  <si>
    <t>Title Category</t>
  </si>
  <si>
    <t>Cross Channel?</t>
  </si>
  <si>
    <t>Company</t>
  </si>
  <si>
    <t>Subscriber</t>
  </si>
  <si>
    <t>Brand Sets</t>
  </si>
  <si>
    <t>LF // Film - Majors + Independents</t>
  </si>
  <si>
    <t>YouTube (Company)</t>
  </si>
  <si>
    <t>Twitter Keyword String</t>
  </si>
  <si>
    <t>Genres</t>
  </si>
  <si>
    <t>Distribution Type</t>
  </si>
  <si>
    <t>Reddit Keyword String</t>
  </si>
  <si>
    <t>ADD</t>
  </si>
  <si>
    <t>YES</t>
  </si>
  <si>
    <t>Pristine Brand</t>
  </si>
  <si>
    <t>DAR</t>
  </si>
  <si>
    <t>Extended</t>
  </si>
  <si>
    <t>Competitive View</t>
  </si>
  <si>
    <t>Release - Limited</t>
  </si>
  <si>
    <t>Studio - Independent</t>
  </si>
  <si>
    <t>Studio - Major</t>
  </si>
  <si>
    <t>https://www.youtube.com/user/FoxMovies</t>
  </si>
  <si>
    <t>"20th Century Studios" OR @20thcentury OR #20thCentury</t>
  </si>
  <si>
    <t>"20th Century Studios" | @20thcentury | #20thCentury</t>
  </si>
  <si>
    <t>UPDATE</t>
  </si>
  <si>
    <t>NO</t>
  </si>
  <si>
    <t>Operations - Core Title</t>
  </si>
  <si>
    <t>Standard</t>
  </si>
  <si>
    <t>Release - Wide</t>
  </si>
  <si>
    <t>A24</t>
  </si>
  <si>
    <t>https://www.youtube.com/user/A24Films</t>
  </si>
  <si>
    <t>"A24" OR @A24 OR #A24</t>
  </si>
  <si>
    <t>Adult</t>
  </si>
  <si>
    <t>"A24" | @A24 | #A24</t>
  </si>
  <si>
    <t>Abramorama</t>
  </si>
  <si>
    <t>https://www.youtube.com/channel/UCAzJQS9Ikw-zp8XvXuiobig</t>
  </si>
  <si>
    <t>t</t>
  </si>
  <si>
    <t>Unknown</t>
  </si>
  <si>
    <t>"Abramorama" OR @abramorama OR #Abramorama</t>
  </si>
  <si>
    <t>Adventure</t>
  </si>
  <si>
    <t>"Abramorama" | @abramorama | #Abramorama</t>
  </si>
  <si>
    <t>Adopt Films</t>
  </si>
  <si>
    <t>https://www.youtube.com/user/adoptfilms</t>
  </si>
  <si>
    <t>f</t>
  </si>
  <si>
    <t>"Adopt Films" OR @AdoptFilms OR #AdoptFilms</t>
  </si>
  <si>
    <t>Animation</t>
  </si>
  <si>
    <t>"Adopt Films" | @AdoptFilms | #AdoptFilms</t>
  </si>
  <si>
    <t>Amazon Studios</t>
  </si>
  <si>
    <t>https://www.youtube.com/user/amazonstudios</t>
  </si>
  <si>
    <t>"Prime Video" OR "Amazon Studios" OR @PrimeVideo OR @AmazonStudios OR #PrimeVideo OR #AmazonStudios</t>
  </si>
  <si>
    <t>Biography</t>
  </si>
  <si>
    <t>"Prime Video" | "Amazon Studios" | @PrimeVideo | @AmazonStudios | #PrimeVideo | #AmazonStudios</t>
  </si>
  <si>
    <t>American Experience Films</t>
  </si>
  <si>
    <t>https://www.youtube.com/user/AmericanExperience</t>
  </si>
  <si>
    <t>"American Experience Films" OR #AmericanExperienceFilms</t>
  </si>
  <si>
    <t>Comedy</t>
  </si>
  <si>
    <t>"American Experience Films" | #AmericanExperienceFilms</t>
  </si>
  <si>
    <t>Amplify</t>
  </si>
  <si>
    <t>https://www.youtube.com/user/amplifyreleasing</t>
  </si>
  <si>
    <t>"Amplify" OR @amplify OR #Amplify</t>
  </si>
  <si>
    <t>Crime</t>
  </si>
  <si>
    <t>"Amplify" | @amplify | #Amplify</t>
  </si>
  <si>
    <t>Alchemy</t>
  </si>
  <si>
    <t>https://www.youtube.com/channel/UC3YyZ4Pw0aWm_GaCtTCylcw</t>
  </si>
  <si>
    <t>"Alchemy" OR @sarita_alchemy OR #Alchemy</t>
  </si>
  <si>
    <t>Documentary</t>
  </si>
  <si>
    <t>"Alchemy" | @sarita_alchemy | #Alchemy</t>
  </si>
  <si>
    <t>ARC Entertainment</t>
  </si>
  <si>
    <t>"ARC Entertainment" OR #ARCEntertainment</t>
  </si>
  <si>
    <t>Drama</t>
  </si>
  <si>
    <t>"ARC Entertainment" | #ARCEntertainment</t>
  </si>
  <si>
    <t>Archstone</t>
  </si>
  <si>
    <t>https://www.youtube.com/user/ArchstoneDistb</t>
  </si>
  <si>
    <t>"Archstone" OR #Archstone</t>
  </si>
  <si>
    <t>Family</t>
  </si>
  <si>
    <t>"Archstone" | #Archstone</t>
  </si>
  <si>
    <t>ArtAffects Entertainment</t>
  </si>
  <si>
    <t>"ArtAffects Entertainment" OR #ArtAffectsEntertainment</t>
  </si>
  <si>
    <t>Fantasy</t>
  </si>
  <si>
    <t>"ArtAffects Entertainment" | #ArtAffectsEntertainment</t>
  </si>
  <si>
    <t>Arts Alliance America</t>
  </si>
  <si>
    <t>"Arts Alliance America" OR #ArtsAllianceAmerica</t>
  </si>
  <si>
    <t>Film Noir</t>
  </si>
  <si>
    <t>"Arts Alliance America" | #ArtsAllianceAmerica</t>
  </si>
  <si>
    <t>Argot Pictures</t>
  </si>
  <si>
    <t>https://www.youtube.com/user/ArgotPic</t>
  </si>
  <si>
    <t>"Argot Pictures" OR @argotpictures OR #ArgotPictures</t>
  </si>
  <si>
    <t>Game Show</t>
  </si>
  <si>
    <t>"Argot Pictures" | @argotpictures | #ArgotPictures</t>
  </si>
  <si>
    <t>Atlas Distribution</t>
  </si>
  <si>
    <t>https://www.youtube.com/channel/UCMLA_XtSbnfjXHL2An8zfGg</t>
  </si>
  <si>
    <t>"Atlas Distribution" OR @atlasmovies OR #AtlasDistribution</t>
  </si>
  <si>
    <t>History</t>
  </si>
  <si>
    <t>Atlas Distribution Company</t>
  </si>
  <si>
    <t>"Atlas Distribution" | @atlasmovies | #AtlasDistribution</t>
  </si>
  <si>
    <t>Aspiration Media</t>
  </si>
  <si>
    <t>https://www.youtube.com/channel/UCQryfk_8wo0jT8rSSppgS2Q</t>
  </si>
  <si>
    <t>"Aspiration Media" OR @weareaspiration OR #AspirationMedia</t>
  </si>
  <si>
    <t>Horror</t>
  </si>
  <si>
    <t>"Aspiration Media" | @weareaspiration | #AspirationMedia</t>
  </si>
  <si>
    <t>BBC Worldwide Americas</t>
  </si>
  <si>
    <t>https://www.youtube.com/user/BBCWorldwide</t>
  </si>
  <si>
    <t>"BBC Worldwide Americas" OR #BBCWorldwideAmericas</t>
  </si>
  <si>
    <t>Music</t>
  </si>
  <si>
    <t>"BBC Worldwide Americas" | #BBCWorldwideAmericas</t>
  </si>
  <si>
    <t>BH Tilt</t>
  </si>
  <si>
    <t>https://www.youtube.com/channel/UCYt7jyCUwuhpFvPT3qAlj8w</t>
  </si>
  <si>
    <t>"BH Tilt" OR @BHTilt OR #BHTilt</t>
  </si>
  <si>
    <t>Musical</t>
  </si>
  <si>
    <t>"BH Tilt" | @BHTilt | #BHTilt</t>
  </si>
  <si>
    <t>Big World Pictures</t>
  </si>
  <si>
    <t>https://www.youtube.com/channel/UCx1mHWMsCO96ungWSwS5Udg</t>
  </si>
  <si>
    <t>"Big World Pictures" OR @JonathanDHowell OR #BigWorldPictures</t>
  </si>
  <si>
    <t>Mystery</t>
  </si>
  <si>
    <t>"Big World Pictures" | @JonathanDHowell | #BigWorldPictures</t>
  </si>
  <si>
    <t>Bleecker Street</t>
  </si>
  <si>
    <t>https://www.youtube.com/user/BleeckerStFilms</t>
  </si>
  <si>
    <t>"Bleecker Street" OR @bleeckerstfilms OR #BleeckerStreet</t>
  </si>
  <si>
    <t>News</t>
  </si>
  <si>
    <t>Bleecker Street Media</t>
  </si>
  <si>
    <t>"Bleecker Street" | @bleeckerstfilms | #BleeckerStreet</t>
  </si>
  <si>
    <t>Bond/360</t>
  </si>
  <si>
    <t>"Bond/360" OR @BONDFilm OR #Bond360</t>
  </si>
  <si>
    <t>Reality Tv</t>
  </si>
  <si>
    <t>"Bond/360" | @BONDFilm | #Bond360</t>
  </si>
  <si>
    <t>Brainstorm Media</t>
  </si>
  <si>
    <t>https://www.youtube.com/@BrainstormMedia90212</t>
  </si>
  <si>
    <t>"Brainstorm Media" OR #BrainstormMedia</t>
  </si>
  <si>
    <t>Romance</t>
  </si>
  <si>
    <t>"Brainstorm Media" | #BrainstormMedia</t>
  </si>
  <si>
    <t>Breaking Glass Pictures</t>
  </si>
  <si>
    <t>https://www.youtube.com/user/OfficialBGP</t>
  </si>
  <si>
    <t>"Breaking Glass Pictures" OR @BreakingGlassPx OR #BreakingGlassPictures</t>
  </si>
  <si>
    <t>Sci Fi</t>
  </si>
  <si>
    <t>"Breaking Glass Pictures" | @BreakingGlassPx | #BreakingGlassPictures</t>
  </si>
  <si>
    <t>Broad Green Pictures</t>
  </si>
  <si>
    <t>https://www.youtube.com/channel/UCgOaC_IwC5-Vi9m6u1y9VWA</t>
  </si>
  <si>
    <t>"Broad Green Pictures" OR @broadgreen OR #BroadGreenPictures</t>
  </si>
  <si>
    <t>Short</t>
  </si>
  <si>
    <t>"Broad Green Pictures" | @broadgreen | #BroadGreenPictures</t>
  </si>
  <si>
    <t>CanZion Films</t>
  </si>
  <si>
    <t>https://www.youtube.com/user/canzionfilms</t>
  </si>
  <si>
    <t>"CanZion Films" OR @canzionfilms OR #CanZionFilms</t>
  </si>
  <si>
    <t>Sport</t>
  </si>
  <si>
    <t>"CanZion Films" | @canzionfilms | #CanZionFilms</t>
  </si>
  <si>
    <t>https://www.youtube.com/user/CBSFilms</t>
  </si>
  <si>
    <t>"CBS Films" OR @CBSFilms OR #CBSFilms</t>
  </si>
  <si>
    <t>Talk Show</t>
  </si>
  <si>
    <t>"CBS Films" | @CBSFilms | #CBSFilms</t>
  </si>
  <si>
    <t>Cinema Libre</t>
  </si>
  <si>
    <t>https://www.youtube.com/user/CinemaLibre</t>
  </si>
  <si>
    <t>"Cinema Libre" OR @cinemalibre OR #CinemaLibre</t>
  </si>
  <si>
    <t>Thriller</t>
  </si>
  <si>
    <t>Cinema Libre Studio</t>
  </si>
  <si>
    <t>"Cinema Libre" | @cinemalibre | #CinemaLibre</t>
  </si>
  <si>
    <t>Cinestaan</t>
  </si>
  <si>
    <t>https://www.youtube.com/channel/UCNMUBdKm5y66neKKmfZVyPQ</t>
  </si>
  <si>
    <t>"Cinestaan" OR @cinestaan OR #Cinestaan</t>
  </si>
  <si>
    <t>War</t>
  </si>
  <si>
    <t>"Cinestaan" | @cinestaan | #Cinestaan</t>
  </si>
  <si>
    <t>China Lion</t>
  </si>
  <si>
    <t>https://www.youtube.com/user/chinalionfilm</t>
  </si>
  <si>
    <t>"China Lion" OR @chinalionfilm OR #ChinaLion</t>
  </si>
  <si>
    <t>Western</t>
  </si>
  <si>
    <t>"China Lion" | @chinalionfilm | #ChinaLion</t>
  </si>
  <si>
    <t>Cinedigm Entertainment</t>
  </si>
  <si>
    <t>https://www.youtube.com/user/NewVideoDigital</t>
  </si>
  <si>
    <t>"Cinedigm Entertainment" OR @Cinedigm OR #CinedigmEntertainment</t>
  </si>
  <si>
    <t>"Cinedigm Entertainment" | @Cinedigm | #CinedigmEntertainment</t>
  </si>
  <si>
    <t>City Drive Films</t>
  </si>
  <si>
    <t>https://www.youtube.com/user/TCDDC3</t>
  </si>
  <si>
    <t>"City Drive Films" OR @CityDriveFilms OR #CityDriveFilms</t>
  </si>
  <si>
    <t>"City Drive Films" | @CityDriveFilms | #CityDriveFilms</t>
  </si>
  <si>
    <t>CJ Entertainment</t>
  </si>
  <si>
    <t>https://www.youtube.com/user/CJEntertainmentUSA</t>
  </si>
  <si>
    <t>"CJ Entertainment" OR @CJENT_USA OR #CJEntertainment</t>
  </si>
  <si>
    <t>"CJ Entertainment" | @CJENT_USA | #CJEntertainment</t>
  </si>
  <si>
    <t>Clarius Entertainment</t>
  </si>
  <si>
    <t>"Clarius Entertainment" OR #ClariusEntertainment</t>
  </si>
  <si>
    <t>"Clarius Entertainment" | #ClariusEntertainment</t>
  </si>
  <si>
    <t>Cleopatra Films</t>
  </si>
  <si>
    <t>"Cleopatra Films" OR #CleopatraFilms</t>
  </si>
  <si>
    <t>"Cleopatra Films" | #CleopatraFilms</t>
  </si>
  <si>
    <t>Cohen Media Group</t>
  </si>
  <si>
    <t>https://www.youtube.com/user/CohenMediaGroup</t>
  </si>
  <si>
    <t>"Cohen Media Group" OR @CohenMediaGroup OR #CohenMediaGroup</t>
  </si>
  <si>
    <t>"Cohen Media Group" | @CohenMediaGroup | #CohenMediaGroup</t>
  </si>
  <si>
    <t>Dada Films</t>
  </si>
  <si>
    <t>"Dada Films" OR #DadaFilms</t>
  </si>
  <si>
    <t>"Dada Films" | #DadaFilms</t>
  </si>
  <si>
    <t>Diginext Films</t>
  </si>
  <si>
    <t>https://www.youtube.com/channel/UCpMyE_fbK21NaH94O__Xz0Q</t>
  </si>
  <si>
    <t>"Diginext Films" OR #DiginextFilms</t>
  </si>
  <si>
    <t>"Diginext Films" | #DiginextFilms</t>
  </si>
  <si>
    <t>Dimension Films</t>
  </si>
  <si>
    <t>https://www.youtube.com/user/DimensionHorror</t>
  </si>
  <si>
    <t>"Dimension Films" OR @DimensionFilms OR #DimensionFilms</t>
  </si>
  <si>
    <t>"Dimension Films" | @DimensionFilms | #DimensionFilms</t>
  </si>
  <si>
    <t>Disney</t>
  </si>
  <si>
    <t>https://www.youtube.com/@Disney</t>
  </si>
  <si>
    <t>"Disney" OR "Pixar" OR @Pixar OR @Disney OR @DisneyStudios OR @DisneyAnimation OR #Disney OR #pixar</t>
  </si>
  <si>
    <t>https://www.youtube.com/user/Disney</t>
  </si>
  <si>
    <t>"Disney" | "Pixar" | @Pixar | @Disney | @DisneyStudios | @DisneyAnimation | #Disney | #pixar</t>
  </si>
  <si>
    <t>DisruptiveLA</t>
  </si>
  <si>
    <t>"DisruptiveLA" OR #DisruptiveLA</t>
  </si>
  <si>
    <t>"DisruptiveLA" | #DisruptiveLA</t>
  </si>
  <si>
    <t>Distrib Films</t>
  </si>
  <si>
    <t>https://www.youtube.com/channel/UCA27eNlbatrLHhWZyHMUDew</t>
  </si>
  <si>
    <t>"Distrib Films" OR @distribfilmsus OR #DistribFilms</t>
  </si>
  <si>
    <t>"Distrib Films" | @distribfilmsus | #DistribFilms</t>
  </si>
  <si>
    <t>Drafthouse</t>
  </si>
  <si>
    <t>https://www.youtube.com/user/drafthousefilms</t>
  </si>
  <si>
    <t>"Drafthouse" OR #Drafthouse</t>
  </si>
  <si>
    <t>Drafthouse Films</t>
  </si>
  <si>
    <t>"Drafthouse" | #Drafthouse</t>
  </si>
  <si>
    <t>DreamWorks / 20th Century Fox</t>
  </si>
  <si>
    <t>http://www.youtube.com/user/DreamworksAnimation</t>
  </si>
  <si>
    <t>"DreamWorks / 20th Century Fox" OR @Dreamworks OR @20thcentury OR #DreamWorks OR #20thCenturyFox</t>
  </si>
  <si>
    <t>DreamWorks Home Entertainment</t>
  </si>
  <si>
    <t>"DreamWorks / 20th Century Fox" | @Dreamworks | @20thcentury | #DreamWorks | #20thCenturyFox</t>
  </si>
  <si>
    <t>Electric Entertainment</t>
  </si>
  <si>
    <t>https://www.youtube.com/user/officialElectricE</t>
  </si>
  <si>
    <t>"Electric Entertainment" OR @ElectricEnt1 OR #ElectricEntertainment</t>
  </si>
  <si>
    <t>"Electric Entertainment" | @ElectricEnt1 | #ElectricEntertainment</t>
  </si>
  <si>
    <t>Eleven Arts</t>
  </si>
  <si>
    <t>https://www.youtube.com/user/ELEVENARTSinc</t>
  </si>
  <si>
    <t>"Eleven Arts" OR @ELEVEN_ARTS OR #ElevenArts</t>
  </si>
  <si>
    <t>"Eleven Arts" | @ELEVEN_ARTS | #ElevenArts</t>
  </si>
  <si>
    <t>Entertainment One</t>
  </si>
  <si>
    <t>https://www.youtube.com/user/entertainmentone</t>
  </si>
  <si>
    <t>"Entertainment One" OR @entonegroup OR #EntertainmentOne</t>
  </si>
  <si>
    <t>"Entertainment One" | @entonegroup | #EntertainmentOne</t>
  </si>
  <si>
    <t>Epic Pictures Releasing</t>
  </si>
  <si>
    <t>https://www.youtube.com/user/epicpicturesgroup</t>
  </si>
  <si>
    <t>"Epic Pictures Releasing" OR @epic_pictures OR #EpicPicturesReleasing</t>
  </si>
  <si>
    <t>"Epic Pictures Releasing" | @epic_pictures | #EpicPicturesReleasing</t>
  </si>
  <si>
    <t>ESX Entertainment</t>
  </si>
  <si>
    <t>https://www.youtube.com/channel/UCW6ZAYDUG7-lfzuN2TuZtzg</t>
  </si>
  <si>
    <t>"ESX Entertainment" OR @ESXentertain OR #ESXEntertainment</t>
  </si>
  <si>
    <t>"ESX Entertainment" | @ESXentertain | #ESXEntertainment</t>
  </si>
  <si>
    <t>EuropaCorp</t>
  </si>
  <si>
    <t>https://www.youtube.com/channel/UCfNROWwwASS1Zwy7s0Xyu6A</t>
  </si>
  <si>
    <t>"EuropaCorp" OR @EuropaCorp OR #EuropaCorp</t>
  </si>
  <si>
    <t>"EuropaCorp" | @EuropaCorp | #EuropaCorp</t>
  </si>
  <si>
    <t>FilmBuff</t>
  </si>
  <si>
    <t>https://www.youtube.com/filmbuff</t>
  </si>
  <si>
    <t>"FilmBuff" OR @FilmBuff OR #FilmBuff</t>
  </si>
  <si>
    <t>"FilmBuff" | @FilmBuff | #FilmBuff</t>
  </si>
  <si>
    <t>Film Movement</t>
  </si>
  <si>
    <t>https://www.youtube.com/user/FilmMovement</t>
  </si>
  <si>
    <t>"Film Movement" OR @film_movement OR #FilmMovement</t>
  </si>
  <si>
    <t>"Film Movement" | @film_movement | #FilmMovement</t>
  </si>
  <si>
    <t>FilmRise</t>
  </si>
  <si>
    <t>https://www.youtube.com/channel/UCigBBfWRC05eW9_5DjJLq_Q</t>
  </si>
  <si>
    <t>"FilmRise" OR @filmrisetv OR #FilmRise</t>
  </si>
  <si>
    <t>"FilmRise" | @filmrisetv | #FilmRise</t>
  </si>
  <si>
    <t>First Run</t>
  </si>
  <si>
    <t>https://www.youtube.com/user/firstrunfeaturesnyc</t>
  </si>
  <si>
    <t>"First Run" OR @firstrun OR #FirstRun</t>
  </si>
  <si>
    <t>First Run Features</t>
  </si>
  <si>
    <t>"First Run" | @firstrun | #FirstRun</t>
  </si>
  <si>
    <t>Five &amp; Two Pictures</t>
  </si>
  <si>
    <t>"Five &amp; Two Pictures" OR #FiveTwoPictures</t>
  </si>
  <si>
    <t>"Five &amp; Two Pictures" | #FiveTwoPictures</t>
  </si>
  <si>
    <t>https://www.youtube.com/user/FocusFeatures</t>
  </si>
  <si>
    <t>"Focus Features" OR @FocusFeatures OR #FocusFeatures</t>
  </si>
  <si>
    <t>"Focus Features" | @FocusFeatures | #FocusFeatures</t>
  </si>
  <si>
    <t>https://www.youtube.com/channel/UCd2lKedSVlGI8FVL9m5a9PQ</t>
  </si>
  <si>
    <t>"Focus World" OR @FocusWorld OR #FocusWorld</t>
  </si>
  <si>
    <t>"Focus World" | @FocusWorld | #FocusWorld</t>
  </si>
  <si>
    <t>Fork Films</t>
  </si>
  <si>
    <t>https://www.youtube.com/channel/UC8rtLjz6aLi6HAZ1yrNfGzw</t>
  </si>
  <si>
    <t>"Fork Films" OR @ForkFilms OR #ForkFilms</t>
  </si>
  <si>
    <t>"Fork Films" | @ForkFilms | #ForkFilms</t>
  </si>
  <si>
    <t>https://www.youtube.com/user/FoxSearchlight</t>
  </si>
  <si>
    <t>"Searchlight Pictures" OR @searchlightpics OR #SearchlightPictures</t>
  </si>
  <si>
    <t>Fox Searchlight Pictures</t>
  </si>
  <si>
    <t>"Searchlight Pictures" | @searchlightpics | #SearchlightPictures</t>
  </si>
  <si>
    <t>Fox STAR Studios</t>
  </si>
  <si>
    <t>https://www.youtube.com/user/FoxStarHindi</t>
  </si>
  <si>
    <t>"Fox STAR Studios" OR @foxstarhindi OR #FoxSTARStudios</t>
  </si>
  <si>
    <t>"Fox STAR Studios" | @foxstarhindi | #FoxSTARStudios</t>
  </si>
  <si>
    <t>Freestyle Releasing</t>
  </si>
  <si>
    <t>https://www.youtube.com/channel/UC-ZrPpPr79psf_4Y6AbIxSA</t>
  </si>
  <si>
    <t>"Freestyle Releasing" OR @freestylerel OR #FreestyleReleasing</t>
  </si>
  <si>
    <t>"Freestyle Releasing" | @freestylerel | #FreestyleReleasing</t>
  </si>
  <si>
    <t>Fullscreen Films</t>
  </si>
  <si>
    <t>https://www.youtube.com/user/Fullscreen</t>
  </si>
  <si>
    <t>"Fullscreen Films" OR #FullscreenFilms</t>
  </si>
  <si>
    <t>"Fullscreen Films" | #FullscreenFilms</t>
  </si>
  <si>
    <t>FUNimation Entertainment</t>
  </si>
  <si>
    <t>https://www.youtube.com/user/FUNimation</t>
  </si>
  <si>
    <t>"FUNimation Entertainment" OR @FUNimation OR #FUNimationEntertainment</t>
  </si>
  <si>
    <t>"FUNimation Entertainment" | @FUNimation | #FUNimationEntertainment</t>
  </si>
  <si>
    <t>Gathr Films</t>
  </si>
  <si>
    <t>"Gathr Films" OR @GathrFilms OR #GathrFilms</t>
  </si>
  <si>
    <t>"Gathr Films" | @GathrFilms | #GathrFilms</t>
  </si>
  <si>
    <t>GKIDS</t>
  </si>
  <si>
    <t>https://www.youtube.com/user/GKIDStv</t>
  </si>
  <si>
    <t>"GKIDS" OR @gkidsfilms OR #GKIDS</t>
  </si>
  <si>
    <t>"GKIDS" | @gkidsfilms | #GKIDS</t>
  </si>
  <si>
    <t>Gravitas Ventures</t>
  </si>
  <si>
    <t>https://www.youtube.com/user/GravitasVOD</t>
  </si>
  <si>
    <t>"Gravitas Ventures" OR @GravitasVOD OR #GravitasVentures</t>
  </si>
  <si>
    <t>"Gravitas Ventures" | @GravitasVOD | #GravitasVentures</t>
  </si>
  <si>
    <t>GVN Releasing</t>
  </si>
  <si>
    <t>https://www.youtube.com/channel/UCo1oPj6t6uVt_hncvoE41cw</t>
  </si>
  <si>
    <t>"GVN Releasing" OR @gvnreleasing OR #GVNReleasing</t>
  </si>
  <si>
    <t>"GVN Releasing" | @gvnreleasing | #GVNReleasing</t>
  </si>
  <si>
    <t>Hammond Entertainment</t>
  </si>
  <si>
    <t>"Hammond Entertainment" OR #HammondEntertainment</t>
  </si>
  <si>
    <t>"Hammond Entertainment" | #HammondEntertainment</t>
  </si>
  <si>
    <t>Hannover House</t>
  </si>
  <si>
    <t>https://www.youtube.com/user/HannoverMovies</t>
  </si>
  <si>
    <t>"Hannover House" OR #HannoverHouse</t>
  </si>
  <si>
    <t>"Hannover House" | #HannoverHouse</t>
  </si>
  <si>
    <t>Honora Productions</t>
  </si>
  <si>
    <t>https://www.youtube.com/channel/UCBVDbMnHRML8pF2tpDLxAIg</t>
  </si>
  <si>
    <t>"Honora Productions" OR @honorafilms OR #HonoraProductions</t>
  </si>
  <si>
    <t>"Honora Productions" | @honorafilms | #HonoraProductions</t>
  </si>
  <si>
    <t>Icarus Films</t>
  </si>
  <si>
    <t>https://www.youtube.com/user/IcarusFilmsNY</t>
  </si>
  <si>
    <t>"Icarus Films" OR @IcarusFilms OR #IcarusFilms</t>
  </si>
  <si>
    <t>"Icarus Films" | @IcarusFilms | #IcarusFilms</t>
  </si>
  <si>
    <t>IFC Films</t>
  </si>
  <si>
    <t>https://www.youtube.com/user/IFCFilmsTube</t>
  </si>
  <si>
    <t>"IFC Films" OR "IFC Midnight" OR @IFCMidnight OR @IFCFilms OR #IFCFilms OR #IFCMidnight</t>
  </si>
  <si>
    <t>"IFC Films" | "IFC Midnight" | @IFCMidnight | @IFCFilms | #IFCFilms | #IFCMidnight</t>
  </si>
  <si>
    <t>IMAX</t>
  </si>
  <si>
    <t>https://www.youtube.com/user/imaxmovies</t>
  </si>
  <si>
    <t>"IMAX" OR @IMAX OR #IMAX</t>
  </si>
  <si>
    <t>"IMAX" | @IMAX | #IMAX</t>
  </si>
  <si>
    <t>Indican Pictures</t>
  </si>
  <si>
    <t>https://www.youtube.com/user/IndicanPictures</t>
  </si>
  <si>
    <t>"Indican Pictures" OR @IndicanPictures OR #IndicanPictures</t>
  </si>
  <si>
    <t>"Indican Pictures" | @IndicanPictures | #IndicanPictures</t>
  </si>
  <si>
    <t>International Film Circuit</t>
  </si>
  <si>
    <t>https://www.youtube.com/user/INTLFilmCircuit</t>
  </si>
  <si>
    <t>"International Film Circuit" OR #InternationalFilmCircuit</t>
  </si>
  <si>
    <t>"International Film Circuit" | #InternationalFilmCircuit</t>
  </si>
  <si>
    <t>Janus Films</t>
  </si>
  <si>
    <t>https://www.youtube.com/user/janusfilmsnyc</t>
  </si>
  <si>
    <t>"Janus Films" OR @janusfilms OR #JanusFilms</t>
  </si>
  <si>
    <t>"Janus Films" | @janusfilms | #JanusFilms</t>
  </si>
  <si>
    <t>Jsenko Productions</t>
  </si>
  <si>
    <t>"Jsenko Productions" OR #JsenkoProductions</t>
  </si>
  <si>
    <t>"Jsenko Productions" | #JsenkoProductions</t>
  </si>
  <si>
    <t>Ketchup Entertainment</t>
  </si>
  <si>
    <t>https://www.youtube.com/user/KetchupEnt</t>
  </si>
  <si>
    <t>"Ketchup Entertainment" OR #KetchupEntertainment</t>
  </si>
  <si>
    <t>"Ketchup Entertainment" | #KetchupEntertainment</t>
  </si>
  <si>
    <t>Kino Lorber</t>
  </si>
  <si>
    <t>https://www.youtube.com/user/kinolorber</t>
  </si>
  <si>
    <t>"Kino Lorber" OR @KinoLorber OR #KinoLorber</t>
  </si>
  <si>
    <t>Kino Lorber Films</t>
  </si>
  <si>
    <t>"Kino Lorber" | @KinoLorber | #KinoLorber</t>
  </si>
  <si>
    <t>Leisure Time Features</t>
  </si>
  <si>
    <t>"Leisure Time Features" OR #LeisureTimeFeatures</t>
  </si>
  <si>
    <t>"Leisure Time Features" | #LeisureTimeFeatures</t>
  </si>
  <si>
    <t>Level 33 Entertainment</t>
  </si>
  <si>
    <t>https://www.youtube.com/channel/UCY0vSwi_U-ixmy6nrErmx7A</t>
  </si>
  <si>
    <t>"Level 33 Entertainment" OR @Level33_ent OR #Level33Entertainment</t>
  </si>
  <si>
    <t>"Level 33 Entertainment" | @Level33_ent | #Level33Entertainment</t>
  </si>
  <si>
    <t>Lionsgate / Summit</t>
  </si>
  <si>
    <t>https://www.youtube.com/user/LionsgateLIVE</t>
  </si>
  <si>
    <t>Lionsgate</t>
  </si>
  <si>
    <t>"Lionsgate" OR @Lionsgate OR #lionsgate</t>
  </si>
  <si>
    <t>"Lionsgate" | @Lionsgate | #lionsgate</t>
  </si>
  <si>
    <t>Lookhu</t>
  </si>
  <si>
    <t>"Lookhu" OR @lookhuu OR #Lookhu</t>
  </si>
  <si>
    <t>"Lookhu" | @lookhuu | #Lookhu</t>
  </si>
  <si>
    <t>Magnolia</t>
  </si>
  <si>
    <t>https://www.youtube.com/user/MagnoliaPictures</t>
  </si>
  <si>
    <t>"Magnolia" OR @MagnoliaPics OR #Magnolia</t>
  </si>
  <si>
    <t>Magnolia Pictures</t>
  </si>
  <si>
    <t>"Magnolia" | @MagnoliaPics | #Magnolia</t>
  </si>
  <si>
    <t>Main Street Films</t>
  </si>
  <si>
    <t>https://www.youtube.com/user/MainStMovies</t>
  </si>
  <si>
    <t>"Main Street Films" OR #MainStreetFilms</t>
  </si>
  <si>
    <t>"Main Street Films" | #MainStreetFilms</t>
  </si>
  <si>
    <t>Marvista Entertainment</t>
  </si>
  <si>
    <t>https://www.youtube.com/user/MarvistaEnt</t>
  </si>
  <si>
    <t>"Marvista Entertainment" OR @MarVistaEnt OR #MarvistaEntertainment</t>
  </si>
  <si>
    <t>"Marvista Entertainment" | @MarVistaEnt | #MarvistaEntertainment</t>
  </si>
  <si>
    <t>Matson Films</t>
  </si>
  <si>
    <t>"Matson Films" OR #MatsonFilms</t>
  </si>
  <si>
    <t>"Matson Films" | #MatsonFilms</t>
  </si>
  <si>
    <t>Menemsha Films</t>
  </si>
  <si>
    <t>https://www.youtube.com/user/MenemshaFilmsUS</t>
  </si>
  <si>
    <t>"Menemsha Films" OR @MenemshaFilms OR #MenemshaFilms</t>
  </si>
  <si>
    <t>"Menemsha Films" | @MenemshaFilms | #MenemshaFilms</t>
  </si>
  <si>
    <t>Millennium Ent.</t>
  </si>
  <si>
    <t>"Millennium Ent." OR @MillenniumFilms OR #MillenniumEnt</t>
  </si>
  <si>
    <t>"Millennium Ent." | @MillenniumFilms | #MillenniumEnt</t>
  </si>
  <si>
    <t>Mitropoulos Films</t>
  </si>
  <si>
    <t>"Mitropoulos Films" OR #MitropoulosFilms</t>
  </si>
  <si>
    <t>"Mitropoulos Films" | #MitropoulosFilms</t>
  </si>
  <si>
    <t>Mirror Images</t>
  </si>
  <si>
    <t>https://www.youtube.com/user/MirrorImagesLTD</t>
  </si>
  <si>
    <t>"Mirror Images" OR #MirrorImages</t>
  </si>
  <si>
    <t>"Mirror Images" | #MirrorImages</t>
  </si>
  <si>
    <t>Monterey Media, Inc.</t>
  </si>
  <si>
    <t>https://www.youtube.com/user/montereytrailers</t>
  </si>
  <si>
    <t>"Monterey Media" OR #MontereyMedia</t>
  </si>
  <si>
    <t>Monterey Media</t>
  </si>
  <si>
    <t>"Monterey Media" | #MontereyMedia</t>
  </si>
  <si>
    <t>Music Box Films</t>
  </si>
  <si>
    <t>https://www.youtube.com/user/musicboxfilmsdistrib</t>
  </si>
  <si>
    <t>"Music Box Films" OR @musicboxfilms OR #MusicBoxFilms</t>
  </si>
  <si>
    <t>"Music Box Films" | @musicboxfilms | #MusicBoxFilms</t>
  </si>
  <si>
    <t>https://www.youtube.com/user/NewOnNetflix</t>
  </si>
  <si>
    <t>"Netflix" OR @NetflixFilm OR @netflix OR #NetflixFilms OR #Netflix</t>
  </si>
  <si>
    <t>"Netflix" | @NetflixFilm | @netflix | #NetflixFilms | #Netflix</t>
  </si>
  <si>
    <t>Ocean Avenue Entertainment</t>
  </si>
  <si>
    <t>"Ocean Avenue Entertainment" OR @OceanAveEnt OR #OceanAvenueEntertainment</t>
  </si>
  <si>
    <t>"Ocean Avenue Entertainment" | @OceanAveEnt | #OceanAvenueEntertainment</t>
  </si>
  <si>
    <t>Open Road Films</t>
  </si>
  <si>
    <t>https://www.youtube.com/user/openroadfilms</t>
  </si>
  <si>
    <t>"Open Road Films" OR @OpenRoadFilms OR #OpenRoadFilms</t>
  </si>
  <si>
    <t>"Open Road Films" | @OpenRoadFilms | #OpenRoadFilms</t>
  </si>
  <si>
    <t>Orion Pictures</t>
  </si>
  <si>
    <t>https://www.youtube.com/user/orionreleasing</t>
  </si>
  <si>
    <t>"Orion Pictures" OR @OrionPictures OR #OrionPictures</t>
  </si>
  <si>
    <t>"Orion Pictures" | @OrionPictures | #OrionPictures</t>
  </si>
  <si>
    <t>Oscilloscope Pictures</t>
  </si>
  <si>
    <t>https://www.youtube.com/user/oscopelabs</t>
  </si>
  <si>
    <t>"Oscilloscope Pictures" OR @oscopelabs OR #OscilloscopePictures</t>
  </si>
  <si>
    <t>"Oscilloscope Pictures" | @oscopelabs | #OscilloscopePictures</t>
  </si>
  <si>
    <t>Paladin</t>
  </si>
  <si>
    <t>https://www.youtube.com/user/paladinpictures</t>
  </si>
  <si>
    <t>"Paladin" OR @PaladinMedia OR #Paladin</t>
  </si>
  <si>
    <t>"Paladin" | @PaladinMedia | #Paladin</t>
  </si>
  <si>
    <t>Pantelion</t>
  </si>
  <si>
    <t>https://www.youtube.com/user/PantelionFilms</t>
  </si>
  <si>
    <t>"Pantelion" OR @PantelionFilms OR #Pantelion</t>
  </si>
  <si>
    <t>Pantelion Films</t>
  </si>
  <si>
    <t>"Pantelion" | @PantelionFilms | #Pantelion</t>
  </si>
  <si>
    <t>Parade Deck Films</t>
  </si>
  <si>
    <t>"Parade Deck Films" OR #ParadeDeckFilms</t>
  </si>
  <si>
    <t>"Parade Deck Films" | #ParadeDeckFilms</t>
  </si>
  <si>
    <t>https://www.youtube.com/user/Paramount</t>
  </si>
  <si>
    <t>Paramount Pictures</t>
  </si>
  <si>
    <t>"Paramount" OR @ParamountPics OR #Paramount</t>
  </si>
  <si>
    <t>"Paramount" | @ParamountPics | #Paramount</t>
  </si>
  <si>
    <t>Paramount Classics</t>
  </si>
  <si>
    <t>"Paramount Classics" OR #ParamountClassics</t>
  </si>
  <si>
    <t>"Paramount Classics" | #ParamountClassics</t>
  </si>
  <si>
    <t>Parkside Releasing</t>
  </si>
  <si>
    <t>"Parkside Releasing" OR #ParksideReleasing</t>
  </si>
  <si>
    <t>"Parkside Releasing" | #ParksideReleasing</t>
  </si>
  <si>
    <t>Picturehouse (II)</t>
  </si>
  <si>
    <t>https://www.youtube.com/user/picturehousemovies</t>
  </si>
  <si>
    <t>"Picturehouse (II)" OR @picturehouses OR #PicturehouseII</t>
  </si>
  <si>
    <t>Picturehouse</t>
  </si>
  <si>
    <t>"Picturehouse (II)" | @picturehouses | #PicturehouseII</t>
  </si>
  <si>
    <t>Pure Flix</t>
  </si>
  <si>
    <t>https://www.youtube.com/user/PureFlixEnt</t>
  </si>
  <si>
    <t>"Pure Flix" OR @pureflix OR #PureFlix</t>
  </si>
  <si>
    <t>Pure Flix Entertainment</t>
  </si>
  <si>
    <t>"Pure Flix" | @pureflix | #PureFlix</t>
  </si>
  <si>
    <t>Quality Flix</t>
  </si>
  <si>
    <t>"Quality Flix" OR #QualityFlix</t>
  </si>
  <si>
    <t>"Quality Flix" | #QualityFlix</t>
  </si>
  <si>
    <t>Radius-TWC</t>
  </si>
  <si>
    <t>https://www.youtube.com/user/RadiusTWC</t>
  </si>
  <si>
    <t>"Radius-TWC" OR @RadiusTWC OR #RadiusTWC</t>
  </si>
  <si>
    <t>"Radius-TWC" | @RadiusTWC | #RadiusTWC</t>
  </si>
  <si>
    <t>Reel One Entertainment</t>
  </si>
  <si>
    <t>https://www.youtube.com/user/reelonepost</t>
  </si>
  <si>
    <t>"Reel One Entertainment" OR @ReelOneEnt OR #ReelOneEntertainment</t>
  </si>
  <si>
    <t>"Reel One Entertainment" | @ReelOneEnt | #ReelOneEntertainment</t>
  </si>
  <si>
    <t>Relativity Media</t>
  </si>
  <si>
    <t>https://www.youtube.com/user/Relativity</t>
  </si>
  <si>
    <t>"Relativity" OR @Relativity OR #RelativityMedia</t>
  </si>
  <si>
    <t>"Relativity" | @Relativity | #RelativityMedia</t>
  </si>
  <si>
    <t>Reliance Entertainment</t>
  </si>
  <si>
    <t>https://www.youtube.com/user/bigpictures</t>
  </si>
  <si>
    <t>"Reliance Entertainment" OR @RelianceEnt OR #RelianceEntertainment</t>
  </si>
  <si>
    <t>"Reliance Entertainment" | @RelianceEnt | #RelianceEntertainment</t>
  </si>
  <si>
    <t>Rialto Pictures</t>
  </si>
  <si>
    <t>https://www.youtube.com/user/rialtomedia</t>
  </si>
  <si>
    <t>"Rialto Pictures" OR @RialtoPictures OR #RialtoPictures</t>
  </si>
  <si>
    <t>"Rialto Pictures" | @RialtoPictures | #RialtoPictures</t>
  </si>
  <si>
    <t>Roadside Attractions</t>
  </si>
  <si>
    <t>https://www.youtube.com/user/RoadsideFlix</t>
  </si>
  <si>
    <t>"Roadside Attractions" OR @roadsidetweets OR #RoadsideAttractions</t>
  </si>
  <si>
    <t>"Roadside Attractions" | @roadsidetweets | #RoadsideAttractions</t>
  </si>
  <si>
    <t>Rocky Mountain Pictures</t>
  </si>
  <si>
    <t>"Rocky Mountain Pictures" OR #RockyMountainPictures</t>
  </si>
  <si>
    <t>"Rocky Mountain Pictures" | #RockyMountainPictures</t>
  </si>
  <si>
    <t>Saban Films</t>
  </si>
  <si>
    <t>"Saban Films" OR #SabanFilms</t>
  </si>
  <si>
    <t>"Saban Films" | #SabanFilms</t>
  </si>
  <si>
    <t>Samuel Goldwyn</t>
  </si>
  <si>
    <t>https://www.youtube.com/user/samuelgoldwynfilmcom</t>
  </si>
  <si>
    <t>"Samuel Goldwyn" OR @GoldwynFilms OR #SamuelGoldwyn</t>
  </si>
  <si>
    <t>Samuel Goldwyn Films</t>
  </si>
  <si>
    <t>"Samuel Goldwyn" | @GoldwynFilms | #SamuelGoldwyn</t>
  </si>
  <si>
    <t>Screen Media</t>
  </si>
  <si>
    <t>"Screen Media" OR @screenmediafilm OR #ScreenMedia</t>
  </si>
  <si>
    <t>Screen Media Films</t>
  </si>
  <si>
    <t>"Screen Media" | @screenmediafilm | #ScreenMedia</t>
  </si>
  <si>
    <t>Shout! Factory</t>
  </si>
  <si>
    <t>https://www.youtube.com/user/shoutfactory</t>
  </si>
  <si>
    <t>"Shout! Factory"  OR "Shout! Studios" OR @shoutfactory OR #ShoutFactory OR #shoutstudios</t>
  </si>
  <si>
    <t>"Shout! Factory"  | "Shout! Studios" | @shoutfactory | #ShoutFactory | #shoutstudios</t>
  </si>
  <si>
    <t>Sony / Columbia</t>
  </si>
  <si>
    <t>https://www.youtube.com/user/SonyPictures</t>
  </si>
  <si>
    <t>Sony Pictures</t>
  </si>
  <si>
    <t>"Sony Pictures" OR @SonyPictures OR #Sonypictures</t>
  </si>
  <si>
    <t>"Sony Pictures" | @SonyPictures | #Sonypictures</t>
  </si>
  <si>
    <t>Sony Classics</t>
  </si>
  <si>
    <t>https://www.youtube.com/user/SonyPicturesClassics</t>
  </si>
  <si>
    <t>"Sony Classics" OR @sonyclassics OR #SonyClassics</t>
  </si>
  <si>
    <t>"Sony Classics" | @sonyclassics | #SonyClassics</t>
  </si>
  <si>
    <t>Starz Media</t>
  </si>
  <si>
    <t>https://www.youtube.com/user/starzmedia</t>
  </si>
  <si>
    <t>"Starz Media" OR @STARZ OR #StarzMedia</t>
  </si>
  <si>
    <t>"Starz Media" | @STARZ | #StarzMedia</t>
  </si>
  <si>
    <t>Strand Releasing</t>
  </si>
  <si>
    <t>https://www.youtube.com/user/StrandReleasing</t>
  </si>
  <si>
    <t>"Strand Releasing" OR @strandreleasing OR #StrandReleasing</t>
  </si>
  <si>
    <t>"Strand Releasing" | @strandreleasing | #StrandReleasing</t>
  </si>
  <si>
    <t>Strasson Group</t>
  </si>
  <si>
    <t>"Strasson Group" OR @StrassonGroup OR #StrassonGroup</t>
  </si>
  <si>
    <t>"Strasson Group" | @StrassonGroup | #StrassonGroup</t>
  </si>
  <si>
    <t>STX Entertainment</t>
  </si>
  <si>
    <t>https://www.youtube.com/channel/UCtlp8d4cZg2eMrVbq7vxg9w</t>
  </si>
  <si>
    <t>"STX Entertainment" OR @STXfilms OR #STXEntertainment</t>
  </si>
  <si>
    <t>"STX Entertainment" | @STXfilms | #STXEntertainment</t>
  </si>
  <si>
    <t>Submarine Deluxe</t>
  </si>
  <si>
    <t>https://www.youtube.com/channel/UCqCDJ4dCHL9XbOWVXFisZhA</t>
  </si>
  <si>
    <t>"Submarine Deluxe" OR @subdeluxe OR #SubmarineDeluxe</t>
  </si>
  <si>
    <t>"Submarine Deluxe" | @subdeluxe | #SubmarineDeluxe</t>
  </si>
  <si>
    <t>Syfy Films</t>
  </si>
  <si>
    <t>https://www.youtube.com/channel/UCu4bPsg0qZWtNg6cZw8kAWQ</t>
  </si>
  <si>
    <t>"Syfy Films" OR @SYFY OR #SyfyFilms</t>
  </si>
  <si>
    <t>"Syfy Films" | @SYFY | #SyfyFilms</t>
  </si>
  <si>
    <t>The Film Arcade</t>
  </si>
  <si>
    <t>https://www.youtube.com/user/TheFilmArcade</t>
  </si>
  <si>
    <t>"The Film Arcade" OR @TheFilmArcade OR #TheFilmArcade</t>
  </si>
  <si>
    <t>Film Arcade</t>
  </si>
  <si>
    <t>"The Film Arcade" | @TheFilmArcade | #TheFilmArcade</t>
  </si>
  <si>
    <t>The Orchard</t>
  </si>
  <si>
    <t>https://www.youtube.com/user/orchardmovies</t>
  </si>
  <si>
    <t>"The Orchard" OR @ORCHTWEETS OR #TheOrchard</t>
  </si>
  <si>
    <t>Orchard, The</t>
  </si>
  <si>
    <t>"The Orchard" | @ORCHTWEETS | #TheOrchard</t>
  </si>
  <si>
    <t>Tribeca Film</t>
  </si>
  <si>
    <t>https://www.youtube.com/user/tribecafilm</t>
  </si>
  <si>
    <t>"Tribeca Film" OR @TribecaFilmIns OR #TribecaFilm</t>
  </si>
  <si>
    <t>"Tribeca Film" | @TribecaFilmIns | #TribecaFilm</t>
  </si>
  <si>
    <t>TriCoast Worldwide</t>
  </si>
  <si>
    <t>https://www.youtube.com/user/tricoast</t>
  </si>
  <si>
    <t>"TriCoast Worldwide" OR @TriCoastEnt OR #TriCoastWorldwide</t>
  </si>
  <si>
    <t>"TriCoast Worldwide" | @TriCoastEnt | #TriCoastWorldwide</t>
  </si>
  <si>
    <t>Truth Aid</t>
  </si>
  <si>
    <t>https://www.youtube.com/user/TRUTHAID</t>
  </si>
  <si>
    <t>"Truth Aid" OR @truth_aid OR #TruthAid</t>
  </si>
  <si>
    <t>"Truth Aid" | @truth_aid | #TruthAid</t>
  </si>
  <si>
    <t>United Entertainment Partners</t>
  </si>
  <si>
    <t>https://www.youtube.com/channel/UCnGPzvxv-wveRE3XWIfgI6g</t>
  </si>
  <si>
    <t>"United Entertainment Partners" OR #UnitedEntertainmentPartners</t>
  </si>
  <si>
    <t>"United Entertainment Partners" | #UnitedEntertainmentPartners</t>
  </si>
  <si>
    <t>https://www.youtube.com/user/UniversalPictures</t>
  </si>
  <si>
    <t>"Universal Pictures" OR @UniversalPics OR #UniversalPictures</t>
  </si>
  <si>
    <t>"Universal Pictures" | @UniversalPics | #UniversalPictures</t>
  </si>
  <si>
    <t>UTV Communications</t>
  </si>
  <si>
    <t>https://www.youtube.com/user/UTVMotionPictures</t>
  </si>
  <si>
    <t>"UTV Communications" OR #UTVCommunications</t>
  </si>
  <si>
    <t>"UTV Communications" | #UTVCommunications</t>
  </si>
  <si>
    <t>Vanish Films</t>
  </si>
  <si>
    <t>https://www.youtube.com/channel/UCJy0oG91N0qQB806htIOlMg</t>
  </si>
  <si>
    <t>"Vanish Films" OR #VanishFilms</t>
  </si>
  <si>
    <t>"Vanish Films" | #VanishFilms</t>
  </si>
  <si>
    <t>Variance Films</t>
  </si>
  <si>
    <t>https://www.youtube.com/user/VarianceFilms</t>
  </si>
  <si>
    <t>"Variance Films" OR @variancefilms OR #VarianceFilms</t>
  </si>
  <si>
    <t>"Variance Films" | @variancefilms | #VarianceFilms</t>
  </si>
  <si>
    <t>Vertical Entertainment</t>
  </si>
  <si>
    <t>https://www.youtube.com/user/vertentla</t>
  </si>
  <si>
    <t>"Vertical Entertainment" OR #VerticalEntertainment</t>
  </si>
  <si>
    <t>"Vertical Entertainment" | #VerticalEntertainment</t>
  </si>
  <si>
    <t>Vladar Company</t>
  </si>
  <si>
    <t>https://www.youtube.com/user/VladarTV</t>
  </si>
  <si>
    <t>"Vladar" OR #VladarCompany</t>
  </si>
  <si>
    <t>"Vladar" | #VladarCompany</t>
  </si>
  <si>
    <t>Warner Bros.</t>
  </si>
  <si>
    <t>https://www.youtube.com/user/WarnerBrosPictures</t>
  </si>
  <si>
    <t>"Warner Bros" OR @warnerbros OR #WarnerBros</t>
  </si>
  <si>
    <t>"Warner Bros" | @warnerbros | #WarnerBros</t>
  </si>
  <si>
    <t>Weinstein Company</t>
  </si>
  <si>
    <t>https://www.youtube.com/user/TheWeinsteinCompany</t>
  </si>
  <si>
    <t>"Weinstein" OR #WeinsteinCompany</t>
  </si>
  <si>
    <t>Weinstein Company, The</t>
  </si>
  <si>
    <t>"Weinstein" | #WeinsteinCompany</t>
  </si>
  <si>
    <t>Well Go USA</t>
  </si>
  <si>
    <t>https://www.youtube.com/user/wellgousa</t>
  </si>
  <si>
    <t>"Well Go USA" OR @wellgousa OR #WellGoUSA</t>
  </si>
  <si>
    <t>Well Go USA Inc.</t>
  </si>
  <si>
    <t>"Well Go USA" | @wellgousa | #WellGoUSA</t>
  </si>
  <si>
    <t>Vanishing Angle</t>
  </si>
  <si>
    <t>https://www.youtube.com/user/VanishingAngle1</t>
  </si>
  <si>
    <t>"Vanishing Angle" OR @VanishingAngle OR #VanishingAngle</t>
  </si>
  <si>
    <t>"Vanishing Angle" | @VanishingAngle | #VanishingAngle</t>
  </si>
  <si>
    <t>Yari Film Group</t>
  </si>
  <si>
    <t>https://www.youtube.com/user/YFGR</t>
  </si>
  <si>
    <t>"Yari Film Group" OR #YariFilmGroup</t>
  </si>
  <si>
    <t>Yari Film Group Releasing</t>
  </si>
  <si>
    <t>"Yari Film Group" | #YariFilmGroup</t>
  </si>
  <si>
    <t>Yash Raj Films</t>
  </si>
  <si>
    <t>https://www.youtube.com/user/yrf</t>
  </si>
  <si>
    <t>"Yash Raj Films" OR @yrf OR #YashRajFilms</t>
  </si>
  <si>
    <t>"Yash Raj Films" | @yrf | #YashRajFilms</t>
  </si>
  <si>
    <t>Zee TV</t>
  </si>
  <si>
    <t>https://www.youtube.com/user/zeetv</t>
  </si>
  <si>
    <t>"Zee TV" OR #ZeeTV</t>
  </si>
  <si>
    <t>"Zee TV" | #ZeeTV</t>
  </si>
  <si>
    <t>Zeitgeist Films</t>
  </si>
  <si>
    <t>https://www.youtube.com/user/ZeitgeistFilms</t>
  </si>
  <si>
    <t>"Zeitgeist Films" OR @zeitgeistfilms OR #ZeitgeistFilms</t>
  </si>
  <si>
    <t>"Zeitgeist Films" | @zeitgeistfilms | #ZeitgeistFilms</t>
  </si>
  <si>
    <t>Zipporah Films</t>
  </si>
  <si>
    <t>"Zipporah Films" OR @ZipporahFilms OR #ZipporahFilms</t>
  </si>
  <si>
    <t>"Zipporah Films" | @ZipporahFilms | #ZipporahFilms</t>
  </si>
  <si>
    <t>Fathom Events</t>
  </si>
  <si>
    <t>https://www.youtube.com/user/FathomEvents</t>
  </si>
  <si>
    <t>"Fathom Events" OR @fathomevents OR #FathomEvents</t>
  </si>
  <si>
    <t>"Fathom Events" | @fathomevents | #FathomEvents</t>
  </si>
  <si>
    <t>Dark Sky Films</t>
  </si>
  <si>
    <t>https://www.youtube.com/user/dsf2006</t>
  </si>
  <si>
    <t>"Dark Sky Films" OR @darkskyfilms OR #DarkSkyFilms</t>
  </si>
  <si>
    <t>"Dark Sky Films" | @darkskyfilms | #DarkSkyFilms</t>
  </si>
  <si>
    <t>Annapurna Pictures</t>
  </si>
  <si>
    <t>https://www.youtube.com/user/annapurnapictures</t>
  </si>
  <si>
    <t>United Artists Releasing</t>
  </si>
  <si>
    <t>"Annapurna Pictures" OR @annapurnapics OR #AnnapurnaPictures</t>
  </si>
  <si>
    <t>"Annapurna Pictures" | @annapurnapics | #AnnapurnaPictures</t>
  </si>
  <si>
    <t>Super LTD</t>
  </si>
  <si>
    <t>https://www.youtube.com/channel/UCcBc1tm8FIA85I1Rh9sQSeQ</t>
  </si>
  <si>
    <t>"Super LTD" OR @SuperLTDFilm OR #SuperLTD</t>
  </si>
  <si>
    <t>"Super LTD" | @SuperLTDFilm | #SuperLTD</t>
  </si>
  <si>
    <t>Magnet Releasing</t>
  </si>
  <si>
    <t>"Magnet Releasing" OR @MagnetReleasing OR #MagnetReleasing</t>
  </si>
  <si>
    <t>"Magnet Releasing" | @MagnetReleasing | #MagnetReleasing</t>
  </si>
  <si>
    <t>Screen Gems</t>
  </si>
  <si>
    <t>"Screen Gems" OR #ScreenGems</t>
  </si>
  <si>
    <t>"Screen Gems" | #ScreenGems</t>
  </si>
  <si>
    <t>https://www.youtube.com/channel/UCkML5g9N_azgHB7KQJ5fWLw</t>
  </si>
  <si>
    <t>"1091 Pictures" OR @1091pictures OR #1091Pictures</t>
  </si>
  <si>
    <t>"1091 Pictures" | @1091pictures | #1091Pictures</t>
  </si>
  <si>
    <t>American International Pictures (AIP)</t>
  </si>
  <si>
    <t>"American International Pictures" OR "AIP" OR #AmericanInternationalPictures OR #AIP</t>
  </si>
  <si>
    <t>"American International Pictures" | "AIP" | #AmericanInternationalPictures | #AIP</t>
  </si>
  <si>
    <t>"United Artists Releasing" OR "UAP" OR #UnitedArtistsReleasing</t>
  </si>
  <si>
    <t>"United Artists Releasing" | "UAP" | #UnitedArtistsReleasing</t>
  </si>
  <si>
    <t>Greenwich Entertainment</t>
  </si>
  <si>
    <t>https://www.youtube.com/channel/UCLFmfzQaJE_YlgXtnkr3e_Q</t>
  </si>
  <si>
    <t>"Greenwich Entertainment" OR @GreenwichET OR #GreenwichEntertainment</t>
  </si>
  <si>
    <t>"Greenwich Entertainment" | @GreenwichET | #GreenwichEntertainment</t>
  </si>
  <si>
    <t>Viva Pictures Distribution</t>
  </si>
  <si>
    <t>https://www.youtube.com/channel/UCVPQQtEV26rzNdNlMbXE-Qw</t>
  </si>
  <si>
    <t>"Viva Pictures" OR #VivaPicturesDistribution</t>
  </si>
  <si>
    <t>Viva Pictures</t>
  </si>
  <si>
    <t>"Viva Pictures" | #VivaPicturesDistribution</t>
  </si>
  <si>
    <t>Quiver</t>
  </si>
  <si>
    <t>https://www.youtube.com/channel/UC_go6P0dmSPFeL95NZVXNkw</t>
  </si>
  <si>
    <t>"Quiver" OR #Quiver</t>
  </si>
  <si>
    <t>"Quiver" | #Quiver</t>
  </si>
  <si>
    <t>Altered Innocence</t>
  </si>
  <si>
    <t>https://www.youtube.com/channel/UCpp728twWMhHTi1GWfEdlDA</t>
  </si>
  <si>
    <t>"Altered Innocence" OR @AltInnocence OR #AlteredInnocence</t>
  </si>
  <si>
    <t>"Altered Innocence" | @AltInnocence | #AlteredInnocence</t>
  </si>
  <si>
    <t>Purdie Distribution</t>
  </si>
  <si>
    <t>https://www.youtube.com/channel/UCm0-mCioSyXIyTfymP3RhtQ</t>
  </si>
  <si>
    <t>"Purdie Distribution" OR @PurdieFilms OR #PurdieDistribution</t>
  </si>
  <si>
    <t>"Purdie Distribution" | @PurdieFilms | #PurdieDistribution</t>
  </si>
  <si>
    <t>Not That Kind of Movie Productions</t>
  </si>
  <si>
    <t>"Not That Kind of Movie Productions" OR #NotThatKindofMovieProductions</t>
  </si>
  <si>
    <t>"Not That Kind of Movie Productions" | #NotThatKindofMovieProductions</t>
  </si>
  <si>
    <t>Blue Fox</t>
  </si>
  <si>
    <t>https://www.youtube.com/channel/UCmHYPCM_h8Tw9JkI3UnrCvA</t>
  </si>
  <si>
    <t>"Blue Fox" OR @BlueFox_Ent OR #BlueFox</t>
  </si>
  <si>
    <t>"Blue Fox" | @BlueFox_Ent | #BlueFox</t>
  </si>
  <si>
    <t>Stage 6 Films</t>
  </si>
  <si>
    <t>"Stage 6 Films" OR #Stage6Films</t>
  </si>
  <si>
    <t>"Stage 6 Films" | #Stage6Films</t>
  </si>
  <si>
    <t>Neon</t>
  </si>
  <si>
    <t>https://www.youtube.com/channel/UCpy5dRhZd-JbZP4NsrnLt1w</t>
  </si>
  <si>
    <t>"Neon" OR @neonrated OR #Neon</t>
  </si>
  <si>
    <t>"Neon" | @neonrated | #Neon</t>
  </si>
  <si>
    <t>Outsider Pictures</t>
  </si>
  <si>
    <t>https://www.youtube.com/channel/UCN--CBIpUntGINL_DHWgEdg</t>
  </si>
  <si>
    <t>"Outsider Pictures" OR @OutsiderPics OR #OutsiderPictures</t>
  </si>
  <si>
    <t>"Outsider Pictures" | @OutsiderPics | #OutsiderPictures</t>
  </si>
  <si>
    <t>Faith Media Distribution</t>
  </si>
  <si>
    <t>"Faith Media Distribution" OR #FaithMediaDistribution</t>
  </si>
  <si>
    <t>"Faith Media Distribution" | #FaithMediaDistribution</t>
  </si>
  <si>
    <t>RLJE Films</t>
  </si>
  <si>
    <t>https://www.youtube.com/channel/UC7QRIwDb8shSnZE8XB0lx4A</t>
  </si>
  <si>
    <t>"RLJE Films" OR @RLJEfilms OR #RLJEFilms</t>
  </si>
  <si>
    <t>"RLJE Films" | @RLJEfilms | #RLJEFilms</t>
  </si>
  <si>
    <t>Momentum Pictures</t>
  </si>
  <si>
    <t>https://www.youtube.com/channel/UCElLRsuDWeYdOT3GgNZAUeQ</t>
  </si>
  <si>
    <t>"Momentum Pictures" OR @Momentum_Pics OR #MomentumPictures</t>
  </si>
  <si>
    <t>"Momentum Pictures" | @Momentum_Pics | #MomentumPictures</t>
  </si>
  <si>
    <t>Trafalgar Releasing</t>
  </si>
  <si>
    <t>https://www.youtube.com/channel/UC_0NZhyl9KH0aMWXRnAKM4g</t>
  </si>
  <si>
    <t>"Trafalgar Releasing" OR @TrafalgarRel OR #TrafalgarReleasing</t>
  </si>
  <si>
    <t>"Trafalgar Releasing" | @TrafalgarRel | #TrafalgarReleasing</t>
  </si>
  <si>
    <t>Mutiny Pictures</t>
  </si>
  <si>
    <t>https://www.youtube.com/channel/UCfUvpV0Inl2Ql3Es17Fnscw</t>
  </si>
  <si>
    <t>"Mutiny Pictures" OR @mutinypics OR #MutinyPictures</t>
  </si>
  <si>
    <t>"Mutiny Pictures" | @mutinypics | #MutinyPictures</t>
  </si>
  <si>
    <t>Briarcliff Entertainment</t>
  </si>
  <si>
    <t>https://www.youtube.com/channel/UCfnXpb2MPBULONuZCyaKgmA</t>
  </si>
  <si>
    <t>"Briarcliff Entertainment" OR @BriarcliffEnt OR #BriarcliffEntertainment</t>
  </si>
  <si>
    <t>"Briarcliff Entertainment" | @BriarcliffEnt | #BriarcliffEntertainment</t>
  </si>
  <si>
    <t>Good Deed Entertainment</t>
  </si>
  <si>
    <t>https://www.youtube.com/channel/UC3fm3F9kyexFVL_OPoSXkgQ</t>
  </si>
  <si>
    <t>"Good Deed Entertainment" OR @GoodDeedEnt OR #GoodDeedEntertainment</t>
  </si>
  <si>
    <t>"Good Deed Entertainment" | @GoodDeedEnt | #GoodDeedEntertainment</t>
  </si>
  <si>
    <t>Deskpop Entertainment</t>
  </si>
  <si>
    <t>#DeskpopEntertainment OR "Deskpop Entertainment"</t>
  </si>
  <si>
    <t>#DeskpopEntertainment | "Deskpop Entertainment"</t>
  </si>
  <si>
    <t>MTV Documentary Films</t>
  </si>
  <si>
    <t>#MTVDocumentaryFilms OR "MTV Documentary Films"</t>
  </si>
  <si>
    <t>#MTVDocumentaryFilms | "MTV Documentary Films"</t>
  </si>
  <si>
    <t>Soilsu Films</t>
  </si>
  <si>
    <t>https://www.youtube.com/channel/UCy6PCicZkXr4wbChnpD_PZA</t>
  </si>
  <si>
    <t>#SoilsuFilms OR "Soilsu Films"</t>
  </si>
  <si>
    <t>#SoilsuFilms | "Soilsu Films"</t>
  </si>
  <si>
    <t>Lucky Hat Entertainment</t>
  </si>
  <si>
    <t>#LuckyHatEntertainment OR "Lucky Hat Entertainment"</t>
  </si>
  <si>
    <t>#LuckyHatEntertainment | "Lucky Hat Entertainment"</t>
  </si>
  <si>
    <t>UP2U Media Group</t>
  </si>
  <si>
    <t>#UP2UMediaGroup OR "UP2U Media Group"</t>
  </si>
  <si>
    <t>#UP2UMediaGroup | "UP2U Media Group"</t>
  </si>
  <si>
    <t>Wide Lens Productions</t>
  </si>
  <si>
    <t>#WideLensProductions OR "Wide Lens Productions"</t>
  </si>
  <si>
    <t>#WideLensProductions | "Wide Lens Productions"</t>
  </si>
  <si>
    <t>Avenue Pictures</t>
  </si>
  <si>
    <t>#AvenuePicturesstudio OR "Avenue Pictures Studio"</t>
  </si>
  <si>
    <t>#AvenuePicturesstudio | "Avenue Pictures Studio"</t>
  </si>
  <si>
    <t>Play Nice</t>
  </si>
  <si>
    <t>#PlayNicestudio OR "Play Nice Studio"</t>
  </si>
  <si>
    <t>#PlayNicestudio | "Play Nice Studio"</t>
  </si>
  <si>
    <t>Chicago Film project (CFP)</t>
  </si>
  <si>
    <t>#ChicagoFilmprojectCFP OR "Chicago Film project (CFP)"</t>
  </si>
  <si>
    <t>#ChicagoFilmprojectCFP | "Chicago Film project (CFP)"</t>
  </si>
  <si>
    <t>Creatorplus</t>
  </si>
  <si>
    <t>#Creatorplusstudio OR "Creatorplus Studio"</t>
  </si>
  <si>
    <t>#Creatorplusstudio | "Creatorplus Studio"</t>
  </si>
  <si>
    <t>Crunchyroll</t>
  </si>
  <si>
    <t>https://www.youtube.com/@CrunchyrollCollection</t>
  </si>
  <si>
    <t>#Crunchyroll OR "Crunchyroll" OR @crunchyroll</t>
  </si>
  <si>
    <t>#Crunchyroll | "Crunchyroll"</t>
  </si>
  <si>
    <t>FilmDistrict</t>
  </si>
  <si>
    <t>https://www.youtube.com/user/FilmDistrict</t>
  </si>
  <si>
    <t>#filmdistrict OR "filmdistrict" OR @filmdistrict</t>
  </si>
  <si>
    <t>#filmdistrict | "filmdistrict" | @filmdistrict</t>
  </si>
  <si>
    <t>WILLA</t>
  </si>
  <si>
    <t>#willa OR "willa"</t>
  </si>
  <si>
    <t>#WILLA | "WILLA"</t>
  </si>
  <si>
    <t>XYZ Films</t>
  </si>
  <si>
    <t>https://www.youtube.com/@XYZFILMS</t>
  </si>
  <si>
    <t>#xyzfilms OR "XYZ Films"</t>
  </si>
  <si>
    <t>#XYZFilms | "XYZ Films"</t>
  </si>
  <si>
    <t>Product Of Culture</t>
  </si>
  <si>
    <t>https://www.youtube.com/@product.of.culture</t>
  </si>
  <si>
    <t>#productofculture OR "Product Of Culture"</t>
  </si>
  <si>
    <t>#ProductOfCulture | "Product Of Culture"</t>
  </si>
  <si>
    <t>nWave</t>
  </si>
  <si>
    <t>https://www.youtube.com/@nWaveStudios</t>
  </si>
  <si>
    <t>#nwave OR "nWave"</t>
  </si>
  <si>
    <t>#nWave | "nWave"</t>
  </si>
  <si>
    <t>Capelight Pictures</t>
  </si>
  <si>
    <r>
      <rPr>
        <rFont val="Arial"/>
        <color rgb="FF1155CC"/>
        <u/>
      </rPr>
      <t>https://www.youtube.com/channel/UCz2Wf5Y8oPzMNUd9Mbrkn7Q</t>
    </r>
    <r>
      <rPr>
        <rFont val="Arial"/>
      </rPr>
      <t>Q</t>
    </r>
  </si>
  <si>
    <t>#capelightpictures OR "Capelight Pictures"</t>
  </si>
  <si>
    <r>
      <rPr>
        <rFont val="Arial"/>
        <color rgb="FF1155CC"/>
        <u/>
      </rPr>
      <t>https://www.youtube.com/channel/UCz2Wf5Y8oPzMNUd9Mbrkn7Q</t>
    </r>
    <r>
      <rPr>
        <rFont val="Arial"/>
      </rPr>
      <t>Q</t>
    </r>
  </si>
  <si>
    <t>#CapelightPictures | "Capelight Pictures"</t>
  </si>
  <si>
    <t>ILLUME Films</t>
  </si>
  <si>
    <t>https://www.youtube.com/@illume_films</t>
  </si>
  <si>
    <t>#ILLUMEFilms OR "ILLUME Films"</t>
  </si>
  <si>
    <t>#ILLUMEFilms | "ILLUME Films"</t>
  </si>
  <si>
    <t>Sight &amp; Sound</t>
  </si>
  <si>
    <t>https://www.youtube.com/@sightsoundtheatres</t>
  </si>
  <si>
    <t>#sight&amp;sound OR "sight &amp; sound"</t>
  </si>
  <si>
    <t>#SightAndSound | "Sight &amp; Sound"</t>
  </si>
  <si>
    <t>Premiere Entertainment Group</t>
  </si>
  <si>
    <t>https://www.youtube.com/channel/UCYZyQnvoSktb3XXGIhSjpDQ</t>
  </si>
  <si>
    <t>#premiereentertainmentgroup OR "Premiere Entertainment Group"</t>
  </si>
  <si>
    <t>#PremiereEntertainmentGroup | "Premiere Entertainment Group"</t>
  </si>
  <si>
    <t>Watermelon Pictures</t>
  </si>
  <si>
    <t>https://www.youtube.com/@watermelonpicturesco</t>
  </si>
  <si>
    <t>#WatermelonPictures OR "Watermelon Pictures"</t>
  </si>
  <si>
    <t>#WatermelonPictures | "Watermelon Pictures"</t>
  </si>
  <si>
    <t>Owlam Studios</t>
  </si>
  <si>
    <t>#OwlamStudios OR "Owlam Studios"</t>
  </si>
  <si>
    <t>#OwlamStudios | "Owlam Studios"</t>
  </si>
  <si>
    <t>CMC Pictures</t>
  </si>
  <si>
    <t>https://www.youtube.com/@CMCPictures</t>
  </si>
  <si>
    <t>#CMCPictures OR "CMC Pictures"</t>
  </si>
  <si>
    <t>#CMCPictures | "CMC Pictures"</t>
  </si>
  <si>
    <t>360 Distribution</t>
  </si>
  <si>
    <t>#360Distribution OR "360 Distribution"</t>
  </si>
  <si>
    <t>#360Distribution | "360 Distribution"</t>
  </si>
  <si>
    <t>https://www.youtube.com/@vivapictures</t>
  </si>
  <si>
    <t>#VivaPictures OR "Viva Pictures"</t>
  </si>
  <si>
    <t>#VivaPictures | "Viva Pictures"</t>
  </si>
  <si>
    <t>Vinegar Hill</t>
  </si>
  <si>
    <t>https://www.youtube.com/channel/UCRdFJZvfjtNTj7y7wRMORqg</t>
  </si>
  <si>
    <t>#VinegarHill OR "Vinegar Hill"</t>
  </si>
  <si>
    <t>#VinegarHill | "Vinegar Hill"</t>
  </si>
  <si>
    <t>Concourse Media</t>
  </si>
  <si>
    <t>https://www.youtube.com/channel/UCkcCbPmCuFAAUWS1Tjk3uqQ</t>
  </si>
  <si>
    <t>#ConcourseMedia OR "Concourse Media"</t>
  </si>
  <si>
    <t>#ConcourseMedia | "Concourse Media"</t>
  </si>
  <si>
    <t>Eastern Edge Films</t>
  </si>
  <si>
    <t>https://www.youtube.com/@EasternEdgeFilms</t>
  </si>
  <si>
    <t>#EasternEdgeFilms OR "Eastern Edge Films"</t>
  </si>
  <si>
    <t>#EasternEdgeFilms | "Eastern Edge Films"</t>
  </si>
  <si>
    <t>Viz Pictures</t>
  </si>
  <si>
    <t>#VizPictures OR "Viz Pictures"</t>
  </si>
  <si>
    <t>#VizPictures | "Viz Pictures"</t>
  </si>
  <si>
    <t>Quiver Distribution</t>
  </si>
  <si>
    <t>#QuiverDistribution OR "Quiver Distribution"</t>
  </si>
  <si>
    <t>#QuiverDistribution | "Quiver Distribution"</t>
  </si>
  <si>
    <t>Maddock Films</t>
  </si>
  <si>
    <t>https://www.youtube.com/@MaddockFilms</t>
  </si>
  <si>
    <t>#MaddockFilms OR "Maddock Films"</t>
  </si>
  <si>
    <t>#MaddockFilms | "Maddock Films"</t>
  </si>
  <si>
    <t>Nord Ouest Films</t>
  </si>
  <si>
    <t>https://www.youtube.com/user/nordouestfilms</t>
  </si>
  <si>
    <t>#NordOuestFilms OR "Nord Ouest Films"</t>
  </si>
  <si>
    <t>#NordOuestFilms | "Nord Ouest Films"</t>
  </si>
  <si>
    <t>Firebook Entertainment</t>
  </si>
  <si>
    <t>https://www.youtube.com/@FirebookEntertainment</t>
  </si>
  <si>
    <t>#FirebookEntertainment OR "Firebook Entertainment"</t>
  </si>
  <si>
    <t>#FirebookEntertainment | "Firebook Entertainment"</t>
  </si>
  <si>
    <t>Angel Studios</t>
  </si>
  <si>
    <t>https://www.youtube.com/channel/UCQIjTyWmLEdsfqMQay0yGMA</t>
  </si>
  <si>
    <t>#AngelStudios OR @AngelStudiosInc OR "Angel Studios"</t>
  </si>
  <si>
    <t>#AngelStudios | "Angel Studios"</t>
  </si>
  <si>
    <t>Walking Productions</t>
  </si>
  <si>
    <t>#WalkingProductions OR "Walking Productions"</t>
  </si>
  <si>
    <t>#WalkingProductions | "Walking Productions"</t>
  </si>
  <si>
    <t>Metallux Studios</t>
  </si>
  <si>
    <t>#MetalluxStudios OR "Metallux Studios"</t>
  </si>
  <si>
    <t>MetalluxStudios | "Metallux Studios"</t>
  </si>
  <si>
    <t>Reel Link Films</t>
  </si>
  <si>
    <t>https://www.youtube.com/channel/UCkSYuqUfCwg1w2dYuC4ejcA</t>
  </si>
  <si>
    <t>#ReelLinkFilms OR "Reel Link Films"</t>
  </si>
  <si>
    <t>Sony Pictures Home Entertainment</t>
  </si>
  <si>
    <t>https://www.youtube.com/@sonypicsathome</t>
  </si>
  <si>
    <t>#SonyPicturesHomeEntertainment OR "Sony Pictures Home Entertainment"</t>
  </si>
  <si>
    <t>Mitchell-Brunt Films</t>
  </si>
  <si>
    <t>#MitchellBrunt Films</t>
  </si>
  <si>
    <t>Seismic Releasing</t>
  </si>
  <si>
    <t>#SeismicReleasing OR "Seismic Releasing"</t>
  </si>
  <si>
    <t>Shoebox Films</t>
  </si>
  <si>
    <t>#ShoeboxFilms OR "Shoebox Films"</t>
  </si>
  <si>
    <t>Maxxie, Suzzee &amp; Cinema</t>
  </si>
  <si>
    <t>https://www.youtube.com/@maxxiesuzzeecinema</t>
  </si>
  <si>
    <t>#MaxxieSuzzee&amp;Cinema OR "Maxxie Suzzee &amp; Cinema"</t>
  </si>
  <si>
    <t>Gandom Films Production</t>
  </si>
  <si>
    <t>#GandomFilms OR "Gandom Films"</t>
  </si>
  <si>
    <t>Rupam Entertainment Pvt Ltd</t>
  </si>
  <si>
    <t>https://www.youtube.com/channel/UCTujknABBq4Ab-kjDCHGtxg</t>
  </si>
  <si>
    <t>#RupamEntertainment OR "Rupam Entertainment"</t>
  </si>
  <si>
    <t>EKKL Entertainment</t>
  </si>
  <si>
    <t>#EKKLEntertainment OR "EKKL Entertainment"</t>
  </si>
  <si>
    <t>Falling Forward Films</t>
  </si>
  <si>
    <t>https://www.youtube.com/@FallingForwardFilms</t>
  </si>
  <si>
    <t>#FallingForwardFilms OR "Falling Forward Films"</t>
  </si>
  <si>
    <t>The Forge</t>
  </si>
  <si>
    <t>https://www.youtube.com/@theforgefilm</t>
  </si>
  <si>
    <t>#TheForge OR "The Forge"</t>
  </si>
  <si>
    <t>Film Forum</t>
  </si>
  <si>
    <t>https://www.youtube.com/@FilmForumNYC</t>
  </si>
  <si>
    <t>#FilmForum OR "Film Forum"</t>
  </si>
  <si>
    <t>Black Bear Pictures</t>
  </si>
  <si>
    <t>https://www.youtube.com/@BlackBearPics</t>
  </si>
  <si>
    <t>#BlackBearPictures OR "Black Bear Pictures"</t>
  </si>
  <si>
    <t>MUBI</t>
  </si>
  <si>
    <t>https://www.youtube.com/@mubi</t>
  </si>
  <si>
    <t>#MUBI OR "MUBI"</t>
  </si>
  <si>
    <t>GAGA Corporation</t>
  </si>
  <si>
    <t>#GAGACorporation OR "GAGA Corporation"</t>
  </si>
  <si>
    <t>Cineverse</t>
  </si>
  <si>
    <t>https://www.youtube.com/@cineverse_ent</t>
  </si>
  <si>
    <t>#Cineverse OR "Cineverse"</t>
  </si>
  <si>
    <t>Iconic Events</t>
  </si>
  <si>
    <t>https://www.youtube.com/@iconicreleasing</t>
  </si>
  <si>
    <t>#IconicEvents OR "Iconic Events"</t>
  </si>
  <si>
    <t>1-2 Special</t>
  </si>
  <si>
    <t>https://www.youtube.com/@12Special</t>
  </si>
  <si>
    <t>#12Special OR "1-2 Special"</t>
  </si>
  <si>
    <t>Zee Studios</t>
  </si>
  <si>
    <t>https://www.youtube.com/channel/UC3jMepkLKF8y4iiwWmAB3RA</t>
  </si>
  <si>
    <t>#ZeeStudios OR "Zee Studios"</t>
  </si>
  <si>
    <t>Amazon MGM Studios</t>
  </si>
  <si>
    <t>https://www.youtube.com/channel/UCf5CjDJvsFvtVIhkfmKAwAA</t>
  </si>
  <si>
    <t>#AmazonMGMStudios OR "Amazon MGM Studios"</t>
  </si>
  <si>
    <t>Buffalo 8 Productions</t>
  </si>
  <si>
    <t>https://www.youtube.com/@buffalo8moviechannel</t>
  </si>
  <si>
    <t>#Buffalo8 OR "Buffalo 8"</t>
  </si>
  <si>
    <t>Blue Harbor Entertainment</t>
  </si>
  <si>
    <t>https://www.youtube.com/@blueharborentertainment</t>
  </si>
  <si>
    <t>#BlueHarborEntertainment OR "Blue Harbor Entertainment"</t>
  </si>
  <si>
    <t>Obscured Releasing</t>
  </si>
  <si>
    <t>https://www.youtube.com/@ObscuredReleasing</t>
  </si>
  <si>
    <t>#ObscuredReleasing OR "Obscured Releasing"</t>
  </si>
  <si>
    <t>Row K Entertainment</t>
  </si>
  <si>
    <t>https://www.youtube.com/@rowkpresents</t>
  </si>
  <si>
    <t>#RowKEntertainment OR "Row K Entertainment"</t>
  </si>
  <si>
    <t>Area 23a</t>
  </si>
  <si>
    <t>https://www.youtube.com/@area23a</t>
  </si>
  <si>
    <t>#Area23A OR "Area 23a"</t>
  </si>
  <si>
    <t>VRC Films</t>
  </si>
  <si>
    <t>#VRCFilms OR "VRC Films"</t>
  </si>
  <si>
    <t>Moviegoers Entertainment</t>
  </si>
  <si>
    <t>#MoviegoersEntertainment OR "Moviegoers Entertainment"</t>
  </si>
  <si>
    <t>Utopia Distribution</t>
  </si>
  <si>
    <t>https://www.youtube.com/@UtopiaMovies</t>
  </si>
  <si>
    <t>#UtopiaDistribution OR "Utopia Distribution"</t>
  </si>
  <si>
    <t>https://www.youtube.com/@magnoliapics</t>
  </si>
  <si>
    <t>#Magnolia Pictures OR "Magnolia Pictures"</t>
  </si>
  <si>
    <t>FunAsia Films Distribution</t>
  </si>
  <si>
    <t>https://www.youtube.com/@funasiafilms</t>
  </si>
  <si>
    <t>#FunAsia Films Distribution OR "FunAsia Films Distribution"</t>
  </si>
  <si>
    <t>Cartuna</t>
  </si>
  <si>
    <t>#Cartuna OR "Cartuna"</t>
  </si>
  <si>
    <t>Vertigo Releasing</t>
  </si>
  <si>
    <t>https://www.youtube.com/@VertigoReleasing</t>
  </si>
  <si>
    <t>#VertigoReleasing OR "Vertigo Releasing"</t>
  </si>
  <si>
    <t>Magenta Light Studios</t>
  </si>
  <si>
    <t>https://www.youtube.com/@MagentaLightStudios</t>
  </si>
  <si>
    <t>#MagentaLightStudios OR "Magenta Light Studios"</t>
  </si>
  <si>
    <t>Swapna Scarecrow</t>
  </si>
  <si>
    <t>#SwapnaScarecrow OR "Swapna Scarecrow"</t>
  </si>
  <si>
    <t>Dekanalog</t>
  </si>
  <si>
    <t>#Dekanalog OR "Dekanalog"</t>
  </si>
  <si>
    <t>Sampreeth Productions</t>
  </si>
  <si>
    <t>#SampreethProductions OR "Sampreeth Productions"</t>
  </si>
  <si>
    <t>Sumerian Pictures</t>
  </si>
  <si>
    <t>https://www.youtube.com/@SumerianRecords</t>
  </si>
  <si>
    <t>#SumerianPictures OR "Sumerian Pictures"</t>
  </si>
  <si>
    <t>Inaugural Entertainment</t>
  </si>
  <si>
    <t>https://www.youtube.com/@INAUGURALENTERTAINMENT</t>
  </si>
  <si>
    <t>#InauguralEntertainment OR "Inaugural Entertainment"</t>
  </si>
  <si>
    <t>Busboys Holdings</t>
  </si>
  <si>
    <t>#BusboysHoldings OR "Busboys Holdings"</t>
  </si>
  <si>
    <t>Moksha Movies</t>
  </si>
  <si>
    <t>#MokshaMovies OR "Moksha Movies"</t>
  </si>
  <si>
    <t>Eammon Films</t>
  </si>
  <si>
    <t>#EammonFilms OR "Eammon Films"</t>
  </si>
  <si>
    <t>Novaa Vistaa Media</t>
  </si>
  <si>
    <t>#NovaaVistaaMedia OR "Novaa Vistaa Media"</t>
  </si>
  <si>
    <t>Antenna Entertainment</t>
  </si>
  <si>
    <t>https://www.youtube.com/@antennaentertainments</t>
  </si>
  <si>
    <t>#AntennaEntertainment OR "Antenna Entertainment"</t>
  </si>
  <si>
    <t>Foundation Media Partners</t>
  </si>
  <si>
    <t>https://www.youtube.com/@FoundationMediaPartners-c9p</t>
  </si>
  <si>
    <t>#FoundationMediaPartners OR "Foundation Media Partners"</t>
  </si>
  <si>
    <t>Affirm Films</t>
  </si>
  <si>
    <t>https://www.youtube.com/@AffirmFilms</t>
  </si>
  <si>
    <t>#AffirmFilms OR "Affirm Films"</t>
  </si>
  <si>
    <t>Independent Film Company</t>
  </si>
  <si>
    <t>https://www.youtube.com/@IndependentFilmCompany</t>
  </si>
  <si>
    <t>#IndependentFilmCompany OR "Independent Film Company"</t>
  </si>
  <si>
    <t>Firestorm Entertainment</t>
  </si>
  <si>
    <t>#FirestormEntertainment OR "Firestorm Entertainment"</t>
  </si>
  <si>
    <t>Radial Entertainment</t>
  </si>
  <si>
    <t>#RadialEntertainment OR "Radial Entertainment"</t>
  </si>
  <si>
    <t>Monument Releasing</t>
  </si>
  <si>
    <t>https://www.youtube.com/@MonumentReleasing</t>
  </si>
  <si>
    <t>#MonumentReleasing OR "Monument Releasing"</t>
  </si>
  <si>
    <t>SK Films</t>
  </si>
  <si>
    <t>https://www.youtube.com/@SKFilmsTO</t>
  </si>
  <si>
    <t>#SKFilms OR "SK Films"</t>
  </si>
  <si>
    <t>Subtext Films</t>
  </si>
  <si>
    <t>https://www.youtube.com/@subtextpresents</t>
  </si>
  <si>
    <t>#SubtextFilms OR "Subtext Films"</t>
  </si>
  <si>
    <t>AV Entertainment</t>
  </si>
  <si>
    <t>#AVEntertainment OR "AV Entertainment"</t>
  </si>
  <si>
    <t>Purple Gem</t>
  </si>
  <si>
    <t>#PurpleGem OR "Purple Gem"</t>
  </si>
  <si>
    <t>Persimmon</t>
  </si>
  <si>
    <t>https://www.youtube.com/@persimmonpresents</t>
  </si>
  <si>
    <t>#Persimmon OR "Persimmon"</t>
  </si>
  <si>
    <t>PBS network</t>
  </si>
  <si>
    <t>https://www.youtube.com/@PBS</t>
  </si>
  <si>
    <t>#PBSnetwork OR "PBS network"</t>
  </si>
  <si>
    <t>Sandbox Films</t>
  </si>
  <si>
    <t>https://www.youtube.com/@sandboxdocs</t>
  </si>
  <si>
    <t>#SandboxFilms OR "Sandbox Films"</t>
  </si>
  <si>
    <t>Aura Entertainment</t>
  </si>
  <si>
    <t>https://www.youtube.com/@AuraEntFilms</t>
  </si>
  <si>
    <t>#AuraEntertainment OR "Aura Entertainment"</t>
  </si>
  <si>
    <t xml:space="preserve">MPI Media </t>
  </si>
  <si>
    <t>https://www.youtube.com/MPIMediaGroup</t>
  </si>
  <si>
    <t>#MPIMedia  OR "MPI Media"</t>
  </si>
  <si>
    <t>Fin &amp; Fur Films</t>
  </si>
  <si>
    <t>https://www.youtube.com/@finfurfilms/videos</t>
  </si>
  <si>
    <t>#Fin&amp;FurFilms OR "Fin &amp; Fur Films"</t>
  </si>
  <si>
    <t>Prathyangira Cinemas</t>
  </si>
  <si>
    <t>https://www.youtube.com/@PrathyangiraCinemas</t>
  </si>
  <si>
    <t>#PrathyangiraCinemas OR "Prathyangira Cinemas"</t>
  </si>
  <si>
    <t>Kani Releasing</t>
  </si>
  <si>
    <t>https://www.youtube.com/@kani-releasing</t>
  </si>
  <si>
    <t>#KaniReleasing OR "Kani Releasing"</t>
  </si>
  <si>
    <t>AMC Network</t>
  </si>
  <si>
    <t>#AMCNetwork OR "AMC Network"</t>
  </si>
  <si>
    <t>Panorama Films</t>
  </si>
  <si>
    <t>https://www.youtube.com/@PanoramaStudios</t>
  </si>
  <si>
    <t>#PanoramaFilms OR "Panorama Films"</t>
  </si>
  <si>
    <t>Giant Pictures</t>
  </si>
  <si>
    <t>https://www.youtube.com/giantpictures</t>
  </si>
  <si>
    <t>#GiantPictures OR "Giant Pictures"</t>
  </si>
  <si>
    <t>Myriad Pictures</t>
  </si>
  <si>
    <t>https://www.youtube.com/@myriadpictures</t>
  </si>
  <si>
    <t>#MyriadPictures OR "Myriad Pictures"</t>
  </si>
  <si>
    <t>Lunette Films</t>
  </si>
  <si>
    <t>https://www.youtube.com/@lunette-films</t>
  </si>
  <si>
    <t>#LunetteFilms OR "Lunette Films"</t>
  </si>
  <si>
    <t xml:space="preserve">Vantage Media </t>
  </si>
  <si>
    <t>#VantageMedia  OR "Vantage Media "</t>
  </si>
  <si>
    <t>AA Films</t>
  </si>
  <si>
    <t>https://www.youtube.com/@AAFilmsOfficial</t>
  </si>
  <si>
    <t>#AAFilms OR "AA Films"</t>
  </si>
  <si>
    <t>Rich Spirit</t>
  </si>
  <si>
    <t>#RichSpirit OR "Rich Spirit"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</si>
</sst>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quot;-&quot;mm&quot;-&quot;dd"/>
    <numFmt numFmtId="165" formatCode="yyyy-mm-dd"/>
  </numFmts>
  <fonts count="38">
    <font>
      <sz val="10.0"/>
      <color rgb="FF000000"/>
      <name val="Arial"/>
    </font>
    <font>
      <b/>
      <sz val="11.0"/>
      <name val="Arial"/>
    </font>
    <font/>
    <font>
      <b/>
      <color rgb="FF000000"/>
    </font>
    <font>
      <name val="Arial"/>
    </font>
    <font>
      <b/>
      <name val="Arial"/>
    </font>
    <font>
      <b/>
      <sz val="12.0"/>
      <color rgb="FF000000"/>
      <name val="Calibri"/>
    </font>
    <font>
      <b/>
    </font>
    <font>
      <color rgb="FF0000FF"/>
    </font>
    <font>
      <color rgb="FF000000"/>
      <name val="Arial"/>
    </font>
    <font>
      <sz val="11.0"/>
      <name val="Arial"/>
    </font>
    <font>
      <u/>
      <color rgb="FF000000"/>
      <name val="Arial"/>
    </font>
    <font>
      <color rgb="FF000000"/>
    </font>
    <font>
      <u/>
      <color rgb="FF0000FF"/>
    </font>
    <font>
      <u/>
      <color rgb="FF0000FF"/>
    </font>
    <font>
      <sz val="12.0"/>
      <color rgb="FF000000"/>
      <name val="Calibri"/>
    </font>
    <font>
      <sz val="11.0"/>
      <color rgb="FF000000"/>
      <name val="Arial"/>
    </font>
    <font>
      <u/>
      <color rgb="FF000000"/>
      <name val="Arial"/>
    </font>
    <font>
      <u/>
      <color rgb="FF0000FF"/>
    </font>
    <font>
      <u/>
      <color rgb="FF0000FF"/>
    </font>
    <font>
      <sz val="12.0"/>
      <name val="Arial"/>
    </font>
    <font>
      <u/>
      <color rgb="FF0000FF"/>
    </font>
    <font>
      <sz val="12.0"/>
      <name val="Roboto"/>
    </font>
    <font>
      <u/>
      <color rgb="FF1155CC"/>
      <name val="Arial"/>
    </font>
    <font>
      <u/>
      <color rgb="FF1155CC"/>
      <name val="Arial"/>
    </font>
    <font>
      <u/>
      <color rgb="FF0000FF"/>
      <name val="Arial"/>
    </font>
    <font>
      <u/>
      <color rgb="FF0000FF"/>
      <name val="Arial"/>
    </font>
    <font>
      <u/>
      <color rgb="FF1155CC"/>
    </font>
    <font>
      <u/>
      <color rgb="FF1155CC"/>
    </font>
    <font>
      <u/>
      <color rgb="FF467886"/>
      <name val="Arial"/>
    </font>
    <font>
      <u/>
      <color rgb="FF0000FF"/>
      <name val="Arial"/>
    </font>
    <font>
      <u/>
      <color rgb="FF467886"/>
      <name val="Arial"/>
    </font>
    <font>
      <u/>
      <color rgb="FF467886"/>
      <name val="Arial"/>
    </font>
    <font>
      <u/>
      <color rgb="FF1155CC"/>
      <name val="Arial"/>
    </font>
    <font>
      <u/>
      <color rgb="FF1155CC"/>
      <name val="Arial"/>
    </font>
    <font>
      <u/>
      <color rgb="FF1155CC"/>
      <name val="Arial"/>
    </font>
    <font>
      <u/>
      <color rgb="FF0000FF"/>
      <name val="Arial"/>
    </font>
    <font>
      <u/>
      <color rgb="FF1155CC"/>
      <name val="Arial"/>
    </font>
  </fonts>
  <fills count="12">
    <fill>
      <patternFill patternType="none"/>
    </fill>
    <fill>
      <patternFill patternType="lightGray"/>
    </fill>
    <fill>
      <patternFill patternType="solid">
        <fgColor rgb="FFCCCCCC"/>
        <bgColor rgb="FFCCCCCC"/>
      </patternFill>
    </fill>
    <fill>
      <patternFill patternType="solid">
        <fgColor rgb="FFB7B7B7"/>
        <bgColor rgb="FFB7B7B7"/>
      </patternFill>
    </fill>
    <fill>
      <patternFill patternType="solid">
        <fgColor rgb="FFD9EAD3"/>
        <bgColor rgb="FFD9EAD3"/>
      </patternFill>
    </fill>
    <fill>
      <patternFill patternType="solid">
        <fgColor rgb="FFEFEFEF"/>
        <bgColor rgb="FFEFEFEF"/>
      </patternFill>
    </fill>
    <fill>
      <patternFill patternType="solid">
        <fgColor rgb="FF00FF00"/>
        <bgColor rgb="FF00FF00"/>
      </patternFill>
    </fill>
    <fill>
      <patternFill patternType="solid">
        <fgColor rgb="FF6AA84F"/>
        <bgColor rgb="FF6AA84F"/>
      </patternFill>
    </fill>
    <fill>
      <patternFill patternType="solid">
        <fgColor rgb="FFF3F3F3"/>
        <bgColor rgb="FFF3F3F3"/>
      </patternFill>
    </fill>
    <fill>
      <patternFill patternType="solid">
        <fgColor rgb="FFD0E0E3"/>
        <bgColor rgb="FFD0E0E3"/>
      </patternFill>
    </fill>
    <fill>
      <patternFill patternType="solid">
        <fgColor rgb="FFFFFFFF"/>
        <bgColor rgb="FFFFFFFF"/>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readingOrder="0"/>
    </xf>
    <xf borderId="0" fillId="3" fontId="3" numFmtId="0" xfId="0" applyAlignment="1" applyFill="1" applyFont="1">
      <alignment readingOrder="0"/>
    </xf>
    <xf borderId="0" fillId="2" fontId="4" numFmtId="0" xfId="0" applyAlignment="1" applyFont="1">
      <alignment vertical="bottom"/>
    </xf>
    <xf borderId="0" fillId="3" fontId="5" numFmtId="0" xfId="0" applyAlignment="1" applyFont="1">
      <alignment horizontal="left" vertical="center"/>
    </xf>
    <xf borderId="0" fillId="4" fontId="5" numFmtId="0" xfId="0" applyAlignment="1" applyFill="1" applyFont="1">
      <alignment horizontal="left" vertical="center"/>
    </xf>
    <xf borderId="0" fillId="5" fontId="5" numFmtId="0" xfId="0" applyAlignment="1" applyFill="1" applyFont="1">
      <alignment vertical="bottom"/>
    </xf>
    <xf borderId="0" fillId="4" fontId="6" numFmtId="0" xfId="0" applyAlignment="1" applyFont="1">
      <alignment horizontal="left" vertical="center"/>
    </xf>
    <xf borderId="0" fillId="5" fontId="7" numFmtId="0" xfId="0" applyAlignment="1" applyFont="1">
      <alignment readingOrder="0"/>
    </xf>
    <xf borderId="0" fillId="5" fontId="7" numFmtId="0" xfId="0" applyAlignment="1" applyFont="1">
      <alignment readingOrder="0"/>
    </xf>
    <xf borderId="0" fillId="3" fontId="5" numFmtId="0" xfId="0" applyAlignment="1" applyFont="1">
      <alignment readingOrder="0" vertical="bottom"/>
    </xf>
    <xf borderId="0" fillId="5" fontId="7" numFmtId="0" xfId="0" applyFont="1"/>
    <xf borderId="0" fillId="3" fontId="5" numFmtId="0" xfId="0" applyAlignment="1" applyFont="1">
      <alignment vertical="bottom"/>
    </xf>
    <xf borderId="0" fillId="6" fontId="5" numFmtId="0" xfId="0" applyAlignment="1" applyFill="1" applyFont="1">
      <alignment readingOrder="0" vertical="bottom"/>
    </xf>
    <xf borderId="0" fillId="0" fontId="8" numFmtId="0" xfId="0" applyAlignment="1" applyFont="1">
      <alignment readingOrder="0"/>
    </xf>
    <xf borderId="0" fillId="4" fontId="5" numFmtId="0" xfId="0" applyAlignment="1" applyFont="1">
      <alignment horizontal="left" readingOrder="0" vertical="center"/>
    </xf>
    <xf borderId="0" fillId="2" fontId="4" numFmtId="0" xfId="0" applyAlignment="1" applyFont="1">
      <alignment vertical="bottom"/>
    </xf>
    <xf borderId="0" fillId="4" fontId="5" numFmtId="0" xfId="0" applyAlignment="1" applyFont="1">
      <alignment horizontal="left" shrinkToFit="0" vertical="center" wrapText="1"/>
    </xf>
    <xf borderId="0" fillId="7" fontId="5" numFmtId="0" xfId="0" applyAlignment="1" applyFill="1" applyFont="1">
      <alignment horizontal="left" readingOrder="0" shrinkToFit="0" vertical="center" wrapText="1"/>
    </xf>
    <xf borderId="0" fillId="0" fontId="9" numFmtId="0" xfId="0" applyAlignment="1" applyFont="1">
      <alignment readingOrder="0" vertical="bottom"/>
    </xf>
    <xf borderId="0" fillId="8" fontId="4" numFmtId="0" xfId="0" applyAlignment="1" applyFill="1" applyFont="1">
      <alignment horizontal="left" vertical="center"/>
    </xf>
    <xf borderId="0" fillId="0" fontId="10" numFmtId="0" xfId="0" applyAlignment="1" applyFont="1">
      <alignment horizontal="left" readingOrder="0" vertical="center"/>
    </xf>
    <xf borderId="0" fillId="0" fontId="4" numFmtId="0" xfId="0" applyAlignment="1" applyFont="1">
      <alignment vertical="bottom"/>
    </xf>
    <xf borderId="0" fillId="0" fontId="10" numFmtId="0" xfId="0" applyAlignment="1" applyFont="1">
      <alignment horizontal="left" shrinkToFit="0" vertical="center" wrapText="1"/>
    </xf>
    <xf borderId="0" fillId="0" fontId="4" numFmtId="0" xfId="0" applyAlignment="1" applyFont="1">
      <alignment readingOrder="0" vertical="bottom"/>
    </xf>
    <xf borderId="0" fillId="8" fontId="4" numFmtId="0" xfId="0" applyAlignment="1" applyFont="1">
      <alignment horizontal="left" readingOrder="0" vertical="center"/>
    </xf>
    <xf borderId="0" fillId="0" fontId="11" numFmtId="0" xfId="0" applyAlignment="1" applyFont="1">
      <alignment readingOrder="0" vertical="bottom"/>
    </xf>
    <xf borderId="0" fillId="0" fontId="2" numFmtId="0" xfId="0" applyAlignment="1" applyFont="1">
      <alignment readingOrder="0"/>
    </xf>
    <xf borderId="0" fillId="8" fontId="9" numFmtId="0" xfId="0" applyAlignment="1" applyFont="1">
      <alignment horizontal="left" vertical="center"/>
    </xf>
    <xf borderId="0" fillId="0" fontId="4" numFmtId="0" xfId="0" applyAlignment="1" applyFont="1">
      <alignment vertical="bottom"/>
    </xf>
    <xf borderId="0" fillId="0" fontId="12" numFmtId="0" xfId="0" applyAlignment="1" applyFont="1">
      <alignment readingOrder="0"/>
    </xf>
    <xf borderId="0" fillId="9" fontId="2" numFmtId="0" xfId="0" applyAlignment="1" applyFill="1" applyFont="1">
      <alignment readingOrder="0"/>
    </xf>
    <xf borderId="0" fillId="9" fontId="2" numFmtId="0" xfId="0" applyAlignment="1" applyFont="1">
      <alignment readingOrder="0" shrinkToFit="0" wrapText="0"/>
    </xf>
    <xf borderId="0" fillId="0" fontId="13" numFmtId="0" xfId="0" applyAlignment="1" applyFont="1">
      <alignment readingOrder="0"/>
    </xf>
    <xf borderId="0" fillId="0" fontId="14" numFmtId="0" xfId="0" applyAlignment="1" applyFont="1">
      <alignment readingOrder="0" shrinkToFit="0" wrapText="0"/>
    </xf>
    <xf borderId="0" fillId="0" fontId="2" numFmtId="0" xfId="0" applyAlignment="1" applyFont="1">
      <alignment readingOrder="0" shrinkToFit="0" wrapText="0"/>
    </xf>
    <xf borderId="0" fillId="8" fontId="4" numFmtId="164" xfId="0" applyAlignment="1" applyFont="1" applyNumberFormat="1">
      <alignment horizontal="left" vertical="center"/>
    </xf>
    <xf borderId="0" fillId="0" fontId="12" numFmtId="0" xfId="0" applyFont="1"/>
    <xf borderId="0" fillId="0" fontId="10" numFmtId="0" xfId="0" applyAlignment="1" applyFont="1">
      <alignment horizontal="left"/>
    </xf>
    <xf borderId="0" fillId="0" fontId="10" numFmtId="0" xfId="0" applyAlignment="1" applyFont="1">
      <alignment horizontal="left" readingOrder="0"/>
    </xf>
    <xf borderId="0" fillId="8" fontId="15" numFmtId="0" xfId="0" applyAlignment="1" applyFont="1">
      <alignment horizontal="left" vertical="center"/>
    </xf>
    <xf borderId="0" fillId="0" fontId="16" numFmtId="0" xfId="0" applyAlignment="1" applyFont="1">
      <alignment readingOrder="0" shrinkToFit="0" wrapText="1"/>
    </xf>
    <xf borderId="0" fillId="0" fontId="10" numFmtId="165" xfId="0" applyAlignment="1" applyFont="1" applyNumberFormat="1">
      <alignment horizontal="right" shrinkToFit="0" vertical="bottom" wrapText="1"/>
    </xf>
    <xf borderId="0" fillId="0" fontId="10" numFmtId="0" xfId="0" applyAlignment="1" applyFont="1">
      <alignment shrinkToFit="0" vertical="bottom" wrapText="1"/>
    </xf>
    <xf borderId="0" fillId="0" fontId="9" numFmtId="0" xfId="0" applyAlignment="1" applyFont="1">
      <alignment vertical="bottom"/>
    </xf>
    <xf borderId="0" fillId="0" fontId="16" numFmtId="0" xfId="0" applyAlignment="1" applyFont="1">
      <alignment shrinkToFit="0" wrapText="1"/>
    </xf>
    <xf borderId="0" fillId="0" fontId="4" numFmtId="0" xfId="0" applyFont="1"/>
    <xf borderId="0" fillId="0" fontId="10" numFmtId="165" xfId="0" applyAlignment="1" applyFont="1" applyNumberFormat="1">
      <alignment horizontal="right" vertical="bottom"/>
    </xf>
    <xf borderId="0" fillId="0" fontId="10" numFmtId="0" xfId="0" applyAlignment="1" applyFont="1">
      <alignment vertical="bottom"/>
    </xf>
    <xf borderId="0" fillId="0" fontId="17" numFmtId="0" xfId="0" applyAlignment="1" applyFont="1">
      <alignment vertical="bottom"/>
    </xf>
    <xf borderId="0" fillId="0" fontId="10" numFmtId="0" xfId="0" applyAlignment="1" applyFont="1">
      <alignment readingOrder="0" vertical="bottom"/>
    </xf>
    <xf borderId="0" fillId="0" fontId="18" numFmtId="0" xfId="0" applyAlignment="1" applyFont="1">
      <alignment readingOrder="0"/>
    </xf>
    <xf borderId="0" fillId="8" fontId="4" numFmtId="0" xfId="0" applyAlignment="1" applyFont="1">
      <alignment horizontal="left" shrinkToFit="0" vertical="center" wrapText="1"/>
    </xf>
    <xf borderId="0" fillId="0" fontId="19" numFmtId="0" xfId="0" applyAlignment="1" applyFont="1">
      <alignment readingOrder="0" shrinkToFit="0" wrapText="0"/>
    </xf>
    <xf borderId="0" fillId="10" fontId="20" numFmtId="0" xfId="0" applyAlignment="1" applyFill="1" applyFont="1">
      <alignment horizontal="left" readingOrder="0"/>
    </xf>
    <xf borderId="0" fillId="0" fontId="4" numFmtId="0" xfId="0" applyAlignment="1" applyFont="1">
      <alignment readingOrder="0" vertical="bottom"/>
    </xf>
    <xf borderId="0" fillId="11" fontId="21" numFmtId="0" xfId="0" applyAlignment="1" applyFill="1" applyFont="1">
      <alignment readingOrder="0"/>
    </xf>
    <xf borderId="0" fillId="0" fontId="2" numFmtId="0" xfId="0" applyAlignment="1" applyFont="1">
      <alignment readingOrder="0"/>
    </xf>
    <xf borderId="0" fillId="0" fontId="9" numFmtId="165" xfId="0" applyAlignment="1" applyFont="1" applyNumberFormat="1">
      <alignment horizontal="right" vertical="bottom"/>
    </xf>
    <xf borderId="0" fillId="10" fontId="22" numFmtId="0" xfId="0" applyAlignment="1" applyFont="1">
      <alignment horizontal="left" readingOrder="0"/>
    </xf>
    <xf borderId="0" fillId="0" fontId="12" numFmtId="0" xfId="0" applyAlignment="1" applyFont="1">
      <alignment readingOrder="0"/>
    </xf>
    <xf borderId="0" fillId="0" fontId="12" numFmtId="165" xfId="0" applyAlignment="1" applyFont="1" applyNumberFormat="1">
      <alignment readingOrder="0"/>
    </xf>
    <xf borderId="1" fillId="0" fontId="4" numFmtId="0" xfId="0" applyAlignment="1" applyBorder="1" applyFont="1">
      <alignment shrinkToFit="0" vertical="bottom" wrapText="0"/>
    </xf>
    <xf borderId="1" fillId="0" fontId="4" numFmtId="0" xfId="0" applyAlignment="1" applyBorder="1" applyFont="1">
      <alignment readingOrder="0" shrinkToFit="0" vertical="bottom" wrapText="0"/>
    </xf>
    <xf borderId="0" fillId="0" fontId="2" numFmtId="0" xfId="0" applyFont="1"/>
    <xf borderId="0" fillId="0" fontId="4" numFmtId="0" xfId="0" applyAlignment="1" applyFont="1">
      <alignment vertical="bottom"/>
    </xf>
    <xf borderId="1" fillId="0" fontId="4" numFmtId="0" xfId="0" applyAlignment="1" applyBorder="1" applyFont="1">
      <alignment shrinkToFit="0" vertical="bottom" wrapText="0"/>
    </xf>
    <xf borderId="0" fillId="0" fontId="4" numFmtId="0" xfId="0" applyAlignment="1" applyFont="1">
      <alignment shrinkToFit="0" vertical="bottom" wrapText="0"/>
    </xf>
    <xf borderId="0" fillId="0" fontId="4" numFmtId="0" xfId="0" applyAlignment="1" applyFont="1">
      <alignment horizontal="right" vertical="bottom"/>
    </xf>
    <xf borderId="0" fillId="0" fontId="23" numFmtId="0" xfId="0" applyAlignment="1" applyFont="1">
      <alignment vertical="bottom"/>
    </xf>
    <xf borderId="0" fillId="0" fontId="24" numFmtId="0" xfId="0" applyAlignment="1" applyFont="1">
      <alignment shrinkToFit="0" vertical="bottom" wrapText="0"/>
    </xf>
    <xf borderId="0" fillId="0" fontId="4" numFmtId="0" xfId="0" applyAlignment="1" applyFont="1">
      <alignment readingOrder="0" vertical="bottom"/>
    </xf>
    <xf borderId="0" fillId="0" fontId="4" numFmtId="0" xfId="0" applyAlignment="1" applyFont="1">
      <alignment shrinkToFit="0" vertical="bottom" wrapText="0"/>
    </xf>
    <xf borderId="0" fillId="0" fontId="25" numFmtId="0" xfId="0" applyAlignment="1" applyFont="1">
      <alignment readingOrder="0" vertical="bottom"/>
    </xf>
    <xf borderId="0" fillId="0" fontId="26" numFmtId="0" xfId="0" applyAlignment="1" applyFont="1">
      <alignment readingOrder="0" shrinkToFit="0" vertical="bottom" wrapText="0"/>
    </xf>
    <xf borderId="0" fillId="0" fontId="27" numFmtId="0" xfId="0" applyAlignment="1" applyFont="1">
      <alignment readingOrder="0"/>
    </xf>
    <xf borderId="0" fillId="0" fontId="28" numFmtId="0" xfId="0" applyAlignment="1" applyFont="1">
      <alignment readingOrder="0" shrinkToFit="0" wrapText="0"/>
    </xf>
    <xf borderId="0" fillId="0" fontId="4" numFmtId="0" xfId="0" applyAlignment="1" applyFont="1">
      <alignment vertical="bottom"/>
    </xf>
    <xf borderId="0" fillId="0" fontId="4" numFmtId="0" xfId="0" applyAlignment="1" applyFont="1">
      <alignment vertical="bottom"/>
    </xf>
    <xf borderId="0" fillId="0" fontId="29" numFmtId="0" xfId="0" applyAlignment="1" applyFont="1">
      <alignment vertical="bottom"/>
    </xf>
    <xf borderId="0" fillId="0" fontId="30" numFmtId="0" xfId="0" applyAlignment="1" applyFont="1">
      <alignment vertical="bottom"/>
    </xf>
    <xf borderId="0" fillId="0" fontId="4" numFmtId="0" xfId="0" applyAlignment="1" applyFont="1">
      <alignment readingOrder="0" vertical="bottom"/>
    </xf>
    <xf borderId="0" fillId="0" fontId="31" numFmtId="0" xfId="0" applyAlignment="1" applyFont="1">
      <alignment readingOrder="0" vertical="bottom"/>
    </xf>
    <xf borderId="0" fillId="0" fontId="2" numFmtId="0" xfId="0" applyAlignment="1" applyFont="1">
      <alignment shrinkToFit="0" wrapText="0"/>
    </xf>
    <xf borderId="0" fillId="0" fontId="2" numFmtId="0" xfId="0" applyAlignment="1" applyFont="1">
      <alignment shrinkToFit="0" wrapText="0"/>
    </xf>
    <xf borderId="0" fillId="0" fontId="32" numFmtId="0" xfId="0" applyAlignment="1" applyFont="1">
      <alignment vertical="bottom"/>
    </xf>
    <xf borderId="0" fillId="0" fontId="33" numFmtId="0" xfId="0" applyAlignment="1" applyFont="1">
      <alignment vertical="bottom"/>
    </xf>
    <xf borderId="0" fillId="0" fontId="34" numFmtId="0" xfId="0" applyAlignment="1" applyFont="1">
      <alignment vertical="bottom"/>
    </xf>
    <xf borderId="0" fillId="0" fontId="35" numFmtId="0" xfId="0" applyAlignment="1" applyFont="1">
      <alignment vertical="bottom"/>
    </xf>
    <xf borderId="0" fillId="0" fontId="36" numFmtId="0" xfId="0" applyAlignment="1" applyFont="1">
      <alignment readingOrder="0" vertical="bottom"/>
    </xf>
    <xf borderId="0" fillId="0" fontId="37" numFmtId="0" xfId="0" applyAlignment="1" applyFont="1">
      <alignment shrinkToFit="0" vertical="bottom" wrapText="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f58a7e18-962f-4425-b81f-37a38110f198}">
    <Anchor>
      <Comment id="{ca028c20-036c-40f8-8372-1873757cba4f}"/>
    </Anchor>
    <History>
      <Event time="2026-04-15T11:35:31.00" id="{1b1c5610-655f-40d3-adce-bcb5f6477516}">
        <Attribution userId="placeholder@email.com" userName="Ramesh Goswami" userProvider="google-sheets"/>
        <Anchor>
          <Comment id="{ca028c20-036c-40f8-8372-1873757cba4f}"/>
        </Anchor>
        <Create/>
      </Event>
      <Event time="2026-04-15T11:35:31.00" id="{90c981b5-d617-4ea6-b82d-0313dcb78845}">
        <Attribution userId="placeholder@email.com" userName="Ramesh Goswami" userProvider="google-sheets"/>
        <Anchor>
          <Comment id="{ca028c20-036c-40f8-8372-1873757cba4f}"/>
        </Anchor>
        <Assign userId="alex.gaylord@listenfirstmedia.com" userName="alex.gaylord@listenfirstmedia.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amesh Goswami" id="{58e0ee32-9a10-45e4-a3a0-5bded0f32437}" providerId="google-sheets"/>
  <x18tc:person displayName="alex.gaylord@listenfirstmedia.com" id="{07d306fc-6922-4789-9a20-6db826a951dd}" userId="alex.gaylord@listenfirstmedia.com" providerId="google-sheets"/>
  <x18tc:person displayName="Alex Gaylord" id="{46430f3c-8f02-42ca-9f9f-a14de993e6c5}"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5-04T16:02:07.00" personId="{46430f3c-8f02-42ca-9f9f-a14de993e6c5}" id="{7b96e87d-b1f4-4bd8-a676-9c3984e96dd9}" done="0">
    <x18tc:text xml:space="preserve">Not a brand YouTube</x18tc:text>
  </x18tc:threadedComment>
  <x18tc:threadedComment ref="A1" dT="2025-05-04T16:01:06.00" personId="{46430f3c-8f02-42ca-9f9f-a14de993e6c5}" id="{a060bb6e-15bd-4bea-bc8b-4eecf53e1f0e}" done="1">
    <x18tc:text xml:space="preserve">In system as 'Ballerina'</x18tc:text>
  </x18tc:threadedComment>
  <x18tc:threadedComment ref="A1" dT="2025-05-04T16:02:38.00" personId="{46430f3c-8f02-42ca-9f9f-a14de993e6c5}" id="{1663db3d-88a6-4c79-843b-0482df88b862}" done="0">
    <x18tc:text xml:space="preserve">Not a brand YouTube, also don't include search queries in the URL</x18tc:text>
  </x18tc:threadedComment>
  <x18tc:threadedComment ref="A1" dT="2025-05-04T16:01:56.00" personId="{46430f3c-8f02-42ca-9f9f-a14de993e6c5}" id="{1492c59b-5fc5-4452-98c5-e9d1f0ca5e26}" done="0">
    <x18tc:text xml:space="preserve">Not a brand YouTube</x18tc:text>
  </x18tc:threadedComment>
  <x18tc:threadedComment ref="A1" dT="2025-05-04T16:02:00.00" personId="{46430f3c-8f02-42ca-9f9f-a14de993e6c5}" id="{9a84cd1c-77de-4bcf-8239-321df268e69e}" done="0">
    <x18tc:text xml:space="preserve">Not a brand YouTube</x18tc:text>
  </x18tc:threadedComment>
  <x18tc:threadedComment ref="A1" dT="2025-05-04T15:59:57.00" personId="{46430f3c-8f02-42ca-9f9f-a14de993e6c5}" id="{bda36703-557b-46fe-8b3c-517a3d2b046a}" done="1">
    <x18tc:text xml:space="preserve">Focus Features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22" dT="2026-04-15T11:35:31.00" personId="{58e0ee32-9a10-45e4-a3a0-5bded0f32437}" id="{ca028c20-036c-40f8-8372-1873757cba4f}" done="0">
    <x18tc:text xml:space="preserve">@alex.gaylord@listenfirstmedia.com I’ve identified a new official YouTube channel for this studio: [https://www.youtube.com/@BrainstormMedia90212]. It looks like the Ballistic trailer was recently launched there.
Should we update the channel in our system to ensure we don't miss any upcoming trailer data?
Looking forward to your thoughts.
Assigned to alex.gaylord@listenfirstmedia.com</x18tc:text>
    <x18tc:mentions>
      <x18tc:mention mentionpersonId="{07d306fc-6922-4789-9a20-6db826a951dd}" mentionId="{c006efe2-6cac-45cd-8ecc-67d8db15ea7b}" startIndex="0" length="34"/>
    </x18tc:mentions>
    <x18tc:extLst>
      <ext uri="{F7C98A9C-CBB3-438F-8F68-D28B6AF4A901}">
        <xltc2:checksum/>
        <xltc2:hyperlink startIndex="100" length="45" url="https://www.youtube.com/@BrainstormMedia90212"/>
      </ext>
    </x18tc:extLst>
  </x18tc:threadedComment>
  <x18tc:threadedComment ref="L22" dT="2026-04-16T21:15:12.00" personId="{46430f3c-8f02-42ca-9f9f-a14de993e6c5}" id="{1fd8fb72-f4ae-4974-a880-726cb2fa4587}" parentId="{ca028c20-036c-40f8-8372-1873757cba4f}">
    <x18tc:text xml:space="preserve">Thanks for flagging. Please update the ingest templates and any recent brands from the studio that are missing trailers.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90" Type="http://schemas.openxmlformats.org/officeDocument/2006/relationships/hyperlink" Target="https://www.youtube.com/user/starzmedia" TargetMode="External"/><Relationship Id="rId194" Type="http://schemas.openxmlformats.org/officeDocument/2006/relationships/hyperlink" Target="https://www.youtube.com/channel/UCtlp8d4cZg2eMrVbq7vxg9w" TargetMode="External"/><Relationship Id="rId193" Type="http://schemas.openxmlformats.org/officeDocument/2006/relationships/hyperlink" Target="https://www.youtube.com/user/StrandReleasing" TargetMode="External"/><Relationship Id="rId192" Type="http://schemas.openxmlformats.org/officeDocument/2006/relationships/hyperlink" Target="https://www.youtube.com/user/StrandReleasing" TargetMode="External"/><Relationship Id="rId191" Type="http://schemas.openxmlformats.org/officeDocument/2006/relationships/hyperlink" Target="https://www.youtube.com/user/starzmedia" TargetMode="External"/><Relationship Id="rId187" Type="http://schemas.openxmlformats.org/officeDocument/2006/relationships/hyperlink" Target="https://www.youtube.com/user/SonyPictures" TargetMode="External"/><Relationship Id="rId186" Type="http://schemas.openxmlformats.org/officeDocument/2006/relationships/hyperlink" Target="https://www.youtube.com/user/SonyPictures" TargetMode="External"/><Relationship Id="rId185" Type="http://schemas.openxmlformats.org/officeDocument/2006/relationships/hyperlink" Target="https://www.youtube.com/user/shoutfactory" TargetMode="External"/><Relationship Id="rId184" Type="http://schemas.openxmlformats.org/officeDocument/2006/relationships/hyperlink" Target="https://www.youtube.com/user/shoutfactory" TargetMode="External"/><Relationship Id="rId189" Type="http://schemas.openxmlformats.org/officeDocument/2006/relationships/hyperlink" Target="https://www.youtube.com/user/SonyPicturesClassics" TargetMode="External"/><Relationship Id="rId188" Type="http://schemas.openxmlformats.org/officeDocument/2006/relationships/hyperlink" Target="https://www.youtube.com/user/SonyPicturesClassics" TargetMode="External"/><Relationship Id="rId183" Type="http://schemas.openxmlformats.org/officeDocument/2006/relationships/hyperlink" Target="https://www.youtube.com/user/samuelgoldwynfilmcom" TargetMode="External"/><Relationship Id="rId182" Type="http://schemas.openxmlformats.org/officeDocument/2006/relationships/hyperlink" Target="https://www.youtube.com/user/samuelgoldwynfilmcom" TargetMode="External"/><Relationship Id="rId181" Type="http://schemas.openxmlformats.org/officeDocument/2006/relationships/hyperlink" Target="https://www.youtube.com/user/RoadsideFlix" TargetMode="External"/><Relationship Id="rId180" Type="http://schemas.openxmlformats.org/officeDocument/2006/relationships/hyperlink" Target="https://www.youtube.com/user/RoadsideFlix" TargetMode="External"/><Relationship Id="rId176" Type="http://schemas.openxmlformats.org/officeDocument/2006/relationships/hyperlink" Target="https://www.youtube.com/user/bigpictures" TargetMode="External"/><Relationship Id="rId297" Type="http://schemas.openxmlformats.org/officeDocument/2006/relationships/hyperlink" Target="https://www.youtube.com/@sightsoundtheatres" TargetMode="External"/><Relationship Id="rId175" Type="http://schemas.openxmlformats.org/officeDocument/2006/relationships/hyperlink" Target="https://www.youtube.com/user/Relativity" TargetMode="External"/><Relationship Id="rId296" Type="http://schemas.openxmlformats.org/officeDocument/2006/relationships/hyperlink" Target="https://www.youtube.com/@sightsoundtheatres" TargetMode="External"/><Relationship Id="rId174" Type="http://schemas.openxmlformats.org/officeDocument/2006/relationships/hyperlink" Target="https://www.youtube.com/user/Relativity" TargetMode="External"/><Relationship Id="rId295" Type="http://schemas.openxmlformats.org/officeDocument/2006/relationships/hyperlink" Target="https://www.youtube.com/@illume_films" TargetMode="External"/><Relationship Id="rId173" Type="http://schemas.openxmlformats.org/officeDocument/2006/relationships/hyperlink" Target="https://www.youtube.com/user/reelonepost" TargetMode="External"/><Relationship Id="rId294" Type="http://schemas.openxmlformats.org/officeDocument/2006/relationships/hyperlink" Target="https://www.youtube.com/@illume_films" TargetMode="External"/><Relationship Id="rId179" Type="http://schemas.openxmlformats.org/officeDocument/2006/relationships/hyperlink" Target="https://www.youtube.com/user/rialtomedia" TargetMode="External"/><Relationship Id="rId178" Type="http://schemas.openxmlformats.org/officeDocument/2006/relationships/hyperlink" Target="https://www.youtube.com/user/rialtomedia" TargetMode="External"/><Relationship Id="rId299" Type="http://schemas.openxmlformats.org/officeDocument/2006/relationships/hyperlink" Target="https://www.youtube.com/channel/UCYZyQnvoSktb3XXGIhSjpDQ" TargetMode="External"/><Relationship Id="rId177" Type="http://schemas.openxmlformats.org/officeDocument/2006/relationships/hyperlink" Target="https://www.youtube.com/user/bigpictures" TargetMode="External"/><Relationship Id="rId298" Type="http://schemas.openxmlformats.org/officeDocument/2006/relationships/hyperlink" Target="https://www.youtube.com/channel/UCYZyQnvoSktb3XXGIhSjpDQ" TargetMode="External"/><Relationship Id="rId198" Type="http://schemas.openxmlformats.org/officeDocument/2006/relationships/hyperlink" Target="https://www.youtube.com/channel/UCu4bPsg0qZWtNg6cZw8kAWQ" TargetMode="External"/><Relationship Id="rId197" Type="http://schemas.openxmlformats.org/officeDocument/2006/relationships/hyperlink" Target="https://www.youtube.com/channel/UCqCDJ4dCHL9XbOWVXFisZhA" TargetMode="External"/><Relationship Id="rId196" Type="http://schemas.openxmlformats.org/officeDocument/2006/relationships/hyperlink" Target="https://www.youtube.com/channel/UCqCDJ4dCHL9XbOWVXFisZhA" TargetMode="External"/><Relationship Id="rId195" Type="http://schemas.openxmlformats.org/officeDocument/2006/relationships/hyperlink" Target="https://www.youtube.com/channel/UCtlp8d4cZg2eMrVbq7vxg9w" TargetMode="External"/><Relationship Id="rId199" Type="http://schemas.openxmlformats.org/officeDocument/2006/relationships/hyperlink" Target="https://www.youtube.com/channel/UCu4bPsg0qZWtNg6cZw8kAWQ" TargetMode="External"/><Relationship Id="rId150" Type="http://schemas.openxmlformats.org/officeDocument/2006/relationships/hyperlink" Target="https://www.youtube.com/user/musicboxfilmsdistrib" TargetMode="External"/><Relationship Id="rId271" Type="http://schemas.openxmlformats.org/officeDocument/2006/relationships/hyperlink" Target="https://www.youtube.com/channel/UCElLRsuDWeYdOT3GgNZAUeQ" TargetMode="External"/><Relationship Id="rId392" Type="http://schemas.openxmlformats.org/officeDocument/2006/relationships/hyperlink" Target="https://www.youtube.com/giantpictures" TargetMode="External"/><Relationship Id="rId270" Type="http://schemas.openxmlformats.org/officeDocument/2006/relationships/hyperlink" Target="https://www.youtube.com/channel/UCElLRsuDWeYdOT3GgNZAUeQ" TargetMode="External"/><Relationship Id="rId391" Type="http://schemas.openxmlformats.org/officeDocument/2006/relationships/hyperlink" Target="https://www.youtube.com/giantpictures" TargetMode="External"/><Relationship Id="rId390" Type="http://schemas.openxmlformats.org/officeDocument/2006/relationships/hyperlink" Target="https://www.youtube.com/@PanoramaStudios" TargetMode="External"/><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149" Type="http://schemas.openxmlformats.org/officeDocument/2006/relationships/hyperlink" Target="https://www.youtube.com/user/montereytrailers" TargetMode="External"/><Relationship Id="rId4" Type="http://schemas.openxmlformats.org/officeDocument/2006/relationships/hyperlink" Target="https://www.youtube.com/user/FoxMovies" TargetMode="External"/><Relationship Id="rId148" Type="http://schemas.openxmlformats.org/officeDocument/2006/relationships/hyperlink" Target="https://www.youtube.com/user/montereytrailers" TargetMode="External"/><Relationship Id="rId269" Type="http://schemas.openxmlformats.org/officeDocument/2006/relationships/hyperlink" Target="https://www.youtube.com/channel/UC7QRIwDb8shSnZE8XB0lx4A" TargetMode="External"/><Relationship Id="rId9" Type="http://schemas.openxmlformats.org/officeDocument/2006/relationships/hyperlink" Target="https://www.youtube.com/channel/UCAzJQS9Ikw-zp8XvXuiobig" TargetMode="External"/><Relationship Id="rId143" Type="http://schemas.openxmlformats.org/officeDocument/2006/relationships/hyperlink" Target="https://www.youtube.com/user/MarvistaEnt" TargetMode="External"/><Relationship Id="rId264" Type="http://schemas.openxmlformats.org/officeDocument/2006/relationships/hyperlink" Target="https://www.youtube.com/channel/UCpy5dRhZd-JbZP4NsrnLt1w" TargetMode="External"/><Relationship Id="rId385" Type="http://schemas.openxmlformats.org/officeDocument/2006/relationships/hyperlink" Target="https://www.youtube.com/@PrathyangiraCinemas" TargetMode="External"/><Relationship Id="rId142" Type="http://schemas.openxmlformats.org/officeDocument/2006/relationships/hyperlink" Target="https://www.youtube.com/user/MarvistaEnt" TargetMode="External"/><Relationship Id="rId263" Type="http://schemas.openxmlformats.org/officeDocument/2006/relationships/hyperlink" Target="https://www.youtube.com/channel/UCmHYPCM_h8Tw9JkI3UnrCvA" TargetMode="External"/><Relationship Id="rId384" Type="http://schemas.openxmlformats.org/officeDocument/2006/relationships/hyperlink" Target="https://www.youtube.com/@finfurfilms/videos" TargetMode="External"/><Relationship Id="rId141" Type="http://schemas.openxmlformats.org/officeDocument/2006/relationships/hyperlink" Target="https://www.youtube.com/user/MainStMovies" TargetMode="External"/><Relationship Id="rId262" Type="http://schemas.openxmlformats.org/officeDocument/2006/relationships/hyperlink" Target="https://www.youtube.com/channel/UCmHYPCM_h8Tw9JkI3UnrCvA" TargetMode="External"/><Relationship Id="rId383" Type="http://schemas.openxmlformats.org/officeDocument/2006/relationships/hyperlink" Target="https://www.youtube.com/@finfurfilms/videos" TargetMode="External"/><Relationship Id="rId140" Type="http://schemas.openxmlformats.org/officeDocument/2006/relationships/hyperlink" Target="https://www.youtube.com/user/MainStMovies" TargetMode="External"/><Relationship Id="rId261" Type="http://schemas.openxmlformats.org/officeDocument/2006/relationships/hyperlink" Target="https://www.youtube.com/channel/UCm0-mCioSyXIyTfymP3RhtQ" TargetMode="External"/><Relationship Id="rId382" Type="http://schemas.openxmlformats.org/officeDocument/2006/relationships/hyperlink" Target="https://www.youtube.com/MPIMediaGroup" TargetMode="External"/><Relationship Id="rId5" Type="http://schemas.openxmlformats.org/officeDocument/2006/relationships/hyperlink" Target="https://www.youtube.com/user/FoxMovies" TargetMode="External"/><Relationship Id="rId147" Type="http://schemas.openxmlformats.org/officeDocument/2006/relationships/hyperlink" Target="https://www.youtube.com/user/MirrorImagesLTD" TargetMode="External"/><Relationship Id="rId268" Type="http://schemas.openxmlformats.org/officeDocument/2006/relationships/hyperlink" Target="https://www.youtube.com/channel/UC7QRIwDb8shSnZE8XB0lx4A" TargetMode="External"/><Relationship Id="rId389" Type="http://schemas.openxmlformats.org/officeDocument/2006/relationships/hyperlink" Target="https://www.youtube.com/@PanoramaStudios" TargetMode="External"/><Relationship Id="rId6" Type="http://schemas.openxmlformats.org/officeDocument/2006/relationships/hyperlink" Target="https://www.youtube.com/user/A24Films" TargetMode="External"/><Relationship Id="rId146" Type="http://schemas.openxmlformats.org/officeDocument/2006/relationships/hyperlink" Target="https://www.youtube.com/user/MirrorImagesLTD" TargetMode="External"/><Relationship Id="rId267" Type="http://schemas.openxmlformats.org/officeDocument/2006/relationships/hyperlink" Target="https://www.youtube.com/channel/UCN--CBIpUntGINL_DHWgEdg" TargetMode="External"/><Relationship Id="rId388" Type="http://schemas.openxmlformats.org/officeDocument/2006/relationships/hyperlink" Target="https://www.youtube.com/@kani-releasing" TargetMode="External"/><Relationship Id="rId7" Type="http://schemas.openxmlformats.org/officeDocument/2006/relationships/hyperlink" Target="https://www.youtube.com/user/A24Films" TargetMode="External"/><Relationship Id="rId145" Type="http://schemas.openxmlformats.org/officeDocument/2006/relationships/hyperlink" Target="https://www.youtube.com/user/MenemshaFilmsUS" TargetMode="External"/><Relationship Id="rId266" Type="http://schemas.openxmlformats.org/officeDocument/2006/relationships/hyperlink" Target="https://www.youtube.com/channel/UCN--CBIpUntGINL_DHWgEdg" TargetMode="External"/><Relationship Id="rId387" Type="http://schemas.openxmlformats.org/officeDocument/2006/relationships/hyperlink" Target="https://www.youtube.com/@kani-releasing" TargetMode="External"/><Relationship Id="rId8" Type="http://schemas.openxmlformats.org/officeDocument/2006/relationships/hyperlink" Target="https://www.youtube.com/channel/UCAzJQS9Ikw-zp8XvXuiobig" TargetMode="External"/><Relationship Id="rId144" Type="http://schemas.openxmlformats.org/officeDocument/2006/relationships/hyperlink" Target="https://www.youtube.com/user/MenemshaFilmsUS" TargetMode="External"/><Relationship Id="rId265" Type="http://schemas.openxmlformats.org/officeDocument/2006/relationships/hyperlink" Target="https://www.youtube.com/channel/UCpy5dRhZd-JbZP4NsrnLt1w" TargetMode="External"/><Relationship Id="rId386" Type="http://schemas.openxmlformats.org/officeDocument/2006/relationships/hyperlink" Target="https://www.youtube.com/@PrathyangiraCinemas" TargetMode="External"/><Relationship Id="rId260" Type="http://schemas.openxmlformats.org/officeDocument/2006/relationships/hyperlink" Target="https://www.youtube.com/channel/UCm0-mCioSyXIyTfymP3RhtQ" TargetMode="External"/><Relationship Id="rId381" Type="http://schemas.openxmlformats.org/officeDocument/2006/relationships/hyperlink" Target="https://www.youtube.com/MPIMediaGroup" TargetMode="External"/><Relationship Id="rId380" Type="http://schemas.openxmlformats.org/officeDocument/2006/relationships/hyperlink" Target="https://www.youtube.com/@AuraEntFilms" TargetMode="External"/><Relationship Id="rId139" Type="http://schemas.openxmlformats.org/officeDocument/2006/relationships/hyperlink" Target="https://www.youtube.com/user/MagnoliaPictures" TargetMode="External"/><Relationship Id="rId138" Type="http://schemas.openxmlformats.org/officeDocument/2006/relationships/hyperlink" Target="https://www.youtube.com/user/MagnoliaPictures" TargetMode="External"/><Relationship Id="rId259" Type="http://schemas.openxmlformats.org/officeDocument/2006/relationships/hyperlink" Target="https://www.youtube.com/channel/UCpp728twWMhHTi1GWfEdlDA" TargetMode="External"/><Relationship Id="rId137" Type="http://schemas.openxmlformats.org/officeDocument/2006/relationships/hyperlink" Target="https://www.youtube.com/user/LionsgateLIVE" TargetMode="External"/><Relationship Id="rId258" Type="http://schemas.openxmlformats.org/officeDocument/2006/relationships/hyperlink" Target="https://www.youtube.com/channel/UCpp728twWMhHTi1GWfEdlDA" TargetMode="External"/><Relationship Id="rId379" Type="http://schemas.openxmlformats.org/officeDocument/2006/relationships/hyperlink" Target="https://www.youtube.com/@AuraEntFilms" TargetMode="External"/><Relationship Id="rId132" Type="http://schemas.openxmlformats.org/officeDocument/2006/relationships/hyperlink" Target="https://www.youtube.com/user/kinolorber" TargetMode="External"/><Relationship Id="rId253" Type="http://schemas.openxmlformats.org/officeDocument/2006/relationships/hyperlink" Target="https://www.youtube.com/channel/UCLFmfzQaJE_YlgXtnkr3e_Q" TargetMode="External"/><Relationship Id="rId374" Type="http://schemas.openxmlformats.org/officeDocument/2006/relationships/hyperlink" Target="https://www.youtube.com/@persimmonpresents" TargetMode="External"/><Relationship Id="rId131" Type="http://schemas.openxmlformats.org/officeDocument/2006/relationships/hyperlink" Target="https://www.youtube.com/user/KetchupEnt" TargetMode="External"/><Relationship Id="rId252" Type="http://schemas.openxmlformats.org/officeDocument/2006/relationships/hyperlink" Target="https://www.youtube.com/channel/UCLFmfzQaJE_YlgXtnkr3e_Q" TargetMode="External"/><Relationship Id="rId373" Type="http://schemas.openxmlformats.org/officeDocument/2006/relationships/hyperlink" Target="https://www.youtube.com/@persimmonpresents" TargetMode="External"/><Relationship Id="rId130" Type="http://schemas.openxmlformats.org/officeDocument/2006/relationships/hyperlink" Target="https://www.youtube.com/user/KetchupEnt" TargetMode="External"/><Relationship Id="rId251" Type="http://schemas.openxmlformats.org/officeDocument/2006/relationships/hyperlink" Target="https://www.youtube.com/channel/UCkML5g9N_azgHB7KQJ5fWLw" TargetMode="External"/><Relationship Id="rId372" Type="http://schemas.openxmlformats.org/officeDocument/2006/relationships/hyperlink" Target="https://www.youtube.com/@subtextpresents" TargetMode="External"/><Relationship Id="rId250" Type="http://schemas.openxmlformats.org/officeDocument/2006/relationships/hyperlink" Target="https://www.youtube.com/channel/UCkML5g9N_azgHB7KQJ5fWLw" TargetMode="External"/><Relationship Id="rId371" Type="http://schemas.openxmlformats.org/officeDocument/2006/relationships/hyperlink" Target="https://www.youtube.com/@subtextpresents" TargetMode="External"/><Relationship Id="rId136" Type="http://schemas.openxmlformats.org/officeDocument/2006/relationships/hyperlink" Target="https://www.youtube.com/user/LionsgateLIVE" TargetMode="External"/><Relationship Id="rId257" Type="http://schemas.openxmlformats.org/officeDocument/2006/relationships/hyperlink" Target="https://www.youtube.com/channel/UC_go6P0dmSPFeL95NZVXNkw" TargetMode="External"/><Relationship Id="rId378" Type="http://schemas.openxmlformats.org/officeDocument/2006/relationships/hyperlink" Target="https://www.youtube.com/@PBS" TargetMode="External"/><Relationship Id="rId135" Type="http://schemas.openxmlformats.org/officeDocument/2006/relationships/hyperlink" Target="https://www.youtube.com/channel/UCY0vSwi_U-ixmy6nrErmx7A" TargetMode="External"/><Relationship Id="rId256" Type="http://schemas.openxmlformats.org/officeDocument/2006/relationships/hyperlink" Target="https://www.youtube.com/channel/UC_go6P0dmSPFeL95NZVXNkw" TargetMode="External"/><Relationship Id="rId377" Type="http://schemas.openxmlformats.org/officeDocument/2006/relationships/hyperlink" Target="https://www.youtube.com/@PBS" TargetMode="External"/><Relationship Id="rId134" Type="http://schemas.openxmlformats.org/officeDocument/2006/relationships/hyperlink" Target="https://www.youtube.com/channel/UCY0vSwi_U-ixmy6nrErmx7A" TargetMode="External"/><Relationship Id="rId255" Type="http://schemas.openxmlformats.org/officeDocument/2006/relationships/hyperlink" Target="https://www.youtube.com/channel/UCVPQQtEV26rzNdNlMbXE-Qw" TargetMode="External"/><Relationship Id="rId376" Type="http://schemas.openxmlformats.org/officeDocument/2006/relationships/hyperlink" Target="https://www.youtube.com/@PBS" TargetMode="External"/><Relationship Id="rId133" Type="http://schemas.openxmlformats.org/officeDocument/2006/relationships/hyperlink" Target="https://www.youtube.com/user/kinolorber" TargetMode="External"/><Relationship Id="rId254" Type="http://schemas.openxmlformats.org/officeDocument/2006/relationships/hyperlink" Target="https://www.youtube.com/channel/UCVPQQtEV26rzNdNlMbXE-Qw" TargetMode="External"/><Relationship Id="rId375" Type="http://schemas.openxmlformats.org/officeDocument/2006/relationships/hyperlink" Target="https://www.youtube.com/@PBS" TargetMode="External"/><Relationship Id="rId172" Type="http://schemas.openxmlformats.org/officeDocument/2006/relationships/hyperlink" Target="https://www.youtube.com/user/reelonepost" TargetMode="External"/><Relationship Id="rId293" Type="http://schemas.openxmlformats.org/officeDocument/2006/relationships/hyperlink" Target="https://www.youtube.com/channel/UCz2Wf5Y8oPzMNUd9Mbrkn7Q" TargetMode="External"/><Relationship Id="rId171" Type="http://schemas.openxmlformats.org/officeDocument/2006/relationships/hyperlink" Target="https://www.youtube.com/user/RadiusTWC" TargetMode="External"/><Relationship Id="rId292" Type="http://schemas.openxmlformats.org/officeDocument/2006/relationships/hyperlink" Target="https://www.youtube.com/channel/UCz2Wf5Y8oPzMNUd9Mbrkn7Q" TargetMode="External"/><Relationship Id="rId170" Type="http://schemas.openxmlformats.org/officeDocument/2006/relationships/hyperlink" Target="https://www.youtube.com/user/RadiusTWC" TargetMode="External"/><Relationship Id="rId291" Type="http://schemas.openxmlformats.org/officeDocument/2006/relationships/hyperlink" Target="https://www.youtube.com/@nWaveStudios" TargetMode="External"/><Relationship Id="rId290" Type="http://schemas.openxmlformats.org/officeDocument/2006/relationships/hyperlink" Target="https://www.youtube.com/@nWaveStudios" TargetMode="External"/><Relationship Id="rId165" Type="http://schemas.openxmlformats.org/officeDocument/2006/relationships/hyperlink" Target="https://www.youtube.com/user/Paramount" TargetMode="External"/><Relationship Id="rId286" Type="http://schemas.openxmlformats.org/officeDocument/2006/relationships/hyperlink" Target="https://www.youtube.com/@XYZFILMS" TargetMode="External"/><Relationship Id="rId164" Type="http://schemas.openxmlformats.org/officeDocument/2006/relationships/hyperlink" Target="https://www.youtube.com/user/Paramount" TargetMode="External"/><Relationship Id="rId285" Type="http://schemas.openxmlformats.org/officeDocument/2006/relationships/hyperlink" Target="https://www.youtube.com/user/FilmDistrict" TargetMode="External"/><Relationship Id="rId163" Type="http://schemas.openxmlformats.org/officeDocument/2006/relationships/hyperlink" Target="https://www.youtube.com/user/PantelionFilms" TargetMode="External"/><Relationship Id="rId284" Type="http://schemas.openxmlformats.org/officeDocument/2006/relationships/hyperlink" Target="https://www.youtube.com/user/FilmDistrict" TargetMode="External"/><Relationship Id="rId162" Type="http://schemas.openxmlformats.org/officeDocument/2006/relationships/hyperlink" Target="https://www.youtube.com/user/PantelionFilms" TargetMode="External"/><Relationship Id="rId283" Type="http://schemas.openxmlformats.org/officeDocument/2006/relationships/hyperlink" Target="https://www.youtube.com/@CrunchyrollCollection" TargetMode="External"/><Relationship Id="rId169" Type="http://schemas.openxmlformats.org/officeDocument/2006/relationships/hyperlink" Target="https://www.youtube.com/user/PureFlixEnt" TargetMode="External"/><Relationship Id="rId168" Type="http://schemas.openxmlformats.org/officeDocument/2006/relationships/hyperlink" Target="https://www.youtube.com/user/PureFlixEnt" TargetMode="External"/><Relationship Id="rId289" Type="http://schemas.openxmlformats.org/officeDocument/2006/relationships/hyperlink" Target="https://www.youtube.com/@product.of.culture" TargetMode="External"/><Relationship Id="rId167" Type="http://schemas.openxmlformats.org/officeDocument/2006/relationships/hyperlink" Target="https://www.youtube.com/user/picturehousemovies" TargetMode="External"/><Relationship Id="rId288" Type="http://schemas.openxmlformats.org/officeDocument/2006/relationships/hyperlink" Target="https://www.youtube.com/@product.of.culture" TargetMode="External"/><Relationship Id="rId166" Type="http://schemas.openxmlformats.org/officeDocument/2006/relationships/hyperlink" Target="https://www.youtube.com/user/picturehousemovies" TargetMode="External"/><Relationship Id="rId287" Type="http://schemas.openxmlformats.org/officeDocument/2006/relationships/hyperlink" Target="https://www.youtube.com/@XYZFILMS" TargetMode="External"/><Relationship Id="rId161" Type="http://schemas.openxmlformats.org/officeDocument/2006/relationships/hyperlink" Target="https://www.youtube.com/user/paladinpictures" TargetMode="External"/><Relationship Id="rId282" Type="http://schemas.openxmlformats.org/officeDocument/2006/relationships/hyperlink" Target="https://www.youtube.com/@CrunchyrollCollection" TargetMode="External"/><Relationship Id="rId160" Type="http://schemas.openxmlformats.org/officeDocument/2006/relationships/hyperlink" Target="https://www.youtube.com/user/paladinpictures" TargetMode="External"/><Relationship Id="rId281" Type="http://schemas.openxmlformats.org/officeDocument/2006/relationships/hyperlink" Target="https://www.youtube.com/channel/UCy6PCicZkXr4wbChnpD_PZA" TargetMode="External"/><Relationship Id="rId280" Type="http://schemas.openxmlformats.org/officeDocument/2006/relationships/hyperlink" Target="https://www.youtube.com/channel/UCy6PCicZkXr4wbChnpD_PZA" TargetMode="External"/><Relationship Id="rId159" Type="http://schemas.openxmlformats.org/officeDocument/2006/relationships/hyperlink" Target="https://www.youtube.com/user/oscopelabs" TargetMode="External"/><Relationship Id="rId154" Type="http://schemas.openxmlformats.org/officeDocument/2006/relationships/hyperlink" Target="https://www.youtube.com/user/openroadfilms" TargetMode="External"/><Relationship Id="rId275" Type="http://schemas.openxmlformats.org/officeDocument/2006/relationships/hyperlink" Target="https://www.youtube.com/channel/UCfUvpV0Inl2Ql3Es17Fnscw" TargetMode="External"/><Relationship Id="rId396" Type="http://schemas.openxmlformats.org/officeDocument/2006/relationships/hyperlink" Target="https://www.youtube.com/@lunette-films" TargetMode="External"/><Relationship Id="rId153" Type="http://schemas.openxmlformats.org/officeDocument/2006/relationships/hyperlink" Target="https://www.youtube.com/user/NewOnNetflix" TargetMode="External"/><Relationship Id="rId274" Type="http://schemas.openxmlformats.org/officeDocument/2006/relationships/hyperlink" Target="https://www.youtube.com/channel/UCfUvpV0Inl2Ql3Es17Fnscw" TargetMode="External"/><Relationship Id="rId395" Type="http://schemas.openxmlformats.org/officeDocument/2006/relationships/hyperlink" Target="https://www.youtube.com/@lunette-films" TargetMode="External"/><Relationship Id="rId152" Type="http://schemas.openxmlformats.org/officeDocument/2006/relationships/hyperlink" Target="https://www.youtube.com/user/NewOnNetflix" TargetMode="External"/><Relationship Id="rId273" Type="http://schemas.openxmlformats.org/officeDocument/2006/relationships/hyperlink" Target="https://www.youtube.com/channel/UC_0NZhyl9KH0aMWXRnAKM4g" TargetMode="External"/><Relationship Id="rId394" Type="http://schemas.openxmlformats.org/officeDocument/2006/relationships/hyperlink" Target="https://www.youtube.com/@myriadpictures" TargetMode="External"/><Relationship Id="rId151" Type="http://schemas.openxmlformats.org/officeDocument/2006/relationships/hyperlink" Target="https://www.youtube.com/user/musicboxfilmsdistrib" TargetMode="External"/><Relationship Id="rId272" Type="http://schemas.openxmlformats.org/officeDocument/2006/relationships/hyperlink" Target="https://www.youtube.com/channel/UC_0NZhyl9KH0aMWXRnAKM4g" TargetMode="External"/><Relationship Id="rId393" Type="http://schemas.openxmlformats.org/officeDocument/2006/relationships/hyperlink" Target="https://www.youtube.com/@myriadpictures" TargetMode="External"/><Relationship Id="rId158" Type="http://schemas.openxmlformats.org/officeDocument/2006/relationships/hyperlink" Target="https://www.youtube.com/user/oscopelabs" TargetMode="External"/><Relationship Id="rId279" Type="http://schemas.openxmlformats.org/officeDocument/2006/relationships/hyperlink" Target="https://www.youtube.com/channel/UC3fm3F9kyexFVL_OPoSXkgQ" TargetMode="External"/><Relationship Id="rId157" Type="http://schemas.openxmlformats.org/officeDocument/2006/relationships/hyperlink" Target="https://www.youtube.com/user/orionreleasing" TargetMode="External"/><Relationship Id="rId278" Type="http://schemas.openxmlformats.org/officeDocument/2006/relationships/hyperlink" Target="https://www.youtube.com/channel/UC3fm3F9kyexFVL_OPoSXkgQ" TargetMode="External"/><Relationship Id="rId399" Type="http://schemas.openxmlformats.org/officeDocument/2006/relationships/drawing" Target="../drawings/drawing5.xml"/><Relationship Id="rId156" Type="http://schemas.openxmlformats.org/officeDocument/2006/relationships/hyperlink" Target="https://www.youtube.com/user/orionreleasing" TargetMode="External"/><Relationship Id="rId277" Type="http://schemas.openxmlformats.org/officeDocument/2006/relationships/hyperlink" Target="https://www.youtube.com/channel/UCfnXpb2MPBULONuZCyaKgmA" TargetMode="External"/><Relationship Id="rId398" Type="http://schemas.openxmlformats.org/officeDocument/2006/relationships/hyperlink" Target="https://www.youtube.com/@AAFilmsOfficial" TargetMode="External"/><Relationship Id="rId155" Type="http://schemas.openxmlformats.org/officeDocument/2006/relationships/hyperlink" Target="https://www.youtube.com/user/openroadfilms" TargetMode="External"/><Relationship Id="rId276" Type="http://schemas.openxmlformats.org/officeDocument/2006/relationships/hyperlink" Target="https://www.youtube.com/channel/UCfnXpb2MPBULONuZCyaKgmA" TargetMode="External"/><Relationship Id="rId397" Type="http://schemas.openxmlformats.org/officeDocument/2006/relationships/hyperlink" Target="https://www.youtube.com/@AAFilmsOfficial" TargetMode="External"/><Relationship Id="rId40" Type="http://schemas.openxmlformats.org/officeDocument/2006/relationships/hyperlink" Target="https://www.youtube.com/channel/UCgOaC_IwC5-Vi9m6u1y9VWA" TargetMode="External"/><Relationship Id="rId42" Type="http://schemas.openxmlformats.org/officeDocument/2006/relationships/hyperlink" Target="https://www.youtube.com/user/canzionfilms" TargetMode="External"/><Relationship Id="rId41" Type="http://schemas.openxmlformats.org/officeDocument/2006/relationships/hyperlink" Target="https://www.youtube.com/channel/UCgOaC_IwC5-Vi9m6u1y9VWA" TargetMode="External"/><Relationship Id="rId44" Type="http://schemas.openxmlformats.org/officeDocument/2006/relationships/hyperlink" Target="https://www.youtube.com/user/CBSFilms" TargetMode="External"/><Relationship Id="rId43" Type="http://schemas.openxmlformats.org/officeDocument/2006/relationships/hyperlink" Target="https://www.youtube.com/user/canzionfilms" TargetMode="External"/><Relationship Id="rId46" Type="http://schemas.openxmlformats.org/officeDocument/2006/relationships/hyperlink" Target="https://www.youtube.com/user/CinemaLibre" TargetMode="External"/><Relationship Id="rId45" Type="http://schemas.openxmlformats.org/officeDocument/2006/relationships/hyperlink" Target="https://www.youtube.com/user/CBSFilms" TargetMode="External"/><Relationship Id="rId48" Type="http://schemas.openxmlformats.org/officeDocument/2006/relationships/hyperlink" Target="https://www.youtube.com/channel/UCNMUBdKm5y66neKKmfZVyPQ" TargetMode="External"/><Relationship Id="rId47" Type="http://schemas.openxmlformats.org/officeDocument/2006/relationships/hyperlink" Target="https://www.youtube.com/user/CinemaLibre" TargetMode="External"/><Relationship Id="rId49" Type="http://schemas.openxmlformats.org/officeDocument/2006/relationships/hyperlink" Target="https://www.youtube.com/channel/UCNMUBdKm5y66neKKmfZVyPQ" TargetMode="External"/><Relationship Id="rId31" Type="http://schemas.openxmlformats.org/officeDocument/2006/relationships/hyperlink" Target="https://www.youtube.com/channel/UCYt7jyCUwuhpFvPT3qAlj8w" TargetMode="External"/><Relationship Id="rId30" Type="http://schemas.openxmlformats.org/officeDocument/2006/relationships/hyperlink" Target="https://www.youtube.com/channel/UCYt7jyCUwuhpFvPT3qAlj8w" TargetMode="External"/><Relationship Id="rId33" Type="http://schemas.openxmlformats.org/officeDocument/2006/relationships/hyperlink" Target="https://www.youtube.com/channel/UCx1mHWMsCO96ungWSwS5Udg" TargetMode="External"/><Relationship Id="rId32" Type="http://schemas.openxmlformats.org/officeDocument/2006/relationships/hyperlink" Target="https://www.youtube.com/channel/UCx1mHWMsCO96ungWSwS5Udg" TargetMode="External"/><Relationship Id="rId35" Type="http://schemas.openxmlformats.org/officeDocument/2006/relationships/hyperlink" Target="https://www.youtube.com/user/BleeckerStFilms" TargetMode="External"/><Relationship Id="rId34" Type="http://schemas.openxmlformats.org/officeDocument/2006/relationships/hyperlink" Target="https://www.youtube.com/user/BleeckerStFilms" TargetMode="External"/><Relationship Id="rId37" Type="http://schemas.openxmlformats.org/officeDocument/2006/relationships/hyperlink" Target="https://www.youtube.com/@BrainstormMedia90212" TargetMode="External"/><Relationship Id="rId36" Type="http://schemas.openxmlformats.org/officeDocument/2006/relationships/hyperlink" Target="https://www.youtube.com/user/brainmedia" TargetMode="External"/><Relationship Id="rId39" Type="http://schemas.openxmlformats.org/officeDocument/2006/relationships/hyperlink" Target="https://www.youtube.com/user/OfficialBGP" TargetMode="External"/><Relationship Id="rId38" Type="http://schemas.openxmlformats.org/officeDocument/2006/relationships/hyperlink" Target="https://www.youtube.com/user/OfficialBGP" TargetMode="External"/><Relationship Id="rId20" Type="http://schemas.openxmlformats.org/officeDocument/2006/relationships/hyperlink" Target="https://www.youtube.com/user/ArchstoneDistb" TargetMode="External"/><Relationship Id="rId22" Type="http://schemas.openxmlformats.org/officeDocument/2006/relationships/hyperlink" Target="https://www.youtube.com/user/ArgotPic" TargetMode="External"/><Relationship Id="rId21" Type="http://schemas.openxmlformats.org/officeDocument/2006/relationships/hyperlink" Target="https://www.youtube.com/user/ArchstoneDistb" TargetMode="External"/><Relationship Id="rId24" Type="http://schemas.openxmlformats.org/officeDocument/2006/relationships/hyperlink" Target="https://www.youtube.com/channel/UCMLA_XtSbnfjXHL2An8zfGg" TargetMode="External"/><Relationship Id="rId23" Type="http://schemas.openxmlformats.org/officeDocument/2006/relationships/hyperlink" Target="https://www.youtube.com/user/ArgotPic" TargetMode="External"/><Relationship Id="rId26" Type="http://schemas.openxmlformats.org/officeDocument/2006/relationships/hyperlink" Target="https://www.youtube.com/channel/UCQryfk_8wo0jT8rSSppgS2Q" TargetMode="External"/><Relationship Id="rId25" Type="http://schemas.openxmlformats.org/officeDocument/2006/relationships/hyperlink" Target="https://www.youtube.com/channel/UCMLA_XtSbnfjXHL2An8zfGg" TargetMode="External"/><Relationship Id="rId28" Type="http://schemas.openxmlformats.org/officeDocument/2006/relationships/hyperlink" Target="https://www.youtube.com/user/BBCWorldwide" TargetMode="External"/><Relationship Id="rId27" Type="http://schemas.openxmlformats.org/officeDocument/2006/relationships/hyperlink" Target="https://www.youtube.com/channel/UCQryfk_8wo0jT8rSSppgS2Q" TargetMode="External"/><Relationship Id="rId400" Type="http://schemas.openxmlformats.org/officeDocument/2006/relationships/vmlDrawing" Target="../drawings/vmlDrawing3.vml"/><Relationship Id="rId29" Type="http://schemas.openxmlformats.org/officeDocument/2006/relationships/hyperlink" Target="https://www.youtube.com/user/BBCWorldwide" TargetMode="External"/><Relationship Id="rId11" Type="http://schemas.openxmlformats.org/officeDocument/2006/relationships/hyperlink" Target="https://www.youtube.com/user/adoptfilms" TargetMode="External"/><Relationship Id="rId10" Type="http://schemas.openxmlformats.org/officeDocument/2006/relationships/hyperlink" Target="https://www.youtube.com/user/adoptfilms" TargetMode="External"/><Relationship Id="rId13" Type="http://schemas.openxmlformats.org/officeDocument/2006/relationships/hyperlink" Target="https://www.youtube.com/user/amazonstudios" TargetMode="External"/><Relationship Id="rId12" Type="http://schemas.openxmlformats.org/officeDocument/2006/relationships/hyperlink" Target="https://www.youtube.com/user/amazonstudios" TargetMode="External"/><Relationship Id="rId15" Type="http://schemas.openxmlformats.org/officeDocument/2006/relationships/hyperlink" Target="https://www.youtube.com/user/AmericanExperience" TargetMode="External"/><Relationship Id="rId14" Type="http://schemas.openxmlformats.org/officeDocument/2006/relationships/hyperlink" Target="https://www.youtube.com/user/AmericanExperience" TargetMode="External"/><Relationship Id="rId17" Type="http://schemas.openxmlformats.org/officeDocument/2006/relationships/hyperlink" Target="https://www.youtube.com/user/amplifyreleasing" TargetMode="External"/><Relationship Id="rId16" Type="http://schemas.openxmlformats.org/officeDocument/2006/relationships/hyperlink" Target="https://www.youtube.com/user/amplifyreleasing" TargetMode="External"/><Relationship Id="rId19" Type="http://schemas.openxmlformats.org/officeDocument/2006/relationships/hyperlink" Target="https://www.youtube.com/channel/UC3YyZ4Pw0aWm_GaCtTCylcw" TargetMode="External"/><Relationship Id="rId18" Type="http://schemas.openxmlformats.org/officeDocument/2006/relationships/hyperlink" Target="https://www.youtube.com/channel/UC3YyZ4Pw0aWm_GaCtTCylcw" TargetMode="External"/><Relationship Id="rId84" Type="http://schemas.openxmlformats.org/officeDocument/2006/relationships/hyperlink" Target="https://www.youtube.com/filmbuff" TargetMode="External"/><Relationship Id="rId83" Type="http://schemas.openxmlformats.org/officeDocument/2006/relationships/hyperlink" Target="https://www.youtube.com/channel/UCfNROWwwASS1Zwy7s0Xyu6A" TargetMode="External"/><Relationship Id="rId86" Type="http://schemas.openxmlformats.org/officeDocument/2006/relationships/hyperlink" Target="https://www.youtube.com/user/FilmMovement" TargetMode="External"/><Relationship Id="rId85" Type="http://schemas.openxmlformats.org/officeDocument/2006/relationships/hyperlink" Target="https://www.youtube.com/filmbuff" TargetMode="External"/><Relationship Id="rId88" Type="http://schemas.openxmlformats.org/officeDocument/2006/relationships/hyperlink" Target="https://www.youtube.com/channel/UCigBBfWRC05eW9_5DjJLq_Q" TargetMode="External"/><Relationship Id="rId87" Type="http://schemas.openxmlformats.org/officeDocument/2006/relationships/hyperlink" Target="https://www.youtube.com/user/FilmMovement" TargetMode="External"/><Relationship Id="rId89" Type="http://schemas.openxmlformats.org/officeDocument/2006/relationships/hyperlink" Target="https://www.youtube.com/channel/UCigBBfWRC05eW9_5DjJLq_Q" TargetMode="External"/><Relationship Id="rId80" Type="http://schemas.openxmlformats.org/officeDocument/2006/relationships/hyperlink" Target="https://www.youtube.com/channel/UCW6ZAYDUG7-lfzuN2TuZtzg" TargetMode="External"/><Relationship Id="rId82" Type="http://schemas.openxmlformats.org/officeDocument/2006/relationships/hyperlink" Target="https://www.youtube.com/channel/UCfNROWwwASS1Zwy7s0Xyu6A" TargetMode="External"/><Relationship Id="rId81" Type="http://schemas.openxmlformats.org/officeDocument/2006/relationships/hyperlink" Target="https://www.youtube.com/channel/UCW6ZAYDUG7-lfzuN2TuZtzg" TargetMode="External"/><Relationship Id="rId73" Type="http://schemas.openxmlformats.org/officeDocument/2006/relationships/hyperlink" Target="https://www.youtube.com/user/officialElectricE" TargetMode="External"/><Relationship Id="rId72" Type="http://schemas.openxmlformats.org/officeDocument/2006/relationships/hyperlink" Target="https://www.youtube.com/user/officialElectricE" TargetMode="External"/><Relationship Id="rId75" Type="http://schemas.openxmlformats.org/officeDocument/2006/relationships/hyperlink" Target="https://www.youtube.com/user/ELEVENARTSinc" TargetMode="External"/><Relationship Id="rId74" Type="http://schemas.openxmlformats.org/officeDocument/2006/relationships/hyperlink" Target="https://www.youtube.com/user/ELEVENARTSinc" TargetMode="External"/><Relationship Id="rId77" Type="http://schemas.openxmlformats.org/officeDocument/2006/relationships/hyperlink" Target="https://www.youtube.com/user/entertainmentone" TargetMode="External"/><Relationship Id="rId76" Type="http://schemas.openxmlformats.org/officeDocument/2006/relationships/hyperlink" Target="https://www.youtube.com/user/entertainmentone" TargetMode="External"/><Relationship Id="rId79" Type="http://schemas.openxmlformats.org/officeDocument/2006/relationships/hyperlink" Target="https://www.youtube.com/user/epicpicturesgroup" TargetMode="External"/><Relationship Id="rId78" Type="http://schemas.openxmlformats.org/officeDocument/2006/relationships/hyperlink" Target="https://www.youtube.com/user/epicpicturesgroup" TargetMode="External"/><Relationship Id="rId71" Type="http://schemas.openxmlformats.org/officeDocument/2006/relationships/hyperlink" Target="http://www.youtube.com/user/DreamworksAnimation" TargetMode="External"/><Relationship Id="rId70" Type="http://schemas.openxmlformats.org/officeDocument/2006/relationships/hyperlink" Target="http://www.youtube.com/user/DreamworksAnimation" TargetMode="External"/><Relationship Id="rId62" Type="http://schemas.openxmlformats.org/officeDocument/2006/relationships/hyperlink" Target="https://www.youtube.com/user/DimensionHorror" TargetMode="External"/><Relationship Id="rId61" Type="http://schemas.openxmlformats.org/officeDocument/2006/relationships/hyperlink" Target="https://www.youtube.com/channel/UCpMyE_fbK21NaH94O__Xz0Q" TargetMode="External"/><Relationship Id="rId64" Type="http://schemas.openxmlformats.org/officeDocument/2006/relationships/hyperlink" Target="https://www.youtube.com/@Disney" TargetMode="External"/><Relationship Id="rId63" Type="http://schemas.openxmlformats.org/officeDocument/2006/relationships/hyperlink" Target="https://www.youtube.com/user/DimensionHorror" TargetMode="External"/><Relationship Id="rId66" Type="http://schemas.openxmlformats.org/officeDocument/2006/relationships/hyperlink" Target="https://www.youtube.com/channel/UCA27eNlbatrLHhWZyHMUDew" TargetMode="External"/><Relationship Id="rId65" Type="http://schemas.openxmlformats.org/officeDocument/2006/relationships/hyperlink" Target="https://www.youtube.com/user/DisneyMovieTrailers" TargetMode="External"/><Relationship Id="rId68" Type="http://schemas.openxmlformats.org/officeDocument/2006/relationships/hyperlink" Target="https://www.youtube.com/user/drafthousefilms" TargetMode="External"/><Relationship Id="rId67" Type="http://schemas.openxmlformats.org/officeDocument/2006/relationships/hyperlink" Target="https://www.youtube.com/channel/UCA27eNlbatrLHhWZyHMUDew" TargetMode="External"/><Relationship Id="rId60" Type="http://schemas.openxmlformats.org/officeDocument/2006/relationships/hyperlink" Target="https://www.youtube.com/channel/UCpMyE_fbK21NaH94O__Xz0Q" TargetMode="External"/><Relationship Id="rId69" Type="http://schemas.openxmlformats.org/officeDocument/2006/relationships/hyperlink" Target="https://www.youtube.com/user/drafthousefilms" TargetMode="External"/><Relationship Id="rId51" Type="http://schemas.openxmlformats.org/officeDocument/2006/relationships/hyperlink" Target="https://www.youtube.com/user/chinalionfilm" TargetMode="External"/><Relationship Id="rId50" Type="http://schemas.openxmlformats.org/officeDocument/2006/relationships/hyperlink" Target="https://www.youtube.com/user/chinalionfilm" TargetMode="External"/><Relationship Id="rId53" Type="http://schemas.openxmlformats.org/officeDocument/2006/relationships/hyperlink" Target="https://www.youtube.com/user/NewVideoDigital" TargetMode="External"/><Relationship Id="rId52" Type="http://schemas.openxmlformats.org/officeDocument/2006/relationships/hyperlink" Target="https://www.youtube.com/user/NewVideoDigital" TargetMode="External"/><Relationship Id="rId55" Type="http://schemas.openxmlformats.org/officeDocument/2006/relationships/hyperlink" Target="https://www.youtube.com/user/TCDDC3" TargetMode="External"/><Relationship Id="rId54" Type="http://schemas.openxmlformats.org/officeDocument/2006/relationships/hyperlink" Target="https://www.youtube.com/user/TCDDC3" TargetMode="External"/><Relationship Id="rId57" Type="http://schemas.openxmlformats.org/officeDocument/2006/relationships/hyperlink" Target="https://www.youtube.com/user/CJEntertainmentUSA" TargetMode="External"/><Relationship Id="rId56" Type="http://schemas.openxmlformats.org/officeDocument/2006/relationships/hyperlink" Target="https://www.youtube.com/user/CJEntertainmentUSA" TargetMode="External"/><Relationship Id="rId59" Type="http://schemas.openxmlformats.org/officeDocument/2006/relationships/hyperlink" Target="https://www.youtube.com/user/CohenMediaGroup" TargetMode="External"/><Relationship Id="rId58" Type="http://schemas.openxmlformats.org/officeDocument/2006/relationships/hyperlink" Target="https://www.youtube.com/user/CohenMediaGroup" TargetMode="External"/><Relationship Id="rId107" Type="http://schemas.openxmlformats.org/officeDocument/2006/relationships/hyperlink" Target="https://www.youtube.com/user/FUNimation" TargetMode="External"/><Relationship Id="rId228" Type="http://schemas.openxmlformats.org/officeDocument/2006/relationships/hyperlink" Target="https://www.youtube.com/user/wellgousa" TargetMode="External"/><Relationship Id="rId349" Type="http://schemas.openxmlformats.org/officeDocument/2006/relationships/hyperlink" Target="https://www.youtube.com/@funasiafilms" TargetMode="External"/><Relationship Id="rId106" Type="http://schemas.openxmlformats.org/officeDocument/2006/relationships/hyperlink" Target="https://www.youtube.com/user/FUNimation" TargetMode="External"/><Relationship Id="rId227" Type="http://schemas.openxmlformats.org/officeDocument/2006/relationships/hyperlink" Target="https://www.youtube.com/user/TheWeinsteinCompany" TargetMode="External"/><Relationship Id="rId348" Type="http://schemas.openxmlformats.org/officeDocument/2006/relationships/hyperlink" Target="https://www.youtube.com/@magnolianetwork" TargetMode="External"/><Relationship Id="rId105" Type="http://schemas.openxmlformats.org/officeDocument/2006/relationships/hyperlink" Target="https://www.youtube.com/user/Fullscreen" TargetMode="External"/><Relationship Id="rId226" Type="http://schemas.openxmlformats.org/officeDocument/2006/relationships/hyperlink" Target="https://www.youtube.com/user/TheWeinsteinCompany" TargetMode="External"/><Relationship Id="rId347" Type="http://schemas.openxmlformats.org/officeDocument/2006/relationships/hyperlink" Target="https://www.youtube.com/@magnolianetwork" TargetMode="External"/><Relationship Id="rId104" Type="http://schemas.openxmlformats.org/officeDocument/2006/relationships/hyperlink" Target="https://www.youtube.com/user/Fullscreen" TargetMode="External"/><Relationship Id="rId225" Type="http://schemas.openxmlformats.org/officeDocument/2006/relationships/hyperlink" Target="https://www.youtube.com/user/WarnerBrosPictures" TargetMode="External"/><Relationship Id="rId346" Type="http://schemas.openxmlformats.org/officeDocument/2006/relationships/hyperlink" Target="https://www.youtube.com/@UtopiaMovies" TargetMode="External"/><Relationship Id="rId109" Type="http://schemas.openxmlformats.org/officeDocument/2006/relationships/hyperlink" Target="https://www.youtube.com/user/GKIDStv" TargetMode="External"/><Relationship Id="rId108" Type="http://schemas.openxmlformats.org/officeDocument/2006/relationships/hyperlink" Target="https://www.youtube.com/user/GKIDStv" TargetMode="External"/><Relationship Id="rId229" Type="http://schemas.openxmlformats.org/officeDocument/2006/relationships/hyperlink" Target="https://www.youtube.com/user/wellgousa" TargetMode="External"/><Relationship Id="rId220" Type="http://schemas.openxmlformats.org/officeDocument/2006/relationships/hyperlink" Target="https://www.youtube.com/user/vertentla" TargetMode="External"/><Relationship Id="rId341" Type="http://schemas.openxmlformats.org/officeDocument/2006/relationships/hyperlink" Target="https://www.youtube.com/@rowkpresents" TargetMode="External"/><Relationship Id="rId340" Type="http://schemas.openxmlformats.org/officeDocument/2006/relationships/hyperlink" Target="https://www.youtube.com/@ObscuredReleasing" TargetMode="External"/><Relationship Id="rId103" Type="http://schemas.openxmlformats.org/officeDocument/2006/relationships/hyperlink" Target="https://www.youtube.com/channel/UC-ZrPpPr79psf_4Y6AbIxSA" TargetMode="External"/><Relationship Id="rId224" Type="http://schemas.openxmlformats.org/officeDocument/2006/relationships/hyperlink" Target="https://www.youtube.com/user/WarnerBrosPictures" TargetMode="External"/><Relationship Id="rId345" Type="http://schemas.openxmlformats.org/officeDocument/2006/relationships/hyperlink" Target="https://www.youtube.com/@UtopiaMovies" TargetMode="External"/><Relationship Id="rId102" Type="http://schemas.openxmlformats.org/officeDocument/2006/relationships/hyperlink" Target="https://www.youtube.com/channel/UC-ZrPpPr79psf_4Y6AbIxSA" TargetMode="External"/><Relationship Id="rId223" Type="http://schemas.openxmlformats.org/officeDocument/2006/relationships/hyperlink" Target="https://www.youtube.com/user/VladarTV" TargetMode="External"/><Relationship Id="rId344" Type="http://schemas.openxmlformats.org/officeDocument/2006/relationships/hyperlink" Target="https://www.youtube.com/@area23a" TargetMode="External"/><Relationship Id="rId101" Type="http://schemas.openxmlformats.org/officeDocument/2006/relationships/hyperlink" Target="https://www.youtube.com/user/FoxStarHindi" TargetMode="External"/><Relationship Id="rId222" Type="http://schemas.openxmlformats.org/officeDocument/2006/relationships/hyperlink" Target="https://www.youtube.com/user/VladarTV" TargetMode="External"/><Relationship Id="rId343" Type="http://schemas.openxmlformats.org/officeDocument/2006/relationships/hyperlink" Target="https://www.youtube.com/@area23a" TargetMode="External"/><Relationship Id="rId100" Type="http://schemas.openxmlformats.org/officeDocument/2006/relationships/hyperlink" Target="https://www.youtube.com/user/FoxStarHindi" TargetMode="External"/><Relationship Id="rId221" Type="http://schemas.openxmlformats.org/officeDocument/2006/relationships/hyperlink" Target="https://www.youtube.com/user/vertentla" TargetMode="External"/><Relationship Id="rId342" Type="http://schemas.openxmlformats.org/officeDocument/2006/relationships/hyperlink" Target="https://www.youtube.com/@rowkpresents" TargetMode="External"/><Relationship Id="rId217" Type="http://schemas.openxmlformats.org/officeDocument/2006/relationships/hyperlink" Target="https://www.youtube.com/channel/UCJy0oG91N0qQB806htIOlMg" TargetMode="External"/><Relationship Id="rId338" Type="http://schemas.openxmlformats.org/officeDocument/2006/relationships/hyperlink" Target="https://www.youtube.com/@blueharborentertainment" TargetMode="External"/><Relationship Id="rId216" Type="http://schemas.openxmlformats.org/officeDocument/2006/relationships/hyperlink" Target="https://www.youtube.com/channel/UCJy0oG91N0qQB806htIOlMg" TargetMode="External"/><Relationship Id="rId337" Type="http://schemas.openxmlformats.org/officeDocument/2006/relationships/hyperlink" Target="https://www.youtube.com/@blueharborentertainment" TargetMode="External"/><Relationship Id="rId215" Type="http://schemas.openxmlformats.org/officeDocument/2006/relationships/hyperlink" Target="https://www.youtube.com/user/UTVMotionPictures" TargetMode="External"/><Relationship Id="rId336" Type="http://schemas.openxmlformats.org/officeDocument/2006/relationships/hyperlink" Target="https://www.youtube.com/@buffalo8moviechannel" TargetMode="External"/><Relationship Id="rId214" Type="http://schemas.openxmlformats.org/officeDocument/2006/relationships/hyperlink" Target="https://www.youtube.com/user/UTVMotionPictures" TargetMode="External"/><Relationship Id="rId335" Type="http://schemas.openxmlformats.org/officeDocument/2006/relationships/hyperlink" Target="https://www.youtube.com/@buffalo8moviechannel" TargetMode="External"/><Relationship Id="rId219" Type="http://schemas.openxmlformats.org/officeDocument/2006/relationships/hyperlink" Target="https://www.youtube.com/user/VarianceFilms" TargetMode="External"/><Relationship Id="rId218" Type="http://schemas.openxmlformats.org/officeDocument/2006/relationships/hyperlink" Target="https://www.youtube.com/user/VarianceFilms" TargetMode="External"/><Relationship Id="rId339" Type="http://schemas.openxmlformats.org/officeDocument/2006/relationships/hyperlink" Target="https://www.youtube.com/@ObscuredReleasing" TargetMode="External"/><Relationship Id="rId330" Type="http://schemas.openxmlformats.org/officeDocument/2006/relationships/hyperlink" Target="https://www.youtube.com/@12Special" TargetMode="External"/><Relationship Id="rId213" Type="http://schemas.openxmlformats.org/officeDocument/2006/relationships/hyperlink" Target="https://www.youtube.com/user/UniversalPictures" TargetMode="External"/><Relationship Id="rId334" Type="http://schemas.openxmlformats.org/officeDocument/2006/relationships/hyperlink" Target="https://www.youtube.com/channel/UCf5CjDJvsFvtVIhkfmKAwAA" TargetMode="External"/><Relationship Id="rId212" Type="http://schemas.openxmlformats.org/officeDocument/2006/relationships/hyperlink" Target="https://www.youtube.com/user/UniversalPictures" TargetMode="External"/><Relationship Id="rId333" Type="http://schemas.openxmlformats.org/officeDocument/2006/relationships/hyperlink" Target="https://www.youtube.com/channel/UCf5CjDJvsFvtVIhkfmKAwAA" TargetMode="External"/><Relationship Id="rId211" Type="http://schemas.openxmlformats.org/officeDocument/2006/relationships/hyperlink" Target="https://www.youtube.com/channel/UCnGPzvxv-wveRE3XWIfgI6g" TargetMode="External"/><Relationship Id="rId332" Type="http://schemas.openxmlformats.org/officeDocument/2006/relationships/hyperlink" Target="https://www.youtube.com/channel/UC3jMepkLKF8y4iiwWmAB3RA" TargetMode="External"/><Relationship Id="rId210" Type="http://schemas.openxmlformats.org/officeDocument/2006/relationships/hyperlink" Target="https://www.youtube.com/channel/UCnGPzvxv-wveRE3XWIfgI6g" TargetMode="External"/><Relationship Id="rId331" Type="http://schemas.openxmlformats.org/officeDocument/2006/relationships/hyperlink" Target="https://www.youtube.com/channel/UC3jMepkLKF8y4iiwWmAB3RA" TargetMode="External"/><Relationship Id="rId370" Type="http://schemas.openxmlformats.org/officeDocument/2006/relationships/hyperlink" Target="https://www.youtube.com/@SKFilmsTO" TargetMode="External"/><Relationship Id="rId129" Type="http://schemas.openxmlformats.org/officeDocument/2006/relationships/hyperlink" Target="https://www.youtube.com/user/janusfilmsnyc" TargetMode="External"/><Relationship Id="rId128" Type="http://schemas.openxmlformats.org/officeDocument/2006/relationships/hyperlink" Target="https://www.youtube.com/user/janusfilmsnyc" TargetMode="External"/><Relationship Id="rId249" Type="http://schemas.openxmlformats.org/officeDocument/2006/relationships/hyperlink" Target="https://www.youtube.com/user/MagnoliaPictures" TargetMode="External"/><Relationship Id="rId127" Type="http://schemas.openxmlformats.org/officeDocument/2006/relationships/hyperlink" Target="https://www.youtube.com/user/INTLFilmCircuit" TargetMode="External"/><Relationship Id="rId248" Type="http://schemas.openxmlformats.org/officeDocument/2006/relationships/hyperlink" Target="https://www.youtube.com/user/MagnoliaPictures" TargetMode="External"/><Relationship Id="rId369" Type="http://schemas.openxmlformats.org/officeDocument/2006/relationships/hyperlink" Target="https://www.youtube.com/@SKFilmsTO" TargetMode="External"/><Relationship Id="rId126" Type="http://schemas.openxmlformats.org/officeDocument/2006/relationships/hyperlink" Target="https://www.youtube.com/user/INTLFilmCircuit" TargetMode="External"/><Relationship Id="rId247" Type="http://schemas.openxmlformats.org/officeDocument/2006/relationships/hyperlink" Target="https://www.youtube.com/channel/UCcBc1tm8FIA85I1Rh9sQSeQ" TargetMode="External"/><Relationship Id="rId368" Type="http://schemas.openxmlformats.org/officeDocument/2006/relationships/hyperlink" Target="https://www.youtube.com/@MonumentReleasing" TargetMode="External"/><Relationship Id="rId121" Type="http://schemas.openxmlformats.org/officeDocument/2006/relationships/hyperlink" Target="https://www.youtube.com/user/IFCFilmsTube" TargetMode="External"/><Relationship Id="rId242" Type="http://schemas.openxmlformats.org/officeDocument/2006/relationships/hyperlink" Target="https://www.youtube.com/user/dsf2006" TargetMode="External"/><Relationship Id="rId363" Type="http://schemas.openxmlformats.org/officeDocument/2006/relationships/hyperlink" Target="https://www.youtube.com/@AffirmFilms" TargetMode="External"/><Relationship Id="rId120" Type="http://schemas.openxmlformats.org/officeDocument/2006/relationships/hyperlink" Target="https://www.youtube.com/user/IFCFilmsTube" TargetMode="External"/><Relationship Id="rId241" Type="http://schemas.openxmlformats.org/officeDocument/2006/relationships/hyperlink" Target="https://www.youtube.com/user/FathomEvents" TargetMode="External"/><Relationship Id="rId362" Type="http://schemas.openxmlformats.org/officeDocument/2006/relationships/hyperlink" Target="https://www.youtube.com/@FoundationMediaPartners-c9p" TargetMode="External"/><Relationship Id="rId240" Type="http://schemas.openxmlformats.org/officeDocument/2006/relationships/hyperlink" Target="https://www.youtube.com/user/FathomEvents" TargetMode="External"/><Relationship Id="rId361" Type="http://schemas.openxmlformats.org/officeDocument/2006/relationships/hyperlink" Target="https://www.youtube.com/@FoundationMediaPartners-c9p" TargetMode="External"/><Relationship Id="rId360" Type="http://schemas.openxmlformats.org/officeDocument/2006/relationships/hyperlink" Target="https://www.youtube.com/@antennaentertainments" TargetMode="External"/><Relationship Id="rId125" Type="http://schemas.openxmlformats.org/officeDocument/2006/relationships/hyperlink" Target="https://www.youtube.com/user/IndicanPictures" TargetMode="External"/><Relationship Id="rId246" Type="http://schemas.openxmlformats.org/officeDocument/2006/relationships/hyperlink" Target="https://www.youtube.com/channel/UCcBc1tm8FIA85I1Rh9sQSeQ" TargetMode="External"/><Relationship Id="rId367" Type="http://schemas.openxmlformats.org/officeDocument/2006/relationships/hyperlink" Target="https://www.youtube.com/@MonumentReleasing" TargetMode="External"/><Relationship Id="rId124" Type="http://schemas.openxmlformats.org/officeDocument/2006/relationships/hyperlink" Target="https://www.youtube.com/user/IndicanPictures" TargetMode="External"/><Relationship Id="rId245" Type="http://schemas.openxmlformats.org/officeDocument/2006/relationships/hyperlink" Target="https://www.youtube.com/user/annapurnapictures" TargetMode="External"/><Relationship Id="rId366" Type="http://schemas.openxmlformats.org/officeDocument/2006/relationships/hyperlink" Target="https://www.youtube.com/@IndependentFilmCompany" TargetMode="External"/><Relationship Id="rId123" Type="http://schemas.openxmlformats.org/officeDocument/2006/relationships/hyperlink" Target="https://www.youtube.com/user/imaxmovies" TargetMode="External"/><Relationship Id="rId244" Type="http://schemas.openxmlformats.org/officeDocument/2006/relationships/hyperlink" Target="https://www.youtube.com/user/annapurnapictures" TargetMode="External"/><Relationship Id="rId365" Type="http://schemas.openxmlformats.org/officeDocument/2006/relationships/hyperlink" Target="https://www.youtube.com/@IndependentFilmCompany" TargetMode="External"/><Relationship Id="rId122" Type="http://schemas.openxmlformats.org/officeDocument/2006/relationships/hyperlink" Target="https://www.youtube.com/user/imaxmovies" TargetMode="External"/><Relationship Id="rId243" Type="http://schemas.openxmlformats.org/officeDocument/2006/relationships/hyperlink" Target="https://www.youtube.com/user/dsf2006" TargetMode="External"/><Relationship Id="rId364" Type="http://schemas.openxmlformats.org/officeDocument/2006/relationships/hyperlink" Target="https://www.youtube.com/@AffirmFilms" TargetMode="External"/><Relationship Id="rId95" Type="http://schemas.openxmlformats.org/officeDocument/2006/relationships/hyperlink" Target="https://www.youtube.com/channel/UCd2lKedSVlGI8FVL9m5a9PQ" TargetMode="External"/><Relationship Id="rId94" Type="http://schemas.openxmlformats.org/officeDocument/2006/relationships/hyperlink" Target="https://www.youtube.com/channel/UCd2lKedSVlGI8FVL9m5a9PQ" TargetMode="External"/><Relationship Id="rId97" Type="http://schemas.openxmlformats.org/officeDocument/2006/relationships/hyperlink" Target="https://www.youtube.com/channel/UC8rtLjz6aLi6HAZ1yrNfGzw" TargetMode="External"/><Relationship Id="rId96" Type="http://schemas.openxmlformats.org/officeDocument/2006/relationships/hyperlink" Target="https://www.youtube.com/channel/UC8rtLjz6aLi6HAZ1yrNfGzw" TargetMode="External"/><Relationship Id="rId99" Type="http://schemas.openxmlformats.org/officeDocument/2006/relationships/hyperlink" Target="https://www.youtube.com/user/FoxSearchlight" TargetMode="External"/><Relationship Id="rId98" Type="http://schemas.openxmlformats.org/officeDocument/2006/relationships/hyperlink" Target="https://www.youtube.com/user/FoxSearchlight" TargetMode="External"/><Relationship Id="rId91" Type="http://schemas.openxmlformats.org/officeDocument/2006/relationships/hyperlink" Target="https://www.youtube.com/user/firstrunfeaturesnyc" TargetMode="External"/><Relationship Id="rId90" Type="http://schemas.openxmlformats.org/officeDocument/2006/relationships/hyperlink" Target="https://www.youtube.com/user/firstrunfeaturesnyc" TargetMode="External"/><Relationship Id="rId93" Type="http://schemas.openxmlformats.org/officeDocument/2006/relationships/hyperlink" Target="https://www.youtube.com/user/FocusFeatures" TargetMode="External"/><Relationship Id="rId92" Type="http://schemas.openxmlformats.org/officeDocument/2006/relationships/hyperlink" Target="https://www.youtube.com/user/FocusFeatures" TargetMode="External"/><Relationship Id="rId118" Type="http://schemas.openxmlformats.org/officeDocument/2006/relationships/hyperlink" Target="https://www.youtube.com/user/IcarusFilmsNY" TargetMode="External"/><Relationship Id="rId239" Type="http://schemas.openxmlformats.org/officeDocument/2006/relationships/hyperlink" Target="https://www.youtube.com/user/ZeitgeistFilms" TargetMode="External"/><Relationship Id="rId117" Type="http://schemas.openxmlformats.org/officeDocument/2006/relationships/hyperlink" Target="https://www.youtube.com/channel/UCBVDbMnHRML8pF2tpDLxAIg" TargetMode="External"/><Relationship Id="rId238" Type="http://schemas.openxmlformats.org/officeDocument/2006/relationships/hyperlink" Target="https://www.youtube.com/user/ZeitgeistFilms" TargetMode="External"/><Relationship Id="rId359" Type="http://schemas.openxmlformats.org/officeDocument/2006/relationships/hyperlink" Target="https://www.youtube.com/@antennaentertainments" TargetMode="External"/><Relationship Id="rId116" Type="http://schemas.openxmlformats.org/officeDocument/2006/relationships/hyperlink" Target="https://www.youtube.com/channel/UCBVDbMnHRML8pF2tpDLxAIg" TargetMode="External"/><Relationship Id="rId237" Type="http://schemas.openxmlformats.org/officeDocument/2006/relationships/hyperlink" Target="https://www.youtube.com/user/zeetv" TargetMode="External"/><Relationship Id="rId358" Type="http://schemas.openxmlformats.org/officeDocument/2006/relationships/hyperlink" Target="https://www.youtube.com/@INAUGURALENTERTAINMENT" TargetMode="External"/><Relationship Id="rId115" Type="http://schemas.openxmlformats.org/officeDocument/2006/relationships/hyperlink" Target="https://www.youtube.com/user/HannoverMovies" TargetMode="External"/><Relationship Id="rId236" Type="http://schemas.openxmlformats.org/officeDocument/2006/relationships/hyperlink" Target="https://www.youtube.com/user/zeetv" TargetMode="External"/><Relationship Id="rId357" Type="http://schemas.openxmlformats.org/officeDocument/2006/relationships/hyperlink" Target="https://www.youtube.com/@INAUGURALENTERTAINMENT" TargetMode="External"/><Relationship Id="rId119" Type="http://schemas.openxmlformats.org/officeDocument/2006/relationships/hyperlink" Target="https://www.youtube.com/user/IcarusFilmsNY" TargetMode="External"/><Relationship Id="rId110" Type="http://schemas.openxmlformats.org/officeDocument/2006/relationships/hyperlink" Target="https://www.youtube.com/user/GravitasVOD" TargetMode="External"/><Relationship Id="rId231" Type="http://schemas.openxmlformats.org/officeDocument/2006/relationships/hyperlink" Target="https://www.youtube.com/user/VanishingAngle1" TargetMode="External"/><Relationship Id="rId352" Type="http://schemas.openxmlformats.org/officeDocument/2006/relationships/hyperlink" Target="https://www.youtube.com/@VertigoReleasing" TargetMode="External"/><Relationship Id="rId230" Type="http://schemas.openxmlformats.org/officeDocument/2006/relationships/hyperlink" Target="https://www.youtube.com/user/VanishingAngle1" TargetMode="External"/><Relationship Id="rId351" Type="http://schemas.openxmlformats.org/officeDocument/2006/relationships/hyperlink" Target="https://www.youtube.com/@VertigoReleasing" TargetMode="External"/><Relationship Id="rId350" Type="http://schemas.openxmlformats.org/officeDocument/2006/relationships/hyperlink" Target="https://www.youtube.com/@funasiafilms" TargetMode="External"/><Relationship Id="rId114" Type="http://schemas.openxmlformats.org/officeDocument/2006/relationships/hyperlink" Target="https://www.youtube.com/user/HannoverMovies" TargetMode="External"/><Relationship Id="rId235" Type="http://schemas.openxmlformats.org/officeDocument/2006/relationships/hyperlink" Target="https://www.youtube.com/user/yrf" TargetMode="External"/><Relationship Id="rId356" Type="http://schemas.openxmlformats.org/officeDocument/2006/relationships/hyperlink" Target="https://www.youtube.com/@SumerianRecords" TargetMode="External"/><Relationship Id="rId113" Type="http://schemas.openxmlformats.org/officeDocument/2006/relationships/hyperlink" Target="https://www.youtube.com/channel/UCo1oPj6t6uVt_hncvoE41cw" TargetMode="External"/><Relationship Id="rId234" Type="http://schemas.openxmlformats.org/officeDocument/2006/relationships/hyperlink" Target="https://www.youtube.com/user/yrf" TargetMode="External"/><Relationship Id="rId355" Type="http://schemas.openxmlformats.org/officeDocument/2006/relationships/hyperlink" Target="https://www.youtube.com/@SumerianRecords" TargetMode="External"/><Relationship Id="rId112" Type="http://schemas.openxmlformats.org/officeDocument/2006/relationships/hyperlink" Target="https://www.youtube.com/channel/UCo1oPj6t6uVt_hncvoE41cw" TargetMode="External"/><Relationship Id="rId233" Type="http://schemas.openxmlformats.org/officeDocument/2006/relationships/hyperlink" Target="https://www.youtube.com/user/YFGR" TargetMode="External"/><Relationship Id="rId354" Type="http://schemas.openxmlformats.org/officeDocument/2006/relationships/hyperlink" Target="https://www.youtube.com/@MagentaLightStudios" TargetMode="External"/><Relationship Id="rId111" Type="http://schemas.openxmlformats.org/officeDocument/2006/relationships/hyperlink" Target="https://www.youtube.com/user/GravitasVOD" TargetMode="External"/><Relationship Id="rId232" Type="http://schemas.openxmlformats.org/officeDocument/2006/relationships/hyperlink" Target="https://www.youtube.com/user/YFGR" TargetMode="External"/><Relationship Id="rId353" Type="http://schemas.openxmlformats.org/officeDocument/2006/relationships/hyperlink" Target="https://www.youtube.com/@MagentaLightStudios" TargetMode="External"/><Relationship Id="rId305" Type="http://schemas.openxmlformats.org/officeDocument/2006/relationships/hyperlink" Target="https://www.youtube.com/@MaddockFilms" TargetMode="External"/><Relationship Id="rId304" Type="http://schemas.openxmlformats.org/officeDocument/2006/relationships/hyperlink" Target="https://www.youtube.com/channel/UC_go6P0dmSPFeL95NZVXNkw" TargetMode="External"/><Relationship Id="rId303" Type="http://schemas.openxmlformats.org/officeDocument/2006/relationships/hyperlink" Target="https://www.youtube.com/@EasternEdgeFilms" TargetMode="External"/><Relationship Id="rId302" Type="http://schemas.openxmlformats.org/officeDocument/2006/relationships/hyperlink" Target="https://www.youtube.com/channel/UCkcCbPmCuFAAUWS1Tjk3uqQ" TargetMode="External"/><Relationship Id="rId309" Type="http://schemas.openxmlformats.org/officeDocument/2006/relationships/hyperlink" Target="https://www.youtube.com/channel/UCkSYuqUfCwg1w2dYuC4ejcA" TargetMode="External"/><Relationship Id="rId308" Type="http://schemas.openxmlformats.org/officeDocument/2006/relationships/hyperlink" Target="https://www.youtube.com/channel/UCQIjTyWmLEdsfqMQay0yGMA" TargetMode="External"/><Relationship Id="rId307" Type="http://schemas.openxmlformats.org/officeDocument/2006/relationships/hyperlink" Target="https://www.youtube.com/@FirebookEntertainment" TargetMode="External"/><Relationship Id="rId306" Type="http://schemas.openxmlformats.org/officeDocument/2006/relationships/hyperlink" Target="https://www.youtube.com/user/nordouestfilms" TargetMode="External"/><Relationship Id="rId301" Type="http://schemas.openxmlformats.org/officeDocument/2006/relationships/hyperlink" Target="https://www.youtube.com/channel/UCRdFJZvfjtNTj7y7wRMORqg" TargetMode="External"/><Relationship Id="rId300" Type="http://schemas.openxmlformats.org/officeDocument/2006/relationships/hyperlink" Target="https://www.youtube.com/@vivapictures" TargetMode="External"/><Relationship Id="rId206" Type="http://schemas.openxmlformats.org/officeDocument/2006/relationships/hyperlink" Target="https://www.youtube.com/user/tricoast" TargetMode="External"/><Relationship Id="rId327" Type="http://schemas.openxmlformats.org/officeDocument/2006/relationships/hyperlink" Target="https://www.youtube.com/@iconicreleasing" TargetMode="External"/><Relationship Id="rId205" Type="http://schemas.openxmlformats.org/officeDocument/2006/relationships/hyperlink" Target="https://www.youtube.com/user/tribecafilm" TargetMode="External"/><Relationship Id="rId326" Type="http://schemas.openxmlformats.org/officeDocument/2006/relationships/hyperlink" Target="https://www.youtube.com/@cineverse_ent" TargetMode="External"/><Relationship Id="rId204" Type="http://schemas.openxmlformats.org/officeDocument/2006/relationships/hyperlink" Target="https://www.youtube.com/user/tribecafilm" TargetMode="External"/><Relationship Id="rId325" Type="http://schemas.openxmlformats.org/officeDocument/2006/relationships/hyperlink" Target="https://www.youtube.com/@cineverse_ent" TargetMode="External"/><Relationship Id="rId203" Type="http://schemas.openxmlformats.org/officeDocument/2006/relationships/hyperlink" Target="https://www.youtube.com/user/orchardmovies" TargetMode="External"/><Relationship Id="rId324" Type="http://schemas.openxmlformats.org/officeDocument/2006/relationships/hyperlink" Target="https://www.youtube.com/@mubi" TargetMode="External"/><Relationship Id="rId209" Type="http://schemas.openxmlformats.org/officeDocument/2006/relationships/hyperlink" Target="https://www.youtube.com/user/TRUTHAID" TargetMode="External"/><Relationship Id="rId208" Type="http://schemas.openxmlformats.org/officeDocument/2006/relationships/hyperlink" Target="https://www.youtube.com/user/TRUTHAID" TargetMode="External"/><Relationship Id="rId329" Type="http://schemas.openxmlformats.org/officeDocument/2006/relationships/hyperlink" Target="https://www.youtube.com/@12Special" TargetMode="External"/><Relationship Id="rId207" Type="http://schemas.openxmlformats.org/officeDocument/2006/relationships/hyperlink" Target="https://www.youtube.com/user/tricoast" TargetMode="External"/><Relationship Id="rId328" Type="http://schemas.openxmlformats.org/officeDocument/2006/relationships/hyperlink" Target="https://www.youtube.com/@iconicreleasing" TargetMode="External"/><Relationship Id="rId202" Type="http://schemas.openxmlformats.org/officeDocument/2006/relationships/hyperlink" Target="https://www.youtube.com/user/orchardmovies" TargetMode="External"/><Relationship Id="rId323" Type="http://schemas.openxmlformats.org/officeDocument/2006/relationships/hyperlink" Target="https://www.youtube.com/@mubi" TargetMode="External"/><Relationship Id="rId201" Type="http://schemas.openxmlformats.org/officeDocument/2006/relationships/hyperlink" Target="https://www.youtube.com/user/TheFilmArcade" TargetMode="External"/><Relationship Id="rId322" Type="http://schemas.openxmlformats.org/officeDocument/2006/relationships/hyperlink" Target="https://www.youtube.com/@FilmForumNYC" TargetMode="External"/><Relationship Id="rId200" Type="http://schemas.openxmlformats.org/officeDocument/2006/relationships/hyperlink" Target="https://www.youtube.com/user/TheFilmArcade" TargetMode="External"/><Relationship Id="rId321" Type="http://schemas.openxmlformats.org/officeDocument/2006/relationships/hyperlink" Target="https://www.youtube.com/@FilmForumNYC" TargetMode="External"/><Relationship Id="rId320" Type="http://schemas.openxmlformats.org/officeDocument/2006/relationships/hyperlink" Target="https://www.youtube.com/@theforgefilm" TargetMode="External"/><Relationship Id="rId316" Type="http://schemas.openxmlformats.org/officeDocument/2006/relationships/hyperlink" Target="https://www.youtube.com/channel/UCTujknABBq4Ab-kjDCHGtxg" TargetMode="External"/><Relationship Id="rId315" Type="http://schemas.openxmlformats.org/officeDocument/2006/relationships/hyperlink" Target="https://www.youtube.com/channel/UCTujknABBq4Ab-kjDCHGtxg" TargetMode="External"/><Relationship Id="rId314" Type="http://schemas.openxmlformats.org/officeDocument/2006/relationships/hyperlink" Target="https://www.youtube.com/@maxxiesuzzeecinema" TargetMode="External"/><Relationship Id="rId313" Type="http://schemas.openxmlformats.org/officeDocument/2006/relationships/hyperlink" Target="https://www.youtube.com/@maxxiesuzzeecinema" TargetMode="External"/><Relationship Id="rId319" Type="http://schemas.openxmlformats.org/officeDocument/2006/relationships/hyperlink" Target="https://www.youtube.com/@theforgefilm" TargetMode="External"/><Relationship Id="rId318" Type="http://schemas.openxmlformats.org/officeDocument/2006/relationships/hyperlink" Target="https://www.youtube.com/@FallingForwardFilms" TargetMode="External"/><Relationship Id="rId317" Type="http://schemas.openxmlformats.org/officeDocument/2006/relationships/hyperlink" Target="https://www.youtube.com/@FallingForwardFilms" TargetMode="External"/><Relationship Id="rId312" Type="http://schemas.openxmlformats.org/officeDocument/2006/relationships/hyperlink" Target="https://www.youtube.com/@sonypicsathome" TargetMode="External"/><Relationship Id="rId311" Type="http://schemas.openxmlformats.org/officeDocument/2006/relationships/hyperlink" Target="https://www.youtube.com/@sonypicsathome" TargetMode="External"/><Relationship Id="rId310" Type="http://schemas.openxmlformats.org/officeDocument/2006/relationships/hyperlink" Target="https://www.youtube.com/channel/UCkSYuqUfCwg1w2dYuC4ejc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8.5"/>
    <col customWidth="1" min="4" max="4" width="16.5"/>
    <col customWidth="1" min="11" max="11" width="36.75"/>
    <col customWidth="1" min="23" max="23" width="44.63"/>
    <col customWidth="1" min="24" max="24" width="16.75"/>
    <col customWidth="1" min="33" max="33" width="21.13"/>
    <col hidden="1" min="34" max="35" width="12.63"/>
    <col customWidth="1" min="36" max="36" width="36.13"/>
    <col customWidth="1" min="37" max="37" width="45.0"/>
    <col hidden="1" min="38" max="38" width="12.63"/>
  </cols>
  <sheetData>
    <row r="1" ht="17.25" customHeight="1">
      <c r="A1" s="5" t="s">
        <v>1</v>
      </c>
      <c r="B1" s="6" t="s">
        <v>14</v>
      </c>
      <c r="C1" s="6" t="s">
        <v>18</v>
      </c>
      <c r="D1" s="8" t="s">
        <v>20</v>
      </c>
      <c r="E1" s="6" t="s">
        <v>26</v>
      </c>
      <c r="F1" s="6" t="s">
        <v>29</v>
      </c>
      <c r="G1" s="6" t="s">
        <v>30</v>
      </c>
      <c r="H1" s="6" t="s">
        <v>32</v>
      </c>
      <c r="I1" s="6" t="s">
        <v>34</v>
      </c>
      <c r="J1" s="6" t="s">
        <v>37</v>
      </c>
      <c r="K1" s="6" t="s">
        <v>41</v>
      </c>
      <c r="L1" s="6" t="s">
        <v>44</v>
      </c>
      <c r="M1" s="6" t="s">
        <v>47</v>
      </c>
      <c r="N1" s="6" t="s">
        <v>49</v>
      </c>
      <c r="O1" s="6" t="s">
        <v>52</v>
      </c>
      <c r="P1" s="6" t="s">
        <v>53</v>
      </c>
      <c r="Q1" s="6" t="s">
        <v>56</v>
      </c>
      <c r="R1" s="6" t="s">
        <v>58</v>
      </c>
      <c r="S1" s="6" t="s">
        <v>61</v>
      </c>
      <c r="T1" s="6" t="s">
        <v>63</v>
      </c>
      <c r="U1" s="6" t="s">
        <v>66</v>
      </c>
      <c r="V1" s="6" t="s">
        <v>67</v>
      </c>
      <c r="W1" s="6" t="s">
        <v>70</v>
      </c>
      <c r="X1" s="16" t="s">
        <v>76</v>
      </c>
      <c r="Y1" s="6" t="s">
        <v>83</v>
      </c>
      <c r="Z1" s="6" t="s">
        <v>87</v>
      </c>
      <c r="AA1" s="6" t="s">
        <v>91</v>
      </c>
      <c r="AB1" s="6" t="s">
        <v>93</v>
      </c>
      <c r="AC1" s="6" t="s">
        <v>95</v>
      </c>
      <c r="AD1" s="6" t="s">
        <v>96</v>
      </c>
      <c r="AE1" s="6" t="s">
        <v>98</v>
      </c>
      <c r="AF1" s="6" t="s">
        <v>101</v>
      </c>
      <c r="AG1" s="6" t="s">
        <v>102</v>
      </c>
      <c r="AH1" s="6" t="s">
        <v>103</v>
      </c>
      <c r="AI1" s="6" t="s">
        <v>104</v>
      </c>
      <c r="AJ1" s="18" t="s">
        <v>105</v>
      </c>
      <c r="AK1" s="19" t="s">
        <v>106</v>
      </c>
      <c r="AL1" s="6" t="s">
        <v>107</v>
      </c>
      <c r="AM1" s="6" t="s">
        <v>108</v>
      </c>
    </row>
    <row r="2">
      <c r="A2" s="21"/>
      <c r="B2" s="21" t="str">
        <f>'Ingest Template'!B2&amp;IF('Ingest Template'!A2 = "Standard", " - DAR","")</f>
        <v> </v>
      </c>
      <c r="C2" s="26" t="s">
        <v>109</v>
      </c>
      <c r="D2" s="29" t="str">
        <f t="array" ref="D2">CONCATENATE(INDEX(DropDown!$H$2:$H$10,MATCH(1,COUNTIF('Ingest Template'!F2,"*"&amp;DropDown!$H$2:$H$10&amp;"*"),0)),CHAR(10),'Ingest Template'!G2)</f>
        <v>#N/A</v>
      </c>
      <c r="E2" s="21" t="str">
        <f>CONCATENATE('Ingest Template'!H2,CHAR(10),'Ingest Template'!I2,CHAR(10),'Ingest Template'!J2)</f>
        <v>
</v>
      </c>
      <c r="F2" s="26" t="str">
        <f>'Ingest Template'!H2</f>
        <v/>
      </c>
      <c r="G2" s="21"/>
      <c r="H2" s="29"/>
      <c r="I2" s="21"/>
      <c r="J2" s="29" t="str">
        <f t="array" ref="J2">iF('Ingest Template'!A2="Standard","Pristine Brand",INDEX(DropDown!$M$2:$M$392,MATCH('Ingest Template'!E2,DropDown!$J$2:$J$392,0)))</f>
        <v>#N/A</v>
      </c>
      <c r="K2" s="21" t="str">
        <f>iF('Ingest Template'!A2="Standard",'Ingest Template'!K2&amp;CHAR(10)&amp;'Ingest Template'!L2,"Competitive View")</f>
        <v>Competitive View</v>
      </c>
      <c r="L2" s="29" t="s">
        <v>146</v>
      </c>
      <c r="M2" s="37" t="str">
        <f>'Ingest Template'!D2</f>
        <v/>
      </c>
      <c r="N2" s="21"/>
      <c r="O2" s="21"/>
      <c r="P2" s="21"/>
      <c r="Q2" s="21"/>
      <c r="R2" s="21" t="str">
        <f>'Ingest Template'!E2</f>
        <v/>
      </c>
      <c r="S2" s="29" t="s">
        <v>153</v>
      </c>
      <c r="T2" s="21" t="str">
        <f>'Ingest Template'!T2</f>
        <v/>
      </c>
      <c r="U2" s="21" t="str">
        <f>'Ingest Template'!S2</f>
        <v/>
      </c>
      <c r="V2" s="21" t="str">
        <f>LOWER(SUBSTITUTE(SUBSTITUTE(SUBSTITUTE(SUBSTITUTE(SUBSTITUTE('Ingest Template'!U2,"https:",""),"www.",""),"/",""),"?hl=en",""),"instagram.com",""))</f>
        <v/>
      </c>
      <c r="W2" s="41" t="str">
        <f t="array" ref="W2">IF('Ingest Template'!V2="",(INDEX(DropDown!$L$2:$L$392,MATCH('Ingest Template'!E2,DropDown!$J$2:$J$392,0))&amp;"|"&amp;'Ingest Template'!B2),(INDEX(DropDown!$L$2:$L$392,MATCH('Ingest Template'!E2,DropDown!$J$2:$J$392,0))&amp;"|"&amp;'Ingest Template'!B2)&amp;CHAR(10)&amp;'Ingest Template'!V2)</f>
        <v>#N/A</v>
      </c>
      <c r="X2" s="41" t="str">
        <f>'Ingest Template'!W2</f>
        <v/>
      </c>
      <c r="Y2" s="21" t="str">
        <f>SUBSTITUTE(SUBSTITUTE(SUBSTITUTE('Ingest Template'!X2,"http:",""),"https:",""),"/","")</f>
        <v/>
      </c>
      <c r="Z2" s="21" t="str">
        <f t="array" ref="Z2">IF('Ingest Template'!A2="Standard",(IF(ISBLANK('Ingest Template'!AA2),"", 'Ingest Template'!AA2&amp;"|DAR")),(IF(ISBLANK('Ingest Template'!AA2),"", 'Ingest Template'!AA2&amp;"|Film Ops")))</f>
        <v/>
      </c>
      <c r="AA2" s="21"/>
      <c r="AB2" s="21" t="str">
        <f>'Ingest Template'!M2</f>
        <v/>
      </c>
      <c r="AC2" s="21" t="str">
        <f>'Ingest Template'!Y2</f>
        <v/>
      </c>
      <c r="AD2" s="21" t="str">
        <f>'Ingest Template'!C2</f>
        <v/>
      </c>
      <c r="AE2" s="21" t="str">
        <f>'Ingest Template'!Z2</f>
        <v/>
      </c>
      <c r="AF2" s="29"/>
      <c r="AG2" s="21" t="str">
        <f t="array" ref="AG2">IF('Ingest Template'!A2="Standard",(CONCATENATE(IF(ISBLANK('Ingest Template'!O2),"", 'Ingest Template'!O2&amp;"|DAR"),CHAR(10), IF(ISBLANK('Ingest Template'!P2),"", 'Ingest Template'!P2&amp;"|DAR"),CHAR(10), IF(ISBLANK('Ingest Template'!Q2),"", 'Ingest Template'!Q2&amp;"|DAR"))),(CONCATENATE(IF(ISBLANK('Ingest Template'!O2),"", 'Ingest Template'!O2&amp;"|Operations - Core Title"),CHAR(10), IF(ISBLANK('Ingest Template'!P2),"", 'Ingest Template'!P2&amp;"|Operations - Core Title"),CHAR(10), IF(ISBLANK('Ingest Template'!Q2),"", 'Ingest Template'!Q2&amp;"|Operations - Core Title"))))</f>
        <v>#|Operations - Core Title
#|Operations - Core Title
</v>
      </c>
      <c r="AH2" s="21"/>
      <c r="AI2" s="21"/>
      <c r="AJ2" s="53" t="str">
        <f>if('Ingest Template'!A2="Standard",'Ingest Template'!N2&amp; "|DAR|DAR|2021-01-01",'Ingest Template'!N2&amp; "|Operations - Core Title|Operations - Core Title")</f>
        <v>#N/A</v>
      </c>
      <c r="AK2" s="53" t="str">
        <f>if('Ingest Template'!A2="Standard",'Ingest Template'!R2&amp; "|2021-01-01",'Ingest Template'!R2)</f>
        <v>#N/A</v>
      </c>
      <c r="AL2" s="21"/>
      <c r="AM2" s="21"/>
    </row>
    <row r="3">
      <c r="A3" s="21"/>
      <c r="B3" s="21" t="str">
        <f>'Ingest Template'!B3&amp;IF('Ingest Template'!A3 = "Standard", " - DAR","")</f>
        <v/>
      </c>
      <c r="C3" s="26" t="s">
        <v>109</v>
      </c>
      <c r="D3" s="29" t="str">
        <f t="array" ref="D3">CONCATENATE(INDEX(DropDown!$H$2:$H$10,MATCH(1,COUNTIF('Ingest Template'!F3,"*"&amp;DropDown!$H$2:$H$10&amp;"*"),0)),CHAR(10),'Ingest Template'!G3)</f>
        <v>#N/A</v>
      </c>
      <c r="E3" s="21" t="str">
        <f>CONCATENATE('Ingest Template'!H3,CHAR(10),'Ingest Template'!I3,CHAR(10),'Ingest Template'!J3)</f>
        <v>
</v>
      </c>
      <c r="F3" s="26" t="str">
        <f>'Ingest Template'!H3</f>
        <v/>
      </c>
      <c r="G3" s="21"/>
      <c r="H3" s="29"/>
      <c r="I3" s="21"/>
      <c r="J3" s="29" t="str">
        <f t="array" ref="J3">iF('Ingest Template'!A3="Standard","Pristine Brand",INDEX(DropDown!$M$2:$M$392,MATCH('Ingest Template'!E3,DropDown!$J$2:$J$392,0)))</f>
        <v>#N/A</v>
      </c>
      <c r="K3" s="21" t="str">
        <f>iF('Ingest Template'!A3="Standard",'Ingest Template'!K3&amp;CHAR(10)&amp;'Ingest Template'!L3,"Competitive View")</f>
        <v>Competitive View</v>
      </c>
      <c r="L3" s="29" t="s">
        <v>146</v>
      </c>
      <c r="M3" s="37" t="str">
        <f>'Ingest Template'!D3</f>
        <v/>
      </c>
      <c r="N3" s="21"/>
      <c r="O3" s="21"/>
      <c r="P3" s="21"/>
      <c r="Q3" s="21"/>
      <c r="R3" s="21" t="str">
        <f>'Ingest Template'!E3</f>
        <v/>
      </c>
      <c r="S3" s="29" t="s">
        <v>153</v>
      </c>
      <c r="T3" s="21" t="str">
        <f>'Ingest Template'!T3</f>
        <v/>
      </c>
      <c r="U3" s="21" t="str">
        <f>'Ingest Template'!S3</f>
        <v/>
      </c>
      <c r="V3" s="21" t="str">
        <f>LOWER(SUBSTITUTE(SUBSTITUTE(SUBSTITUTE(SUBSTITUTE(SUBSTITUTE('Ingest Template'!U3,"https:",""),"www.",""),"/",""),"?hl=en",""),"instagram.com",""))</f>
        <v/>
      </c>
      <c r="W3" s="41" t="str">
        <f t="array" ref="W3">IF('Ingest Template'!V3="",(INDEX(DropDown!$L$2:$L$392,MATCH('Ingest Template'!E3,DropDown!$J$2:$J$392,0))&amp;"|"&amp;'Ingest Template'!B3),(INDEX(DropDown!$L$2:$L$392,MATCH('Ingest Template'!E3,DropDown!$J$2:$J$392,0))&amp;"|"&amp;'Ingest Template'!B3)&amp;CHAR(10)&amp;'Ingest Template'!V3)</f>
        <v>#N/A</v>
      </c>
      <c r="X3" s="41" t="str">
        <f>'Ingest Template'!W3</f>
        <v/>
      </c>
      <c r="Y3" s="21" t="str">
        <f>SUBSTITUTE(SUBSTITUTE(SUBSTITUTE('Ingest Template'!X3,"http:",""),"https:",""),"/","")</f>
        <v/>
      </c>
      <c r="Z3" s="21" t="str">
        <f t="array" ref="Z3">IF('Ingest Template'!A3="Standard",(IF(ISBLANK('Ingest Template'!AA3),"", 'Ingest Template'!AA3&amp;"|DAR")),(IF(ISBLANK('Ingest Template'!AA3),"", 'Ingest Template'!AA3&amp;"|Film Ops")))</f>
        <v/>
      </c>
      <c r="AA3" s="21"/>
      <c r="AB3" s="21" t="str">
        <f>'Ingest Template'!M3</f>
        <v/>
      </c>
      <c r="AC3" s="21" t="str">
        <f>'Ingest Template'!Y3</f>
        <v/>
      </c>
      <c r="AD3" s="21" t="str">
        <f>'Ingest Template'!C3</f>
        <v/>
      </c>
      <c r="AE3" s="21" t="str">
        <f>'Ingest Template'!Z3</f>
        <v/>
      </c>
      <c r="AF3" s="29"/>
      <c r="AG3" s="21" t="str">
        <f t="array" ref="AG3">IF('Ingest Template'!A3="Standard",(CONCATENATE(IF(ISBLANK('Ingest Template'!O3),"", 'Ingest Template'!O3&amp;"|DAR"),CHAR(10), IF(ISBLANK('Ingest Template'!P3),"", 'Ingest Template'!P3&amp;"|DAR"),CHAR(10), IF(ISBLANK('Ingest Template'!Q3),"", 'Ingest Template'!Q3&amp;"|DAR"))),(CONCATENATE(IF(ISBLANK('Ingest Template'!O3),"", 'Ingest Template'!O3&amp;"|Operations - Core Title"),CHAR(10), IF(ISBLANK('Ingest Template'!P3),"", 'Ingest Template'!P3&amp;"|Operations - Core Title"),CHAR(10), IF(ISBLANK('Ingest Template'!Q3),"", 'Ingest Template'!Q3&amp;"|Operations - Core Title"))))</f>
        <v>#|Operations - Core Title
#|Operations - Core Title
</v>
      </c>
      <c r="AH3" s="21"/>
      <c r="AI3" s="21"/>
      <c r="AJ3" s="53" t="str">
        <f>if('Ingest Template'!A3="Standard",'Ingest Template'!N3&amp; "|DAR|DAR|2021-01-01",'Ingest Template'!N3&amp; "|Operations - Core Title|Operations - Core Title")</f>
        <v>#N/A</v>
      </c>
      <c r="AK3" s="53" t="str">
        <f>if('Ingest Template'!A3="Standard",'Ingest Template'!R3&amp; "|2021-01-01",'Ingest Template'!R3)</f>
        <v>#N/A</v>
      </c>
      <c r="AL3" s="21"/>
      <c r="AM3" s="21"/>
    </row>
    <row r="4">
      <c r="A4" s="21"/>
      <c r="B4" s="21" t="str">
        <f>'Ingest Template'!B4&amp;IF('Ingest Template'!A4 = "Standard", " - DAR","")</f>
        <v/>
      </c>
      <c r="C4" s="26" t="s">
        <v>109</v>
      </c>
      <c r="D4" s="29" t="str">
        <f t="array" ref="D4">CONCATENATE(INDEX(DropDown!$H$2:$H$10,MATCH(1,COUNTIF('Ingest Template'!F4,"*"&amp;DropDown!$H$2:$H$10&amp;"*"),0)),CHAR(10),'Ingest Template'!G4)</f>
        <v>#N/A</v>
      </c>
      <c r="E4" s="21" t="str">
        <f>CONCATENATE('Ingest Template'!H4,CHAR(10),'Ingest Template'!I4,CHAR(10),'Ingest Template'!J4)</f>
        <v>
</v>
      </c>
      <c r="F4" s="26" t="str">
        <f>'Ingest Template'!H4</f>
        <v/>
      </c>
      <c r="G4" s="21"/>
      <c r="H4" s="29"/>
      <c r="I4" s="21"/>
      <c r="J4" s="29" t="str">
        <f t="array" ref="J4">iF('Ingest Template'!A4="Standard","Pristine Brand",INDEX(DropDown!$M$2:$M$392,MATCH('Ingest Template'!E4,DropDown!$J$2:$J$392,0)))</f>
        <v>#N/A</v>
      </c>
      <c r="K4" s="21" t="str">
        <f>iF('Ingest Template'!A4="Standard",'Ingest Template'!K4&amp;CHAR(10)&amp;'Ingest Template'!L4,"Competitive View")</f>
        <v>Competitive View</v>
      </c>
      <c r="L4" s="29" t="s">
        <v>146</v>
      </c>
      <c r="M4" s="37" t="str">
        <f>'Ingest Template'!D4</f>
        <v/>
      </c>
      <c r="N4" s="21"/>
      <c r="O4" s="21"/>
      <c r="P4" s="21"/>
      <c r="Q4" s="21"/>
      <c r="R4" s="21" t="str">
        <f>'Ingest Template'!E4</f>
        <v/>
      </c>
      <c r="S4" s="29" t="s">
        <v>153</v>
      </c>
      <c r="T4" s="21" t="str">
        <f>'Ingest Template'!T4</f>
        <v/>
      </c>
      <c r="U4" s="21" t="str">
        <f>'Ingest Template'!S4</f>
        <v/>
      </c>
      <c r="V4" s="21" t="str">
        <f>LOWER(SUBSTITUTE(SUBSTITUTE(SUBSTITUTE(SUBSTITUTE(SUBSTITUTE('Ingest Template'!U4,"https:",""),"www.",""),"/",""),"?hl=en",""),"instagram.com",""))</f>
        <v/>
      </c>
      <c r="W4" s="41" t="str">
        <f t="array" ref="W4">IF('Ingest Template'!V4="",(INDEX(DropDown!$L$2:$L$392,MATCH('Ingest Template'!E4,DropDown!$J$2:$J$392,0))&amp;"|"&amp;'Ingest Template'!B4),(INDEX(DropDown!$L$2:$L$392,MATCH('Ingest Template'!E4,DropDown!$J$2:$J$392,0))&amp;"|"&amp;'Ingest Template'!B4)&amp;CHAR(10)&amp;'Ingest Template'!V4)</f>
        <v>#N/A</v>
      </c>
      <c r="X4" s="41" t="str">
        <f>'Ingest Template'!W4</f>
        <v/>
      </c>
      <c r="Y4" s="21" t="str">
        <f>SUBSTITUTE(SUBSTITUTE(SUBSTITUTE('Ingest Template'!X4,"http:",""),"https:",""),"/","")</f>
        <v/>
      </c>
      <c r="Z4" s="21" t="str">
        <f t="array" ref="Z4">IF('Ingest Template'!A4="Standard",(IF(ISBLANK('Ingest Template'!AA4),"", 'Ingest Template'!AA4&amp;"|DAR")),(IF(ISBLANK('Ingest Template'!AA4),"", 'Ingest Template'!AA4&amp;"|Film Ops")))</f>
        <v/>
      </c>
      <c r="AA4" s="21"/>
      <c r="AB4" s="21" t="str">
        <f>'Ingest Template'!M4</f>
        <v/>
      </c>
      <c r="AC4" s="21" t="str">
        <f>'Ingest Template'!Y4</f>
        <v/>
      </c>
      <c r="AD4" s="21" t="str">
        <f>'Ingest Template'!C4</f>
        <v/>
      </c>
      <c r="AE4" s="21" t="str">
        <f>'Ingest Template'!Z4</f>
        <v/>
      </c>
      <c r="AF4" s="29"/>
      <c r="AG4" s="21" t="str">
        <f t="array" ref="AG4">IF('Ingest Template'!A4="Standard",(CONCATENATE(IF(ISBLANK('Ingest Template'!O4),"", 'Ingest Template'!O4&amp;"|DAR"),CHAR(10), IF(ISBLANK('Ingest Template'!P4),"", 'Ingest Template'!P4&amp;"|DAR"),CHAR(10), IF(ISBLANK('Ingest Template'!Q4),"", 'Ingest Template'!Q4&amp;"|DAR"))),(CONCATENATE(IF(ISBLANK('Ingest Template'!O4),"", 'Ingest Template'!O4&amp;"|Operations - Core Title"),CHAR(10), IF(ISBLANK('Ingest Template'!P4),"", 'Ingest Template'!P4&amp;"|Operations - Core Title"),CHAR(10), IF(ISBLANK('Ingest Template'!Q4),"", 'Ingest Template'!Q4&amp;"|Operations - Core Title"))))</f>
        <v>#|Operations - Core Title
#|Operations - Core Title
</v>
      </c>
      <c r="AH4" s="21"/>
      <c r="AI4" s="21"/>
      <c r="AJ4" s="53" t="str">
        <f>if('Ingest Template'!A4="Standard",'Ingest Template'!N4&amp; "|DAR|DAR|2021-01-01",'Ingest Template'!N4&amp; "|Operations - Core Title|Operations - Core Title")</f>
        <v>#N/A</v>
      </c>
      <c r="AK4" s="53" t="str">
        <f>if('Ingest Template'!A4="Standard",'Ingest Template'!R4&amp; "|2021-01-01",'Ingest Template'!R4)</f>
        <v>#N/A</v>
      </c>
      <c r="AL4" s="21"/>
      <c r="AM4" s="21"/>
    </row>
    <row r="5">
      <c r="A5" s="21"/>
      <c r="B5" s="21" t="str">
        <f>'Ingest Template'!B5&amp;IF('Ingest Template'!A5 = "Standard", " - DAR","")</f>
        <v/>
      </c>
      <c r="C5" s="26" t="s">
        <v>109</v>
      </c>
      <c r="D5" s="29" t="str">
        <f t="array" ref="D5">CONCATENATE(INDEX(DropDown!$H$2:$H$10,MATCH(1,COUNTIF('Ingest Template'!F5,"*"&amp;DropDown!$H$2:$H$10&amp;"*"),0)),CHAR(10),'Ingest Template'!G5)</f>
        <v>#N/A</v>
      </c>
      <c r="E5" s="21" t="str">
        <f>CONCATENATE('Ingest Template'!H5,CHAR(10),'Ingest Template'!I5,CHAR(10),'Ingest Template'!J5)</f>
        <v>
</v>
      </c>
      <c r="F5" s="26" t="str">
        <f>'Ingest Template'!H5</f>
        <v/>
      </c>
      <c r="G5" s="21"/>
      <c r="H5" s="29"/>
      <c r="I5" s="21"/>
      <c r="J5" s="29" t="str">
        <f t="array" ref="J5">iF('Ingest Template'!A5="Standard","Pristine Brand",INDEX(DropDown!$M$2:$M$392,MATCH('Ingest Template'!E5,DropDown!$J$2:$J$392,0)))</f>
        <v>#N/A</v>
      </c>
      <c r="K5" s="21" t="str">
        <f>iF('Ingest Template'!A5="Standard",'Ingest Template'!K5&amp;CHAR(10)&amp;'Ingest Template'!L5,"Competitive View")</f>
        <v>Competitive View</v>
      </c>
      <c r="L5" s="29" t="s">
        <v>146</v>
      </c>
      <c r="M5" s="37" t="str">
        <f>'Ingest Template'!D5</f>
        <v/>
      </c>
      <c r="N5" s="21"/>
      <c r="O5" s="21"/>
      <c r="P5" s="21"/>
      <c r="Q5" s="21"/>
      <c r="R5" s="21" t="str">
        <f>'Ingest Template'!E5</f>
        <v/>
      </c>
      <c r="S5" s="29" t="s">
        <v>153</v>
      </c>
      <c r="T5" s="21" t="str">
        <f>'Ingest Template'!T5</f>
        <v/>
      </c>
      <c r="U5" s="21" t="str">
        <f>'Ingest Template'!S5</f>
        <v/>
      </c>
      <c r="V5" s="21" t="str">
        <f>LOWER(SUBSTITUTE(SUBSTITUTE(SUBSTITUTE(SUBSTITUTE(SUBSTITUTE('Ingest Template'!U5,"https:",""),"www.",""),"/",""),"?hl=en",""),"instagram.com",""))</f>
        <v/>
      </c>
      <c r="W5" s="41" t="str">
        <f t="array" ref="W5">IF('Ingest Template'!V5="",(INDEX(DropDown!$L$2:$L$392,MATCH('Ingest Template'!E5,DropDown!$J$2:$J$392,0))&amp;"|"&amp;'Ingest Template'!B5),(INDEX(DropDown!$L$2:$L$392,MATCH('Ingest Template'!E5,DropDown!$J$2:$J$392,0))&amp;"|"&amp;'Ingest Template'!B5)&amp;CHAR(10)&amp;'Ingest Template'!V5)</f>
        <v>#N/A</v>
      </c>
      <c r="X5" s="41" t="str">
        <f>'Ingest Template'!W5</f>
        <v/>
      </c>
      <c r="Y5" s="21" t="str">
        <f>SUBSTITUTE(SUBSTITUTE(SUBSTITUTE('Ingest Template'!X5,"http:",""),"https:",""),"/","")</f>
        <v/>
      </c>
      <c r="Z5" s="21" t="str">
        <f t="array" ref="Z5">IF('Ingest Template'!A5="Standard",(IF(ISBLANK('Ingest Template'!AA5),"", 'Ingest Template'!AA5&amp;"|DAR")),(IF(ISBLANK('Ingest Template'!AA5),"", 'Ingest Template'!AA5&amp;"|Film Ops")))</f>
        <v/>
      </c>
      <c r="AA5" s="21"/>
      <c r="AB5" s="21" t="str">
        <f>'Ingest Template'!M5</f>
        <v/>
      </c>
      <c r="AC5" s="21" t="str">
        <f>'Ingest Template'!Y5</f>
        <v/>
      </c>
      <c r="AD5" s="21" t="str">
        <f>'Ingest Template'!C5</f>
        <v/>
      </c>
      <c r="AE5" s="21" t="str">
        <f>'Ingest Template'!Z5</f>
        <v/>
      </c>
      <c r="AF5" s="29"/>
      <c r="AG5" s="21" t="str">
        <f t="array" ref="AG5">IF('Ingest Template'!A5="Standard",(CONCATENATE(IF(ISBLANK('Ingest Template'!O5),"", 'Ingest Template'!O5&amp;"|DAR"),CHAR(10), IF(ISBLANK('Ingest Template'!P5),"", 'Ingest Template'!P5&amp;"|DAR"),CHAR(10), IF(ISBLANK('Ingest Template'!Q5),"", 'Ingest Template'!Q5&amp;"|DAR"))),(CONCATENATE(IF(ISBLANK('Ingest Template'!O5),"", 'Ingest Template'!O5&amp;"|Operations - Core Title"),CHAR(10), IF(ISBLANK('Ingest Template'!P5),"", 'Ingest Template'!P5&amp;"|Operations - Core Title"),CHAR(10), IF(ISBLANK('Ingest Template'!Q5),"", 'Ingest Template'!Q5&amp;"|Operations - Core Title"))))</f>
        <v>#|Operations - Core Title
#|Operations - Core Title
</v>
      </c>
      <c r="AH5" s="21"/>
      <c r="AI5" s="21"/>
      <c r="AJ5" s="53" t="str">
        <f>if('Ingest Template'!A5="Standard",'Ingest Template'!N5&amp; "|DAR|DAR|2021-01-01",'Ingest Template'!N5&amp; "|Operations - Core Title|Operations - Core Title")</f>
        <v>#N/A</v>
      </c>
      <c r="AK5" s="53" t="str">
        <f>if('Ingest Template'!A5="Standard",'Ingest Template'!R5&amp; "|2021-01-01",'Ingest Template'!R5)</f>
        <v>#N/A</v>
      </c>
      <c r="AL5" s="21"/>
      <c r="AM5" s="21"/>
    </row>
    <row r="6">
      <c r="A6" s="21"/>
      <c r="B6" s="21" t="str">
        <f>'Ingest Template'!B6&amp;IF('Ingest Template'!A6 = "Standard", " - DAR","")</f>
        <v/>
      </c>
      <c r="C6" s="26" t="s">
        <v>109</v>
      </c>
      <c r="D6" s="29" t="str">
        <f t="array" ref="D6">CONCATENATE(INDEX(DropDown!$H$2:$H$10,MATCH(1,COUNTIF('Ingest Template'!F6,"*"&amp;DropDown!$H$2:$H$10&amp;"*"),0)),CHAR(10),'Ingest Template'!G6)</f>
        <v>#N/A</v>
      </c>
      <c r="E6" s="21" t="str">
        <f>CONCATENATE('Ingest Template'!H6,CHAR(10),'Ingest Template'!I6,CHAR(10),'Ingest Template'!J6)</f>
        <v>
</v>
      </c>
      <c r="F6" s="26" t="str">
        <f>'Ingest Template'!H6</f>
        <v/>
      </c>
      <c r="G6" s="21"/>
      <c r="H6" s="29"/>
      <c r="I6" s="21"/>
      <c r="J6" s="29" t="str">
        <f t="array" ref="J6">iF('Ingest Template'!A6="Standard","Pristine Brand",INDEX(DropDown!$M$2:$M$392,MATCH('Ingest Template'!E6,DropDown!$J$2:$J$392,0)))</f>
        <v>#N/A</v>
      </c>
      <c r="K6" s="21" t="str">
        <f>iF('Ingest Template'!A6="Standard",'Ingest Template'!K6&amp;CHAR(10)&amp;'Ingest Template'!L6,"Competitive View")</f>
        <v>Competitive View</v>
      </c>
      <c r="L6" s="29" t="s">
        <v>146</v>
      </c>
      <c r="M6" s="37" t="str">
        <f>'Ingest Template'!D6</f>
        <v/>
      </c>
      <c r="N6" s="21"/>
      <c r="O6" s="21"/>
      <c r="P6" s="21"/>
      <c r="Q6" s="21"/>
      <c r="R6" s="21" t="str">
        <f>'Ingest Template'!E6</f>
        <v/>
      </c>
      <c r="S6" s="29" t="s">
        <v>153</v>
      </c>
      <c r="T6" s="21" t="str">
        <f>'Ingest Template'!T6</f>
        <v/>
      </c>
      <c r="U6" s="21" t="str">
        <f>'Ingest Template'!S6</f>
        <v/>
      </c>
      <c r="V6" s="21" t="str">
        <f>LOWER(SUBSTITUTE(SUBSTITUTE(SUBSTITUTE(SUBSTITUTE(SUBSTITUTE('Ingest Template'!U6,"https:",""),"www.",""),"/",""),"?hl=en",""),"instagram.com",""))</f>
        <v/>
      </c>
      <c r="W6" s="41" t="str">
        <f t="array" ref="W6">IF('Ingest Template'!V6="",(INDEX(DropDown!$L$2:$L$392,MATCH('Ingest Template'!E6,DropDown!$J$2:$J$392,0))&amp;"|"&amp;'Ingest Template'!B6),(INDEX(DropDown!$L$2:$L$392,MATCH('Ingest Template'!E6,DropDown!$J$2:$J$392,0))&amp;"|"&amp;'Ingest Template'!B6)&amp;CHAR(10)&amp;'Ingest Template'!V6)</f>
        <v>#N/A</v>
      </c>
      <c r="X6" s="41" t="str">
        <f>'Ingest Template'!W6</f>
        <v/>
      </c>
      <c r="Y6" s="21" t="str">
        <f>SUBSTITUTE(SUBSTITUTE(SUBSTITUTE('Ingest Template'!X6,"http:",""),"https:",""),"/","")</f>
        <v/>
      </c>
      <c r="Z6" s="21" t="str">
        <f t="array" ref="Z6">IF('Ingest Template'!A6="Standard",(IF(ISBLANK('Ingest Template'!AA6),"", 'Ingest Template'!AA6&amp;"|DAR")),(IF(ISBLANK('Ingest Template'!AA6),"", 'Ingest Template'!AA6&amp;"|Film Ops")))</f>
        <v/>
      </c>
      <c r="AA6" s="21"/>
      <c r="AB6" s="21" t="str">
        <f>'Ingest Template'!M6</f>
        <v/>
      </c>
      <c r="AC6" s="21" t="str">
        <f>'Ingest Template'!Y6</f>
        <v/>
      </c>
      <c r="AD6" s="21" t="str">
        <f>'Ingest Template'!C6</f>
        <v/>
      </c>
      <c r="AE6" s="21" t="str">
        <f>'Ingest Template'!Z6</f>
        <v/>
      </c>
      <c r="AF6" s="29"/>
      <c r="AG6" s="21" t="str">
        <f t="array" ref="AG6">IF('Ingest Template'!A6="Standard",(CONCATENATE(IF(ISBLANK('Ingest Template'!O6),"", 'Ingest Template'!O6&amp;"|DAR"),CHAR(10), IF(ISBLANK('Ingest Template'!P6),"", 'Ingest Template'!P6&amp;"|DAR"),CHAR(10), IF(ISBLANK('Ingest Template'!Q6),"", 'Ingest Template'!Q6&amp;"|DAR"))),(CONCATENATE(IF(ISBLANK('Ingest Template'!O6),"", 'Ingest Template'!O6&amp;"|Operations - Core Title"),CHAR(10), IF(ISBLANK('Ingest Template'!P6),"", 'Ingest Template'!P6&amp;"|Operations - Core Title"),CHAR(10), IF(ISBLANK('Ingest Template'!Q6),"", 'Ingest Template'!Q6&amp;"|Operations - Core Title"))))</f>
        <v>#|Operations - Core Title
#|Operations - Core Title
</v>
      </c>
      <c r="AH6" s="21"/>
      <c r="AI6" s="21"/>
      <c r="AJ6" s="53" t="str">
        <f>if('Ingest Template'!A6="Standard",'Ingest Template'!N6&amp; "|DAR|DAR|2021-01-01",'Ingest Template'!N6&amp; "|Operations - Core Title|Operations - Core Title")</f>
        <v>#N/A</v>
      </c>
      <c r="AK6" s="53" t="str">
        <f>if('Ingest Template'!A6="Standard",'Ingest Template'!R6&amp; "|2021-01-01",'Ingest Template'!R6)</f>
        <v>#N/A</v>
      </c>
      <c r="AL6" s="21"/>
      <c r="AM6" s="21"/>
    </row>
    <row r="7">
      <c r="A7" s="21"/>
      <c r="B7" s="21" t="str">
        <f>'Ingest Template'!B7&amp;IF('Ingest Template'!A7 = "Standard", " - DAR","")</f>
        <v/>
      </c>
      <c r="C7" s="26" t="s">
        <v>109</v>
      </c>
      <c r="D7" s="29" t="str">
        <f t="array" ref="D7">CONCATENATE(INDEX(DropDown!$H$2:$H$10,MATCH(1,COUNTIF('Ingest Template'!F7,"*"&amp;DropDown!$H$2:$H$10&amp;"*"),0)),CHAR(10),'Ingest Template'!G7)</f>
        <v>#N/A</v>
      </c>
      <c r="E7" s="21" t="str">
        <f>CONCATENATE('Ingest Template'!H7,CHAR(10),'Ingest Template'!I7,CHAR(10),'Ingest Template'!J7)</f>
        <v>
</v>
      </c>
      <c r="F7" s="26" t="str">
        <f>'Ingest Template'!H7</f>
        <v/>
      </c>
      <c r="G7" s="21"/>
      <c r="H7" s="29"/>
      <c r="I7" s="21"/>
      <c r="J7" s="29" t="str">
        <f t="array" ref="J7">iF('Ingest Template'!A7="Standard","Pristine Brand",INDEX(DropDown!$M$2:$M$392,MATCH('Ingest Template'!E7,DropDown!$J$2:$J$392,0)))</f>
        <v>#N/A</v>
      </c>
      <c r="K7" s="21" t="str">
        <f>iF('Ingest Template'!A7="Standard",'Ingest Template'!K7&amp;CHAR(10)&amp;'Ingest Template'!L7,"Competitive View")</f>
        <v>Competitive View</v>
      </c>
      <c r="L7" s="29" t="s">
        <v>146</v>
      </c>
      <c r="M7" s="37" t="str">
        <f>'Ingest Template'!D7</f>
        <v/>
      </c>
      <c r="N7" s="21"/>
      <c r="O7" s="21"/>
      <c r="P7" s="21"/>
      <c r="Q7" s="21"/>
      <c r="R7" s="21" t="str">
        <f>'Ingest Template'!E7</f>
        <v/>
      </c>
      <c r="S7" s="29" t="s">
        <v>153</v>
      </c>
      <c r="T7" s="21" t="str">
        <f>'Ingest Template'!T7</f>
        <v/>
      </c>
      <c r="U7" s="21" t="str">
        <f>'Ingest Template'!S7</f>
        <v/>
      </c>
      <c r="V7" s="21" t="str">
        <f>LOWER(SUBSTITUTE(SUBSTITUTE(SUBSTITUTE(SUBSTITUTE(SUBSTITUTE('Ingest Template'!U7,"https:",""),"www.",""),"/",""),"?hl=en",""),"instagram.com",""))</f>
        <v/>
      </c>
      <c r="W7" s="41" t="str">
        <f t="array" ref="W7">IF('Ingest Template'!V7="",(INDEX(DropDown!$L$2:$L$392,MATCH('Ingest Template'!E7,DropDown!$J$2:$J$392,0))&amp;"|"&amp;'Ingest Template'!B7),(INDEX(DropDown!$L$2:$L$392,MATCH('Ingest Template'!E7,DropDown!$J$2:$J$392,0))&amp;"|"&amp;'Ingest Template'!B7)&amp;CHAR(10)&amp;'Ingest Template'!V7)</f>
        <v>#N/A</v>
      </c>
      <c r="X7" s="41" t="str">
        <f>'Ingest Template'!W7</f>
        <v/>
      </c>
      <c r="Y7" s="21" t="str">
        <f>SUBSTITUTE(SUBSTITUTE(SUBSTITUTE('Ingest Template'!X7,"http:",""),"https:",""),"/","")</f>
        <v/>
      </c>
      <c r="Z7" s="21" t="str">
        <f t="array" ref="Z7">IF('Ingest Template'!A7="Standard",(IF(ISBLANK('Ingest Template'!AA7),"", 'Ingest Template'!AA7&amp;"|DAR")),(IF(ISBLANK('Ingest Template'!AA7),"", 'Ingest Template'!AA7&amp;"|Film Ops")))</f>
        <v/>
      </c>
      <c r="AA7" s="21"/>
      <c r="AB7" s="21" t="str">
        <f>'Ingest Template'!M7</f>
        <v/>
      </c>
      <c r="AC7" s="21" t="str">
        <f>'Ingest Template'!Y7</f>
        <v/>
      </c>
      <c r="AD7" s="21" t="str">
        <f>'Ingest Template'!C7</f>
        <v/>
      </c>
      <c r="AE7" s="21" t="str">
        <f>'Ingest Template'!Z7</f>
        <v/>
      </c>
      <c r="AF7" s="29"/>
      <c r="AG7" s="21" t="str">
        <f t="array" ref="AG7">IF('Ingest Template'!A7="Standard",(CONCATENATE(IF(ISBLANK('Ingest Template'!O7),"", 'Ingest Template'!O7&amp;"|DAR"),CHAR(10), IF(ISBLANK('Ingest Template'!P7),"", 'Ingest Template'!P7&amp;"|DAR"),CHAR(10), IF(ISBLANK('Ingest Template'!Q7),"", 'Ingest Template'!Q7&amp;"|DAR"))),(CONCATENATE(IF(ISBLANK('Ingest Template'!O7),"", 'Ingest Template'!O7&amp;"|Operations - Core Title"),CHAR(10), IF(ISBLANK('Ingest Template'!P7),"", 'Ingest Template'!P7&amp;"|Operations - Core Title"),CHAR(10), IF(ISBLANK('Ingest Template'!Q7),"", 'Ingest Template'!Q7&amp;"|Operations - Core Title"))))</f>
        <v>#|Operations - Core Title
#|Operations - Core Title
</v>
      </c>
      <c r="AH7" s="21"/>
      <c r="AI7" s="21"/>
      <c r="AJ7" s="53" t="str">
        <f>if('Ingest Template'!A7="Standard",'Ingest Template'!N7&amp; "|DAR|DAR|2021-01-01",'Ingest Template'!N7&amp; "|Operations - Core Title|Operations - Core Title")</f>
        <v>#N/A</v>
      </c>
      <c r="AK7" s="53" t="str">
        <f>if('Ingest Template'!A7="Standard",'Ingest Template'!R7&amp; "|2021-01-01",'Ingest Template'!R7)</f>
        <v>#N/A</v>
      </c>
      <c r="AL7" s="21"/>
      <c r="AM7" s="21"/>
    </row>
    <row r="8">
      <c r="A8" s="21"/>
      <c r="B8" s="21" t="str">
        <f>'Ingest Template'!B8&amp;IF('Ingest Template'!A8 = "Standard", " - DAR","")</f>
        <v/>
      </c>
      <c r="C8" s="26" t="s">
        <v>109</v>
      </c>
      <c r="D8" s="29" t="str">
        <f t="array" ref="D8">CONCATENATE(INDEX(DropDown!$H$2:$H$10,MATCH(1,COUNTIF('Ingest Template'!F8,"*"&amp;DropDown!$H$2:$H$10&amp;"*"),0)),CHAR(10),'Ingest Template'!G8)</f>
        <v>#N/A</v>
      </c>
      <c r="E8" s="21" t="str">
        <f>CONCATENATE('Ingest Template'!H8,CHAR(10),'Ingest Template'!I8,CHAR(10),'Ingest Template'!J8)</f>
        <v>
</v>
      </c>
      <c r="F8" s="26" t="str">
        <f>'Ingest Template'!H8</f>
        <v/>
      </c>
      <c r="G8" s="21"/>
      <c r="H8" s="29"/>
      <c r="I8" s="21"/>
      <c r="J8" s="29" t="str">
        <f t="array" ref="J8">iF('Ingest Template'!A8="Standard","Pristine Brand",INDEX(DropDown!$M$2:$M$392,MATCH('Ingest Template'!E8,DropDown!$J$2:$J$392,0)))</f>
        <v>#N/A</v>
      </c>
      <c r="K8" s="21" t="str">
        <f>iF('Ingest Template'!A8="Standard",'Ingest Template'!K8&amp;CHAR(10)&amp;'Ingest Template'!L8,"Competitive View")</f>
        <v>Competitive View</v>
      </c>
      <c r="L8" s="29" t="s">
        <v>146</v>
      </c>
      <c r="M8" s="37" t="str">
        <f>'Ingest Template'!D8</f>
        <v/>
      </c>
      <c r="N8" s="21"/>
      <c r="O8" s="21"/>
      <c r="P8" s="21"/>
      <c r="Q8" s="21"/>
      <c r="R8" s="21" t="str">
        <f>'Ingest Template'!E8</f>
        <v/>
      </c>
      <c r="S8" s="29" t="s">
        <v>153</v>
      </c>
      <c r="T8" s="21" t="str">
        <f>'Ingest Template'!T8</f>
        <v/>
      </c>
      <c r="U8" s="21" t="str">
        <f>'Ingest Template'!S8</f>
        <v/>
      </c>
      <c r="V8" s="21" t="str">
        <f>LOWER(SUBSTITUTE(SUBSTITUTE(SUBSTITUTE(SUBSTITUTE(SUBSTITUTE('Ingest Template'!U8,"https:",""),"www.",""),"/",""),"?hl=en",""),"instagram.com",""))</f>
        <v/>
      </c>
      <c r="W8" s="41" t="str">
        <f t="array" ref="W8">IF('Ingest Template'!V8="",(INDEX(DropDown!$L$2:$L$392,MATCH('Ingest Template'!E8,DropDown!$J$2:$J$392,0))&amp;"|"&amp;'Ingest Template'!B8),(INDEX(DropDown!$L$2:$L$392,MATCH('Ingest Template'!E8,DropDown!$J$2:$J$392,0))&amp;"|"&amp;'Ingest Template'!B8)&amp;CHAR(10)&amp;'Ingest Template'!V8)</f>
        <v>#N/A</v>
      </c>
      <c r="X8" s="41" t="str">
        <f>'Ingest Template'!W8</f>
        <v/>
      </c>
      <c r="Y8" s="21" t="str">
        <f>SUBSTITUTE(SUBSTITUTE(SUBSTITUTE('Ingest Template'!X8,"http:",""),"https:",""),"/","")</f>
        <v/>
      </c>
      <c r="Z8" s="21" t="str">
        <f t="array" ref="Z8">IF('Ingest Template'!A8="Standard",(IF(ISBLANK('Ingest Template'!AA8),"", 'Ingest Template'!AA8&amp;"|DAR")),(IF(ISBLANK('Ingest Template'!AA8),"", 'Ingest Template'!AA8&amp;"|Film Ops")))</f>
        <v/>
      </c>
      <c r="AA8" s="21"/>
      <c r="AB8" s="21" t="str">
        <f>'Ingest Template'!M8</f>
        <v/>
      </c>
      <c r="AC8" s="21" t="str">
        <f>'Ingest Template'!Y8</f>
        <v/>
      </c>
      <c r="AD8" s="21" t="str">
        <f>'Ingest Template'!C8</f>
        <v/>
      </c>
      <c r="AE8" s="21" t="str">
        <f>'Ingest Template'!Z8</f>
        <v/>
      </c>
      <c r="AF8" s="29"/>
      <c r="AG8" s="21" t="str">
        <f t="array" ref="AG8">IF('Ingest Template'!A8="Standard",(CONCATENATE(IF(ISBLANK('Ingest Template'!O8),"", 'Ingest Template'!O8&amp;"|DAR"),CHAR(10), IF(ISBLANK('Ingest Template'!P8),"", 'Ingest Template'!P8&amp;"|DAR"),CHAR(10), IF(ISBLANK('Ingest Template'!Q8),"", 'Ingest Template'!Q8&amp;"|DAR"))),(CONCATENATE(IF(ISBLANK('Ingest Template'!O8),"", 'Ingest Template'!O8&amp;"|Operations - Core Title"),CHAR(10), IF(ISBLANK('Ingest Template'!P8),"", 'Ingest Template'!P8&amp;"|Operations - Core Title"),CHAR(10), IF(ISBLANK('Ingest Template'!Q8),"", 'Ingest Template'!Q8&amp;"|Operations - Core Title"))))</f>
        <v>#|Operations - Core Title
#|Operations - Core Title
</v>
      </c>
      <c r="AH8" s="21"/>
      <c r="AI8" s="21"/>
      <c r="AJ8" s="53" t="str">
        <f>if('Ingest Template'!A8="Standard",'Ingest Template'!N8&amp; "|DAR|DAR|2021-01-01",'Ingest Template'!N8&amp; "|Operations - Core Title|Operations - Core Title")</f>
        <v>#N/A</v>
      </c>
      <c r="AK8" s="53" t="str">
        <f>if('Ingest Template'!A8="Standard",'Ingest Template'!R8&amp; "|2021-01-01",'Ingest Template'!R8)</f>
        <v>#N/A</v>
      </c>
      <c r="AL8" s="21"/>
      <c r="AM8" s="21"/>
    </row>
    <row r="9">
      <c r="A9" s="21"/>
      <c r="B9" s="21" t="str">
        <f>'Ingest Template'!B9&amp;IF('Ingest Template'!A9 = "Standard", " - DAR","")</f>
        <v/>
      </c>
      <c r="C9" s="26" t="s">
        <v>109</v>
      </c>
      <c r="D9" s="29" t="str">
        <f t="array" ref="D9">CONCATENATE(INDEX(DropDown!$H$2:$H$10,MATCH(1,COUNTIF('Ingest Template'!F9,"*"&amp;DropDown!$H$2:$H$10&amp;"*"),0)),CHAR(10),'Ingest Template'!G9)</f>
        <v>#N/A</v>
      </c>
      <c r="E9" s="21" t="str">
        <f>CONCATENATE('Ingest Template'!H9,CHAR(10),'Ingest Template'!I9,CHAR(10),'Ingest Template'!J9)</f>
        <v>
</v>
      </c>
      <c r="F9" s="26" t="str">
        <f>'Ingest Template'!H9</f>
        <v/>
      </c>
      <c r="G9" s="21"/>
      <c r="H9" s="29"/>
      <c r="I9" s="21"/>
      <c r="J9" s="29" t="str">
        <f t="array" ref="J9">iF('Ingest Template'!A9="Standard","Pristine Brand",INDEX(DropDown!$M$2:$M$392,MATCH('Ingest Template'!E9,DropDown!$J$2:$J$392,0)))</f>
        <v>#N/A</v>
      </c>
      <c r="K9" s="21" t="str">
        <f>iF('Ingest Template'!A9="Standard",'Ingest Template'!K9&amp;CHAR(10)&amp;'Ingest Template'!L9,"Competitive View")</f>
        <v>Competitive View</v>
      </c>
      <c r="L9" s="29" t="s">
        <v>146</v>
      </c>
      <c r="M9" s="37" t="str">
        <f>'Ingest Template'!D9</f>
        <v/>
      </c>
      <c r="N9" s="21"/>
      <c r="O9" s="21"/>
      <c r="P9" s="21"/>
      <c r="Q9" s="21"/>
      <c r="R9" s="21" t="str">
        <f>'Ingest Template'!E9</f>
        <v/>
      </c>
      <c r="S9" s="29" t="s">
        <v>153</v>
      </c>
      <c r="T9" s="21" t="str">
        <f>'Ingest Template'!T9</f>
        <v/>
      </c>
      <c r="U9" s="21" t="str">
        <f>'Ingest Template'!S9</f>
        <v/>
      </c>
      <c r="V9" s="21" t="str">
        <f>LOWER(SUBSTITUTE(SUBSTITUTE(SUBSTITUTE(SUBSTITUTE(SUBSTITUTE('Ingest Template'!U9,"https:",""),"www.",""),"/",""),"?hl=en",""),"instagram.com",""))</f>
        <v/>
      </c>
      <c r="W9" s="41" t="str">
        <f t="array" ref="W9">IF('Ingest Template'!V9="",(INDEX(DropDown!$L$2:$L$392,MATCH('Ingest Template'!E9,DropDown!$J$2:$J$392,0))&amp;"|"&amp;'Ingest Template'!B9),(INDEX(DropDown!$L$2:$L$392,MATCH('Ingest Template'!E9,DropDown!$J$2:$J$392,0))&amp;"|"&amp;'Ingest Template'!B9)&amp;CHAR(10)&amp;'Ingest Template'!V9)</f>
        <v>#N/A</v>
      </c>
      <c r="X9" s="41" t="str">
        <f>'Ingest Template'!W9</f>
        <v/>
      </c>
      <c r="Y9" s="21" t="str">
        <f>SUBSTITUTE(SUBSTITUTE(SUBSTITUTE('Ingest Template'!X9,"http:",""),"https:",""),"/","")</f>
        <v/>
      </c>
      <c r="Z9" s="21" t="str">
        <f t="array" ref="Z9">IF('Ingest Template'!A9="Standard",(IF(ISBLANK('Ingest Template'!AA9),"", 'Ingest Template'!AA9&amp;"|DAR")),(IF(ISBLANK('Ingest Template'!AA9),"", 'Ingest Template'!AA9&amp;"|Film Ops")))</f>
        <v/>
      </c>
      <c r="AA9" s="21"/>
      <c r="AB9" s="21" t="str">
        <f>'Ingest Template'!M9</f>
        <v/>
      </c>
      <c r="AC9" s="21" t="str">
        <f>'Ingest Template'!Y9</f>
        <v/>
      </c>
      <c r="AD9" s="21" t="str">
        <f>'Ingest Template'!C9</f>
        <v/>
      </c>
      <c r="AE9" s="21" t="str">
        <f>'Ingest Template'!Z9</f>
        <v/>
      </c>
      <c r="AF9" s="29"/>
      <c r="AG9" s="21" t="str">
        <f t="array" ref="AG9">IF('Ingest Template'!A9="Standard",(CONCATENATE(IF(ISBLANK('Ingest Template'!O9),"", 'Ingest Template'!O9&amp;"|DAR"),CHAR(10), IF(ISBLANK('Ingest Template'!P9),"", 'Ingest Template'!P9&amp;"|DAR"),CHAR(10), IF(ISBLANK('Ingest Template'!Q9),"", 'Ingest Template'!Q9&amp;"|DAR"))),(CONCATENATE(IF(ISBLANK('Ingest Template'!O9),"", 'Ingest Template'!O9&amp;"|Operations - Core Title"),CHAR(10), IF(ISBLANK('Ingest Template'!P9),"", 'Ingest Template'!P9&amp;"|Operations - Core Title"),CHAR(10), IF(ISBLANK('Ingest Template'!Q9),"", 'Ingest Template'!Q9&amp;"|Operations - Core Title"))))</f>
        <v>#|Operations - Core Title
#|Operations - Core Title
</v>
      </c>
      <c r="AH9" s="21"/>
      <c r="AI9" s="21"/>
      <c r="AJ9" s="53" t="str">
        <f>if('Ingest Template'!A9="Standard",'Ingest Template'!N9&amp; "|DAR|DAR|2021-01-01",'Ingest Template'!N9&amp; "|Operations - Core Title|Operations - Core Title")</f>
        <v>#N/A</v>
      </c>
      <c r="AK9" s="53" t="str">
        <f>if('Ingest Template'!A9="Standard",'Ingest Template'!R9&amp; "|2021-01-01",'Ingest Template'!R9)</f>
        <v>#N/A</v>
      </c>
      <c r="AL9" s="21"/>
      <c r="AM9" s="21"/>
    </row>
    <row r="10">
      <c r="A10" s="21"/>
      <c r="B10" s="21" t="str">
        <f>'Ingest Template'!B10&amp;IF('Ingest Template'!A10 = "Standard", " - DAR","")</f>
        <v/>
      </c>
      <c r="C10" s="26" t="s">
        <v>109</v>
      </c>
      <c r="D10" s="29" t="str">
        <f t="array" ref="D10">CONCATENATE(INDEX(DropDown!$H$2:$H$10,MATCH(1,COUNTIF('Ingest Template'!F10,"*"&amp;DropDown!$H$2:$H$10&amp;"*"),0)),CHAR(10),'Ingest Template'!G10)</f>
        <v>#N/A</v>
      </c>
      <c r="E10" s="21" t="str">
        <f>CONCATENATE('Ingest Template'!H10,CHAR(10),'Ingest Template'!I10,CHAR(10),'Ingest Template'!J10)</f>
        <v>
</v>
      </c>
      <c r="F10" s="26" t="str">
        <f>'Ingest Template'!H10</f>
        <v/>
      </c>
      <c r="G10" s="21"/>
      <c r="H10" s="29"/>
      <c r="I10" s="21"/>
      <c r="J10" s="29" t="str">
        <f t="array" ref="J10">iF('Ingest Template'!A10="Standard","Pristine Brand",INDEX(DropDown!$M$2:$M$392,MATCH('Ingest Template'!E10,DropDown!$J$2:$J$392,0)))</f>
        <v>#N/A</v>
      </c>
      <c r="K10" s="21" t="str">
        <f>iF('Ingest Template'!A10="Standard",'Ingest Template'!K10&amp;CHAR(10)&amp;'Ingest Template'!L10,"Competitive View")</f>
        <v>Competitive View</v>
      </c>
      <c r="L10" s="29" t="s">
        <v>146</v>
      </c>
      <c r="M10" s="37" t="str">
        <f>'Ingest Template'!D10</f>
        <v/>
      </c>
      <c r="N10" s="21"/>
      <c r="O10" s="21"/>
      <c r="P10" s="21"/>
      <c r="Q10" s="21"/>
      <c r="R10" s="21" t="str">
        <f>'Ingest Template'!E10</f>
        <v/>
      </c>
      <c r="S10" s="29" t="s">
        <v>153</v>
      </c>
      <c r="T10" s="21" t="str">
        <f>'Ingest Template'!T10</f>
        <v/>
      </c>
      <c r="U10" s="21" t="str">
        <f>'Ingest Template'!S10</f>
        <v/>
      </c>
      <c r="V10" s="21" t="str">
        <f>LOWER(SUBSTITUTE(SUBSTITUTE(SUBSTITUTE(SUBSTITUTE(SUBSTITUTE('Ingest Template'!U10,"https:",""),"www.",""),"/",""),"?hl=en",""),"instagram.com",""))</f>
        <v/>
      </c>
      <c r="W10" s="41" t="str">
        <f t="array" ref="W10">IF('Ingest Template'!V10="",(INDEX(DropDown!$L$2:$L$392,MATCH('Ingest Template'!E10,DropDown!$J$2:$J$392,0))&amp;"|"&amp;'Ingest Template'!B10),(INDEX(DropDown!$L$2:$L$392,MATCH('Ingest Template'!E10,DropDown!$J$2:$J$392,0))&amp;"|"&amp;'Ingest Template'!B10)&amp;CHAR(10)&amp;'Ingest Template'!V10)</f>
        <v>#N/A</v>
      </c>
      <c r="X10" s="41" t="str">
        <f>'Ingest Template'!W10</f>
        <v/>
      </c>
      <c r="Y10" s="21" t="str">
        <f>SUBSTITUTE(SUBSTITUTE(SUBSTITUTE('Ingest Template'!X10,"http:",""),"https:",""),"/","")</f>
        <v/>
      </c>
      <c r="Z10" s="21" t="str">
        <f t="array" ref="Z10">IF('Ingest Template'!A10="Standard",(IF(ISBLANK('Ingest Template'!AA10),"", 'Ingest Template'!AA10&amp;"|DAR")),(IF(ISBLANK('Ingest Template'!AA10),"", 'Ingest Template'!AA10&amp;"|Film Ops")))</f>
        <v/>
      </c>
      <c r="AA10" s="21"/>
      <c r="AB10" s="21" t="str">
        <f>'Ingest Template'!M10</f>
        <v/>
      </c>
      <c r="AC10" s="21" t="str">
        <f>'Ingest Template'!Y10</f>
        <v/>
      </c>
      <c r="AD10" s="21" t="str">
        <f>'Ingest Template'!C10</f>
        <v/>
      </c>
      <c r="AE10" s="21" t="str">
        <f>'Ingest Template'!Z10</f>
        <v/>
      </c>
      <c r="AF10" s="29"/>
      <c r="AG10" s="21" t="str">
        <f t="array" ref="AG10">IF('Ingest Template'!A10="Standard",(CONCATENATE(IF(ISBLANK('Ingest Template'!O10),"", 'Ingest Template'!O10&amp;"|DAR"),CHAR(10), IF(ISBLANK('Ingest Template'!P10),"", 'Ingest Template'!P10&amp;"|DAR"),CHAR(10), IF(ISBLANK('Ingest Template'!Q10),"", 'Ingest Template'!Q10&amp;"|DAR"))),(CONCATENATE(IF(ISBLANK('Ingest Template'!O10),"", 'Ingest Template'!O10&amp;"|Operations - Core Title"),CHAR(10), IF(ISBLANK('Ingest Template'!P10),"", 'Ingest Template'!P10&amp;"|Operations - Core Title"),CHAR(10), IF(ISBLANK('Ingest Template'!Q10),"", 'Ingest Template'!Q10&amp;"|Operations - Core Title"))))</f>
        <v>#|Operations - Core Title
#|Operations - Core Title
</v>
      </c>
      <c r="AH10" s="21"/>
      <c r="AI10" s="21"/>
      <c r="AJ10" s="53" t="str">
        <f>if('Ingest Template'!A10="Standard",'Ingest Template'!N10&amp; "|DAR|DAR|2021-01-01",'Ingest Template'!N10&amp; "|Operations - Core Title|Operations - Core Title")</f>
        <v>#N/A</v>
      </c>
      <c r="AK10" s="53" t="str">
        <f>if('Ingest Template'!A10="Standard",'Ingest Template'!R10&amp; "|2021-01-01",'Ingest Template'!R10)</f>
        <v>#N/A</v>
      </c>
      <c r="AL10" s="21"/>
      <c r="AM10" s="21"/>
    </row>
    <row r="11">
      <c r="A11" s="21"/>
      <c r="B11" s="21" t="str">
        <f>'Ingest Template'!B11&amp;IF('Ingest Template'!A11 = "Standard", " - DAR","")</f>
        <v/>
      </c>
      <c r="C11" s="26" t="s">
        <v>109</v>
      </c>
      <c r="D11" s="29" t="str">
        <f t="array" ref="D11">CONCATENATE(INDEX(DropDown!$H$2:$H$10,MATCH(1,COUNTIF('Ingest Template'!F11,"*"&amp;DropDown!$H$2:$H$10&amp;"*"),0)),CHAR(10),'Ingest Template'!G11)</f>
        <v>#N/A</v>
      </c>
      <c r="E11" s="21" t="str">
        <f>CONCATENATE('Ingest Template'!H11,CHAR(10),'Ingest Template'!I11,CHAR(10),'Ingest Template'!J11)</f>
        <v>
</v>
      </c>
      <c r="F11" s="26" t="str">
        <f>'Ingest Template'!H11</f>
        <v/>
      </c>
      <c r="G11" s="21"/>
      <c r="H11" s="29"/>
      <c r="I11" s="21"/>
      <c r="J11" s="29" t="str">
        <f t="array" ref="J11">iF('Ingest Template'!A11="Standard","Pristine Brand",INDEX(DropDown!$M$2:$M$392,MATCH('Ingest Template'!E11,DropDown!$J$2:$J$392,0)))</f>
        <v>#N/A</v>
      </c>
      <c r="K11" s="21" t="str">
        <f>iF('Ingest Template'!A11="Standard",'Ingest Template'!K11&amp;CHAR(10)&amp;'Ingest Template'!L11,"Competitive View")</f>
        <v>Competitive View</v>
      </c>
      <c r="L11" s="29" t="s">
        <v>146</v>
      </c>
      <c r="M11" s="37" t="str">
        <f>'Ingest Template'!D11</f>
        <v/>
      </c>
      <c r="N11" s="21"/>
      <c r="O11" s="21"/>
      <c r="P11" s="21"/>
      <c r="Q11" s="21"/>
      <c r="R11" s="21" t="str">
        <f>'Ingest Template'!E11</f>
        <v/>
      </c>
      <c r="S11" s="29" t="s">
        <v>153</v>
      </c>
      <c r="T11" s="21" t="str">
        <f>'Ingest Template'!T11</f>
        <v/>
      </c>
      <c r="U11" s="21" t="str">
        <f>'Ingest Template'!S11</f>
        <v/>
      </c>
      <c r="V11" s="21" t="str">
        <f>LOWER(SUBSTITUTE(SUBSTITUTE(SUBSTITUTE(SUBSTITUTE(SUBSTITUTE('Ingest Template'!U11,"https:",""),"www.",""),"/",""),"?hl=en",""),"instagram.com",""))</f>
        <v/>
      </c>
      <c r="W11" s="41" t="str">
        <f t="array" ref="W11">IF('Ingest Template'!V11="",(INDEX(DropDown!$L$2:$L$392,MATCH('Ingest Template'!E11,DropDown!$J$2:$J$392,0))&amp;"|"&amp;'Ingest Template'!B11),(INDEX(DropDown!$L$2:$L$392,MATCH('Ingest Template'!E11,DropDown!$J$2:$J$392,0))&amp;"|"&amp;'Ingest Template'!B11)&amp;CHAR(10)&amp;'Ingest Template'!V11)</f>
        <v>#N/A</v>
      </c>
      <c r="X11" s="41" t="str">
        <f>'Ingest Template'!W11</f>
        <v/>
      </c>
      <c r="Y11" s="21" t="str">
        <f>SUBSTITUTE(SUBSTITUTE(SUBSTITUTE('Ingest Template'!X11,"http:",""),"https:",""),"/","")</f>
        <v/>
      </c>
      <c r="Z11" s="21" t="str">
        <f t="array" ref="Z11">IF('Ingest Template'!A11="Standard",(IF(ISBLANK('Ingest Template'!AA11),"", 'Ingest Template'!AA11&amp;"|DAR")),(IF(ISBLANK('Ingest Template'!AA11),"", 'Ingest Template'!AA11&amp;"|Film Ops")))</f>
        <v/>
      </c>
      <c r="AA11" s="21"/>
      <c r="AB11" s="21" t="str">
        <f>'Ingest Template'!M11</f>
        <v/>
      </c>
      <c r="AC11" s="21" t="str">
        <f>'Ingest Template'!Y11</f>
        <v/>
      </c>
      <c r="AD11" s="21" t="str">
        <f>'Ingest Template'!C11</f>
        <v/>
      </c>
      <c r="AE11" s="21" t="str">
        <f>'Ingest Template'!Z11</f>
        <v/>
      </c>
      <c r="AF11" s="29"/>
      <c r="AG11" s="21" t="str">
        <f t="array" ref="AG11">IF('Ingest Template'!A11="Standard",(CONCATENATE(IF(ISBLANK('Ingest Template'!O11),"", 'Ingest Template'!O11&amp;"|DAR"),CHAR(10), IF(ISBLANK('Ingest Template'!P11),"", 'Ingest Template'!P11&amp;"|DAR"),CHAR(10), IF(ISBLANK('Ingest Template'!Q11),"", 'Ingest Template'!Q11&amp;"|DAR"))),(CONCATENATE(IF(ISBLANK('Ingest Template'!O11),"", 'Ingest Template'!O11&amp;"|Operations - Core Title"),CHAR(10), IF(ISBLANK('Ingest Template'!P11),"", 'Ingest Template'!P11&amp;"|Operations - Core Title"),CHAR(10), IF(ISBLANK('Ingest Template'!Q11),"", 'Ingest Template'!Q11&amp;"|Operations - Core Title"))))</f>
        <v>#|Operations - Core Title
#|Operations - Core Title
</v>
      </c>
      <c r="AH11" s="21"/>
      <c r="AI11" s="21"/>
      <c r="AJ11" s="53" t="str">
        <f>if('Ingest Template'!A11="Standard",'Ingest Template'!N11&amp; "|DAR|DAR|2021-01-01",'Ingest Template'!N11&amp; "|Operations - Core Title|Operations - Core Title")</f>
        <v>#N/A</v>
      </c>
      <c r="AK11" s="53" t="str">
        <f>if('Ingest Template'!A11="Standard",'Ingest Template'!R11&amp; "|2021-01-01",'Ingest Template'!R11)</f>
        <v>#N/A</v>
      </c>
      <c r="AL11" s="21"/>
      <c r="AM11" s="21"/>
    </row>
    <row r="12">
      <c r="A12" s="21"/>
      <c r="B12" s="21" t="str">
        <f>'Ingest Template'!B12&amp;IF('Ingest Template'!A12 = "Standard", " - DAR","")</f>
        <v/>
      </c>
      <c r="C12" s="26" t="s">
        <v>109</v>
      </c>
      <c r="D12" s="29" t="str">
        <f t="array" ref="D12">CONCATENATE(INDEX(DropDown!$H$2:$H$10,MATCH(1,COUNTIF('Ingest Template'!F12,"*"&amp;DropDown!$H$2:$H$10&amp;"*"),0)),CHAR(10),'Ingest Template'!G12)</f>
        <v>#N/A</v>
      </c>
      <c r="E12" s="21" t="str">
        <f>CONCATENATE('Ingest Template'!H12,CHAR(10),'Ingest Template'!I12,CHAR(10),'Ingest Template'!J12)</f>
        <v>
</v>
      </c>
      <c r="F12" s="26" t="str">
        <f>'Ingest Template'!H12</f>
        <v/>
      </c>
      <c r="G12" s="21"/>
      <c r="H12" s="29"/>
      <c r="I12" s="21"/>
      <c r="J12" s="29" t="str">
        <f t="array" ref="J12">iF('Ingest Template'!A12="Standard","Pristine Brand",INDEX(DropDown!$M$2:$M$392,MATCH('Ingest Template'!E12,DropDown!$J$2:$J$392,0)))</f>
        <v>#N/A</v>
      </c>
      <c r="K12" s="21" t="str">
        <f>iF('Ingest Template'!A12="Standard",'Ingest Template'!K12&amp;CHAR(10)&amp;'Ingest Template'!L12,"Competitive View")</f>
        <v>Competitive View</v>
      </c>
      <c r="L12" s="29" t="s">
        <v>146</v>
      </c>
      <c r="M12" s="37" t="str">
        <f>'Ingest Template'!D12</f>
        <v/>
      </c>
      <c r="N12" s="21"/>
      <c r="O12" s="21"/>
      <c r="P12" s="21"/>
      <c r="Q12" s="21"/>
      <c r="R12" s="21" t="str">
        <f>'Ingest Template'!E12</f>
        <v/>
      </c>
      <c r="S12" s="29" t="s">
        <v>153</v>
      </c>
      <c r="T12" s="21" t="str">
        <f>'Ingest Template'!T12</f>
        <v/>
      </c>
      <c r="U12" s="21" t="str">
        <f>'Ingest Template'!S12</f>
        <v/>
      </c>
      <c r="V12" s="21" t="str">
        <f>LOWER(SUBSTITUTE(SUBSTITUTE(SUBSTITUTE(SUBSTITUTE(SUBSTITUTE('Ingest Template'!U12,"https:",""),"www.",""),"/",""),"?hl=en",""),"instagram.com",""))</f>
        <v/>
      </c>
      <c r="W12" s="41" t="str">
        <f t="array" ref="W12">IF('Ingest Template'!V12="",(INDEX(DropDown!$L$2:$L$392,MATCH('Ingest Template'!E12,DropDown!$J$2:$J$392,0))&amp;"|"&amp;'Ingest Template'!B12),(INDEX(DropDown!$L$2:$L$392,MATCH('Ingest Template'!E12,DropDown!$J$2:$J$392,0))&amp;"|"&amp;'Ingest Template'!B12)&amp;CHAR(10)&amp;'Ingest Template'!V12)</f>
        <v>#N/A</v>
      </c>
      <c r="X12" s="41" t="str">
        <f>'Ingest Template'!W12</f>
        <v/>
      </c>
      <c r="Y12" s="21" t="str">
        <f>SUBSTITUTE(SUBSTITUTE(SUBSTITUTE('Ingest Template'!X12,"http:",""),"https:",""),"/","")</f>
        <v/>
      </c>
      <c r="Z12" s="21" t="str">
        <f t="array" ref="Z12">IF('Ingest Template'!A12="Standard",(IF(ISBLANK('Ingest Template'!AA12),"", 'Ingest Template'!AA12&amp;"|DAR")),(IF(ISBLANK('Ingest Template'!AA12),"", 'Ingest Template'!AA12&amp;"|Film Ops")))</f>
        <v/>
      </c>
      <c r="AA12" s="21"/>
      <c r="AB12" s="21" t="str">
        <f>'Ingest Template'!M12</f>
        <v/>
      </c>
      <c r="AC12" s="21" t="str">
        <f>'Ingest Template'!Y12</f>
        <v/>
      </c>
      <c r="AD12" s="21" t="str">
        <f>'Ingest Template'!C12</f>
        <v/>
      </c>
      <c r="AE12" s="21" t="str">
        <f>'Ingest Template'!Z12</f>
        <v/>
      </c>
      <c r="AF12" s="29"/>
      <c r="AG12" s="21" t="str">
        <f t="array" ref="AG12">IF('Ingest Template'!A12="Standard",(CONCATENATE(IF(ISBLANK('Ingest Template'!O12),"", 'Ingest Template'!O12&amp;"|DAR"),CHAR(10), IF(ISBLANK('Ingest Template'!P12),"", 'Ingest Template'!P12&amp;"|DAR"),CHAR(10), IF(ISBLANK('Ingest Template'!Q12),"", 'Ingest Template'!Q12&amp;"|DAR"))),(CONCATENATE(IF(ISBLANK('Ingest Template'!O12),"", 'Ingest Template'!O12&amp;"|Operations - Core Title"),CHAR(10), IF(ISBLANK('Ingest Template'!P12),"", 'Ingest Template'!P12&amp;"|Operations - Core Title"),CHAR(10), IF(ISBLANK('Ingest Template'!Q12),"", 'Ingest Template'!Q12&amp;"|Operations - Core Title"))))</f>
        <v>#|Operations - Core Title
#|Operations - Core Title
</v>
      </c>
      <c r="AH12" s="21"/>
      <c r="AI12" s="21"/>
      <c r="AJ12" s="53" t="str">
        <f>if('Ingest Template'!A12="Standard",'Ingest Template'!N12&amp; "|DAR|DAR|2021-01-01",'Ingest Template'!N12&amp; "|Operations - Core Title|Operations - Core Title")</f>
        <v>#N/A</v>
      </c>
      <c r="AK12" s="53" t="str">
        <f>if('Ingest Template'!A12="Standard",'Ingest Template'!R12&amp; "|2021-01-01",'Ingest Template'!R12)</f>
        <v>#N/A</v>
      </c>
      <c r="AL12" s="21"/>
      <c r="AM12" s="21"/>
    </row>
    <row r="13">
      <c r="A13" s="21"/>
      <c r="B13" s="21" t="str">
        <f>'Ingest Template'!B13&amp;IF('Ingest Template'!A13 = "Standard", " - DAR","")</f>
        <v/>
      </c>
      <c r="C13" s="26" t="s">
        <v>109</v>
      </c>
      <c r="D13" s="29" t="str">
        <f t="array" ref="D13">CONCATENATE(INDEX(DropDown!$H$2:$H$10,MATCH(1,COUNTIF('Ingest Template'!F13,"*"&amp;DropDown!$H$2:$H$10&amp;"*"),0)),CHAR(10),'Ingest Template'!G13)</f>
        <v>#N/A</v>
      </c>
      <c r="E13" s="21" t="str">
        <f>CONCATENATE('Ingest Template'!H13,CHAR(10),'Ingest Template'!I13,CHAR(10),'Ingest Template'!J13)</f>
        <v>
</v>
      </c>
      <c r="F13" s="26" t="str">
        <f>'Ingest Template'!H13</f>
        <v/>
      </c>
      <c r="G13" s="21"/>
      <c r="H13" s="29"/>
      <c r="I13" s="21"/>
      <c r="J13" s="29" t="str">
        <f t="array" ref="J13">iF('Ingest Template'!A13="Standard","Pristine Brand",INDEX(DropDown!$M$2:$M$392,MATCH('Ingest Template'!E13,DropDown!$J$2:$J$392,0)))</f>
        <v>#N/A</v>
      </c>
      <c r="K13" s="21" t="str">
        <f>iF('Ingest Template'!A13="Standard",'Ingest Template'!K13&amp;CHAR(10)&amp;'Ingest Template'!L13,"Competitive View")</f>
        <v>Competitive View</v>
      </c>
      <c r="L13" s="29" t="s">
        <v>146</v>
      </c>
      <c r="M13" s="37" t="str">
        <f>'Ingest Template'!D13</f>
        <v/>
      </c>
      <c r="N13" s="21"/>
      <c r="O13" s="21"/>
      <c r="P13" s="21"/>
      <c r="Q13" s="21"/>
      <c r="R13" s="21" t="str">
        <f>'Ingest Template'!E13</f>
        <v/>
      </c>
      <c r="S13" s="29" t="s">
        <v>153</v>
      </c>
      <c r="T13" s="21" t="str">
        <f>'Ingest Template'!T13</f>
        <v/>
      </c>
      <c r="U13" s="21" t="str">
        <f>'Ingest Template'!S13</f>
        <v/>
      </c>
      <c r="V13" s="21" t="str">
        <f>LOWER(SUBSTITUTE(SUBSTITUTE(SUBSTITUTE(SUBSTITUTE(SUBSTITUTE('Ingest Template'!U13,"https:",""),"www.",""),"/",""),"?hl=en",""),"instagram.com",""))</f>
        <v/>
      </c>
      <c r="W13" s="41" t="str">
        <f t="array" ref="W13">IF('Ingest Template'!V13="",(INDEX(DropDown!$L$2:$L$392,MATCH('Ingest Template'!E13,DropDown!$J$2:$J$392,0))&amp;"|"&amp;'Ingest Template'!B13),(INDEX(DropDown!$L$2:$L$392,MATCH('Ingest Template'!E13,DropDown!$J$2:$J$392,0))&amp;"|"&amp;'Ingest Template'!B13)&amp;CHAR(10)&amp;'Ingest Template'!V13)</f>
        <v>#N/A</v>
      </c>
      <c r="X13" s="41" t="str">
        <f>'Ingest Template'!W13</f>
        <v/>
      </c>
      <c r="Y13" s="21" t="str">
        <f>SUBSTITUTE(SUBSTITUTE(SUBSTITUTE('Ingest Template'!X13,"http:",""),"https:",""),"/","")</f>
        <v/>
      </c>
      <c r="Z13" s="21" t="str">
        <f t="array" ref="Z13">IF('Ingest Template'!A13="Standard",(IF(ISBLANK('Ingest Template'!AA13),"", 'Ingest Template'!AA13&amp;"|DAR")),(IF(ISBLANK('Ingest Template'!AA13),"", 'Ingest Template'!AA13&amp;"|Film Ops")))</f>
        <v/>
      </c>
      <c r="AA13" s="21"/>
      <c r="AB13" s="21" t="str">
        <f>'Ingest Template'!M13</f>
        <v/>
      </c>
      <c r="AC13" s="21" t="str">
        <f>'Ingest Template'!Y13</f>
        <v/>
      </c>
      <c r="AD13" s="21" t="str">
        <f>'Ingest Template'!C13</f>
        <v/>
      </c>
      <c r="AE13" s="21" t="str">
        <f>'Ingest Template'!Z13</f>
        <v/>
      </c>
      <c r="AF13" s="29"/>
      <c r="AG13" s="21" t="str">
        <f t="array" ref="AG13">IF('Ingest Template'!A13="Standard",(CONCATENATE(IF(ISBLANK('Ingest Template'!O13),"", 'Ingest Template'!O13&amp;"|DAR"),CHAR(10), IF(ISBLANK('Ingest Template'!P13),"", 'Ingest Template'!P13&amp;"|DAR"),CHAR(10), IF(ISBLANK('Ingest Template'!Q13),"", 'Ingest Template'!Q13&amp;"|DAR"))),(CONCATENATE(IF(ISBLANK('Ingest Template'!O13),"", 'Ingest Template'!O13&amp;"|Operations - Core Title"),CHAR(10), IF(ISBLANK('Ingest Template'!P13),"", 'Ingest Template'!P13&amp;"|Operations - Core Title"),CHAR(10), IF(ISBLANK('Ingest Template'!Q13),"", 'Ingest Template'!Q13&amp;"|Operations - Core Title"))))</f>
        <v>#|Operations - Core Title
#|Operations - Core Title
</v>
      </c>
      <c r="AH13" s="21"/>
      <c r="AI13" s="21"/>
      <c r="AJ13" s="53" t="str">
        <f>if('Ingest Template'!A13="Standard",'Ingest Template'!N13&amp; "|DAR|DAR|2021-01-01",'Ingest Template'!N13&amp; "|Operations - Core Title|Operations - Core Title")</f>
        <v>#N/A</v>
      </c>
      <c r="AK13" s="53" t="str">
        <f>if('Ingest Template'!A13="Standard",'Ingest Template'!R13&amp; "|2021-01-01",'Ingest Template'!R13)</f>
        <v>#N/A</v>
      </c>
      <c r="AL13" s="21"/>
      <c r="AM13" s="21"/>
    </row>
    <row r="14">
      <c r="A14" s="21"/>
      <c r="B14" s="21" t="str">
        <f>'Ingest Template'!B14&amp;IF('Ingest Template'!A14 = "Standard", " - DAR","")</f>
        <v/>
      </c>
      <c r="C14" s="26" t="s">
        <v>109</v>
      </c>
      <c r="D14" s="29" t="str">
        <f t="array" ref="D14">CONCATENATE(INDEX(DropDown!$H$2:$H$10,MATCH(1,COUNTIF('Ingest Template'!F14,"*"&amp;DropDown!$H$2:$H$10&amp;"*"),0)),CHAR(10),'Ingest Template'!G14)</f>
        <v>#N/A</v>
      </c>
      <c r="E14" s="21" t="str">
        <f>CONCATENATE('Ingest Template'!H14,CHAR(10),'Ingest Template'!I14,CHAR(10),'Ingest Template'!J14)</f>
        <v>
</v>
      </c>
      <c r="F14" s="26" t="str">
        <f>'Ingest Template'!H14</f>
        <v/>
      </c>
      <c r="G14" s="21"/>
      <c r="H14" s="29"/>
      <c r="I14" s="21"/>
      <c r="J14" s="29" t="str">
        <f t="array" ref="J14">iF('Ingest Template'!A14="Standard","Pristine Brand",INDEX(DropDown!$M$2:$M$392,MATCH('Ingest Template'!E14,DropDown!$J$2:$J$392,0)))</f>
        <v>#N/A</v>
      </c>
      <c r="K14" s="21" t="str">
        <f>iF('Ingest Template'!A14="Standard",'Ingest Template'!K14&amp;CHAR(10)&amp;'Ingest Template'!L14,"Competitive View")</f>
        <v>Competitive View</v>
      </c>
      <c r="L14" s="29" t="s">
        <v>146</v>
      </c>
      <c r="M14" s="37" t="str">
        <f>'Ingest Template'!D14</f>
        <v/>
      </c>
      <c r="N14" s="21"/>
      <c r="O14" s="21"/>
      <c r="P14" s="21"/>
      <c r="Q14" s="21"/>
      <c r="R14" s="21" t="str">
        <f>'Ingest Template'!E14</f>
        <v/>
      </c>
      <c r="S14" s="29" t="s">
        <v>153</v>
      </c>
      <c r="T14" s="21" t="str">
        <f>'Ingest Template'!T14</f>
        <v/>
      </c>
      <c r="U14" s="21" t="str">
        <f>'Ingest Template'!S14</f>
        <v/>
      </c>
      <c r="V14" s="21" t="str">
        <f>LOWER(SUBSTITUTE(SUBSTITUTE(SUBSTITUTE(SUBSTITUTE(SUBSTITUTE('Ingest Template'!U14,"https:",""),"www.",""),"/",""),"?hl=en",""),"instagram.com",""))</f>
        <v/>
      </c>
      <c r="W14" s="41" t="str">
        <f t="array" ref="W14">IF('Ingest Template'!V14="",(INDEX(DropDown!$L$2:$L$392,MATCH('Ingest Template'!E14,DropDown!$J$2:$J$392,0))&amp;"|"&amp;'Ingest Template'!B14),(INDEX(DropDown!$L$2:$L$392,MATCH('Ingest Template'!E14,DropDown!$J$2:$J$392,0))&amp;"|"&amp;'Ingest Template'!B14)&amp;CHAR(10)&amp;'Ingest Template'!V14)</f>
        <v>#N/A</v>
      </c>
      <c r="X14" s="41" t="str">
        <f>'Ingest Template'!W14</f>
        <v/>
      </c>
      <c r="Y14" s="21" t="str">
        <f>SUBSTITUTE(SUBSTITUTE(SUBSTITUTE('Ingest Template'!X14,"http:",""),"https:",""),"/","")</f>
        <v/>
      </c>
      <c r="Z14" s="21" t="str">
        <f t="array" ref="Z14">IF('Ingest Template'!A14="Standard",(IF(ISBLANK('Ingest Template'!AA14),"", 'Ingest Template'!AA14&amp;"|DAR")),(IF(ISBLANK('Ingest Template'!AA14),"", 'Ingest Template'!AA14&amp;"|Film Ops")))</f>
        <v/>
      </c>
      <c r="AA14" s="21"/>
      <c r="AB14" s="21" t="str">
        <f>'Ingest Template'!M14</f>
        <v/>
      </c>
      <c r="AC14" s="21" t="str">
        <f>'Ingest Template'!Y14</f>
        <v/>
      </c>
      <c r="AD14" s="21" t="str">
        <f>'Ingest Template'!C14</f>
        <v/>
      </c>
      <c r="AE14" s="21" t="str">
        <f>'Ingest Template'!Z14</f>
        <v/>
      </c>
      <c r="AF14" s="29"/>
      <c r="AG14" s="21" t="str">
        <f t="array" ref="AG14">IF('Ingest Template'!A14="Standard",(CONCATENATE(IF(ISBLANK('Ingest Template'!O14),"", 'Ingest Template'!O14&amp;"|DAR"),CHAR(10), IF(ISBLANK('Ingest Template'!P14),"", 'Ingest Template'!P14&amp;"|DAR"),CHAR(10), IF(ISBLANK('Ingest Template'!Q14),"", 'Ingest Template'!Q14&amp;"|DAR"))),(CONCATENATE(IF(ISBLANK('Ingest Template'!O14),"", 'Ingest Template'!O14&amp;"|Operations - Core Title"),CHAR(10), IF(ISBLANK('Ingest Template'!P14),"", 'Ingest Template'!P14&amp;"|Operations - Core Title"),CHAR(10), IF(ISBLANK('Ingest Template'!Q14),"", 'Ingest Template'!Q14&amp;"|Operations - Core Title"))))</f>
        <v>#|Operations - Core Title
#|Operations - Core Title
</v>
      </c>
      <c r="AH14" s="21"/>
      <c r="AI14" s="21"/>
      <c r="AJ14" s="53" t="str">
        <f>if('Ingest Template'!A14="Standard",'Ingest Template'!N14&amp; "|DAR|DAR|2021-01-01",'Ingest Template'!N14&amp; "|Operations - Core Title|Operations - Core Title")</f>
        <v>#N/A</v>
      </c>
      <c r="AK14" s="53" t="str">
        <f>if('Ingest Template'!A14="Standard",'Ingest Template'!R14&amp; "|2021-01-01",'Ingest Template'!R14)</f>
        <v>#N/A</v>
      </c>
      <c r="AL14" s="21"/>
      <c r="AM14" s="21"/>
    </row>
    <row r="15">
      <c r="A15" s="21"/>
      <c r="B15" s="21" t="str">
        <f>'Ingest Template'!B15&amp;IF('Ingest Template'!A15 = "Standard", " - DAR","")</f>
        <v/>
      </c>
      <c r="C15" s="26" t="s">
        <v>109</v>
      </c>
      <c r="D15" s="29" t="str">
        <f t="array" ref="D15">CONCATENATE(INDEX(DropDown!$H$2:$H$10,MATCH(1,COUNTIF('Ingest Template'!F15,"*"&amp;DropDown!$H$2:$H$10&amp;"*"),0)),CHAR(10),'Ingest Template'!G15)</f>
        <v>#N/A</v>
      </c>
      <c r="E15" s="21" t="str">
        <f>CONCATENATE('Ingest Template'!H15,CHAR(10),'Ingest Template'!I15,CHAR(10),'Ingest Template'!J15)</f>
        <v>
</v>
      </c>
      <c r="F15" s="26" t="str">
        <f>'Ingest Template'!H15</f>
        <v/>
      </c>
      <c r="G15" s="21"/>
      <c r="H15" s="29"/>
      <c r="I15" s="21"/>
      <c r="J15" s="29" t="str">
        <f t="array" ref="J15">iF('Ingest Template'!A15="Standard","Pristine Brand",INDEX(DropDown!$M$2:$M$392,MATCH('Ingest Template'!E15,DropDown!$J$2:$J$392,0)))</f>
        <v>#N/A</v>
      </c>
      <c r="K15" s="21" t="str">
        <f>iF('Ingest Template'!A15="Standard",'Ingest Template'!K15&amp;CHAR(10)&amp;'Ingest Template'!L15,"Competitive View")</f>
        <v>Competitive View</v>
      </c>
      <c r="L15" s="29" t="s">
        <v>146</v>
      </c>
      <c r="M15" s="37" t="str">
        <f>'Ingest Template'!D15</f>
        <v/>
      </c>
      <c r="N15" s="21"/>
      <c r="O15" s="21"/>
      <c r="P15" s="21"/>
      <c r="Q15" s="21"/>
      <c r="R15" s="21" t="str">
        <f>'Ingest Template'!E15</f>
        <v/>
      </c>
      <c r="S15" s="29" t="s">
        <v>153</v>
      </c>
      <c r="T15" s="21" t="str">
        <f>'Ingest Template'!T15</f>
        <v/>
      </c>
      <c r="U15" s="21" t="str">
        <f>'Ingest Template'!S15</f>
        <v/>
      </c>
      <c r="V15" s="21" t="str">
        <f>LOWER(SUBSTITUTE(SUBSTITUTE(SUBSTITUTE(SUBSTITUTE(SUBSTITUTE('Ingest Template'!U15,"https:",""),"www.",""),"/",""),"?hl=en",""),"instagram.com",""))</f>
        <v/>
      </c>
      <c r="W15" s="41" t="str">
        <f t="array" ref="W15">IF('Ingest Template'!V15="",(INDEX(DropDown!$L$2:$L$392,MATCH('Ingest Template'!E15,DropDown!$J$2:$J$392,0))&amp;"|"&amp;'Ingest Template'!B15),(INDEX(DropDown!$L$2:$L$392,MATCH('Ingest Template'!E15,DropDown!$J$2:$J$392,0))&amp;"|"&amp;'Ingest Template'!B15)&amp;CHAR(10)&amp;'Ingest Template'!V15)</f>
        <v>#N/A</v>
      </c>
      <c r="X15" s="41" t="str">
        <f>'Ingest Template'!W15</f>
        <v/>
      </c>
      <c r="Y15" s="21" t="str">
        <f>SUBSTITUTE(SUBSTITUTE(SUBSTITUTE('Ingest Template'!X15,"http:",""),"https:",""),"/","")</f>
        <v/>
      </c>
      <c r="Z15" s="21" t="str">
        <f t="array" ref="Z15">IF('Ingest Template'!A15="Standard",(IF(ISBLANK('Ingest Template'!AA15),"", 'Ingest Template'!AA15&amp;"|DAR")),(IF(ISBLANK('Ingest Template'!AA15),"", 'Ingest Template'!AA15&amp;"|Film Ops")))</f>
        <v/>
      </c>
      <c r="AA15" s="21"/>
      <c r="AB15" s="21" t="str">
        <f>'Ingest Template'!M15</f>
        <v/>
      </c>
      <c r="AC15" s="21" t="str">
        <f>'Ingest Template'!Y15</f>
        <v/>
      </c>
      <c r="AD15" s="21" t="str">
        <f>'Ingest Template'!C15</f>
        <v/>
      </c>
      <c r="AE15" s="21" t="str">
        <f>'Ingest Template'!Z15</f>
        <v/>
      </c>
      <c r="AF15" s="29"/>
      <c r="AG15" s="21" t="str">
        <f t="array" ref="AG15">IF('Ingest Template'!A15="Standard",(CONCATENATE(IF(ISBLANK('Ingest Template'!O15),"", 'Ingest Template'!O15&amp;"|DAR"),CHAR(10), IF(ISBLANK('Ingest Template'!P15),"", 'Ingest Template'!P15&amp;"|DAR"),CHAR(10), IF(ISBLANK('Ingest Template'!Q15),"", 'Ingest Template'!Q15&amp;"|DAR"))),(CONCATENATE(IF(ISBLANK('Ingest Template'!O15),"", 'Ingest Template'!O15&amp;"|Operations - Core Title"),CHAR(10), IF(ISBLANK('Ingest Template'!P15),"", 'Ingest Template'!P15&amp;"|Operations - Core Title"),CHAR(10), IF(ISBLANK('Ingest Template'!Q15),"", 'Ingest Template'!Q15&amp;"|Operations - Core Title"))))</f>
        <v>#|Operations - Core Title
#|Operations - Core Title
</v>
      </c>
      <c r="AH15" s="21"/>
      <c r="AI15" s="21"/>
      <c r="AJ15" s="53" t="str">
        <f>if('Ingest Template'!A15="Standard",'Ingest Template'!N15&amp; "|DAR|DAR|2021-01-01",'Ingest Template'!N15&amp; "|Operations - Core Title|Operations - Core Title")</f>
        <v>#N/A</v>
      </c>
      <c r="AK15" s="53" t="str">
        <f>if('Ingest Template'!A15="Standard",'Ingest Template'!R15&amp; "|2021-01-01",'Ingest Template'!R15)</f>
        <v>#N/A</v>
      </c>
      <c r="AL15" s="21"/>
      <c r="AM15" s="21"/>
    </row>
    <row r="16">
      <c r="A16" s="21"/>
      <c r="B16" s="21" t="str">
        <f>'Ingest Template'!B16&amp;IF('Ingest Template'!A16 = "Standard", " - DAR","")</f>
        <v/>
      </c>
      <c r="C16" s="26" t="s">
        <v>109</v>
      </c>
      <c r="D16" s="29" t="str">
        <f t="array" ref="D16">CONCATENATE(INDEX(DropDown!$H$2:$H$10,MATCH(1,COUNTIF('Ingest Template'!F16,"*"&amp;DropDown!$H$2:$H$10&amp;"*"),0)),CHAR(10),'Ingest Template'!G16)</f>
        <v>#N/A</v>
      </c>
      <c r="E16" s="21" t="str">
        <f>CONCATENATE('Ingest Template'!H16,CHAR(10),'Ingest Template'!I16,CHAR(10),'Ingest Template'!J16)</f>
        <v>
</v>
      </c>
      <c r="F16" s="26" t="str">
        <f>'Ingest Template'!H16</f>
        <v/>
      </c>
      <c r="G16" s="21"/>
      <c r="H16" s="29"/>
      <c r="I16" s="21"/>
      <c r="J16" s="29" t="str">
        <f t="array" ref="J16">iF('Ingest Template'!A16="Standard","Pristine Brand",INDEX(DropDown!$M$2:$M$392,MATCH('Ingest Template'!E16,DropDown!$J$2:$J$392,0)))</f>
        <v>#N/A</v>
      </c>
      <c r="K16" s="21" t="str">
        <f>iF('Ingest Template'!A16="Standard",'Ingest Template'!K16&amp;CHAR(10)&amp;'Ingest Template'!L16,"Competitive View")</f>
        <v>Competitive View</v>
      </c>
      <c r="L16" s="29" t="s">
        <v>146</v>
      </c>
      <c r="M16" s="37" t="str">
        <f>'Ingest Template'!D16</f>
        <v/>
      </c>
      <c r="N16" s="21"/>
      <c r="O16" s="21"/>
      <c r="P16" s="21"/>
      <c r="Q16" s="21"/>
      <c r="R16" s="21" t="str">
        <f>'Ingest Template'!E16</f>
        <v/>
      </c>
      <c r="S16" s="29" t="s">
        <v>153</v>
      </c>
      <c r="T16" s="21" t="str">
        <f>'Ingest Template'!T16</f>
        <v/>
      </c>
      <c r="U16" s="21" t="str">
        <f>'Ingest Template'!S16</f>
        <v/>
      </c>
      <c r="V16" s="21" t="str">
        <f>LOWER(SUBSTITUTE(SUBSTITUTE(SUBSTITUTE(SUBSTITUTE(SUBSTITUTE('Ingest Template'!U16,"https:",""),"www.",""),"/",""),"?hl=en",""),"instagram.com",""))</f>
        <v/>
      </c>
      <c r="W16" s="41" t="str">
        <f t="array" ref="W16">IF('Ingest Template'!V16="",(INDEX(DropDown!$L$2:$L$392,MATCH('Ingest Template'!E16,DropDown!$J$2:$J$392,0))&amp;"|"&amp;'Ingest Template'!B16),(INDEX(DropDown!$L$2:$L$392,MATCH('Ingest Template'!E16,DropDown!$J$2:$J$392,0))&amp;"|"&amp;'Ingest Template'!B16)&amp;CHAR(10)&amp;'Ingest Template'!V16)</f>
        <v>#N/A</v>
      </c>
      <c r="X16" s="41" t="str">
        <f>'Ingest Template'!W16</f>
        <v/>
      </c>
      <c r="Y16" s="21" t="str">
        <f>SUBSTITUTE(SUBSTITUTE(SUBSTITUTE('Ingest Template'!X16,"http:",""),"https:",""),"/","")</f>
        <v/>
      </c>
      <c r="Z16" s="21" t="str">
        <f t="array" ref="Z16">IF('Ingest Template'!A16="Standard",(IF(ISBLANK('Ingest Template'!AA16),"", 'Ingest Template'!AA16&amp;"|DAR")),(IF(ISBLANK('Ingest Template'!AA16),"", 'Ingest Template'!AA16&amp;"|Film Ops")))</f>
        <v/>
      </c>
      <c r="AA16" s="21"/>
      <c r="AB16" s="21" t="str">
        <f>'Ingest Template'!M16</f>
        <v/>
      </c>
      <c r="AC16" s="21" t="str">
        <f>'Ingest Template'!Y16</f>
        <v/>
      </c>
      <c r="AD16" s="21" t="str">
        <f>'Ingest Template'!C16</f>
        <v/>
      </c>
      <c r="AE16" s="21" t="str">
        <f>'Ingest Template'!Z16</f>
        <v/>
      </c>
      <c r="AF16" s="29"/>
      <c r="AG16" s="21" t="str">
        <f t="array" ref="AG16">IF('Ingest Template'!A16="Standard",(CONCATENATE(IF(ISBLANK('Ingest Template'!O16),"", 'Ingest Template'!O16&amp;"|DAR"),CHAR(10), IF(ISBLANK('Ingest Template'!P16),"", 'Ingest Template'!P16&amp;"|DAR"),CHAR(10), IF(ISBLANK('Ingest Template'!Q16),"", 'Ingest Template'!Q16&amp;"|DAR"))),(CONCATENATE(IF(ISBLANK('Ingest Template'!O16),"", 'Ingest Template'!O16&amp;"|Operations - Core Title"),CHAR(10), IF(ISBLANK('Ingest Template'!P16),"", 'Ingest Template'!P16&amp;"|Operations - Core Title"),CHAR(10), IF(ISBLANK('Ingest Template'!Q16),"", 'Ingest Template'!Q16&amp;"|Operations - Core Title"))))</f>
        <v>#|Operations - Core Title
#|Operations - Core Title
</v>
      </c>
      <c r="AH16" s="21"/>
      <c r="AI16" s="21"/>
      <c r="AJ16" s="53" t="str">
        <f>if('Ingest Template'!A16="Standard",'Ingest Template'!N16&amp; "|DAR|DAR|2021-01-01",'Ingest Template'!N16&amp; "|Operations - Core Title|Operations - Core Title")</f>
        <v>#N/A</v>
      </c>
      <c r="AK16" s="53" t="str">
        <f>if('Ingest Template'!A16="Standard",'Ingest Template'!R16&amp; "|2021-01-01",'Ingest Template'!R16)</f>
        <v>#N/A</v>
      </c>
      <c r="AL16" s="21"/>
      <c r="AM16" s="21"/>
    </row>
    <row r="17">
      <c r="A17" s="21"/>
      <c r="B17" s="21" t="str">
        <f>'Ingest Template'!B17&amp;IF('Ingest Template'!A17 = "Standard", " - DAR","")</f>
        <v/>
      </c>
      <c r="C17" s="26" t="s">
        <v>109</v>
      </c>
      <c r="D17" s="29" t="str">
        <f t="array" ref="D17">CONCATENATE(INDEX(DropDown!$H$2:$H$10,MATCH(1,COUNTIF('Ingest Template'!F17,"*"&amp;DropDown!$H$2:$H$10&amp;"*"),0)),CHAR(10),'Ingest Template'!G17)</f>
        <v>#N/A</v>
      </c>
      <c r="E17" s="21" t="str">
        <f>CONCATENATE('Ingest Template'!H17,CHAR(10),'Ingest Template'!I17,CHAR(10),'Ingest Template'!J17)</f>
        <v>
</v>
      </c>
      <c r="F17" s="26" t="str">
        <f>'Ingest Template'!H17</f>
        <v/>
      </c>
      <c r="G17" s="21"/>
      <c r="H17" s="29"/>
      <c r="I17" s="21"/>
      <c r="J17" s="29" t="str">
        <f t="array" ref="J17">iF('Ingest Template'!A17="Standard","Pristine Brand",INDEX(DropDown!$M$2:$M$392,MATCH('Ingest Template'!E17,DropDown!$J$2:$J$392,0)))</f>
        <v>#N/A</v>
      </c>
      <c r="K17" s="21" t="str">
        <f>iF('Ingest Template'!A17="Standard",'Ingest Template'!K17&amp;CHAR(10)&amp;'Ingest Template'!L17,"Competitive View")</f>
        <v>Competitive View</v>
      </c>
      <c r="L17" s="29" t="s">
        <v>146</v>
      </c>
      <c r="M17" s="37" t="str">
        <f>'Ingest Template'!D17</f>
        <v/>
      </c>
      <c r="N17" s="21"/>
      <c r="O17" s="21"/>
      <c r="P17" s="21"/>
      <c r="Q17" s="21"/>
      <c r="R17" s="21" t="str">
        <f>'Ingest Template'!E17</f>
        <v/>
      </c>
      <c r="S17" s="29" t="s">
        <v>153</v>
      </c>
      <c r="T17" s="21" t="str">
        <f>'Ingest Template'!T17</f>
        <v/>
      </c>
      <c r="U17" s="21" t="str">
        <f>'Ingest Template'!S17</f>
        <v/>
      </c>
      <c r="V17" s="21" t="str">
        <f>LOWER(SUBSTITUTE(SUBSTITUTE(SUBSTITUTE(SUBSTITUTE(SUBSTITUTE('Ingest Template'!U17,"https:",""),"www.",""),"/",""),"?hl=en",""),"instagram.com",""))</f>
        <v/>
      </c>
      <c r="W17" s="41" t="str">
        <f t="array" ref="W17">IF('Ingest Template'!V17="",(INDEX(DropDown!$L$2:$L$392,MATCH('Ingest Template'!E17,DropDown!$J$2:$J$392,0))&amp;"|"&amp;'Ingest Template'!B17),(INDEX(DropDown!$L$2:$L$392,MATCH('Ingest Template'!E17,DropDown!$J$2:$J$392,0))&amp;"|"&amp;'Ingest Template'!B17)&amp;CHAR(10)&amp;'Ingest Template'!V17)</f>
        <v>#N/A</v>
      </c>
      <c r="X17" s="41" t="str">
        <f>'Ingest Template'!W17</f>
        <v/>
      </c>
      <c r="Y17" s="21" t="str">
        <f>SUBSTITUTE(SUBSTITUTE(SUBSTITUTE('Ingest Template'!X17,"http:",""),"https:",""),"/","")</f>
        <v/>
      </c>
      <c r="Z17" s="21" t="str">
        <f t="array" ref="Z17">IF('Ingest Template'!A17="Standard",(IF(ISBLANK('Ingest Template'!AA17),"", 'Ingest Template'!AA17&amp;"|DAR")),(IF(ISBLANK('Ingest Template'!AA17),"", 'Ingest Template'!AA17&amp;"|Film Ops")))</f>
        <v/>
      </c>
      <c r="AA17" s="21"/>
      <c r="AB17" s="21" t="str">
        <f>'Ingest Template'!M17</f>
        <v/>
      </c>
      <c r="AC17" s="21" t="str">
        <f>'Ingest Template'!Y17</f>
        <v/>
      </c>
      <c r="AD17" s="21" t="str">
        <f>'Ingest Template'!C17</f>
        <v/>
      </c>
      <c r="AE17" s="21" t="str">
        <f>'Ingest Template'!Z17</f>
        <v/>
      </c>
      <c r="AF17" s="29"/>
      <c r="AG17" s="21" t="str">
        <f t="array" ref="AG17">IF('Ingest Template'!A17="Standard",(CONCATENATE(IF(ISBLANK('Ingest Template'!O17),"", 'Ingest Template'!O17&amp;"|DAR"),CHAR(10), IF(ISBLANK('Ingest Template'!P17),"", 'Ingest Template'!P17&amp;"|DAR"),CHAR(10), IF(ISBLANK('Ingest Template'!Q17),"", 'Ingest Template'!Q17&amp;"|DAR"))),(CONCATENATE(IF(ISBLANK('Ingest Template'!O17),"", 'Ingest Template'!O17&amp;"|Operations - Core Title"),CHAR(10), IF(ISBLANK('Ingest Template'!P17),"", 'Ingest Template'!P17&amp;"|Operations - Core Title"),CHAR(10), IF(ISBLANK('Ingest Template'!Q17),"", 'Ingest Template'!Q17&amp;"|Operations - Core Title"))))</f>
        <v>#|Operations - Core Title
#|Operations - Core Title
</v>
      </c>
      <c r="AH17" s="21"/>
      <c r="AI17" s="21"/>
      <c r="AJ17" s="53" t="str">
        <f>if('Ingest Template'!A17="Standard",'Ingest Template'!N17&amp; "|DAR|DAR|2021-01-01",'Ingest Template'!N17&amp; "|Operations - Core Title|Operations - Core Title")</f>
        <v>#N/A</v>
      </c>
      <c r="AK17" s="53" t="str">
        <f>if('Ingest Template'!A17="Standard",'Ingest Template'!R17&amp; "|2021-01-01",'Ingest Template'!R17)</f>
        <v>#N/A</v>
      </c>
      <c r="AL17" s="21"/>
      <c r="AM17" s="21"/>
    </row>
    <row r="18">
      <c r="A18" s="21"/>
      <c r="B18" s="21" t="str">
        <f>'Ingest Template'!B18&amp;IF('Ingest Template'!A18 = "Standard", " - DAR","")</f>
        <v/>
      </c>
      <c r="C18" s="26" t="s">
        <v>109</v>
      </c>
      <c r="D18" s="29" t="str">
        <f t="array" ref="D18">CONCATENATE(INDEX(DropDown!$H$2:$H$10,MATCH(1,COUNTIF('Ingest Template'!F18,"*"&amp;DropDown!$H$2:$H$10&amp;"*"),0)),CHAR(10),'Ingest Template'!G18)</f>
        <v>#N/A</v>
      </c>
      <c r="E18" s="21" t="str">
        <f>CONCATENATE('Ingest Template'!H18,CHAR(10),'Ingest Template'!I18,CHAR(10),'Ingest Template'!J18)</f>
        <v>
</v>
      </c>
      <c r="F18" s="26" t="str">
        <f>'Ingest Template'!H18</f>
        <v/>
      </c>
      <c r="G18" s="21"/>
      <c r="H18" s="29"/>
      <c r="I18" s="21"/>
      <c r="J18" s="29" t="str">
        <f t="array" ref="J18">iF('Ingest Template'!A18="Standard","Pristine Brand",INDEX(DropDown!$M$2:$M$392,MATCH('Ingest Template'!E18,DropDown!$J$2:$J$392,0)))</f>
        <v>#N/A</v>
      </c>
      <c r="K18" s="21" t="str">
        <f>iF('Ingest Template'!A18="Standard",'Ingest Template'!K18&amp;CHAR(10)&amp;'Ingest Template'!L18,"Competitive View")</f>
        <v>Competitive View</v>
      </c>
      <c r="L18" s="29" t="s">
        <v>146</v>
      </c>
      <c r="M18" s="37" t="str">
        <f>'Ingest Template'!D18</f>
        <v/>
      </c>
      <c r="N18" s="21"/>
      <c r="O18" s="21"/>
      <c r="P18" s="21"/>
      <c r="Q18" s="21"/>
      <c r="R18" s="21" t="str">
        <f>'Ingest Template'!E18</f>
        <v/>
      </c>
      <c r="S18" s="29" t="s">
        <v>153</v>
      </c>
      <c r="T18" s="21" t="str">
        <f>'Ingest Template'!T18</f>
        <v/>
      </c>
      <c r="U18" s="21" t="str">
        <f>'Ingest Template'!S18</f>
        <v/>
      </c>
      <c r="V18" s="21" t="str">
        <f>LOWER(SUBSTITUTE(SUBSTITUTE(SUBSTITUTE(SUBSTITUTE(SUBSTITUTE('Ingest Template'!U18,"https:",""),"www.",""),"/",""),"?hl=en",""),"instagram.com",""))</f>
        <v/>
      </c>
      <c r="W18" s="41" t="str">
        <f t="array" ref="W18">IF('Ingest Template'!V18="",(INDEX(DropDown!$L$2:$L$392,MATCH('Ingest Template'!E18,DropDown!$J$2:$J$392,0))&amp;"|"&amp;'Ingest Template'!B18),(INDEX(DropDown!$L$2:$L$392,MATCH('Ingest Template'!E18,DropDown!$J$2:$J$392,0))&amp;"|"&amp;'Ingest Template'!B18)&amp;CHAR(10)&amp;'Ingest Template'!V18)</f>
        <v>#N/A</v>
      </c>
      <c r="X18" s="41" t="str">
        <f>'Ingest Template'!W18</f>
        <v/>
      </c>
      <c r="Y18" s="21" t="str">
        <f>SUBSTITUTE(SUBSTITUTE(SUBSTITUTE('Ingest Template'!X18,"http:",""),"https:",""),"/","")</f>
        <v/>
      </c>
      <c r="Z18" s="21" t="str">
        <f t="array" ref="Z18">IF('Ingest Template'!A18="Standard",(IF(ISBLANK('Ingest Template'!AA18),"", 'Ingest Template'!AA18&amp;"|DAR")),(IF(ISBLANK('Ingest Template'!AA18),"", 'Ingest Template'!AA18&amp;"|Film Ops")))</f>
        <v/>
      </c>
      <c r="AA18" s="21"/>
      <c r="AB18" s="21" t="str">
        <f>'Ingest Template'!M18</f>
        <v/>
      </c>
      <c r="AC18" s="21" t="str">
        <f>'Ingest Template'!Y18</f>
        <v/>
      </c>
      <c r="AD18" s="21" t="str">
        <f>'Ingest Template'!C18</f>
        <v/>
      </c>
      <c r="AE18" s="21" t="str">
        <f>'Ingest Template'!Z18</f>
        <v/>
      </c>
      <c r="AF18" s="29"/>
      <c r="AG18" s="21" t="str">
        <f t="array" ref="AG18">IF('Ingest Template'!A18="Standard",(CONCATENATE(IF(ISBLANK('Ingest Template'!O18),"", 'Ingest Template'!O18&amp;"|DAR"),CHAR(10), IF(ISBLANK('Ingest Template'!P18),"", 'Ingest Template'!P18&amp;"|DAR"),CHAR(10), IF(ISBLANK('Ingest Template'!Q18),"", 'Ingest Template'!Q18&amp;"|DAR"))),(CONCATENATE(IF(ISBLANK('Ingest Template'!O18),"", 'Ingest Template'!O18&amp;"|Operations - Core Title"),CHAR(10), IF(ISBLANK('Ingest Template'!P18),"", 'Ingest Template'!P18&amp;"|Operations - Core Title"),CHAR(10), IF(ISBLANK('Ingest Template'!Q18),"", 'Ingest Template'!Q18&amp;"|Operations - Core Title"))))</f>
        <v>#|Operations - Core Title
#|Operations - Core Title
</v>
      </c>
      <c r="AH18" s="21"/>
      <c r="AI18" s="21"/>
      <c r="AJ18" s="53" t="str">
        <f>if('Ingest Template'!A18="Standard",'Ingest Template'!N18&amp; "|DAR|DAR|2021-01-01",'Ingest Template'!N18&amp; "|Operations - Core Title|Operations - Core Title")</f>
        <v>#N/A</v>
      </c>
      <c r="AK18" s="53" t="str">
        <f>if('Ingest Template'!A18="Standard",'Ingest Template'!R18&amp; "|2021-01-01",'Ingest Template'!R18)</f>
        <v>#N/A</v>
      </c>
      <c r="AL18" s="21"/>
      <c r="AM18" s="21"/>
    </row>
    <row r="19">
      <c r="A19" s="21"/>
      <c r="B19" s="21" t="str">
        <f>'Ingest Template'!B19&amp;IF('Ingest Template'!A19 = "Standard", " - DAR","")</f>
        <v/>
      </c>
      <c r="C19" s="26" t="s">
        <v>109</v>
      </c>
      <c r="D19" s="29" t="str">
        <f t="array" ref="D19">CONCATENATE(INDEX(DropDown!$H$2:$H$10,MATCH(1,COUNTIF('Ingest Template'!F19,"*"&amp;DropDown!$H$2:$H$10&amp;"*"),0)),CHAR(10),'Ingest Template'!G19)</f>
        <v>#N/A</v>
      </c>
      <c r="E19" s="21" t="str">
        <f>CONCATENATE('Ingest Template'!H19,CHAR(10),'Ingest Template'!I19,CHAR(10),'Ingest Template'!J19)</f>
        <v>
</v>
      </c>
      <c r="F19" s="26" t="str">
        <f>'Ingest Template'!H19</f>
        <v/>
      </c>
      <c r="G19" s="21"/>
      <c r="H19" s="29"/>
      <c r="I19" s="21"/>
      <c r="J19" s="29" t="str">
        <f t="array" ref="J19">iF('Ingest Template'!A19="Standard","Pristine Brand",INDEX(DropDown!$M$2:$M$392,MATCH('Ingest Template'!E19,DropDown!$J$2:$J$392,0)))</f>
        <v>#N/A</v>
      </c>
      <c r="K19" s="21" t="str">
        <f>iF('Ingest Template'!A19="Standard",'Ingest Template'!K19&amp;CHAR(10)&amp;'Ingest Template'!L19,"Competitive View")</f>
        <v>Competitive View</v>
      </c>
      <c r="L19" s="29" t="s">
        <v>146</v>
      </c>
      <c r="M19" s="37" t="str">
        <f>'Ingest Template'!D19</f>
        <v/>
      </c>
      <c r="N19" s="21"/>
      <c r="O19" s="21"/>
      <c r="P19" s="21"/>
      <c r="Q19" s="21"/>
      <c r="R19" s="21" t="str">
        <f>'Ingest Template'!E19</f>
        <v/>
      </c>
      <c r="S19" s="29" t="s">
        <v>153</v>
      </c>
      <c r="T19" s="21" t="str">
        <f>'Ingest Template'!T19</f>
        <v/>
      </c>
      <c r="U19" s="21" t="str">
        <f>'Ingest Template'!S19</f>
        <v/>
      </c>
      <c r="V19" s="21" t="str">
        <f>LOWER(SUBSTITUTE(SUBSTITUTE(SUBSTITUTE(SUBSTITUTE(SUBSTITUTE('Ingest Template'!U19,"https:",""),"www.",""),"/",""),"?hl=en",""),"instagram.com",""))</f>
        <v/>
      </c>
      <c r="W19" s="41" t="str">
        <f t="array" ref="W19">IF('Ingest Template'!V19="",(INDEX(DropDown!$L$2:$L$392,MATCH('Ingest Template'!E19,DropDown!$J$2:$J$392,0))&amp;"|"&amp;'Ingest Template'!B19),(INDEX(DropDown!$L$2:$L$392,MATCH('Ingest Template'!E19,DropDown!$J$2:$J$392,0))&amp;"|"&amp;'Ingest Template'!B19)&amp;CHAR(10)&amp;'Ingest Template'!V19)</f>
        <v>#N/A</v>
      </c>
      <c r="X19" s="41" t="str">
        <f>'Ingest Template'!W19</f>
        <v/>
      </c>
      <c r="Y19" s="21" t="str">
        <f>SUBSTITUTE(SUBSTITUTE(SUBSTITUTE('Ingest Template'!X19,"http:",""),"https:",""),"/","")</f>
        <v/>
      </c>
      <c r="Z19" s="21" t="str">
        <f t="array" ref="Z19">IF('Ingest Template'!A19="Standard",(IF(ISBLANK('Ingest Template'!AA19),"", 'Ingest Template'!AA19&amp;"|DAR")),(IF(ISBLANK('Ingest Template'!AA19),"", 'Ingest Template'!AA19&amp;"|Film Ops")))</f>
        <v/>
      </c>
      <c r="AA19" s="21"/>
      <c r="AB19" s="21" t="str">
        <f>'Ingest Template'!M19</f>
        <v/>
      </c>
      <c r="AC19" s="21" t="str">
        <f>'Ingest Template'!Y19</f>
        <v/>
      </c>
      <c r="AD19" s="21" t="str">
        <f>'Ingest Template'!C19</f>
        <v/>
      </c>
      <c r="AE19" s="21" t="str">
        <f>'Ingest Template'!Z19</f>
        <v/>
      </c>
      <c r="AF19" s="29"/>
      <c r="AG19" s="21" t="str">
        <f t="array" ref="AG19">IF('Ingest Template'!A19="Standard",(CONCATENATE(IF(ISBLANK('Ingest Template'!O19),"", 'Ingest Template'!O19&amp;"|DAR"),CHAR(10), IF(ISBLANK('Ingest Template'!P19),"", 'Ingest Template'!P19&amp;"|DAR"),CHAR(10), IF(ISBLANK('Ingest Template'!Q19),"", 'Ingest Template'!Q19&amp;"|DAR"))),(CONCATENATE(IF(ISBLANK('Ingest Template'!O19),"", 'Ingest Template'!O19&amp;"|Operations - Core Title"),CHAR(10), IF(ISBLANK('Ingest Template'!P19),"", 'Ingest Template'!P19&amp;"|Operations - Core Title"),CHAR(10), IF(ISBLANK('Ingest Template'!Q19),"", 'Ingest Template'!Q19&amp;"|Operations - Core Title"))))</f>
        <v>#|Operations - Core Title
#|Operations - Core Title
</v>
      </c>
      <c r="AH19" s="21"/>
      <c r="AI19" s="21"/>
      <c r="AJ19" s="53" t="str">
        <f>if('Ingest Template'!A19="Standard",'Ingest Template'!N19&amp; "|DAR|DAR|2021-01-01",'Ingest Template'!N19&amp; "|Operations - Core Title|Operations - Core Title")</f>
        <v>#N/A</v>
      </c>
      <c r="AK19" s="53" t="str">
        <f>if('Ingest Template'!A19="Standard",'Ingest Template'!R19&amp; "|2021-01-01",'Ingest Template'!R19)</f>
        <v>#N/A</v>
      </c>
      <c r="AL19" s="21"/>
      <c r="AM19" s="21"/>
    </row>
    <row r="20">
      <c r="A20" s="21"/>
      <c r="B20" s="21" t="str">
        <f>'Ingest Template'!B20&amp;IF('Ingest Template'!A20 = "Standard", " - DAR","")</f>
        <v/>
      </c>
      <c r="C20" s="26" t="s">
        <v>109</v>
      </c>
      <c r="D20" s="29" t="str">
        <f t="array" ref="D20">CONCATENATE(INDEX(DropDown!$H$2:$H$10,MATCH(1,COUNTIF('Ingest Template'!F20,"*"&amp;DropDown!$H$2:$H$10&amp;"*"),0)),CHAR(10),'Ingest Template'!G20)</f>
        <v>#N/A</v>
      </c>
      <c r="E20" s="21" t="str">
        <f>CONCATENATE('Ingest Template'!H20,CHAR(10),'Ingest Template'!I20,CHAR(10),'Ingest Template'!J20)</f>
        <v>
</v>
      </c>
      <c r="F20" s="26" t="str">
        <f>'Ingest Template'!H20</f>
        <v/>
      </c>
      <c r="G20" s="21"/>
      <c r="H20" s="29"/>
      <c r="I20" s="21"/>
      <c r="J20" s="29" t="str">
        <f t="array" ref="J20">iF('Ingest Template'!A20="Standard","Pristine Brand",INDEX(DropDown!$M$2:$M$392,MATCH('Ingest Template'!E20,DropDown!$J$2:$J$392,0)))</f>
        <v>#N/A</v>
      </c>
      <c r="K20" s="21" t="str">
        <f>iF('Ingest Template'!A20="Standard",'Ingest Template'!K20&amp;CHAR(10)&amp;'Ingest Template'!L20,"Competitive View")</f>
        <v>Competitive View</v>
      </c>
      <c r="L20" s="29" t="s">
        <v>146</v>
      </c>
      <c r="M20" s="37" t="str">
        <f>'Ingest Template'!D20</f>
        <v/>
      </c>
      <c r="N20" s="21"/>
      <c r="O20" s="21"/>
      <c r="P20" s="21"/>
      <c r="Q20" s="21"/>
      <c r="R20" s="21" t="str">
        <f>'Ingest Template'!E20</f>
        <v/>
      </c>
      <c r="S20" s="29" t="s">
        <v>153</v>
      </c>
      <c r="T20" s="21" t="str">
        <f>'Ingest Template'!T20</f>
        <v/>
      </c>
      <c r="U20" s="21" t="str">
        <f>'Ingest Template'!S20</f>
        <v/>
      </c>
      <c r="V20" s="21" t="str">
        <f>LOWER(SUBSTITUTE(SUBSTITUTE(SUBSTITUTE(SUBSTITUTE(SUBSTITUTE('Ingest Template'!U20,"https:",""),"www.",""),"/",""),"?hl=en",""),"instagram.com",""))</f>
        <v/>
      </c>
      <c r="W20" s="41" t="str">
        <f t="array" ref="W20">IF('Ingest Template'!V20="",(INDEX(DropDown!$L$2:$L$392,MATCH('Ingest Template'!E20,DropDown!$J$2:$J$392,0))&amp;"|"&amp;'Ingest Template'!B20),(INDEX(DropDown!$L$2:$L$392,MATCH('Ingest Template'!E20,DropDown!$J$2:$J$392,0))&amp;"|"&amp;'Ingest Template'!B20)&amp;CHAR(10)&amp;'Ingest Template'!V20)</f>
        <v>#N/A</v>
      </c>
      <c r="X20" s="41" t="str">
        <f>'Ingest Template'!W20</f>
        <v/>
      </c>
      <c r="Y20" s="21" t="str">
        <f>SUBSTITUTE(SUBSTITUTE(SUBSTITUTE('Ingest Template'!X20,"http:",""),"https:",""),"/","")</f>
        <v/>
      </c>
      <c r="Z20" s="21" t="str">
        <f t="array" ref="Z20">IF('Ingest Template'!A20="Standard",(IF(ISBLANK('Ingest Template'!AA20),"", 'Ingest Template'!AA20&amp;"|DAR")),(IF(ISBLANK('Ingest Template'!AA20),"", 'Ingest Template'!AA20&amp;"|Film Ops")))</f>
        <v/>
      </c>
      <c r="AA20" s="21"/>
      <c r="AB20" s="21" t="str">
        <f>'Ingest Template'!M20</f>
        <v/>
      </c>
      <c r="AC20" s="21" t="str">
        <f>'Ingest Template'!Y20</f>
        <v/>
      </c>
      <c r="AD20" s="21" t="str">
        <f>'Ingest Template'!C20</f>
        <v/>
      </c>
      <c r="AE20" s="21" t="str">
        <f>'Ingest Template'!Z20</f>
        <v/>
      </c>
      <c r="AF20" s="29"/>
      <c r="AG20" s="21" t="str">
        <f t="array" ref="AG20">IF('Ingest Template'!A20="Standard",(CONCATENATE(IF(ISBLANK('Ingest Template'!O20),"", 'Ingest Template'!O20&amp;"|DAR"),CHAR(10), IF(ISBLANK('Ingest Template'!P20),"", 'Ingest Template'!P20&amp;"|DAR"),CHAR(10), IF(ISBLANK('Ingest Template'!Q20),"", 'Ingest Template'!Q20&amp;"|DAR"))),(CONCATENATE(IF(ISBLANK('Ingest Template'!O20),"", 'Ingest Template'!O20&amp;"|Operations - Core Title"),CHAR(10), IF(ISBLANK('Ingest Template'!P20),"", 'Ingest Template'!P20&amp;"|Operations - Core Title"),CHAR(10), IF(ISBLANK('Ingest Template'!Q20),"", 'Ingest Template'!Q20&amp;"|Operations - Core Title"))))</f>
        <v>#|Operations - Core Title
#|Operations - Core Title
</v>
      </c>
      <c r="AH20" s="21"/>
      <c r="AI20" s="21"/>
      <c r="AJ20" s="53" t="str">
        <f>if('Ingest Template'!A20="Standard",'Ingest Template'!N20&amp; "|DAR|DAR|2021-01-01",'Ingest Template'!N20&amp; "|Operations - Core Title|Operations - Core Title")</f>
        <v>#N/A</v>
      </c>
      <c r="AK20" s="53" t="str">
        <f>if('Ingest Template'!A20="Standard",'Ingest Template'!R20&amp; "|2021-01-01",'Ingest Template'!R20)</f>
        <v>#N/A</v>
      </c>
      <c r="AL20" s="21"/>
      <c r="AM20" s="21"/>
    </row>
    <row r="21">
      <c r="A21" s="21"/>
      <c r="B21" s="21" t="str">
        <f>'Ingest Template'!B21&amp;IF('Ingest Template'!A21 = "Standard", " - DAR","")</f>
        <v/>
      </c>
      <c r="C21" s="26" t="s">
        <v>109</v>
      </c>
      <c r="D21" s="29" t="str">
        <f t="array" ref="D21">CONCATENATE(INDEX(DropDown!$H$2:$H$10,MATCH(1,COUNTIF('Ingest Template'!F21,"*"&amp;DropDown!$H$2:$H$10&amp;"*"),0)),CHAR(10),'Ingest Template'!G21)</f>
        <v>#N/A</v>
      </c>
      <c r="E21" s="21" t="str">
        <f>CONCATENATE('Ingest Template'!H21,CHAR(10),'Ingest Template'!I21,CHAR(10),'Ingest Template'!J21)</f>
        <v>
</v>
      </c>
      <c r="F21" s="26" t="str">
        <f>'Ingest Template'!H21</f>
        <v/>
      </c>
      <c r="G21" s="21"/>
      <c r="H21" s="29"/>
      <c r="I21" s="21"/>
      <c r="J21" s="29" t="str">
        <f t="array" ref="J21">iF('Ingest Template'!A21="Standard","Pristine Brand",INDEX(DropDown!$M$2:$M$392,MATCH('Ingest Template'!E21,DropDown!$J$2:$J$392,0)))</f>
        <v>#N/A</v>
      </c>
      <c r="K21" s="21" t="str">
        <f>iF('Ingest Template'!A21="Standard",'Ingest Template'!K21&amp;CHAR(10)&amp;'Ingest Template'!L21,"Competitive View")</f>
        <v>Competitive View</v>
      </c>
      <c r="L21" s="29" t="s">
        <v>146</v>
      </c>
      <c r="M21" s="37" t="str">
        <f>'Ingest Template'!D21</f>
        <v/>
      </c>
      <c r="N21" s="21"/>
      <c r="O21" s="21"/>
      <c r="P21" s="21"/>
      <c r="Q21" s="21"/>
      <c r="R21" s="21" t="str">
        <f>'Ingest Template'!E21</f>
        <v/>
      </c>
      <c r="S21" s="29" t="s">
        <v>153</v>
      </c>
      <c r="T21" s="21" t="str">
        <f>'Ingest Template'!T21</f>
        <v/>
      </c>
      <c r="U21" s="21" t="str">
        <f>'Ingest Template'!S21</f>
        <v/>
      </c>
      <c r="V21" s="21" t="str">
        <f>LOWER(SUBSTITUTE(SUBSTITUTE(SUBSTITUTE(SUBSTITUTE(SUBSTITUTE('Ingest Template'!U21,"https:",""),"www.",""),"/",""),"?hl=en",""),"instagram.com",""))</f>
        <v/>
      </c>
      <c r="W21" s="41" t="str">
        <f t="array" ref="W21">IF('Ingest Template'!V21="",(INDEX(DropDown!$L$2:$L$392,MATCH('Ingest Template'!E21,DropDown!$J$2:$J$392,0))&amp;"|"&amp;'Ingest Template'!B21),(INDEX(DropDown!$L$2:$L$392,MATCH('Ingest Template'!E21,DropDown!$J$2:$J$392,0))&amp;"|"&amp;'Ingest Template'!B21)&amp;CHAR(10)&amp;'Ingest Template'!V21)</f>
        <v>#N/A</v>
      </c>
      <c r="X21" s="41" t="str">
        <f>'Ingest Template'!W21</f>
        <v/>
      </c>
      <c r="Y21" s="21" t="str">
        <f>SUBSTITUTE(SUBSTITUTE(SUBSTITUTE('Ingest Template'!X21,"http:",""),"https:",""),"/","")</f>
        <v/>
      </c>
      <c r="Z21" s="21" t="str">
        <f t="array" ref="Z21">IF('Ingest Template'!A21="Standard",(IF(ISBLANK('Ingest Template'!AA21),"", 'Ingest Template'!AA21&amp;"|DAR")),(IF(ISBLANK('Ingest Template'!AA21),"", 'Ingest Template'!AA21&amp;"|Film Ops")))</f>
        <v/>
      </c>
      <c r="AA21" s="21"/>
      <c r="AB21" s="21" t="str">
        <f>'Ingest Template'!M21</f>
        <v/>
      </c>
      <c r="AC21" s="21" t="str">
        <f>'Ingest Template'!Y21</f>
        <v/>
      </c>
      <c r="AD21" s="21" t="str">
        <f>'Ingest Template'!C21</f>
        <v/>
      </c>
      <c r="AE21" s="21" t="str">
        <f>'Ingest Template'!Z21</f>
        <v/>
      </c>
      <c r="AF21" s="29"/>
      <c r="AG21" s="21" t="str">
        <f t="array" ref="AG21">IF('Ingest Template'!A21="Standard",(CONCATENATE(IF(ISBLANK('Ingest Template'!O21),"", 'Ingest Template'!O21&amp;"|DAR"),CHAR(10), IF(ISBLANK('Ingest Template'!P21),"", 'Ingest Template'!P21&amp;"|DAR"),CHAR(10), IF(ISBLANK('Ingest Template'!Q21),"", 'Ingest Template'!Q21&amp;"|DAR"))),(CONCATENATE(IF(ISBLANK('Ingest Template'!O21),"", 'Ingest Template'!O21&amp;"|Operations - Core Title"),CHAR(10), IF(ISBLANK('Ingest Template'!P21),"", 'Ingest Template'!P21&amp;"|Operations - Core Title"),CHAR(10), IF(ISBLANK('Ingest Template'!Q21),"", 'Ingest Template'!Q21&amp;"|Operations - Core Title"))))</f>
        <v>#|Operations - Core Title
#|Operations - Core Title
</v>
      </c>
      <c r="AH21" s="21"/>
      <c r="AI21" s="21"/>
      <c r="AJ21" s="53" t="str">
        <f>if('Ingest Template'!A21="Standard",'Ingest Template'!N21&amp; "|DAR|DAR|2021-01-01",'Ingest Template'!N21&amp; "|Operations - Core Title|Operations - Core Title")</f>
        <v>#N/A</v>
      </c>
      <c r="AK21" s="53" t="str">
        <f>if('Ingest Template'!A21="Standard",'Ingest Template'!R21&amp; "|2021-01-01",'Ingest Template'!R21)</f>
        <v>#N/A</v>
      </c>
      <c r="AL21" s="21"/>
      <c r="AM21" s="21"/>
    </row>
    <row r="22">
      <c r="A22" s="21"/>
      <c r="B22" s="21" t="str">
        <f>'Ingest Template'!B22&amp;IF('Ingest Template'!A22 = "Standard", " - DAR","")</f>
        <v/>
      </c>
      <c r="C22" s="26" t="s">
        <v>109</v>
      </c>
      <c r="D22" s="29" t="str">
        <f t="array" ref="D22">CONCATENATE(INDEX(DropDown!$H$2:$H$10,MATCH(1,COUNTIF('Ingest Template'!F22,"*"&amp;DropDown!$H$2:$H$10&amp;"*"),0)),CHAR(10),'Ingest Template'!G22)</f>
        <v>#N/A</v>
      </c>
      <c r="E22" s="21" t="str">
        <f>CONCATENATE('Ingest Template'!H22,CHAR(10),'Ingest Template'!I22,CHAR(10),'Ingest Template'!J22)</f>
        <v>
</v>
      </c>
      <c r="F22" s="26" t="str">
        <f>'Ingest Template'!H22</f>
        <v/>
      </c>
      <c r="G22" s="21"/>
      <c r="H22" s="29"/>
      <c r="I22" s="21"/>
      <c r="J22" s="29" t="str">
        <f t="array" ref="J22">iF('Ingest Template'!A22="Standard","Pristine Brand",INDEX(DropDown!$M$2:$M$392,MATCH('Ingest Template'!E22,DropDown!$J$2:$J$392,0)))</f>
        <v>#N/A</v>
      </c>
      <c r="K22" s="21" t="str">
        <f>iF('Ingest Template'!A22="Standard",'Ingest Template'!K22&amp;CHAR(10)&amp;'Ingest Template'!L22,"Competitive View")</f>
        <v>Competitive View</v>
      </c>
      <c r="L22" s="29" t="s">
        <v>146</v>
      </c>
      <c r="M22" s="37" t="str">
        <f>'Ingest Template'!D22</f>
        <v/>
      </c>
      <c r="N22" s="21"/>
      <c r="O22" s="21"/>
      <c r="P22" s="21"/>
      <c r="Q22" s="21"/>
      <c r="R22" s="21" t="str">
        <f>'Ingest Template'!E22</f>
        <v/>
      </c>
      <c r="S22" s="29" t="s">
        <v>153</v>
      </c>
      <c r="T22" s="21" t="str">
        <f>'Ingest Template'!T22</f>
        <v/>
      </c>
      <c r="U22" s="21" t="str">
        <f>'Ingest Template'!S22</f>
        <v/>
      </c>
      <c r="V22" s="21" t="str">
        <f>LOWER(SUBSTITUTE(SUBSTITUTE(SUBSTITUTE(SUBSTITUTE(SUBSTITUTE('Ingest Template'!U22,"https:",""),"www.",""),"/",""),"?hl=en",""),"instagram.com",""))</f>
        <v/>
      </c>
      <c r="W22" s="41" t="str">
        <f t="array" ref="W22">IF('Ingest Template'!V22="",(INDEX(DropDown!$L$2:$L$392,MATCH('Ingest Template'!E22,DropDown!$J$2:$J$392,0))&amp;"|"&amp;'Ingest Template'!B22),(INDEX(DropDown!$L$2:$L$392,MATCH('Ingest Template'!E22,DropDown!$J$2:$J$392,0))&amp;"|"&amp;'Ingest Template'!B22)&amp;CHAR(10)&amp;'Ingest Template'!V22)</f>
        <v>#N/A</v>
      </c>
      <c r="X22" s="41" t="str">
        <f>'Ingest Template'!W22</f>
        <v/>
      </c>
      <c r="Y22" s="21" t="str">
        <f>SUBSTITUTE(SUBSTITUTE(SUBSTITUTE('Ingest Template'!X22,"http:",""),"https:",""),"/","")</f>
        <v/>
      </c>
      <c r="Z22" s="21" t="str">
        <f t="array" ref="Z22">IF('Ingest Template'!A22="Standard",(IF(ISBLANK('Ingest Template'!AA22),"", 'Ingest Template'!AA22&amp;"|DAR")),(IF(ISBLANK('Ingest Template'!AA22),"", 'Ingest Template'!AA22&amp;"|Film Ops")))</f>
        <v/>
      </c>
      <c r="AA22" s="21"/>
      <c r="AB22" s="21" t="str">
        <f>'Ingest Template'!M22</f>
        <v/>
      </c>
      <c r="AC22" s="21" t="str">
        <f>'Ingest Template'!Y22</f>
        <v/>
      </c>
      <c r="AD22" s="21" t="str">
        <f>'Ingest Template'!C22</f>
        <v/>
      </c>
      <c r="AE22" s="21" t="str">
        <f>'Ingest Template'!Z22</f>
        <v/>
      </c>
      <c r="AF22" s="29"/>
      <c r="AG22" s="21" t="str">
        <f t="array" ref="AG22">IF('Ingest Template'!A22="Standard",(CONCATENATE(IF(ISBLANK('Ingest Template'!O22),"", 'Ingest Template'!O22&amp;"|DAR"),CHAR(10), IF(ISBLANK('Ingest Template'!P22),"", 'Ingest Template'!P22&amp;"|DAR"),CHAR(10), IF(ISBLANK('Ingest Template'!Q22),"", 'Ingest Template'!Q22&amp;"|DAR"))),(CONCATENATE(IF(ISBLANK('Ingest Template'!O22),"", 'Ingest Template'!O22&amp;"|Operations - Core Title"),CHAR(10), IF(ISBLANK('Ingest Template'!P22),"", 'Ingest Template'!P22&amp;"|Operations - Core Title"),CHAR(10), IF(ISBLANK('Ingest Template'!Q22),"", 'Ingest Template'!Q22&amp;"|Operations - Core Title"))))</f>
        <v>#|Operations - Core Title
#|Operations - Core Title
</v>
      </c>
      <c r="AH22" s="21"/>
      <c r="AI22" s="21"/>
      <c r="AJ22" s="53" t="str">
        <f>if('Ingest Template'!A22="Standard",'Ingest Template'!N22&amp; "|DAR|DAR|2021-01-01",'Ingest Template'!N22&amp; "|Operations - Core Title|Operations - Core Title")</f>
        <v>#N/A</v>
      </c>
      <c r="AK22" s="53" t="str">
        <f>if('Ingest Template'!A22="Standard",'Ingest Template'!R22&amp; "|2021-01-01",'Ingest Template'!R22)</f>
        <v>#N/A</v>
      </c>
      <c r="AL22" s="21"/>
      <c r="AM22" s="21"/>
    </row>
    <row r="23">
      <c r="A23" s="21"/>
      <c r="B23" s="21" t="str">
        <f>'Ingest Template'!B23&amp;IF('Ingest Template'!A23 = "Standard", " - DAR","")</f>
        <v/>
      </c>
      <c r="C23" s="26" t="s">
        <v>109</v>
      </c>
      <c r="D23" s="29" t="str">
        <f t="array" ref="D23">CONCATENATE(INDEX(DropDown!$H$2:$H$10,MATCH(1,COUNTIF('Ingest Template'!F23,"*"&amp;DropDown!$H$2:$H$10&amp;"*"),0)),CHAR(10),'Ingest Template'!G23)</f>
        <v>#N/A</v>
      </c>
      <c r="E23" s="21" t="str">
        <f>CONCATENATE('Ingest Template'!H23,CHAR(10),'Ingest Template'!I23,CHAR(10),'Ingest Template'!J23)</f>
        <v>
</v>
      </c>
      <c r="F23" s="26" t="str">
        <f>'Ingest Template'!H23</f>
        <v/>
      </c>
      <c r="G23" s="21"/>
      <c r="H23" s="29"/>
      <c r="I23" s="21"/>
      <c r="J23" s="29" t="str">
        <f t="array" ref="J23">iF('Ingest Template'!A23="Standard","Pristine Brand",INDEX(DropDown!$M$2:$M$392,MATCH('Ingest Template'!E23,DropDown!$J$2:$J$392,0)))</f>
        <v>#N/A</v>
      </c>
      <c r="K23" s="21" t="str">
        <f>iF('Ingest Template'!A23="Standard",'Ingest Template'!K23&amp;CHAR(10)&amp;'Ingest Template'!L23,"Competitive View")</f>
        <v>Competitive View</v>
      </c>
      <c r="L23" s="29" t="s">
        <v>146</v>
      </c>
      <c r="M23" s="37" t="str">
        <f>'Ingest Template'!D23</f>
        <v/>
      </c>
      <c r="N23" s="21"/>
      <c r="O23" s="21"/>
      <c r="P23" s="21"/>
      <c r="Q23" s="21"/>
      <c r="R23" s="21" t="str">
        <f>'Ingest Template'!E23</f>
        <v/>
      </c>
      <c r="S23" s="29" t="s">
        <v>153</v>
      </c>
      <c r="T23" s="21" t="str">
        <f>'Ingest Template'!T23</f>
        <v/>
      </c>
      <c r="U23" s="21" t="str">
        <f>'Ingest Template'!S23</f>
        <v/>
      </c>
      <c r="V23" s="21" t="str">
        <f>LOWER(SUBSTITUTE(SUBSTITUTE(SUBSTITUTE(SUBSTITUTE(SUBSTITUTE('Ingest Template'!U23,"https:",""),"www.",""),"/",""),"?hl=en",""),"instagram.com",""))</f>
        <v/>
      </c>
      <c r="W23" s="41" t="str">
        <f t="array" ref="W23">IF('Ingest Template'!V23="",(INDEX(DropDown!$L$2:$L$392,MATCH('Ingest Template'!E23,DropDown!$J$2:$J$392,0))&amp;"|"&amp;'Ingest Template'!B23),(INDEX(DropDown!$L$2:$L$392,MATCH('Ingest Template'!E23,DropDown!$J$2:$J$392,0))&amp;"|"&amp;'Ingest Template'!B23)&amp;CHAR(10)&amp;'Ingest Template'!V23)</f>
        <v>#N/A</v>
      </c>
      <c r="X23" s="41" t="str">
        <f>'Ingest Template'!W23</f>
        <v/>
      </c>
      <c r="Y23" s="21" t="str">
        <f>SUBSTITUTE(SUBSTITUTE(SUBSTITUTE('Ingest Template'!X23,"http:",""),"https:",""),"/","")</f>
        <v/>
      </c>
      <c r="Z23" s="21" t="str">
        <f t="array" ref="Z23">IF('Ingest Template'!A23="Standard",(IF(ISBLANK('Ingest Template'!AA23),"", 'Ingest Template'!AA23&amp;"|DAR")),(IF(ISBLANK('Ingest Template'!AA23),"", 'Ingest Template'!AA23&amp;"|Film Ops")))</f>
        <v/>
      </c>
      <c r="AA23" s="21"/>
      <c r="AB23" s="21" t="str">
        <f>'Ingest Template'!M23</f>
        <v/>
      </c>
      <c r="AC23" s="21" t="str">
        <f>'Ingest Template'!Y23</f>
        <v/>
      </c>
      <c r="AD23" s="21" t="str">
        <f>'Ingest Template'!C23</f>
        <v/>
      </c>
      <c r="AE23" s="21" t="str">
        <f>'Ingest Template'!Z23</f>
        <v/>
      </c>
      <c r="AF23" s="29"/>
      <c r="AG23" s="21" t="str">
        <f t="array" ref="AG23">IF('Ingest Template'!A23="Standard",(CONCATENATE(IF(ISBLANK('Ingest Template'!O23),"", 'Ingest Template'!O23&amp;"|DAR"),CHAR(10), IF(ISBLANK('Ingest Template'!P23),"", 'Ingest Template'!P23&amp;"|DAR"),CHAR(10), IF(ISBLANK('Ingest Template'!Q23),"", 'Ingest Template'!Q23&amp;"|DAR"))),(CONCATENATE(IF(ISBLANK('Ingest Template'!O23),"", 'Ingest Template'!O23&amp;"|Operations - Core Title"),CHAR(10), IF(ISBLANK('Ingest Template'!P23),"", 'Ingest Template'!P23&amp;"|Operations - Core Title"),CHAR(10), IF(ISBLANK('Ingest Template'!Q23),"", 'Ingest Template'!Q23&amp;"|Operations - Core Title"))))</f>
        <v>#|Operations - Core Title
#|Operations - Core Title
</v>
      </c>
      <c r="AH23" s="21"/>
      <c r="AI23" s="21"/>
      <c r="AJ23" s="53" t="str">
        <f>if('Ingest Template'!A23="Standard",'Ingest Template'!N23&amp; "|DAR|DAR|2021-01-01",'Ingest Template'!N23&amp; "|Operations - Core Title|Operations - Core Title")</f>
        <v>#N/A</v>
      </c>
      <c r="AK23" s="53" t="str">
        <f>if('Ingest Template'!A23="Standard",'Ingest Template'!R23&amp; "|2021-01-01",'Ingest Template'!R23)</f>
        <v>#N/A</v>
      </c>
      <c r="AL23" s="21"/>
      <c r="AM23" s="21"/>
    </row>
    <row r="24">
      <c r="A24" s="21"/>
      <c r="B24" s="21" t="str">
        <f>'Ingest Template'!B24&amp;IF('Ingest Template'!A24 = "Standard", " - DAR","")</f>
        <v/>
      </c>
      <c r="C24" s="26" t="s">
        <v>109</v>
      </c>
      <c r="D24" s="29" t="str">
        <f t="array" ref="D24">CONCATENATE(INDEX(DropDown!$H$2:$H$10,MATCH(1,COUNTIF('Ingest Template'!F24,"*"&amp;DropDown!$H$2:$H$10&amp;"*"),0)),CHAR(10),'Ingest Template'!G24)</f>
        <v>#N/A</v>
      </c>
      <c r="E24" s="21" t="str">
        <f>CONCATENATE('Ingest Template'!H24,CHAR(10),'Ingest Template'!I24,CHAR(10),'Ingest Template'!J24)</f>
        <v>
</v>
      </c>
      <c r="F24" s="26" t="str">
        <f>'Ingest Template'!H24</f>
        <v/>
      </c>
      <c r="G24" s="21"/>
      <c r="H24" s="29"/>
      <c r="I24" s="21"/>
      <c r="J24" s="29" t="str">
        <f t="array" ref="J24">iF('Ingest Template'!A24="Standard","Pristine Brand",INDEX(DropDown!$M$2:$M$392,MATCH('Ingest Template'!E24,DropDown!$J$2:$J$392,0)))</f>
        <v>#N/A</v>
      </c>
      <c r="K24" s="21" t="str">
        <f>iF('Ingest Template'!A24="Standard",'Ingest Template'!K24&amp;CHAR(10)&amp;'Ingest Template'!L24,"Competitive View")</f>
        <v>Competitive View</v>
      </c>
      <c r="L24" s="29" t="s">
        <v>146</v>
      </c>
      <c r="M24" s="37" t="str">
        <f>'Ingest Template'!D24</f>
        <v/>
      </c>
      <c r="N24" s="21"/>
      <c r="O24" s="21"/>
      <c r="P24" s="21"/>
      <c r="Q24" s="21"/>
      <c r="R24" s="21" t="str">
        <f>'Ingest Template'!E24</f>
        <v/>
      </c>
      <c r="S24" s="29" t="s">
        <v>153</v>
      </c>
      <c r="T24" s="21" t="str">
        <f>'Ingest Template'!T24</f>
        <v/>
      </c>
      <c r="U24" s="21" t="str">
        <f>'Ingest Template'!S24</f>
        <v/>
      </c>
      <c r="V24" s="21" t="str">
        <f>LOWER(SUBSTITUTE(SUBSTITUTE(SUBSTITUTE(SUBSTITUTE(SUBSTITUTE('Ingest Template'!U24,"https:",""),"www.",""),"/",""),"?hl=en",""),"instagram.com",""))</f>
        <v/>
      </c>
      <c r="W24" s="41" t="str">
        <f t="array" ref="W24">IF('Ingest Template'!V24="",(INDEX(DropDown!$L$2:$L$392,MATCH('Ingest Template'!E24,DropDown!$J$2:$J$392,0))&amp;"|"&amp;'Ingest Template'!B24),(INDEX(DropDown!$L$2:$L$392,MATCH('Ingest Template'!E24,DropDown!$J$2:$J$392,0))&amp;"|"&amp;'Ingest Template'!B24)&amp;CHAR(10)&amp;'Ingest Template'!V24)</f>
        <v>#N/A</v>
      </c>
      <c r="X24" s="41" t="str">
        <f>'Ingest Template'!W24</f>
        <v/>
      </c>
      <c r="Y24" s="21" t="str">
        <f>SUBSTITUTE(SUBSTITUTE(SUBSTITUTE('Ingest Template'!X24,"http:",""),"https:",""),"/","")</f>
        <v/>
      </c>
      <c r="Z24" s="21" t="str">
        <f t="array" ref="Z24">IF('Ingest Template'!A24="Standard",(IF(ISBLANK('Ingest Template'!AA24),"", 'Ingest Template'!AA24&amp;"|DAR")),(IF(ISBLANK('Ingest Template'!AA24),"", 'Ingest Template'!AA24&amp;"|Film Ops")))</f>
        <v/>
      </c>
      <c r="AA24" s="21"/>
      <c r="AB24" s="21" t="str">
        <f>'Ingest Template'!M24</f>
        <v/>
      </c>
      <c r="AC24" s="21" t="str">
        <f>'Ingest Template'!Y24</f>
        <v/>
      </c>
      <c r="AD24" s="21" t="str">
        <f>'Ingest Template'!C24</f>
        <v/>
      </c>
      <c r="AE24" s="21" t="str">
        <f>'Ingest Template'!Z24</f>
        <v/>
      </c>
      <c r="AF24" s="29"/>
      <c r="AG24" s="21" t="str">
        <f t="array" ref="AG24">IF('Ingest Template'!A24="Standard",(CONCATENATE(IF(ISBLANK('Ingest Template'!O24),"", 'Ingest Template'!O24&amp;"|DAR"),CHAR(10), IF(ISBLANK('Ingest Template'!P24),"", 'Ingest Template'!P24&amp;"|DAR"),CHAR(10), IF(ISBLANK('Ingest Template'!Q24),"", 'Ingest Template'!Q24&amp;"|DAR"))),(CONCATENATE(IF(ISBLANK('Ingest Template'!O24),"", 'Ingest Template'!O24&amp;"|Operations - Core Title"),CHAR(10), IF(ISBLANK('Ingest Template'!P24),"", 'Ingest Template'!P24&amp;"|Operations - Core Title"),CHAR(10), IF(ISBLANK('Ingest Template'!Q24),"", 'Ingest Template'!Q24&amp;"|Operations - Core Title"))))</f>
        <v>#|Operations - Core Title
#|Operations - Core Title
</v>
      </c>
      <c r="AH24" s="21"/>
      <c r="AI24" s="21"/>
      <c r="AJ24" s="53" t="str">
        <f>if('Ingest Template'!A24="Standard",'Ingest Template'!N24&amp; "|DAR|DAR|2021-01-01",'Ingest Template'!N24&amp; "|Operations - Core Title|Operations - Core Title")</f>
        <v>#N/A</v>
      </c>
      <c r="AK24" s="53" t="str">
        <f>if('Ingest Template'!A24="Standard",'Ingest Template'!R24&amp; "|2021-01-01",'Ingest Template'!R24)</f>
        <v>#N/A</v>
      </c>
      <c r="AL24" s="21"/>
      <c r="AM24" s="21"/>
    </row>
    <row r="25">
      <c r="A25" s="21"/>
      <c r="B25" s="21" t="str">
        <f>'Ingest Template'!B25&amp;IF('Ingest Template'!A25 = "Standard", " - DAR","")</f>
        <v/>
      </c>
      <c r="C25" s="26" t="s">
        <v>109</v>
      </c>
      <c r="D25" s="29" t="str">
        <f t="array" ref="D25">CONCATENATE(INDEX(DropDown!$H$2:$H$10,MATCH(1,COUNTIF('Ingest Template'!F25,"*"&amp;DropDown!$H$2:$H$10&amp;"*"),0)),CHAR(10),'Ingest Template'!G25)</f>
        <v>#N/A</v>
      </c>
      <c r="E25" s="21" t="str">
        <f>CONCATENATE('Ingest Template'!H25,CHAR(10),'Ingest Template'!I25,CHAR(10),'Ingest Template'!J25)</f>
        <v>
</v>
      </c>
      <c r="F25" s="26" t="str">
        <f>'Ingest Template'!H25</f>
        <v/>
      </c>
      <c r="G25" s="21"/>
      <c r="H25" s="29"/>
      <c r="I25" s="21"/>
      <c r="J25" s="29" t="str">
        <f t="array" ref="J25">iF('Ingest Template'!A25="Standard","Pristine Brand",INDEX(DropDown!$M$2:$M$392,MATCH('Ingest Template'!E25,DropDown!$J$2:$J$392,0)))</f>
        <v>#N/A</v>
      </c>
      <c r="K25" s="21" t="str">
        <f>iF('Ingest Template'!A25="Standard",'Ingest Template'!K25&amp;CHAR(10)&amp;'Ingest Template'!L25,"Competitive View")</f>
        <v>Competitive View</v>
      </c>
      <c r="L25" s="29" t="s">
        <v>146</v>
      </c>
      <c r="M25" s="37" t="str">
        <f>'Ingest Template'!D25</f>
        <v/>
      </c>
      <c r="N25" s="21"/>
      <c r="O25" s="21"/>
      <c r="P25" s="21"/>
      <c r="Q25" s="21"/>
      <c r="R25" s="21" t="str">
        <f>'Ingest Template'!E25</f>
        <v/>
      </c>
      <c r="S25" s="29" t="s">
        <v>153</v>
      </c>
      <c r="T25" s="21" t="str">
        <f>'Ingest Template'!T25</f>
        <v/>
      </c>
      <c r="U25" s="21" t="str">
        <f>'Ingest Template'!S25</f>
        <v/>
      </c>
      <c r="V25" s="21" t="str">
        <f>LOWER(SUBSTITUTE(SUBSTITUTE(SUBSTITUTE(SUBSTITUTE(SUBSTITUTE('Ingest Template'!U25,"https:",""),"www.",""),"/",""),"?hl=en",""),"instagram.com",""))</f>
        <v/>
      </c>
      <c r="W25" s="41" t="str">
        <f t="array" ref="W25">IF('Ingest Template'!V25="",(INDEX(DropDown!$L$2:$L$392,MATCH('Ingest Template'!E25,DropDown!$J$2:$J$392,0))&amp;"|"&amp;'Ingest Template'!B25),(INDEX(DropDown!$L$2:$L$392,MATCH('Ingest Template'!E25,DropDown!$J$2:$J$392,0))&amp;"|"&amp;'Ingest Template'!B25)&amp;CHAR(10)&amp;'Ingest Template'!V25)</f>
        <v>#N/A</v>
      </c>
      <c r="X25" s="41" t="str">
        <f>'Ingest Template'!W25</f>
        <v/>
      </c>
      <c r="Y25" s="21" t="str">
        <f>SUBSTITUTE(SUBSTITUTE(SUBSTITUTE('Ingest Template'!X25,"http:",""),"https:",""),"/","")</f>
        <v/>
      </c>
      <c r="Z25" s="21" t="str">
        <f t="array" ref="Z25">IF('Ingest Template'!A25="Standard",(IF(ISBLANK('Ingest Template'!AA25),"", 'Ingest Template'!AA25&amp;"|DAR")),(IF(ISBLANK('Ingest Template'!AA25),"", 'Ingest Template'!AA25&amp;"|Film Ops")))</f>
        <v/>
      </c>
      <c r="AA25" s="21"/>
      <c r="AB25" s="21" t="str">
        <f>'Ingest Template'!M25</f>
        <v/>
      </c>
      <c r="AC25" s="21" t="str">
        <f>'Ingest Template'!Y25</f>
        <v/>
      </c>
      <c r="AD25" s="21" t="str">
        <f>'Ingest Template'!C25</f>
        <v/>
      </c>
      <c r="AE25" s="21" t="str">
        <f>'Ingest Template'!Z25</f>
        <v/>
      </c>
      <c r="AF25" s="29"/>
      <c r="AG25" s="21" t="str">
        <f t="array" ref="AG25">IF('Ingest Template'!A25="Standard",(CONCATENATE(IF(ISBLANK('Ingest Template'!O25),"", 'Ingest Template'!O25&amp;"|DAR"),CHAR(10), IF(ISBLANK('Ingest Template'!P25),"", 'Ingest Template'!P25&amp;"|DAR"),CHAR(10), IF(ISBLANK('Ingest Template'!Q25),"", 'Ingest Template'!Q25&amp;"|DAR"))),(CONCATENATE(IF(ISBLANK('Ingest Template'!O25),"", 'Ingest Template'!O25&amp;"|Operations - Core Title"),CHAR(10), IF(ISBLANK('Ingest Template'!P25),"", 'Ingest Template'!P25&amp;"|Operations - Core Title"),CHAR(10), IF(ISBLANK('Ingest Template'!Q25),"", 'Ingest Template'!Q25&amp;"|Operations - Core Title"))))</f>
        <v>#|Operations - Core Title
#|Operations - Core Title
</v>
      </c>
      <c r="AH25" s="21"/>
      <c r="AI25" s="21"/>
      <c r="AJ25" s="53" t="str">
        <f>if('Ingest Template'!A25="Standard",'Ingest Template'!N25&amp; "|DAR|DAR|2021-01-01",'Ingest Template'!N25&amp; "|Operations - Core Title|Operations - Core Title")</f>
        <v>#N/A</v>
      </c>
      <c r="AK25" s="53" t="str">
        <f>if('Ingest Template'!A25="Standard",'Ingest Template'!R25&amp; "|2021-01-01",'Ingest Template'!R25)</f>
        <v>#N/A</v>
      </c>
      <c r="AL25" s="21"/>
      <c r="AM25" s="21"/>
    </row>
    <row r="26">
      <c r="A26" s="21"/>
      <c r="B26" s="21" t="str">
        <f>'Ingest Template'!B26&amp;IF('Ingest Template'!A26 = "Standard", " - DAR","")</f>
        <v/>
      </c>
      <c r="C26" s="26" t="s">
        <v>109</v>
      </c>
      <c r="D26" s="29" t="str">
        <f t="array" ref="D26">CONCATENATE(INDEX(DropDown!$H$2:$H$10,MATCH(1,COUNTIF('Ingest Template'!F26,"*"&amp;DropDown!$H$2:$H$10&amp;"*"),0)),CHAR(10),'Ingest Template'!G26)</f>
        <v>#N/A</v>
      </c>
      <c r="E26" s="21" t="str">
        <f>CONCATENATE('Ingest Template'!H26,CHAR(10),'Ingest Template'!I26,CHAR(10),'Ingest Template'!J26)</f>
        <v>
</v>
      </c>
      <c r="F26" s="26" t="str">
        <f>'Ingest Template'!H26</f>
        <v/>
      </c>
      <c r="G26" s="21"/>
      <c r="H26" s="29"/>
      <c r="I26" s="21"/>
      <c r="J26" s="29" t="str">
        <f t="array" ref="J26">iF('Ingest Template'!A26="Standard","Pristine Brand",INDEX(DropDown!$M$2:$M$392,MATCH('Ingest Template'!E26,DropDown!$J$2:$J$392,0)))</f>
        <v>#N/A</v>
      </c>
      <c r="K26" s="21" t="str">
        <f>iF('Ingest Template'!A26="Standard",'Ingest Template'!K26&amp;CHAR(10)&amp;'Ingest Template'!L26,"Competitive View")</f>
        <v>Competitive View</v>
      </c>
      <c r="L26" s="29" t="s">
        <v>146</v>
      </c>
      <c r="M26" s="37" t="str">
        <f>'Ingest Template'!D26</f>
        <v/>
      </c>
      <c r="N26" s="21"/>
      <c r="O26" s="21"/>
      <c r="P26" s="21"/>
      <c r="Q26" s="21"/>
      <c r="R26" s="21" t="str">
        <f>'Ingest Template'!E26</f>
        <v/>
      </c>
      <c r="S26" s="29" t="s">
        <v>153</v>
      </c>
      <c r="T26" s="21" t="str">
        <f>'Ingest Template'!T26</f>
        <v/>
      </c>
      <c r="U26" s="21" t="str">
        <f>'Ingest Template'!S26</f>
        <v/>
      </c>
      <c r="V26" s="21" t="str">
        <f>LOWER(SUBSTITUTE(SUBSTITUTE(SUBSTITUTE(SUBSTITUTE(SUBSTITUTE('Ingest Template'!U26,"https:",""),"www.",""),"/",""),"?hl=en",""),"instagram.com",""))</f>
        <v/>
      </c>
      <c r="W26" s="41" t="str">
        <f t="array" ref="W26">IF('Ingest Template'!V26="",(INDEX(DropDown!$L$2:$L$392,MATCH('Ingest Template'!E26,DropDown!$J$2:$J$392,0))&amp;"|"&amp;'Ingest Template'!B26),(INDEX(DropDown!$L$2:$L$392,MATCH('Ingest Template'!E26,DropDown!$J$2:$J$392,0))&amp;"|"&amp;'Ingest Template'!B26)&amp;CHAR(10)&amp;'Ingest Template'!V26)</f>
        <v>#N/A</v>
      </c>
      <c r="X26" s="41" t="str">
        <f>'Ingest Template'!W26</f>
        <v/>
      </c>
      <c r="Y26" s="21" t="str">
        <f>SUBSTITUTE(SUBSTITUTE(SUBSTITUTE('Ingest Template'!X26,"http:",""),"https:",""),"/","")</f>
        <v/>
      </c>
      <c r="Z26" s="21" t="str">
        <f t="array" ref="Z26">IF('Ingest Template'!A26="Standard",(IF(ISBLANK('Ingest Template'!AA26),"", 'Ingest Template'!AA26&amp;"|DAR")),(IF(ISBLANK('Ingest Template'!AA26),"", 'Ingest Template'!AA26&amp;"|Film Ops")))</f>
        <v/>
      </c>
      <c r="AA26" s="21"/>
      <c r="AB26" s="21" t="str">
        <f>'Ingest Template'!M26</f>
        <v/>
      </c>
      <c r="AC26" s="21" t="str">
        <f>'Ingest Template'!Y26</f>
        <v/>
      </c>
      <c r="AD26" s="21" t="str">
        <f>'Ingest Template'!C26</f>
        <v/>
      </c>
      <c r="AE26" s="21" t="str">
        <f>'Ingest Template'!Z26</f>
        <v/>
      </c>
      <c r="AF26" s="29"/>
      <c r="AG26" s="21" t="str">
        <f t="array" ref="AG26">IF('Ingest Template'!A26="Standard",(CONCATENATE(IF(ISBLANK('Ingest Template'!O26),"", 'Ingest Template'!O26&amp;"|DAR"),CHAR(10), IF(ISBLANK('Ingest Template'!P26),"", 'Ingest Template'!P26&amp;"|DAR"),CHAR(10), IF(ISBLANK('Ingest Template'!Q26),"", 'Ingest Template'!Q26&amp;"|DAR"))),(CONCATENATE(IF(ISBLANK('Ingest Template'!O26),"", 'Ingest Template'!O26&amp;"|Operations - Core Title"),CHAR(10), IF(ISBLANK('Ingest Template'!P26),"", 'Ingest Template'!P26&amp;"|Operations - Core Title"),CHAR(10), IF(ISBLANK('Ingest Template'!Q26),"", 'Ingest Template'!Q26&amp;"|Operations - Core Title"))))</f>
        <v>#|Operations - Core Title
#|Operations - Core Title
</v>
      </c>
      <c r="AH26" s="21"/>
      <c r="AI26" s="21"/>
      <c r="AJ26" s="53" t="str">
        <f>if('Ingest Template'!A26="Standard",'Ingest Template'!N26&amp; "|DAR|DAR|2021-01-01",'Ingest Template'!N26&amp; "|Operations - Core Title|Operations - Core Title")</f>
        <v>#N/A</v>
      </c>
      <c r="AK26" s="53" t="str">
        <f>if('Ingest Template'!A26="Standard",'Ingest Template'!R26&amp; "|2021-01-01",'Ingest Template'!R26)</f>
        <v>#N/A</v>
      </c>
      <c r="AL26" s="21"/>
      <c r="AM26" s="21"/>
    </row>
    <row r="27">
      <c r="A27" s="21"/>
      <c r="B27" s="21" t="str">
        <f>'Ingest Template'!B27&amp;IF('Ingest Template'!A27 = "Standard", " - DAR","")</f>
        <v/>
      </c>
      <c r="C27" s="26" t="s">
        <v>109</v>
      </c>
      <c r="D27" s="29" t="str">
        <f t="array" ref="D27">CONCATENATE(INDEX(DropDown!$H$2:$H$10,MATCH(1,COUNTIF('Ingest Template'!F27,"*"&amp;DropDown!$H$2:$H$10&amp;"*"),0)),CHAR(10),'Ingest Template'!G27)</f>
        <v>#N/A</v>
      </c>
      <c r="E27" s="21" t="str">
        <f>CONCATENATE('Ingest Template'!H27,CHAR(10),'Ingest Template'!I27,CHAR(10),'Ingest Template'!J27)</f>
        <v>
</v>
      </c>
      <c r="F27" s="26" t="str">
        <f>'Ingest Template'!H27</f>
        <v/>
      </c>
      <c r="G27" s="21"/>
      <c r="H27" s="29"/>
      <c r="I27" s="21"/>
      <c r="J27" s="29" t="str">
        <f t="array" ref="J27">iF('Ingest Template'!A27="Standard","Pristine Brand",INDEX(DropDown!$M$2:$M$392,MATCH('Ingest Template'!E27,DropDown!$J$2:$J$392,0)))</f>
        <v>#N/A</v>
      </c>
      <c r="K27" s="21" t="str">
        <f>iF('Ingest Template'!A27="Standard",'Ingest Template'!K27&amp;CHAR(10)&amp;'Ingest Template'!L27,"Competitive View")</f>
        <v>Competitive View</v>
      </c>
      <c r="L27" s="29" t="s">
        <v>146</v>
      </c>
      <c r="M27" s="37" t="str">
        <f>'Ingest Template'!D27</f>
        <v/>
      </c>
      <c r="N27" s="21"/>
      <c r="O27" s="21"/>
      <c r="P27" s="21"/>
      <c r="Q27" s="21"/>
      <c r="R27" s="21" t="str">
        <f>'Ingest Template'!E27</f>
        <v/>
      </c>
      <c r="S27" s="29" t="s">
        <v>153</v>
      </c>
      <c r="T27" s="21" t="str">
        <f>'Ingest Template'!T27</f>
        <v/>
      </c>
      <c r="U27" s="21" t="str">
        <f>'Ingest Template'!S27</f>
        <v/>
      </c>
      <c r="V27" s="21" t="str">
        <f>LOWER(SUBSTITUTE(SUBSTITUTE(SUBSTITUTE(SUBSTITUTE(SUBSTITUTE('Ingest Template'!U27,"https:",""),"www.",""),"/",""),"?hl=en",""),"instagram.com",""))</f>
        <v/>
      </c>
      <c r="W27" s="41" t="str">
        <f t="array" ref="W27">IF('Ingest Template'!V27="",(INDEX(DropDown!$L$2:$L$392,MATCH('Ingest Template'!E27,DropDown!$J$2:$J$392,0))&amp;"|"&amp;'Ingest Template'!B27),(INDEX(DropDown!$L$2:$L$392,MATCH('Ingest Template'!E27,DropDown!$J$2:$J$392,0))&amp;"|"&amp;'Ingest Template'!B27)&amp;CHAR(10)&amp;'Ingest Template'!V27)</f>
        <v>#N/A</v>
      </c>
      <c r="X27" s="41" t="str">
        <f>'Ingest Template'!W27</f>
        <v/>
      </c>
      <c r="Y27" s="21" t="str">
        <f>SUBSTITUTE(SUBSTITUTE(SUBSTITUTE('Ingest Template'!X27,"http:",""),"https:",""),"/","")</f>
        <v/>
      </c>
      <c r="Z27" s="21" t="str">
        <f t="array" ref="Z27">IF('Ingest Template'!A27="Standard",(IF(ISBLANK('Ingest Template'!AA27),"", 'Ingest Template'!AA27&amp;"|DAR")),(IF(ISBLANK('Ingest Template'!AA27),"", 'Ingest Template'!AA27&amp;"|Film Ops")))</f>
        <v/>
      </c>
      <c r="AA27" s="21"/>
      <c r="AB27" s="21" t="str">
        <f>'Ingest Template'!M27</f>
        <v/>
      </c>
      <c r="AC27" s="21" t="str">
        <f>'Ingest Template'!Y27</f>
        <v/>
      </c>
      <c r="AD27" s="21" t="str">
        <f>'Ingest Template'!C27</f>
        <v/>
      </c>
      <c r="AE27" s="21" t="str">
        <f>'Ingest Template'!Z27</f>
        <v/>
      </c>
      <c r="AF27" s="29"/>
      <c r="AG27" s="21" t="str">
        <f t="array" ref="AG27">IF('Ingest Template'!A27="Standard",(CONCATENATE(IF(ISBLANK('Ingest Template'!O27),"", 'Ingest Template'!O27&amp;"|DAR"),CHAR(10), IF(ISBLANK('Ingest Template'!P27),"", 'Ingest Template'!P27&amp;"|DAR"),CHAR(10), IF(ISBLANK('Ingest Template'!Q27),"", 'Ingest Template'!Q27&amp;"|DAR"))),(CONCATENATE(IF(ISBLANK('Ingest Template'!O27),"", 'Ingest Template'!O27&amp;"|Operations - Core Title"),CHAR(10), IF(ISBLANK('Ingest Template'!P27),"", 'Ingest Template'!P27&amp;"|Operations - Core Title"),CHAR(10), IF(ISBLANK('Ingest Template'!Q27),"", 'Ingest Template'!Q27&amp;"|Operations - Core Title"))))</f>
        <v>#|Operations - Core Title
#|Operations - Core Title
</v>
      </c>
      <c r="AH27" s="21"/>
      <c r="AI27" s="21"/>
      <c r="AJ27" s="53" t="str">
        <f>if('Ingest Template'!A27="Standard",'Ingest Template'!N27&amp; "|DAR|DAR|2021-01-01",'Ingest Template'!N27&amp; "|Operations - Core Title|Operations - Core Title")</f>
        <v>#N/A</v>
      </c>
      <c r="AK27" s="53" t="str">
        <f>if('Ingest Template'!A27="Standard",'Ingest Template'!R27&amp; "|2021-01-01",'Ingest Template'!R27)</f>
        <v>#N/A</v>
      </c>
      <c r="AL27" s="21"/>
      <c r="AM27" s="21"/>
    </row>
    <row r="28">
      <c r="A28" s="21"/>
      <c r="B28" s="21" t="str">
        <f>'Ingest Template'!B28&amp;IF('Ingest Template'!A28 = "Standard", " - DAR","")</f>
        <v/>
      </c>
      <c r="C28" s="26" t="s">
        <v>109</v>
      </c>
      <c r="D28" s="29" t="str">
        <f t="array" ref="D28">CONCATENATE(INDEX(DropDown!$H$2:$H$10,MATCH(1,COUNTIF('Ingest Template'!F28,"*"&amp;DropDown!$H$2:$H$10&amp;"*"),0)),CHAR(10),'Ingest Template'!G28)</f>
        <v>#N/A</v>
      </c>
      <c r="E28" s="21" t="str">
        <f>CONCATENATE('Ingest Template'!H28,CHAR(10),'Ingest Template'!I28,CHAR(10),'Ingest Template'!J28)</f>
        <v>
</v>
      </c>
      <c r="F28" s="26" t="str">
        <f>'Ingest Template'!H28</f>
        <v/>
      </c>
      <c r="G28" s="21"/>
      <c r="H28" s="29"/>
      <c r="I28" s="21"/>
      <c r="J28" s="29" t="str">
        <f t="array" ref="J28">iF('Ingest Template'!A28="Standard","Pristine Brand",INDEX(DropDown!$M$2:$M$392,MATCH('Ingest Template'!E28,DropDown!$J$2:$J$392,0)))</f>
        <v>#N/A</v>
      </c>
      <c r="K28" s="21" t="str">
        <f>iF('Ingest Template'!A28="Standard",'Ingest Template'!K28&amp;CHAR(10)&amp;'Ingest Template'!L28,"Competitive View")</f>
        <v>Competitive View</v>
      </c>
      <c r="L28" s="29" t="s">
        <v>146</v>
      </c>
      <c r="M28" s="37" t="str">
        <f>'Ingest Template'!D28</f>
        <v/>
      </c>
      <c r="N28" s="21"/>
      <c r="O28" s="21"/>
      <c r="P28" s="21"/>
      <c r="Q28" s="21"/>
      <c r="R28" s="21" t="str">
        <f>'Ingest Template'!E28</f>
        <v/>
      </c>
      <c r="S28" s="29" t="s">
        <v>153</v>
      </c>
      <c r="T28" s="21" t="str">
        <f>'Ingest Template'!T28</f>
        <v/>
      </c>
      <c r="U28" s="21" t="str">
        <f>'Ingest Template'!S28</f>
        <v/>
      </c>
      <c r="V28" s="21" t="str">
        <f>LOWER(SUBSTITUTE(SUBSTITUTE(SUBSTITUTE(SUBSTITUTE(SUBSTITUTE('Ingest Template'!U28,"https:",""),"www.",""),"/",""),"?hl=en",""),"instagram.com",""))</f>
        <v/>
      </c>
      <c r="W28" s="41" t="str">
        <f t="array" ref="W28">IF('Ingest Template'!V28="",(INDEX(DropDown!$L$2:$L$392,MATCH('Ingest Template'!E28,DropDown!$J$2:$J$392,0))&amp;"|"&amp;'Ingest Template'!B28),(INDEX(DropDown!$L$2:$L$392,MATCH('Ingest Template'!E28,DropDown!$J$2:$J$392,0))&amp;"|"&amp;'Ingest Template'!B28)&amp;CHAR(10)&amp;'Ingest Template'!V28)</f>
        <v>#N/A</v>
      </c>
      <c r="X28" s="41" t="str">
        <f>'Ingest Template'!W28</f>
        <v/>
      </c>
      <c r="Y28" s="21" t="str">
        <f>SUBSTITUTE(SUBSTITUTE(SUBSTITUTE('Ingest Template'!X28,"http:",""),"https:",""),"/","")</f>
        <v/>
      </c>
      <c r="Z28" s="21" t="str">
        <f t="array" ref="Z28">IF('Ingest Template'!A28="Standard",(IF(ISBLANK('Ingest Template'!AA28),"", 'Ingest Template'!AA28&amp;"|DAR")),(IF(ISBLANK('Ingest Template'!AA28),"", 'Ingest Template'!AA28&amp;"|Film Ops")))</f>
        <v/>
      </c>
      <c r="AA28" s="21"/>
      <c r="AB28" s="21" t="str">
        <f>'Ingest Template'!M28</f>
        <v/>
      </c>
      <c r="AC28" s="21" t="str">
        <f>'Ingest Template'!Y28</f>
        <v/>
      </c>
      <c r="AD28" s="21" t="str">
        <f>'Ingest Template'!C28</f>
        <v/>
      </c>
      <c r="AE28" s="21" t="str">
        <f>'Ingest Template'!Z28</f>
        <v/>
      </c>
      <c r="AF28" s="29"/>
      <c r="AG28" s="21" t="str">
        <f t="array" ref="AG28">IF('Ingest Template'!A28="Standard",(CONCATENATE(IF(ISBLANK('Ingest Template'!O28),"", 'Ingest Template'!O28&amp;"|DAR"),CHAR(10), IF(ISBLANK('Ingest Template'!P28),"", 'Ingest Template'!P28&amp;"|DAR"),CHAR(10), IF(ISBLANK('Ingest Template'!Q28),"", 'Ingest Template'!Q28&amp;"|DAR"))),(CONCATENATE(IF(ISBLANK('Ingest Template'!O28),"", 'Ingest Template'!O28&amp;"|Operations - Core Title"),CHAR(10), IF(ISBLANK('Ingest Template'!P28),"", 'Ingest Template'!P28&amp;"|Operations - Core Title"),CHAR(10), IF(ISBLANK('Ingest Template'!Q28),"", 'Ingest Template'!Q28&amp;"|Operations - Core Title"))))</f>
        <v>#|Operations - Core Title
#|Operations - Core Title
</v>
      </c>
      <c r="AH28" s="21"/>
      <c r="AI28" s="21"/>
      <c r="AJ28" s="53" t="str">
        <f>if('Ingest Template'!A28="Standard",'Ingest Template'!N28&amp; "|DAR|DAR|2021-01-01",'Ingest Template'!N28&amp; "|Operations - Core Title|Operations - Core Title")</f>
        <v>#N/A</v>
      </c>
      <c r="AK28" s="53" t="str">
        <f>if('Ingest Template'!A28="Standard",'Ingest Template'!R28&amp; "|2021-01-01",'Ingest Template'!R28)</f>
        <v>#N/A</v>
      </c>
      <c r="AL28" s="21"/>
      <c r="AM28" s="21"/>
    </row>
    <row r="29">
      <c r="A29" s="21"/>
      <c r="B29" s="21" t="str">
        <f>'Ingest Template'!B29&amp;IF('Ingest Template'!A29 = "Standard", " - DAR","")</f>
        <v/>
      </c>
      <c r="C29" s="26" t="s">
        <v>109</v>
      </c>
      <c r="D29" s="29" t="str">
        <f t="array" ref="D29">CONCATENATE(INDEX(DropDown!$H$2:$H$10,MATCH(1,COUNTIF('Ingest Template'!F29,"*"&amp;DropDown!$H$2:$H$10&amp;"*"),0)),CHAR(10),'Ingest Template'!G29)</f>
        <v>#N/A</v>
      </c>
      <c r="E29" s="21" t="str">
        <f>CONCATENATE('Ingest Template'!H29,CHAR(10),'Ingest Template'!I29,CHAR(10),'Ingest Template'!J29)</f>
        <v>
</v>
      </c>
      <c r="F29" s="26" t="str">
        <f>'Ingest Template'!H29</f>
        <v/>
      </c>
      <c r="G29" s="21"/>
      <c r="H29" s="29"/>
      <c r="I29" s="21"/>
      <c r="J29" s="29" t="str">
        <f t="array" ref="J29">iF('Ingest Template'!A29="Standard","Pristine Brand",INDEX(DropDown!$M$2:$M$392,MATCH('Ingest Template'!E29,DropDown!$J$2:$J$392,0)))</f>
        <v>#N/A</v>
      </c>
      <c r="K29" s="21" t="str">
        <f>iF('Ingest Template'!A29="Standard",'Ingest Template'!K29&amp;CHAR(10)&amp;'Ingest Template'!L29,"Competitive View")</f>
        <v>Competitive View</v>
      </c>
      <c r="L29" s="29" t="s">
        <v>146</v>
      </c>
      <c r="M29" s="37" t="str">
        <f>'Ingest Template'!D29</f>
        <v/>
      </c>
      <c r="N29" s="21"/>
      <c r="O29" s="21"/>
      <c r="P29" s="21"/>
      <c r="Q29" s="21"/>
      <c r="R29" s="21" t="str">
        <f>'Ingest Template'!E29</f>
        <v/>
      </c>
      <c r="S29" s="29" t="s">
        <v>153</v>
      </c>
      <c r="T29" s="21" t="str">
        <f>'Ingest Template'!T29</f>
        <v/>
      </c>
      <c r="U29" s="21" t="str">
        <f>'Ingest Template'!S29</f>
        <v/>
      </c>
      <c r="V29" s="21" t="str">
        <f>LOWER(SUBSTITUTE(SUBSTITUTE(SUBSTITUTE(SUBSTITUTE(SUBSTITUTE('Ingest Template'!U29,"https:",""),"www.",""),"/",""),"?hl=en",""),"instagram.com",""))</f>
        <v/>
      </c>
      <c r="W29" s="41" t="str">
        <f t="array" ref="W29">IF('Ingest Template'!V29="",(INDEX(DropDown!$L$2:$L$392,MATCH('Ingest Template'!E29,DropDown!$J$2:$J$392,0))&amp;"|"&amp;'Ingest Template'!B29),(INDEX(DropDown!$L$2:$L$392,MATCH('Ingest Template'!E29,DropDown!$J$2:$J$392,0))&amp;"|"&amp;'Ingest Template'!B29)&amp;CHAR(10)&amp;'Ingest Template'!V29)</f>
        <v>#N/A</v>
      </c>
      <c r="X29" s="41" t="str">
        <f>'Ingest Template'!W29</f>
        <v/>
      </c>
      <c r="Y29" s="21" t="str">
        <f>SUBSTITUTE(SUBSTITUTE(SUBSTITUTE('Ingest Template'!X29,"http:",""),"https:",""),"/","")</f>
        <v/>
      </c>
      <c r="Z29" s="21" t="str">
        <f t="array" ref="Z29">IF('Ingest Template'!A29="Standard",(IF(ISBLANK('Ingest Template'!AA29),"", 'Ingest Template'!AA29&amp;"|DAR")),(IF(ISBLANK('Ingest Template'!AA29),"", 'Ingest Template'!AA29&amp;"|Film Ops")))</f>
        <v/>
      </c>
      <c r="AA29" s="21"/>
      <c r="AB29" s="21" t="str">
        <f>'Ingest Template'!M29</f>
        <v/>
      </c>
      <c r="AC29" s="21" t="str">
        <f>'Ingest Template'!Y29</f>
        <v/>
      </c>
      <c r="AD29" s="21" t="str">
        <f>'Ingest Template'!C29</f>
        <v/>
      </c>
      <c r="AE29" s="21" t="str">
        <f>'Ingest Template'!Z29</f>
        <v/>
      </c>
      <c r="AF29" s="29"/>
      <c r="AG29" s="21" t="str">
        <f t="array" ref="AG29">IF('Ingest Template'!A29="Standard",(CONCATENATE(IF(ISBLANK('Ingest Template'!O29),"", 'Ingest Template'!O29&amp;"|DAR"),CHAR(10), IF(ISBLANK('Ingest Template'!P29),"", 'Ingest Template'!P29&amp;"|DAR"),CHAR(10), IF(ISBLANK('Ingest Template'!Q29),"", 'Ingest Template'!Q29&amp;"|DAR"))),(CONCATENATE(IF(ISBLANK('Ingest Template'!O29),"", 'Ingest Template'!O29&amp;"|Operations - Core Title"),CHAR(10), IF(ISBLANK('Ingest Template'!P29),"", 'Ingest Template'!P29&amp;"|Operations - Core Title"),CHAR(10), IF(ISBLANK('Ingest Template'!Q29),"", 'Ingest Template'!Q29&amp;"|Operations - Core Title"))))</f>
        <v>#|Operations - Core Title
#|Operations - Core Title
</v>
      </c>
      <c r="AH29" s="21"/>
      <c r="AI29" s="21"/>
      <c r="AJ29" s="53" t="str">
        <f>if('Ingest Template'!A29="Standard",'Ingest Template'!N29&amp; "|DAR|DAR|2021-01-01",'Ingest Template'!N29&amp; "|Operations - Core Title|Operations - Core Title")</f>
        <v>#N/A</v>
      </c>
      <c r="AK29" s="53" t="str">
        <f>if('Ingest Template'!A29="Standard",'Ingest Template'!R29&amp; "|2021-01-01",'Ingest Template'!R29)</f>
        <v>#N/A</v>
      </c>
      <c r="AL29" s="21"/>
      <c r="AM29" s="21"/>
    </row>
    <row r="30">
      <c r="A30" s="21"/>
      <c r="B30" s="21" t="str">
        <f>'Ingest Template'!B30&amp;IF('Ingest Template'!A30 = "Standard", " - DAR","")</f>
        <v/>
      </c>
      <c r="C30" s="26" t="s">
        <v>109</v>
      </c>
      <c r="D30" s="29" t="str">
        <f t="array" ref="D30">CONCATENATE(INDEX(DropDown!$H$2:$H$10,MATCH(1,COUNTIF('Ingest Template'!F30,"*"&amp;DropDown!$H$2:$H$10&amp;"*"),0)),CHAR(10),'Ingest Template'!G30)</f>
        <v>#N/A</v>
      </c>
      <c r="E30" s="21" t="str">
        <f>CONCATENATE('Ingest Template'!H30,CHAR(10),'Ingest Template'!I30,CHAR(10),'Ingest Template'!J30)</f>
        <v>
</v>
      </c>
      <c r="F30" s="26" t="str">
        <f>'Ingest Template'!H30</f>
        <v/>
      </c>
      <c r="G30" s="21"/>
      <c r="H30" s="29"/>
      <c r="I30" s="21"/>
      <c r="J30" s="29" t="str">
        <f t="array" ref="J30">iF('Ingest Template'!A30="Standard","Pristine Brand",INDEX(DropDown!$M$2:$M$392,MATCH('Ingest Template'!E30,DropDown!$J$2:$J$392,0)))</f>
        <v>#N/A</v>
      </c>
      <c r="K30" s="21" t="str">
        <f>iF('Ingest Template'!A30="Standard",'Ingest Template'!K30&amp;CHAR(10)&amp;'Ingest Template'!L30,"Competitive View")</f>
        <v>Competitive View</v>
      </c>
      <c r="L30" s="29" t="s">
        <v>146</v>
      </c>
      <c r="M30" s="37" t="str">
        <f>'Ingest Template'!D30</f>
        <v/>
      </c>
      <c r="N30" s="21"/>
      <c r="O30" s="21"/>
      <c r="P30" s="21"/>
      <c r="Q30" s="21"/>
      <c r="R30" s="21" t="str">
        <f>'Ingest Template'!E30</f>
        <v/>
      </c>
      <c r="S30" s="29" t="s">
        <v>153</v>
      </c>
      <c r="T30" s="21" t="str">
        <f>'Ingest Template'!T30</f>
        <v/>
      </c>
      <c r="U30" s="21" t="str">
        <f>'Ingest Template'!S30</f>
        <v/>
      </c>
      <c r="V30" s="21" t="str">
        <f>LOWER(SUBSTITUTE(SUBSTITUTE(SUBSTITUTE(SUBSTITUTE(SUBSTITUTE('Ingest Template'!U30,"https:",""),"www.",""),"/",""),"?hl=en",""),"instagram.com",""))</f>
        <v/>
      </c>
      <c r="W30" s="41" t="str">
        <f t="array" ref="W30">IF('Ingest Template'!V30="",(INDEX(DropDown!$L$2:$L$392,MATCH('Ingest Template'!E30,DropDown!$J$2:$J$392,0))&amp;"|"&amp;'Ingest Template'!B30),(INDEX(DropDown!$L$2:$L$392,MATCH('Ingest Template'!E30,DropDown!$J$2:$J$392,0))&amp;"|"&amp;'Ingest Template'!B30)&amp;CHAR(10)&amp;'Ingest Template'!V30)</f>
        <v>#N/A</v>
      </c>
      <c r="X30" s="41" t="str">
        <f>'Ingest Template'!W30</f>
        <v/>
      </c>
      <c r="Y30" s="21" t="str">
        <f>SUBSTITUTE(SUBSTITUTE(SUBSTITUTE('Ingest Template'!X30,"http:",""),"https:",""),"/","")</f>
        <v/>
      </c>
      <c r="Z30" s="21" t="str">
        <f t="array" ref="Z30">IF('Ingest Template'!A30="Standard",(IF(ISBLANK('Ingest Template'!AA30),"", 'Ingest Template'!AA30&amp;"|DAR")),(IF(ISBLANK('Ingest Template'!AA30),"", 'Ingest Template'!AA30&amp;"|Film Ops")))</f>
        <v/>
      </c>
      <c r="AA30" s="21"/>
      <c r="AB30" s="21" t="str">
        <f>'Ingest Template'!M30</f>
        <v/>
      </c>
      <c r="AC30" s="21" t="str">
        <f>'Ingest Template'!Y30</f>
        <v/>
      </c>
      <c r="AD30" s="21" t="str">
        <f>'Ingest Template'!C30</f>
        <v/>
      </c>
      <c r="AE30" s="21" t="str">
        <f>'Ingest Template'!Z30</f>
        <v/>
      </c>
      <c r="AF30" s="29"/>
      <c r="AG30" s="21" t="str">
        <f t="array" ref="AG30">IF('Ingest Template'!A30="Standard",(CONCATENATE(IF(ISBLANK('Ingest Template'!O30),"", 'Ingest Template'!O30&amp;"|DAR"),CHAR(10), IF(ISBLANK('Ingest Template'!P30),"", 'Ingest Template'!P30&amp;"|DAR"),CHAR(10), IF(ISBLANK('Ingest Template'!Q30),"", 'Ingest Template'!Q30&amp;"|DAR"))),(CONCATENATE(IF(ISBLANK('Ingest Template'!O30),"", 'Ingest Template'!O30&amp;"|Operations - Core Title"),CHAR(10), IF(ISBLANK('Ingest Template'!P30),"", 'Ingest Template'!P30&amp;"|Operations - Core Title"),CHAR(10), IF(ISBLANK('Ingest Template'!Q30),"", 'Ingest Template'!Q30&amp;"|Operations - Core Title"))))</f>
        <v>#|Operations - Core Title
#|Operations - Core Title
</v>
      </c>
      <c r="AH30" s="21"/>
      <c r="AI30" s="21"/>
      <c r="AJ30" s="53" t="str">
        <f>if('Ingest Template'!A30="Standard",'Ingest Template'!N30&amp; "|DAR|DAR|2021-01-01",'Ingest Template'!N30&amp; "|Operations - Core Title|Operations - Core Title")</f>
        <v>#N/A</v>
      </c>
      <c r="AK30" s="53" t="str">
        <f>if('Ingest Template'!A30="Standard",'Ingest Template'!R30&amp; "|2021-01-01",'Ingest Template'!R30)</f>
        <v>#N/A</v>
      </c>
      <c r="AL30" s="21"/>
      <c r="AM30" s="21"/>
    </row>
    <row r="31">
      <c r="A31" s="21"/>
      <c r="B31" s="21" t="str">
        <f>'Ingest Template'!B31&amp;IF('Ingest Template'!A31 = "Standard", " - DAR","")</f>
        <v/>
      </c>
      <c r="C31" s="26" t="s">
        <v>109</v>
      </c>
      <c r="D31" s="29" t="str">
        <f t="array" ref="D31">CONCATENATE(INDEX(DropDown!$H$2:$H$10,MATCH(1,COUNTIF('Ingest Template'!F31,"*"&amp;DropDown!$H$2:$H$10&amp;"*"),0)),CHAR(10),'Ingest Template'!G31)</f>
        <v>#N/A</v>
      </c>
      <c r="E31" s="21" t="str">
        <f>CONCATENATE('Ingest Template'!H31,CHAR(10),'Ingest Template'!I31,CHAR(10),'Ingest Template'!J31)</f>
        <v>
</v>
      </c>
      <c r="F31" s="26" t="str">
        <f>'Ingest Template'!H31</f>
        <v/>
      </c>
      <c r="G31" s="21"/>
      <c r="H31" s="29"/>
      <c r="I31" s="21"/>
      <c r="J31" s="29" t="str">
        <f t="array" ref="J31">iF('Ingest Template'!A31="Standard","Pristine Brand",INDEX(DropDown!$M$2:$M$392,MATCH('Ingest Template'!E31,DropDown!$J$2:$J$392,0)))</f>
        <v>#N/A</v>
      </c>
      <c r="K31" s="21" t="str">
        <f>iF('Ingest Template'!A31="Standard",'Ingest Template'!K31&amp;CHAR(10)&amp;'Ingest Template'!L31,"Competitive View")</f>
        <v>Competitive View</v>
      </c>
      <c r="L31" s="29" t="s">
        <v>146</v>
      </c>
      <c r="M31" s="37" t="str">
        <f>'Ingest Template'!D31</f>
        <v/>
      </c>
      <c r="N31" s="21"/>
      <c r="O31" s="21"/>
      <c r="P31" s="21"/>
      <c r="Q31" s="21"/>
      <c r="R31" s="21" t="str">
        <f>'Ingest Template'!E31</f>
        <v/>
      </c>
      <c r="S31" s="29" t="s">
        <v>153</v>
      </c>
      <c r="T31" s="21" t="str">
        <f>'Ingest Template'!T31</f>
        <v/>
      </c>
      <c r="U31" s="21" t="str">
        <f>'Ingest Template'!S31</f>
        <v/>
      </c>
      <c r="V31" s="21" t="str">
        <f>LOWER(SUBSTITUTE(SUBSTITUTE(SUBSTITUTE(SUBSTITUTE(SUBSTITUTE('Ingest Template'!U31,"https:",""),"www.",""),"/",""),"?hl=en",""),"instagram.com",""))</f>
        <v/>
      </c>
      <c r="W31" s="41" t="str">
        <f t="array" ref="W31">IF('Ingest Template'!V31="",(INDEX(DropDown!$L$2:$L$392,MATCH('Ingest Template'!E31,DropDown!$J$2:$J$392,0))&amp;"|"&amp;'Ingest Template'!B31),(INDEX(DropDown!$L$2:$L$392,MATCH('Ingest Template'!E31,DropDown!$J$2:$J$392,0))&amp;"|"&amp;'Ingest Template'!B31)&amp;CHAR(10)&amp;'Ingest Template'!V31)</f>
        <v>#N/A</v>
      </c>
      <c r="X31" s="41" t="str">
        <f>'Ingest Template'!W31</f>
        <v/>
      </c>
      <c r="Y31" s="21" t="str">
        <f>SUBSTITUTE(SUBSTITUTE(SUBSTITUTE('Ingest Template'!X31,"http:",""),"https:",""),"/","")</f>
        <v/>
      </c>
      <c r="Z31" s="21" t="str">
        <f t="array" ref="Z31">IF('Ingest Template'!A31="Standard",(IF(ISBLANK('Ingest Template'!AA31),"", 'Ingest Template'!AA31&amp;"|DAR")),(IF(ISBLANK('Ingest Template'!AA31),"", 'Ingest Template'!AA31&amp;"|Film Ops")))</f>
        <v/>
      </c>
      <c r="AA31" s="21"/>
      <c r="AB31" s="21" t="str">
        <f>'Ingest Template'!M31</f>
        <v/>
      </c>
      <c r="AC31" s="21" t="str">
        <f>'Ingest Template'!Y31</f>
        <v/>
      </c>
      <c r="AD31" s="21" t="str">
        <f>'Ingest Template'!C31</f>
        <v/>
      </c>
      <c r="AE31" s="21" t="str">
        <f>'Ingest Template'!Z31</f>
        <v/>
      </c>
      <c r="AF31" s="29"/>
      <c r="AG31" s="21" t="str">
        <f t="array" ref="AG31">IF('Ingest Template'!A31="Standard",(CONCATENATE(IF(ISBLANK('Ingest Template'!O31),"", 'Ingest Template'!O31&amp;"|DAR"),CHAR(10), IF(ISBLANK('Ingest Template'!P31),"", 'Ingest Template'!P31&amp;"|DAR"),CHAR(10), IF(ISBLANK('Ingest Template'!Q31),"", 'Ingest Template'!Q31&amp;"|DAR"))),(CONCATENATE(IF(ISBLANK('Ingest Template'!O31),"", 'Ingest Template'!O31&amp;"|Operations - Core Title"),CHAR(10), IF(ISBLANK('Ingest Template'!P31),"", 'Ingest Template'!P31&amp;"|Operations - Core Title"),CHAR(10), IF(ISBLANK('Ingest Template'!Q31),"", 'Ingest Template'!Q31&amp;"|Operations - Core Title"))))</f>
        <v>#|Operations - Core Title
#|Operations - Core Title
</v>
      </c>
      <c r="AH31" s="21"/>
      <c r="AI31" s="21"/>
      <c r="AJ31" s="53" t="str">
        <f>if('Ingest Template'!A31="Standard",'Ingest Template'!N31&amp; "|DAR|DAR|2021-01-01",'Ingest Template'!N31&amp; "|Operations - Core Title|Operations - Core Title")</f>
        <v>#N/A</v>
      </c>
      <c r="AK31" s="53" t="str">
        <f>if('Ingest Template'!A31="Standard",'Ingest Template'!R31&amp; "|2021-01-01",'Ingest Template'!R31)</f>
        <v>#N/A</v>
      </c>
      <c r="AL31" s="21"/>
      <c r="AM31" s="21"/>
    </row>
    <row r="32">
      <c r="A32" s="21"/>
      <c r="B32" s="21" t="str">
        <f>'Ingest Template'!B32&amp;IF('Ingest Template'!A32 = "Standard", " - DAR","")</f>
        <v/>
      </c>
      <c r="C32" s="26" t="s">
        <v>109</v>
      </c>
      <c r="D32" s="29" t="str">
        <f t="array" ref="D32">CONCATENATE(INDEX(DropDown!$H$2:$H$10,MATCH(1,COUNTIF('Ingest Template'!F32,"*"&amp;DropDown!$H$2:$H$10&amp;"*"),0)),CHAR(10),'Ingest Template'!G32)</f>
        <v>#N/A</v>
      </c>
      <c r="E32" s="21" t="str">
        <f>CONCATENATE('Ingest Template'!H32,CHAR(10),'Ingest Template'!I32,CHAR(10),'Ingest Template'!J32)</f>
        <v>
</v>
      </c>
      <c r="F32" s="26" t="str">
        <f>'Ingest Template'!H32</f>
        <v/>
      </c>
      <c r="G32" s="21"/>
      <c r="H32" s="29"/>
      <c r="I32" s="21"/>
      <c r="J32" s="29" t="str">
        <f t="array" ref="J32">iF('Ingest Template'!A32="Standard","Pristine Brand",INDEX(DropDown!$M$2:$M$392,MATCH('Ingest Template'!E32,DropDown!$J$2:$J$392,0)))</f>
        <v>#N/A</v>
      </c>
      <c r="K32" s="21" t="str">
        <f>iF('Ingest Template'!A32="Standard",'Ingest Template'!K32&amp;CHAR(10)&amp;'Ingest Template'!L32,"Competitive View")</f>
        <v>Competitive View</v>
      </c>
      <c r="L32" s="29" t="s">
        <v>146</v>
      </c>
      <c r="M32" s="37" t="str">
        <f>'Ingest Template'!D32</f>
        <v/>
      </c>
      <c r="N32" s="21"/>
      <c r="O32" s="21"/>
      <c r="P32" s="21"/>
      <c r="Q32" s="21"/>
      <c r="R32" s="21" t="str">
        <f>'Ingest Template'!E32</f>
        <v/>
      </c>
      <c r="S32" s="29" t="s">
        <v>153</v>
      </c>
      <c r="T32" s="21" t="str">
        <f>'Ingest Template'!T32</f>
        <v/>
      </c>
      <c r="U32" s="21" t="str">
        <f>'Ingest Template'!S32</f>
        <v/>
      </c>
      <c r="V32" s="21" t="str">
        <f>LOWER(SUBSTITUTE(SUBSTITUTE(SUBSTITUTE(SUBSTITUTE(SUBSTITUTE('Ingest Template'!U32,"https:",""),"www.",""),"/",""),"?hl=en",""),"instagram.com",""))</f>
        <v/>
      </c>
      <c r="W32" s="41" t="str">
        <f t="array" ref="W32">IF('Ingest Template'!V32="",(INDEX(DropDown!$L$2:$L$392,MATCH('Ingest Template'!E32,DropDown!$J$2:$J$392,0))&amp;"|"&amp;'Ingest Template'!B32),(INDEX(DropDown!$L$2:$L$392,MATCH('Ingest Template'!E32,DropDown!$J$2:$J$392,0))&amp;"|"&amp;'Ingest Template'!B32)&amp;CHAR(10)&amp;'Ingest Template'!V32)</f>
        <v>#N/A</v>
      </c>
      <c r="X32" s="41" t="str">
        <f>'Ingest Template'!W32</f>
        <v/>
      </c>
      <c r="Y32" s="21" t="str">
        <f>SUBSTITUTE(SUBSTITUTE(SUBSTITUTE('Ingest Template'!X32,"http:",""),"https:",""),"/","")</f>
        <v/>
      </c>
      <c r="Z32" s="21" t="str">
        <f t="array" ref="Z32">IF('Ingest Template'!A32="Standard",(IF(ISBLANK('Ingest Template'!AA32),"", 'Ingest Template'!AA32&amp;"|DAR")),(IF(ISBLANK('Ingest Template'!AA32),"", 'Ingest Template'!AA32&amp;"|Film Ops")))</f>
        <v/>
      </c>
      <c r="AA32" s="21"/>
      <c r="AB32" s="21" t="str">
        <f>'Ingest Template'!M32</f>
        <v/>
      </c>
      <c r="AC32" s="21" t="str">
        <f>'Ingest Template'!Y32</f>
        <v/>
      </c>
      <c r="AD32" s="21" t="str">
        <f>'Ingest Template'!C32</f>
        <v/>
      </c>
      <c r="AE32" s="21" t="str">
        <f>'Ingest Template'!Z32</f>
        <v/>
      </c>
      <c r="AF32" s="29"/>
      <c r="AG32" s="21" t="str">
        <f t="array" ref="AG32">IF('Ingest Template'!A32="Standard",(CONCATENATE(IF(ISBLANK('Ingest Template'!O32),"", 'Ingest Template'!O32&amp;"|DAR"),CHAR(10), IF(ISBLANK('Ingest Template'!P32),"", 'Ingest Template'!P32&amp;"|DAR"),CHAR(10), IF(ISBLANK('Ingest Template'!Q32),"", 'Ingest Template'!Q32&amp;"|DAR"))),(CONCATENATE(IF(ISBLANK('Ingest Template'!O32),"", 'Ingest Template'!O32&amp;"|Operations - Core Title"),CHAR(10), IF(ISBLANK('Ingest Template'!P32),"", 'Ingest Template'!P32&amp;"|Operations - Core Title"),CHAR(10), IF(ISBLANK('Ingest Template'!Q32),"", 'Ingest Template'!Q32&amp;"|Operations - Core Title"))))</f>
        <v>#|Operations - Core Title
#|Operations - Core Title
</v>
      </c>
      <c r="AH32" s="21"/>
      <c r="AI32" s="21"/>
      <c r="AJ32" s="53" t="str">
        <f>if('Ingest Template'!A32="Standard",'Ingest Template'!N32&amp; "|DAR|DAR|2021-01-01",'Ingest Template'!N32&amp; "|Operations - Core Title|Operations - Core Title")</f>
        <v>#N/A</v>
      </c>
      <c r="AK32" s="53" t="str">
        <f>if('Ingest Template'!A32="Standard",'Ingest Template'!R32&amp; "|2021-01-01",'Ingest Template'!R32)</f>
        <v>#N/A</v>
      </c>
      <c r="AL32" s="21"/>
      <c r="AM32" s="21"/>
    </row>
    <row r="33">
      <c r="A33" s="21"/>
      <c r="B33" s="21" t="str">
        <f>'Ingest Template'!B33&amp;IF('Ingest Template'!A33 = "Standard", " - DAR","")</f>
        <v/>
      </c>
      <c r="C33" s="26" t="s">
        <v>109</v>
      </c>
      <c r="D33" s="29" t="str">
        <f t="array" ref="D33">CONCATENATE(INDEX(DropDown!$H$2:$H$10,MATCH(1,COUNTIF('Ingest Template'!F33,"*"&amp;DropDown!$H$2:$H$10&amp;"*"),0)),CHAR(10),'Ingest Template'!G33)</f>
        <v>#N/A</v>
      </c>
      <c r="E33" s="21" t="str">
        <f>CONCATENATE('Ingest Template'!H33,CHAR(10),'Ingest Template'!I33,CHAR(10),'Ingest Template'!J33)</f>
        <v>
</v>
      </c>
      <c r="F33" s="26" t="str">
        <f>'Ingest Template'!H33</f>
        <v/>
      </c>
      <c r="G33" s="21"/>
      <c r="H33" s="29"/>
      <c r="I33" s="21"/>
      <c r="J33" s="29" t="str">
        <f t="array" ref="J33">iF('Ingest Template'!A33="Standard","Pristine Brand",INDEX(DropDown!$M$2:$M$392,MATCH('Ingest Template'!E33,DropDown!$J$2:$J$392,0)))</f>
        <v>#N/A</v>
      </c>
      <c r="K33" s="21" t="str">
        <f>iF('Ingest Template'!A33="Standard",'Ingest Template'!K33&amp;CHAR(10)&amp;'Ingest Template'!L33,"Competitive View")</f>
        <v>Competitive View</v>
      </c>
      <c r="L33" s="29" t="s">
        <v>146</v>
      </c>
      <c r="M33" s="37" t="str">
        <f>'Ingest Template'!D33</f>
        <v/>
      </c>
      <c r="N33" s="21"/>
      <c r="O33" s="21"/>
      <c r="P33" s="21"/>
      <c r="Q33" s="21"/>
      <c r="R33" s="21" t="str">
        <f>'Ingest Template'!E33</f>
        <v/>
      </c>
      <c r="S33" s="29" t="s">
        <v>153</v>
      </c>
      <c r="T33" s="21" t="str">
        <f>'Ingest Template'!T33</f>
        <v/>
      </c>
      <c r="U33" s="21" t="str">
        <f>'Ingest Template'!S33</f>
        <v/>
      </c>
      <c r="V33" s="21" t="str">
        <f>LOWER(SUBSTITUTE(SUBSTITUTE(SUBSTITUTE(SUBSTITUTE(SUBSTITUTE('Ingest Template'!U33,"https:",""),"www.",""),"/",""),"?hl=en",""),"instagram.com",""))</f>
        <v/>
      </c>
      <c r="W33" s="41" t="str">
        <f t="array" ref="W33">IF('Ingest Template'!V33="",(INDEX(DropDown!$L$2:$L$392,MATCH('Ingest Template'!E33,DropDown!$J$2:$J$392,0))&amp;"|"&amp;'Ingest Template'!B33),(INDEX(DropDown!$L$2:$L$392,MATCH('Ingest Template'!E33,DropDown!$J$2:$J$392,0))&amp;"|"&amp;'Ingest Template'!B33)&amp;CHAR(10)&amp;'Ingest Template'!V33)</f>
        <v>#N/A</v>
      </c>
      <c r="X33" s="41" t="str">
        <f>'Ingest Template'!W33</f>
        <v/>
      </c>
      <c r="Y33" s="21" t="str">
        <f>SUBSTITUTE(SUBSTITUTE(SUBSTITUTE('Ingest Template'!X33,"http:",""),"https:",""),"/","")</f>
        <v/>
      </c>
      <c r="Z33" s="21" t="str">
        <f t="array" ref="Z33">IF('Ingest Template'!A33="Standard",(IF(ISBLANK('Ingest Template'!AA33),"", 'Ingest Template'!AA33&amp;"|DAR")),(IF(ISBLANK('Ingest Template'!AA33),"", 'Ingest Template'!AA33&amp;"|Film Ops")))</f>
        <v/>
      </c>
      <c r="AA33" s="21"/>
      <c r="AB33" s="21" t="str">
        <f>'Ingest Template'!M33</f>
        <v/>
      </c>
      <c r="AC33" s="21" t="str">
        <f>'Ingest Template'!Y33</f>
        <v/>
      </c>
      <c r="AD33" s="21" t="str">
        <f>'Ingest Template'!C33</f>
        <v/>
      </c>
      <c r="AE33" s="21" t="str">
        <f>'Ingest Template'!Z33</f>
        <v/>
      </c>
      <c r="AF33" s="29"/>
      <c r="AG33" s="21" t="str">
        <f t="array" ref="AG33">IF('Ingest Template'!A33="Standard",(CONCATENATE(IF(ISBLANK('Ingest Template'!O33),"", 'Ingest Template'!O33&amp;"|DAR"),CHAR(10), IF(ISBLANK('Ingest Template'!P33),"", 'Ingest Template'!P33&amp;"|DAR"),CHAR(10), IF(ISBLANK('Ingest Template'!Q33),"", 'Ingest Template'!Q33&amp;"|DAR"))),(CONCATENATE(IF(ISBLANK('Ingest Template'!O33),"", 'Ingest Template'!O33&amp;"|Operations - Core Title"),CHAR(10), IF(ISBLANK('Ingest Template'!P33),"", 'Ingest Template'!P33&amp;"|Operations - Core Title"),CHAR(10), IF(ISBLANK('Ingest Template'!Q33),"", 'Ingest Template'!Q33&amp;"|Operations - Core Title"))))</f>
        <v>#|Operations - Core Title
#|Operations - Core Title
</v>
      </c>
      <c r="AH33" s="21"/>
      <c r="AI33" s="21"/>
      <c r="AJ33" s="53" t="str">
        <f>if('Ingest Template'!A33="Standard",'Ingest Template'!N33&amp; "|DAR|DAR|2021-01-01",'Ingest Template'!N33&amp; "|Operations - Core Title|Operations - Core Title")</f>
        <v>#N/A</v>
      </c>
      <c r="AK33" s="53" t="str">
        <f>if('Ingest Template'!A33="Standard",'Ingest Template'!R33&amp; "|2021-01-01",'Ingest Template'!R33)</f>
        <v>#N/A</v>
      </c>
      <c r="AL33" s="21"/>
      <c r="AM33" s="21"/>
    </row>
    <row r="34">
      <c r="A34" s="21"/>
      <c r="B34" s="21" t="str">
        <f>'Ingest Template'!B34&amp;IF('Ingest Template'!A34 = "Standard", " - DAR","")</f>
        <v/>
      </c>
      <c r="C34" s="26" t="s">
        <v>109</v>
      </c>
      <c r="D34" s="29" t="str">
        <f t="array" ref="D34">CONCATENATE(INDEX(DropDown!$H$2:$H$10,MATCH(1,COUNTIF('Ingest Template'!F34,"*"&amp;DropDown!$H$2:$H$10&amp;"*"),0)),CHAR(10),'Ingest Template'!G34)</f>
        <v>#N/A</v>
      </c>
      <c r="E34" s="21" t="str">
        <f>CONCATENATE('Ingest Template'!H34,CHAR(10),'Ingest Template'!I34,CHAR(10),'Ingest Template'!J34)</f>
        <v>
</v>
      </c>
      <c r="F34" s="26" t="str">
        <f>'Ingest Template'!H34</f>
        <v/>
      </c>
      <c r="G34" s="21"/>
      <c r="H34" s="29"/>
      <c r="I34" s="21"/>
      <c r="J34" s="29" t="str">
        <f t="array" ref="J34">iF('Ingest Template'!A34="Standard","Pristine Brand",INDEX(DropDown!$M$2:$M$392,MATCH('Ingest Template'!E34,DropDown!$J$2:$J$392,0)))</f>
        <v>#N/A</v>
      </c>
      <c r="K34" s="21" t="str">
        <f>iF('Ingest Template'!A34="Standard",'Ingest Template'!K34&amp;CHAR(10)&amp;'Ingest Template'!L34,"Competitive View")</f>
        <v>Competitive View</v>
      </c>
      <c r="L34" s="29" t="s">
        <v>146</v>
      </c>
      <c r="M34" s="37" t="str">
        <f>'Ingest Template'!D34</f>
        <v/>
      </c>
      <c r="N34" s="21"/>
      <c r="O34" s="21"/>
      <c r="P34" s="21"/>
      <c r="Q34" s="21"/>
      <c r="R34" s="21" t="str">
        <f>'Ingest Template'!E34</f>
        <v/>
      </c>
      <c r="S34" s="29" t="s">
        <v>153</v>
      </c>
      <c r="T34" s="21" t="str">
        <f>'Ingest Template'!T34</f>
        <v/>
      </c>
      <c r="U34" s="21" t="str">
        <f>'Ingest Template'!S34</f>
        <v/>
      </c>
      <c r="V34" s="21" t="str">
        <f>LOWER(SUBSTITUTE(SUBSTITUTE(SUBSTITUTE(SUBSTITUTE(SUBSTITUTE('Ingest Template'!U34,"https:",""),"www.",""),"/",""),"?hl=en",""),"instagram.com",""))</f>
        <v/>
      </c>
      <c r="W34" s="41" t="str">
        <f t="array" ref="W34">IF('Ingest Template'!V34="",(INDEX(DropDown!$L$2:$L$392,MATCH('Ingest Template'!E34,DropDown!$J$2:$J$392,0))&amp;"|"&amp;'Ingest Template'!B34),(INDEX(DropDown!$L$2:$L$392,MATCH('Ingest Template'!E34,DropDown!$J$2:$J$392,0))&amp;"|"&amp;'Ingest Template'!B34)&amp;CHAR(10)&amp;'Ingest Template'!V34)</f>
        <v>#N/A</v>
      </c>
      <c r="X34" s="41" t="str">
        <f>'Ingest Template'!W34</f>
        <v/>
      </c>
      <c r="Y34" s="21" t="str">
        <f>SUBSTITUTE(SUBSTITUTE(SUBSTITUTE('Ingest Template'!X34,"http:",""),"https:",""),"/","")</f>
        <v/>
      </c>
      <c r="Z34" s="21" t="str">
        <f t="array" ref="Z34">IF('Ingest Template'!A34="Standard",(IF(ISBLANK('Ingest Template'!AA34),"", 'Ingest Template'!AA34&amp;"|DAR")),(IF(ISBLANK('Ingest Template'!AA34),"", 'Ingest Template'!AA34&amp;"|Film Ops")))</f>
        <v/>
      </c>
      <c r="AA34" s="21"/>
      <c r="AB34" s="21" t="str">
        <f>'Ingest Template'!M34</f>
        <v/>
      </c>
      <c r="AC34" s="21" t="str">
        <f>'Ingest Template'!Y34</f>
        <v/>
      </c>
      <c r="AD34" s="21" t="str">
        <f>'Ingest Template'!C34</f>
        <v/>
      </c>
      <c r="AE34" s="21" t="str">
        <f>'Ingest Template'!Z34</f>
        <v/>
      </c>
      <c r="AF34" s="29"/>
      <c r="AG34" s="21" t="str">
        <f t="array" ref="AG34">IF('Ingest Template'!A34="Standard",(CONCATENATE(IF(ISBLANK('Ingest Template'!O34),"", 'Ingest Template'!O34&amp;"|DAR"),CHAR(10), IF(ISBLANK('Ingest Template'!P34),"", 'Ingest Template'!P34&amp;"|DAR"),CHAR(10), IF(ISBLANK('Ingest Template'!Q34),"", 'Ingest Template'!Q34&amp;"|DAR"))),(CONCATENATE(IF(ISBLANK('Ingest Template'!O34),"", 'Ingest Template'!O34&amp;"|Operations - Core Title"),CHAR(10), IF(ISBLANK('Ingest Template'!P34),"", 'Ingest Template'!P34&amp;"|Operations - Core Title"),CHAR(10), IF(ISBLANK('Ingest Template'!Q34),"", 'Ingest Template'!Q34&amp;"|Operations - Core Title"))))</f>
        <v>#|Operations - Core Title
#|Operations - Core Title
</v>
      </c>
      <c r="AH34" s="21"/>
      <c r="AI34" s="21"/>
      <c r="AJ34" s="53" t="str">
        <f>if('Ingest Template'!A34="Standard",'Ingest Template'!N34&amp; "|DAR|DAR|2021-01-01",'Ingest Template'!N34&amp; "|Operations - Core Title|Operations - Core Title")</f>
        <v>#N/A</v>
      </c>
      <c r="AK34" s="53" t="str">
        <f>if('Ingest Template'!A34="Standard",'Ingest Template'!R34&amp; "|2021-01-01",'Ingest Template'!R34)</f>
        <v>#N/A</v>
      </c>
      <c r="AL34" s="21"/>
      <c r="AM34" s="21"/>
    </row>
    <row r="35">
      <c r="A35" s="21"/>
      <c r="B35" s="21" t="str">
        <f>'Ingest Template'!B35&amp;IF('Ingest Template'!A35 = "Standard", " - DAR","")</f>
        <v/>
      </c>
      <c r="C35" s="26" t="s">
        <v>109</v>
      </c>
      <c r="D35" s="29" t="str">
        <f t="array" ref="D35">CONCATENATE(INDEX(DropDown!$H$2:$H$10,MATCH(1,COUNTIF('Ingest Template'!F35,"*"&amp;DropDown!$H$2:$H$10&amp;"*"),0)),CHAR(10),'Ingest Template'!G35)</f>
        <v>#N/A</v>
      </c>
      <c r="E35" s="21" t="str">
        <f>CONCATENATE('Ingest Template'!H35,CHAR(10),'Ingest Template'!I35,CHAR(10),'Ingest Template'!J35)</f>
        <v>
</v>
      </c>
      <c r="F35" s="26" t="str">
        <f>'Ingest Template'!H35</f>
        <v/>
      </c>
      <c r="G35" s="21"/>
      <c r="H35" s="29"/>
      <c r="I35" s="21"/>
      <c r="J35" s="29" t="str">
        <f t="array" ref="J35">iF('Ingest Template'!A35="Standard","Pristine Brand",INDEX(DropDown!$M$2:$M$392,MATCH('Ingest Template'!E35,DropDown!$J$2:$J$392,0)))</f>
        <v>#N/A</v>
      </c>
      <c r="K35" s="21" t="str">
        <f>iF('Ingest Template'!A35="Standard",'Ingest Template'!K35&amp;CHAR(10)&amp;'Ingest Template'!L35,"Competitive View")</f>
        <v>Competitive View</v>
      </c>
      <c r="L35" s="29" t="s">
        <v>146</v>
      </c>
      <c r="M35" s="37" t="str">
        <f>'Ingest Template'!D35</f>
        <v/>
      </c>
      <c r="N35" s="21"/>
      <c r="O35" s="21"/>
      <c r="P35" s="21"/>
      <c r="Q35" s="21"/>
      <c r="R35" s="21" t="str">
        <f>'Ingest Template'!E35</f>
        <v/>
      </c>
      <c r="S35" s="29" t="s">
        <v>153</v>
      </c>
      <c r="T35" s="21" t="str">
        <f>'Ingest Template'!T35</f>
        <v/>
      </c>
      <c r="U35" s="21" t="str">
        <f>'Ingest Template'!S35</f>
        <v/>
      </c>
      <c r="V35" s="21" t="str">
        <f>LOWER(SUBSTITUTE(SUBSTITUTE(SUBSTITUTE(SUBSTITUTE(SUBSTITUTE('Ingest Template'!U35,"https:",""),"www.",""),"/",""),"?hl=en",""),"instagram.com",""))</f>
        <v/>
      </c>
      <c r="W35" s="41" t="str">
        <f t="array" ref="W35">IF('Ingest Template'!V35="",(INDEX(DropDown!$L$2:$L$392,MATCH('Ingest Template'!E35,DropDown!$J$2:$J$392,0))&amp;"|"&amp;'Ingest Template'!B35),(INDEX(DropDown!$L$2:$L$392,MATCH('Ingest Template'!E35,DropDown!$J$2:$J$392,0))&amp;"|"&amp;'Ingest Template'!B35)&amp;CHAR(10)&amp;'Ingest Template'!V35)</f>
        <v>#N/A</v>
      </c>
      <c r="X35" s="41" t="str">
        <f>'Ingest Template'!W35</f>
        <v/>
      </c>
      <c r="Y35" s="21" t="str">
        <f>SUBSTITUTE(SUBSTITUTE(SUBSTITUTE('Ingest Template'!X35,"http:",""),"https:",""),"/","")</f>
        <v/>
      </c>
      <c r="Z35" s="21" t="str">
        <f t="array" ref="Z35">IF('Ingest Template'!A35="Standard",(IF(ISBLANK('Ingest Template'!AA35),"", 'Ingest Template'!AA35&amp;"|DAR")),(IF(ISBLANK('Ingest Template'!AA35),"", 'Ingest Template'!AA35&amp;"|Film Ops")))</f>
        <v/>
      </c>
      <c r="AA35" s="21"/>
      <c r="AB35" s="21" t="str">
        <f>'Ingest Template'!M35</f>
        <v/>
      </c>
      <c r="AC35" s="21" t="str">
        <f>'Ingest Template'!Y35</f>
        <v/>
      </c>
      <c r="AD35" s="21" t="str">
        <f>'Ingest Template'!C35</f>
        <v/>
      </c>
      <c r="AE35" s="21" t="str">
        <f>'Ingest Template'!Z35</f>
        <v/>
      </c>
      <c r="AF35" s="29"/>
      <c r="AG35" s="21" t="str">
        <f t="array" ref="AG35">IF('Ingest Template'!A35="Standard",(CONCATENATE(IF(ISBLANK('Ingest Template'!O35),"", 'Ingest Template'!O35&amp;"|DAR"),CHAR(10), IF(ISBLANK('Ingest Template'!P35),"", 'Ingest Template'!P35&amp;"|DAR"),CHAR(10), IF(ISBLANK('Ingest Template'!Q35),"", 'Ingest Template'!Q35&amp;"|DAR"))),(CONCATENATE(IF(ISBLANK('Ingest Template'!O35),"", 'Ingest Template'!O35&amp;"|Operations - Core Title"),CHAR(10), IF(ISBLANK('Ingest Template'!P35),"", 'Ingest Template'!P35&amp;"|Operations - Core Title"),CHAR(10), IF(ISBLANK('Ingest Template'!Q35),"", 'Ingest Template'!Q35&amp;"|Operations - Core Title"))))</f>
        <v>#|Operations - Core Title
#|Operations - Core Title
</v>
      </c>
      <c r="AH35" s="21"/>
      <c r="AI35" s="21"/>
      <c r="AJ35" s="53" t="str">
        <f>if('Ingest Template'!A35="Standard",'Ingest Template'!N35&amp; "|DAR|DAR|2021-01-01",'Ingest Template'!N35&amp; "|Operations - Core Title|Operations - Core Title")</f>
        <v>#N/A</v>
      </c>
      <c r="AK35" s="53" t="str">
        <f>if('Ingest Template'!A35="Standard",'Ingest Template'!R35&amp; "|2021-01-01",'Ingest Template'!R35)</f>
        <v>#N/A</v>
      </c>
      <c r="AL35" s="21"/>
      <c r="AM35" s="21"/>
    </row>
    <row r="36">
      <c r="A36" s="21"/>
      <c r="B36" s="21" t="str">
        <f>'Ingest Template'!B36&amp;IF('Ingest Template'!A36 = "Standard", " - DAR","")</f>
        <v/>
      </c>
      <c r="C36" s="26" t="s">
        <v>109</v>
      </c>
      <c r="D36" s="29" t="str">
        <f t="array" ref="D36">CONCATENATE(INDEX(DropDown!$H$2:$H$10,MATCH(1,COUNTIF('Ingest Template'!F36,"*"&amp;DropDown!$H$2:$H$10&amp;"*"),0)),CHAR(10),'Ingest Template'!G36)</f>
        <v>#N/A</v>
      </c>
      <c r="E36" s="21" t="str">
        <f>CONCATENATE('Ingest Template'!H36,CHAR(10),'Ingest Template'!I36,CHAR(10),'Ingest Template'!J36)</f>
        <v>
</v>
      </c>
      <c r="F36" s="26" t="str">
        <f>'Ingest Template'!H36</f>
        <v/>
      </c>
      <c r="G36" s="21"/>
      <c r="H36" s="29"/>
      <c r="I36" s="21"/>
      <c r="J36" s="29" t="str">
        <f t="array" ref="J36">iF('Ingest Template'!A36="Standard","Pristine Brand",INDEX(DropDown!$M$2:$M$392,MATCH('Ingest Template'!E36,DropDown!$J$2:$J$392,0)))</f>
        <v>#N/A</v>
      </c>
      <c r="K36" s="21" t="str">
        <f>iF('Ingest Template'!A36="Standard",'Ingest Template'!K36&amp;CHAR(10)&amp;'Ingest Template'!L36,"Competitive View")</f>
        <v>Competitive View</v>
      </c>
      <c r="L36" s="29" t="s">
        <v>146</v>
      </c>
      <c r="M36" s="37" t="str">
        <f>'Ingest Template'!D36</f>
        <v/>
      </c>
      <c r="N36" s="21"/>
      <c r="O36" s="21"/>
      <c r="P36" s="21"/>
      <c r="Q36" s="21"/>
      <c r="R36" s="21" t="str">
        <f>'Ingest Template'!E36</f>
        <v/>
      </c>
      <c r="S36" s="29" t="s">
        <v>153</v>
      </c>
      <c r="T36" s="21" t="str">
        <f>'Ingest Template'!T36</f>
        <v/>
      </c>
      <c r="U36" s="21" t="str">
        <f>'Ingest Template'!S36</f>
        <v/>
      </c>
      <c r="V36" s="21" t="str">
        <f>LOWER(SUBSTITUTE(SUBSTITUTE(SUBSTITUTE(SUBSTITUTE(SUBSTITUTE('Ingest Template'!U36,"https:",""),"www.",""),"/",""),"?hl=en",""),"instagram.com",""))</f>
        <v/>
      </c>
      <c r="W36" s="41" t="str">
        <f t="array" ref="W36">IF('Ingest Template'!V36="",(INDEX(DropDown!$L$2:$L$392,MATCH('Ingest Template'!E36,DropDown!$J$2:$J$392,0))&amp;"|"&amp;'Ingest Template'!B36),(INDEX(DropDown!$L$2:$L$392,MATCH('Ingest Template'!E36,DropDown!$J$2:$J$392,0))&amp;"|"&amp;'Ingest Template'!B36)&amp;CHAR(10)&amp;'Ingest Template'!V36)</f>
        <v>#N/A</v>
      </c>
      <c r="X36" s="41" t="str">
        <f>'Ingest Template'!W36</f>
        <v/>
      </c>
      <c r="Y36" s="21" t="str">
        <f>SUBSTITUTE(SUBSTITUTE(SUBSTITUTE('Ingest Template'!X36,"http:",""),"https:",""),"/","")</f>
        <v/>
      </c>
      <c r="Z36" s="21" t="str">
        <f t="array" ref="Z36">IF('Ingest Template'!A36="Standard",(IF(ISBLANK('Ingest Template'!AA36),"", 'Ingest Template'!AA36&amp;"|DAR")),(IF(ISBLANK('Ingest Template'!AA36),"", 'Ingest Template'!AA36&amp;"|Film Ops")))</f>
        <v/>
      </c>
      <c r="AA36" s="21"/>
      <c r="AB36" s="21" t="str">
        <f>'Ingest Template'!M36</f>
        <v/>
      </c>
      <c r="AC36" s="21" t="str">
        <f>'Ingest Template'!Y36</f>
        <v/>
      </c>
      <c r="AD36" s="21" t="str">
        <f>'Ingest Template'!C36</f>
        <v/>
      </c>
      <c r="AE36" s="21" t="str">
        <f>'Ingest Template'!Z36</f>
        <v/>
      </c>
      <c r="AF36" s="29"/>
      <c r="AG36" s="21" t="str">
        <f t="array" ref="AG36">IF('Ingest Template'!A36="Standard",(CONCATENATE(IF(ISBLANK('Ingest Template'!O36),"", 'Ingest Template'!O36&amp;"|DAR"),CHAR(10), IF(ISBLANK('Ingest Template'!P36),"", 'Ingest Template'!P36&amp;"|DAR"),CHAR(10), IF(ISBLANK('Ingest Template'!Q36),"", 'Ingest Template'!Q36&amp;"|DAR"))),(CONCATENATE(IF(ISBLANK('Ingest Template'!O36),"", 'Ingest Template'!O36&amp;"|Operations - Core Title"),CHAR(10), IF(ISBLANK('Ingest Template'!P36),"", 'Ingest Template'!P36&amp;"|Operations - Core Title"),CHAR(10), IF(ISBLANK('Ingest Template'!Q36),"", 'Ingest Template'!Q36&amp;"|Operations - Core Title"))))</f>
        <v>#|Operations - Core Title
#|Operations - Core Title
</v>
      </c>
      <c r="AH36" s="21"/>
      <c r="AI36" s="21"/>
      <c r="AJ36" s="53" t="str">
        <f>if('Ingest Template'!A36="Standard",'Ingest Template'!N36&amp; "|DAR|DAR|2021-01-01",'Ingest Template'!N36&amp; "|Operations - Core Title|Operations - Core Title")</f>
        <v>#N/A</v>
      </c>
      <c r="AK36" s="53" t="str">
        <f>if('Ingest Template'!A36="Standard",'Ingest Template'!R36&amp; "|2021-01-01",'Ingest Template'!R36)</f>
        <v>#N/A</v>
      </c>
      <c r="AL36" s="21"/>
      <c r="AM36" s="21"/>
    </row>
    <row r="37">
      <c r="A37" s="21"/>
      <c r="B37" s="21" t="str">
        <f>'Ingest Template'!B37&amp;IF('Ingest Template'!A37 = "Standard", " - DAR","")</f>
        <v/>
      </c>
      <c r="C37" s="26" t="s">
        <v>109</v>
      </c>
      <c r="D37" s="29" t="str">
        <f t="array" ref="D37">CONCATENATE(INDEX(DropDown!$H$2:$H$10,MATCH(1,COUNTIF('Ingest Template'!F37,"*"&amp;DropDown!$H$2:$H$10&amp;"*"),0)),CHAR(10),'Ingest Template'!G37)</f>
        <v>#N/A</v>
      </c>
      <c r="E37" s="21" t="str">
        <f>CONCATENATE('Ingest Template'!H37,CHAR(10),'Ingest Template'!I37,CHAR(10),'Ingest Template'!J37)</f>
        <v>
</v>
      </c>
      <c r="F37" s="26" t="str">
        <f>'Ingest Template'!H37</f>
        <v/>
      </c>
      <c r="G37" s="21"/>
      <c r="H37" s="29"/>
      <c r="I37" s="21"/>
      <c r="J37" s="29" t="str">
        <f t="array" ref="J37">iF('Ingest Template'!A37="Standard","Pristine Brand",INDEX(DropDown!$M$2:$M$392,MATCH('Ingest Template'!E37,DropDown!$J$2:$J$392,0)))</f>
        <v>#N/A</v>
      </c>
      <c r="K37" s="21" t="str">
        <f>iF('Ingest Template'!A37="Standard",'Ingest Template'!K37&amp;CHAR(10)&amp;'Ingest Template'!L37,"Competitive View")</f>
        <v>Competitive View</v>
      </c>
      <c r="L37" s="29" t="s">
        <v>146</v>
      </c>
      <c r="M37" s="37" t="str">
        <f>'Ingest Template'!D37</f>
        <v/>
      </c>
      <c r="N37" s="21"/>
      <c r="O37" s="21"/>
      <c r="P37" s="21"/>
      <c r="Q37" s="21"/>
      <c r="R37" s="21" t="str">
        <f>'Ingest Template'!E37</f>
        <v/>
      </c>
      <c r="S37" s="29" t="s">
        <v>153</v>
      </c>
      <c r="T37" s="21" t="str">
        <f>'Ingest Template'!T37</f>
        <v/>
      </c>
      <c r="U37" s="21" t="str">
        <f>'Ingest Template'!S37</f>
        <v/>
      </c>
      <c r="V37" s="21" t="str">
        <f>LOWER(SUBSTITUTE(SUBSTITUTE(SUBSTITUTE(SUBSTITUTE(SUBSTITUTE('Ingest Template'!U37,"https:",""),"www.",""),"/",""),"?hl=en",""),"instagram.com",""))</f>
        <v/>
      </c>
      <c r="W37" s="41" t="str">
        <f t="array" ref="W37">IF('Ingest Template'!V37="",(INDEX(DropDown!$L$2:$L$392,MATCH('Ingest Template'!E37,DropDown!$J$2:$J$392,0))&amp;"|"&amp;'Ingest Template'!B37),(INDEX(DropDown!$L$2:$L$392,MATCH('Ingest Template'!E37,DropDown!$J$2:$J$392,0))&amp;"|"&amp;'Ingest Template'!B37)&amp;CHAR(10)&amp;'Ingest Template'!V37)</f>
        <v>#N/A</v>
      </c>
      <c r="X37" s="41" t="str">
        <f>'Ingest Template'!W37</f>
        <v/>
      </c>
      <c r="Y37" s="21" t="str">
        <f>SUBSTITUTE(SUBSTITUTE(SUBSTITUTE('Ingest Template'!X37,"http:",""),"https:",""),"/","")</f>
        <v/>
      </c>
      <c r="Z37" s="21" t="str">
        <f t="array" ref="Z37">IF('Ingest Template'!A37="Standard",(IF(ISBLANK('Ingest Template'!AA37),"", 'Ingest Template'!AA37&amp;"|DAR")),(IF(ISBLANK('Ingest Template'!AA37),"", 'Ingest Template'!AA37&amp;"|Film Ops")))</f>
        <v/>
      </c>
      <c r="AA37" s="21"/>
      <c r="AB37" s="21" t="str">
        <f>'Ingest Template'!M37</f>
        <v/>
      </c>
      <c r="AC37" s="21" t="str">
        <f>'Ingest Template'!Y37</f>
        <v/>
      </c>
      <c r="AD37" s="21" t="str">
        <f>'Ingest Template'!C37</f>
        <v/>
      </c>
      <c r="AE37" s="21" t="str">
        <f>'Ingest Template'!Z37</f>
        <v/>
      </c>
      <c r="AF37" s="29"/>
      <c r="AG37" s="21" t="str">
        <f t="array" ref="AG37">IF('Ingest Template'!A37="Standard",(CONCATENATE(IF(ISBLANK('Ingest Template'!O37),"", 'Ingest Template'!O37&amp;"|DAR"),CHAR(10), IF(ISBLANK('Ingest Template'!P37),"", 'Ingest Template'!P37&amp;"|DAR"),CHAR(10), IF(ISBLANK('Ingest Template'!Q37),"", 'Ingest Template'!Q37&amp;"|DAR"))),(CONCATENATE(IF(ISBLANK('Ingest Template'!O37),"", 'Ingest Template'!O37&amp;"|Operations - Core Title"),CHAR(10), IF(ISBLANK('Ingest Template'!P37),"", 'Ingest Template'!P37&amp;"|Operations - Core Title"),CHAR(10), IF(ISBLANK('Ingest Template'!Q37),"", 'Ingest Template'!Q37&amp;"|Operations - Core Title"))))</f>
        <v>#|Operations - Core Title
#|Operations - Core Title
</v>
      </c>
      <c r="AH37" s="21"/>
      <c r="AI37" s="21"/>
      <c r="AJ37" s="53" t="str">
        <f>if('Ingest Template'!A37="Standard",'Ingest Template'!N37&amp; "|DAR|DAR|2021-01-01",'Ingest Template'!N37&amp; "|Operations - Core Title|Operations - Core Title")</f>
        <v>#N/A</v>
      </c>
      <c r="AK37" s="53" t="str">
        <f>if('Ingest Template'!A37="Standard",'Ingest Template'!R37&amp; "|2021-01-01",'Ingest Template'!R37)</f>
        <v>#N/A</v>
      </c>
      <c r="AL37" s="21"/>
      <c r="AM37" s="21"/>
    </row>
    <row r="38">
      <c r="A38" s="21"/>
      <c r="B38" s="21" t="str">
        <f>'Ingest Template'!B38&amp;IF('Ingest Template'!A38 = "Standard", " - DAR","")</f>
        <v/>
      </c>
      <c r="C38" s="26" t="s">
        <v>109</v>
      </c>
      <c r="D38" s="29" t="str">
        <f t="array" ref="D38">CONCATENATE(INDEX(DropDown!$H$2:$H$10,MATCH(1,COUNTIF('Ingest Template'!F38,"*"&amp;DropDown!$H$2:$H$10&amp;"*"),0)),CHAR(10),'Ingest Template'!G38)</f>
        <v>#N/A</v>
      </c>
      <c r="E38" s="21" t="str">
        <f>CONCATENATE('Ingest Template'!H38,CHAR(10),'Ingest Template'!I38,CHAR(10),'Ingest Template'!J38)</f>
        <v>
</v>
      </c>
      <c r="F38" s="26" t="str">
        <f>'Ingest Template'!H38</f>
        <v/>
      </c>
      <c r="G38" s="21"/>
      <c r="H38" s="29"/>
      <c r="I38" s="21"/>
      <c r="J38" s="29" t="str">
        <f t="array" ref="J38">iF('Ingest Template'!A38="Standard","Pristine Brand",INDEX(DropDown!$M$2:$M$392,MATCH('Ingest Template'!E38,DropDown!$J$2:$J$392,0)))</f>
        <v>#N/A</v>
      </c>
      <c r="K38" s="21" t="str">
        <f>iF('Ingest Template'!A38="Standard",'Ingest Template'!K38&amp;CHAR(10)&amp;'Ingest Template'!L38,"Competitive View")</f>
        <v>Competitive View</v>
      </c>
      <c r="L38" s="29" t="s">
        <v>146</v>
      </c>
      <c r="M38" s="37" t="str">
        <f>'Ingest Template'!D38</f>
        <v/>
      </c>
      <c r="N38" s="21"/>
      <c r="O38" s="21"/>
      <c r="P38" s="21"/>
      <c r="Q38" s="21"/>
      <c r="R38" s="21" t="str">
        <f>'Ingest Template'!E38</f>
        <v/>
      </c>
      <c r="S38" s="29" t="s">
        <v>153</v>
      </c>
      <c r="T38" s="21" t="str">
        <f>'Ingest Template'!T38</f>
        <v/>
      </c>
      <c r="U38" s="21" t="str">
        <f>'Ingest Template'!S38</f>
        <v/>
      </c>
      <c r="V38" s="21" t="str">
        <f>LOWER(SUBSTITUTE(SUBSTITUTE(SUBSTITUTE(SUBSTITUTE(SUBSTITUTE('Ingest Template'!U38,"https:",""),"www.",""),"/",""),"?hl=en",""),"instagram.com",""))</f>
        <v/>
      </c>
      <c r="W38" s="41" t="str">
        <f t="array" ref="W38">IF('Ingest Template'!V38="",(INDEX(DropDown!$L$2:$L$392,MATCH('Ingest Template'!E38,DropDown!$J$2:$J$392,0))&amp;"|"&amp;'Ingest Template'!B38),(INDEX(DropDown!$L$2:$L$392,MATCH('Ingest Template'!E38,DropDown!$J$2:$J$392,0))&amp;"|"&amp;'Ingest Template'!B38)&amp;CHAR(10)&amp;'Ingest Template'!V38)</f>
        <v>#N/A</v>
      </c>
      <c r="X38" s="41" t="str">
        <f>'Ingest Template'!W38</f>
        <v/>
      </c>
      <c r="Y38" s="21" t="str">
        <f>SUBSTITUTE(SUBSTITUTE(SUBSTITUTE('Ingest Template'!X38,"http:",""),"https:",""),"/","")</f>
        <v/>
      </c>
      <c r="Z38" s="21" t="str">
        <f t="array" ref="Z38">IF('Ingest Template'!A38="Standard",(IF(ISBLANK('Ingest Template'!AA38),"", 'Ingest Template'!AA38&amp;"|DAR")),(IF(ISBLANK('Ingest Template'!AA38),"", 'Ingest Template'!AA38&amp;"|Film Ops")))</f>
        <v/>
      </c>
      <c r="AA38" s="21"/>
      <c r="AB38" s="21" t="str">
        <f>'Ingest Template'!M38</f>
        <v/>
      </c>
      <c r="AC38" s="21" t="str">
        <f>'Ingest Template'!Y38</f>
        <v/>
      </c>
      <c r="AD38" s="21" t="str">
        <f>'Ingest Template'!C38</f>
        <v/>
      </c>
      <c r="AE38" s="21" t="str">
        <f>'Ingest Template'!Z38</f>
        <v/>
      </c>
      <c r="AF38" s="29"/>
      <c r="AG38" s="21" t="str">
        <f t="array" ref="AG38">IF('Ingest Template'!A38="Standard",(CONCATENATE(IF(ISBLANK('Ingest Template'!O38),"", 'Ingest Template'!O38&amp;"|DAR"),CHAR(10), IF(ISBLANK('Ingest Template'!P38),"", 'Ingest Template'!P38&amp;"|DAR"),CHAR(10), IF(ISBLANK('Ingest Template'!Q38),"", 'Ingest Template'!Q38&amp;"|DAR"))),(CONCATENATE(IF(ISBLANK('Ingest Template'!O38),"", 'Ingest Template'!O38&amp;"|Operations - Core Title"),CHAR(10), IF(ISBLANK('Ingest Template'!P38),"", 'Ingest Template'!P38&amp;"|Operations - Core Title"),CHAR(10), IF(ISBLANK('Ingest Template'!Q38),"", 'Ingest Template'!Q38&amp;"|Operations - Core Title"))))</f>
        <v>#|Operations - Core Title
#|Operations - Core Title
</v>
      </c>
      <c r="AH38" s="21"/>
      <c r="AI38" s="21"/>
      <c r="AJ38" s="53" t="str">
        <f>if('Ingest Template'!A38="Standard",'Ingest Template'!N38&amp; "|DAR|DAR|2021-01-01",'Ingest Template'!N38&amp; "|Operations - Core Title|Operations - Core Title")</f>
        <v>#N/A</v>
      </c>
      <c r="AK38" s="53" t="str">
        <f>if('Ingest Template'!A38="Standard",'Ingest Template'!R38&amp; "|2021-01-01",'Ingest Template'!R38)</f>
        <v>#N/A</v>
      </c>
      <c r="AL38" s="21"/>
      <c r="AM38" s="21"/>
    </row>
    <row r="39">
      <c r="A39" s="21"/>
      <c r="B39" s="21" t="str">
        <f>'Ingest Template'!B39&amp;IF('Ingest Template'!A39 = "Standard", " - DAR","")</f>
        <v/>
      </c>
      <c r="C39" s="26" t="s">
        <v>109</v>
      </c>
      <c r="D39" s="29" t="str">
        <f t="array" ref="D39">CONCATENATE(INDEX(DropDown!$H$2:$H$10,MATCH(1,COUNTIF('Ingest Template'!F39,"*"&amp;DropDown!$H$2:$H$10&amp;"*"),0)),CHAR(10),'Ingest Template'!G39)</f>
        <v>#N/A</v>
      </c>
      <c r="E39" s="21" t="str">
        <f>CONCATENATE('Ingest Template'!H39,CHAR(10),'Ingest Template'!I39,CHAR(10),'Ingest Template'!J39)</f>
        <v>
</v>
      </c>
      <c r="F39" s="26" t="str">
        <f>'Ingest Template'!H39</f>
        <v/>
      </c>
      <c r="G39" s="21"/>
      <c r="H39" s="29"/>
      <c r="I39" s="21"/>
      <c r="J39" s="29" t="str">
        <f t="array" ref="J39">iF('Ingest Template'!A39="Standard","Pristine Brand",INDEX(DropDown!$M$2:$M$392,MATCH('Ingest Template'!E39,DropDown!$J$2:$J$392,0)))</f>
        <v>#N/A</v>
      </c>
      <c r="K39" s="21" t="str">
        <f>iF('Ingest Template'!A39="Standard",'Ingest Template'!K39&amp;CHAR(10)&amp;'Ingest Template'!L39,"Competitive View")</f>
        <v>Competitive View</v>
      </c>
      <c r="L39" s="29" t="s">
        <v>146</v>
      </c>
      <c r="M39" s="37" t="str">
        <f>'Ingest Template'!D39</f>
        <v/>
      </c>
      <c r="N39" s="21"/>
      <c r="O39" s="21"/>
      <c r="P39" s="21"/>
      <c r="Q39" s="21"/>
      <c r="R39" s="21" t="str">
        <f>'Ingest Template'!E39</f>
        <v/>
      </c>
      <c r="S39" s="29" t="s">
        <v>153</v>
      </c>
      <c r="T39" s="21" t="str">
        <f>'Ingest Template'!T39</f>
        <v/>
      </c>
      <c r="U39" s="21" t="str">
        <f>'Ingest Template'!S39</f>
        <v/>
      </c>
      <c r="V39" s="21" t="str">
        <f>LOWER(SUBSTITUTE(SUBSTITUTE(SUBSTITUTE(SUBSTITUTE(SUBSTITUTE('Ingest Template'!U39,"https:",""),"www.",""),"/",""),"?hl=en",""),"instagram.com",""))</f>
        <v/>
      </c>
      <c r="W39" s="41" t="str">
        <f t="array" ref="W39">IF('Ingest Template'!V39="",(INDEX(DropDown!$L$2:$L$392,MATCH('Ingest Template'!E39,DropDown!$J$2:$J$392,0))&amp;"|"&amp;'Ingest Template'!B39),(INDEX(DropDown!$L$2:$L$392,MATCH('Ingest Template'!E39,DropDown!$J$2:$J$392,0))&amp;"|"&amp;'Ingest Template'!B39)&amp;CHAR(10)&amp;'Ingest Template'!V39)</f>
        <v>#N/A</v>
      </c>
      <c r="X39" s="41" t="str">
        <f>'Ingest Template'!W39</f>
        <v/>
      </c>
      <c r="Y39" s="21" t="str">
        <f>SUBSTITUTE(SUBSTITUTE(SUBSTITUTE('Ingest Template'!X39,"http:",""),"https:",""),"/","")</f>
        <v/>
      </c>
      <c r="Z39" s="21" t="str">
        <f t="array" ref="Z39">IF('Ingest Template'!A39="Standard",(IF(ISBLANK('Ingest Template'!AA39),"", 'Ingest Template'!AA39&amp;"|DAR")),(IF(ISBLANK('Ingest Template'!AA39),"", 'Ingest Template'!AA39&amp;"|Film Ops")))</f>
        <v/>
      </c>
      <c r="AA39" s="21"/>
      <c r="AB39" s="21" t="str">
        <f>'Ingest Template'!M39</f>
        <v/>
      </c>
      <c r="AC39" s="21" t="str">
        <f>'Ingest Template'!Y39</f>
        <v/>
      </c>
      <c r="AD39" s="21" t="str">
        <f>'Ingest Template'!C39</f>
        <v/>
      </c>
      <c r="AE39" s="21" t="str">
        <f>'Ingest Template'!Z39</f>
        <v/>
      </c>
      <c r="AF39" s="29"/>
      <c r="AG39" s="21" t="str">
        <f t="array" ref="AG39">IF('Ingest Template'!A39="Standard",(CONCATENATE(IF(ISBLANK('Ingest Template'!O39),"", 'Ingest Template'!O39&amp;"|DAR"),CHAR(10), IF(ISBLANK('Ingest Template'!P39),"", 'Ingest Template'!P39&amp;"|DAR"),CHAR(10), IF(ISBLANK('Ingest Template'!Q39),"", 'Ingest Template'!Q39&amp;"|DAR"))),(CONCATENATE(IF(ISBLANK('Ingest Template'!O39),"", 'Ingest Template'!O39&amp;"|Operations - Core Title"),CHAR(10), IF(ISBLANK('Ingest Template'!P39),"", 'Ingest Template'!P39&amp;"|Operations - Core Title"),CHAR(10), IF(ISBLANK('Ingest Template'!Q39),"", 'Ingest Template'!Q39&amp;"|Operations - Core Title"))))</f>
        <v>#|Operations - Core Title
#|Operations - Core Title
</v>
      </c>
      <c r="AH39" s="21"/>
      <c r="AI39" s="21"/>
      <c r="AJ39" s="53" t="str">
        <f>if('Ingest Template'!A39="Standard",'Ingest Template'!N39&amp; "|DAR|DAR|2021-01-01",'Ingest Template'!N39&amp; "|Operations - Core Title|Operations - Core Title")</f>
        <v>#N/A</v>
      </c>
      <c r="AK39" s="53" t="str">
        <f>if('Ingest Template'!A39="Standard",'Ingest Template'!R39&amp; "|2021-01-01",'Ingest Template'!R39)</f>
        <v>#N/A</v>
      </c>
      <c r="AL39" s="21"/>
      <c r="AM39" s="21"/>
    </row>
    <row r="40">
      <c r="A40" s="21"/>
      <c r="B40" s="21" t="str">
        <f>'Ingest Template'!B40&amp;IF('Ingest Template'!A40 = "Standard", " - DAR","")</f>
        <v/>
      </c>
      <c r="C40" s="26" t="s">
        <v>109</v>
      </c>
      <c r="D40" s="29" t="str">
        <f t="array" ref="D40">CONCATENATE(INDEX(DropDown!$H$2:$H$10,MATCH(1,COUNTIF('Ingest Template'!F40,"*"&amp;DropDown!$H$2:$H$10&amp;"*"),0)),CHAR(10),'Ingest Template'!G40)</f>
        <v>#N/A</v>
      </c>
      <c r="E40" s="21" t="str">
        <f>CONCATENATE('Ingest Template'!H40,CHAR(10),'Ingest Template'!I40,CHAR(10),'Ingest Template'!J40)</f>
        <v>
</v>
      </c>
      <c r="F40" s="26" t="str">
        <f>'Ingest Template'!H40</f>
        <v/>
      </c>
      <c r="G40" s="21"/>
      <c r="H40" s="29"/>
      <c r="I40" s="21"/>
      <c r="J40" s="29" t="str">
        <f t="array" ref="J40">iF('Ingest Template'!A40="Standard","Pristine Brand",INDEX(DropDown!$M$2:$M$392,MATCH('Ingest Template'!E40,DropDown!$J$2:$J$392,0)))</f>
        <v>#N/A</v>
      </c>
      <c r="K40" s="21" t="str">
        <f>iF('Ingest Template'!A40="Standard",'Ingest Template'!K40&amp;CHAR(10)&amp;'Ingest Template'!L40,"Competitive View")</f>
        <v>Competitive View</v>
      </c>
      <c r="L40" s="29" t="s">
        <v>146</v>
      </c>
      <c r="M40" s="37" t="str">
        <f>'Ingest Template'!D40</f>
        <v/>
      </c>
      <c r="N40" s="21"/>
      <c r="O40" s="21"/>
      <c r="P40" s="21"/>
      <c r="Q40" s="21"/>
      <c r="R40" s="21" t="str">
        <f>'Ingest Template'!E40</f>
        <v/>
      </c>
      <c r="S40" s="29" t="s">
        <v>153</v>
      </c>
      <c r="T40" s="21" t="str">
        <f>'Ingest Template'!T40</f>
        <v/>
      </c>
      <c r="U40" s="21" t="str">
        <f>'Ingest Template'!S40</f>
        <v/>
      </c>
      <c r="V40" s="21" t="str">
        <f>LOWER(SUBSTITUTE(SUBSTITUTE(SUBSTITUTE(SUBSTITUTE(SUBSTITUTE('Ingest Template'!U40,"https:",""),"www.",""),"/",""),"?hl=en",""),"instagram.com",""))</f>
        <v/>
      </c>
      <c r="W40" s="41" t="str">
        <f t="array" ref="W40">IF('Ingest Template'!V40="",(INDEX(DropDown!$L$2:$L$392,MATCH('Ingest Template'!E40,DropDown!$J$2:$J$392,0))&amp;"|"&amp;'Ingest Template'!B40),(INDEX(DropDown!$L$2:$L$392,MATCH('Ingest Template'!E40,DropDown!$J$2:$J$392,0))&amp;"|"&amp;'Ingest Template'!B40)&amp;CHAR(10)&amp;'Ingest Template'!V40)</f>
        <v>#N/A</v>
      </c>
      <c r="X40" s="41" t="str">
        <f>'Ingest Template'!W40</f>
        <v/>
      </c>
      <c r="Y40" s="21" t="str">
        <f>SUBSTITUTE(SUBSTITUTE(SUBSTITUTE('Ingest Template'!X40,"http:",""),"https:",""),"/","")</f>
        <v/>
      </c>
      <c r="Z40" s="21" t="str">
        <f t="array" ref="Z40">IF('Ingest Template'!A40="Standard",(IF(ISBLANK('Ingest Template'!AA40),"", 'Ingest Template'!AA40&amp;"|DAR")),(IF(ISBLANK('Ingest Template'!AA40),"", 'Ingest Template'!AA40&amp;"|Film Ops")))</f>
        <v/>
      </c>
      <c r="AA40" s="21"/>
      <c r="AB40" s="21" t="str">
        <f>'Ingest Template'!M40</f>
        <v/>
      </c>
      <c r="AC40" s="21" t="str">
        <f>'Ingest Template'!Y40</f>
        <v/>
      </c>
      <c r="AD40" s="21" t="str">
        <f>'Ingest Template'!C40</f>
        <v/>
      </c>
      <c r="AE40" s="21" t="str">
        <f>'Ingest Template'!Z40</f>
        <v/>
      </c>
      <c r="AF40" s="29"/>
      <c r="AG40" s="21" t="str">
        <f t="array" ref="AG40">IF('Ingest Template'!A40="Standard",(CONCATENATE(IF(ISBLANK('Ingest Template'!O40),"", 'Ingest Template'!O40&amp;"|DAR"),CHAR(10), IF(ISBLANK('Ingest Template'!P40),"", 'Ingest Template'!P40&amp;"|DAR"),CHAR(10), IF(ISBLANK('Ingest Template'!Q40),"", 'Ingest Template'!Q40&amp;"|DAR"))),(CONCATENATE(IF(ISBLANK('Ingest Template'!O40),"", 'Ingest Template'!O40&amp;"|Operations - Core Title"),CHAR(10), IF(ISBLANK('Ingest Template'!P40),"", 'Ingest Template'!P40&amp;"|Operations - Core Title"),CHAR(10), IF(ISBLANK('Ingest Template'!Q40),"", 'Ingest Template'!Q40&amp;"|Operations - Core Title"))))</f>
        <v>#|Operations - Core Title
#|Operations - Core Title
</v>
      </c>
      <c r="AH40" s="21"/>
      <c r="AI40" s="21"/>
      <c r="AJ40" s="53" t="str">
        <f>if('Ingest Template'!A40="Standard",'Ingest Template'!N40&amp; "|DAR|DAR|2021-01-01",'Ingest Template'!N40&amp; "|Operations - Core Title|Operations - Core Title")</f>
        <v>#N/A</v>
      </c>
      <c r="AK40" s="53" t="str">
        <f>if('Ingest Template'!A40="Standard",'Ingest Template'!R40&amp; "|2021-01-01",'Ingest Template'!R40)</f>
        <v>#N/A</v>
      </c>
      <c r="AL40" s="21"/>
      <c r="AM40" s="21"/>
    </row>
    <row r="41">
      <c r="A41" s="21"/>
      <c r="B41" s="21" t="str">
        <f>'Ingest Template'!B41&amp;IF('Ingest Template'!A41 = "Standard", " - DAR","")</f>
        <v/>
      </c>
      <c r="C41" s="26" t="s">
        <v>109</v>
      </c>
      <c r="D41" s="29" t="str">
        <f t="array" ref="D41">CONCATENATE(INDEX(DropDown!$H$2:$H$10,MATCH(1,COUNTIF('Ingest Template'!F41,"*"&amp;DropDown!$H$2:$H$10&amp;"*"),0)),CHAR(10),'Ingest Template'!G41)</f>
        <v>#N/A</v>
      </c>
      <c r="E41" s="21" t="str">
        <f>CONCATENATE('Ingest Template'!H41,CHAR(10),'Ingest Template'!I41,CHAR(10),'Ingest Template'!J41)</f>
        <v>
</v>
      </c>
      <c r="F41" s="26" t="str">
        <f>'Ingest Template'!H41</f>
        <v/>
      </c>
      <c r="G41" s="21"/>
      <c r="H41" s="29"/>
      <c r="I41" s="21"/>
      <c r="J41" s="29" t="str">
        <f t="array" ref="J41">iF('Ingest Template'!A41="Standard","Pristine Brand",INDEX(DropDown!$M$2:$M$392,MATCH('Ingest Template'!E41,DropDown!$J$2:$J$392,0)))</f>
        <v>#N/A</v>
      </c>
      <c r="K41" s="21" t="str">
        <f>iF('Ingest Template'!A41="Standard",'Ingest Template'!K41&amp;CHAR(10)&amp;'Ingest Template'!L41,"Competitive View")</f>
        <v>Competitive View</v>
      </c>
      <c r="L41" s="29" t="s">
        <v>146</v>
      </c>
      <c r="M41" s="37" t="str">
        <f>'Ingest Template'!D41</f>
        <v/>
      </c>
      <c r="N41" s="21"/>
      <c r="O41" s="21"/>
      <c r="P41" s="21"/>
      <c r="Q41" s="21"/>
      <c r="R41" s="21" t="str">
        <f>'Ingest Template'!E41</f>
        <v/>
      </c>
      <c r="S41" s="29" t="s">
        <v>153</v>
      </c>
      <c r="T41" s="21" t="str">
        <f>'Ingest Template'!T41</f>
        <v/>
      </c>
      <c r="U41" s="21" t="str">
        <f>'Ingest Template'!S41</f>
        <v/>
      </c>
      <c r="V41" s="21" t="str">
        <f>LOWER(SUBSTITUTE(SUBSTITUTE(SUBSTITUTE(SUBSTITUTE(SUBSTITUTE('Ingest Template'!U41,"https:",""),"www.",""),"/",""),"?hl=en",""),"instagram.com",""))</f>
        <v/>
      </c>
      <c r="W41" s="41" t="str">
        <f t="array" ref="W41">IF('Ingest Template'!V41="",(INDEX(DropDown!$L$2:$L$392,MATCH('Ingest Template'!E41,DropDown!$J$2:$J$392,0))&amp;"|"&amp;'Ingest Template'!B41),(INDEX(DropDown!$L$2:$L$392,MATCH('Ingest Template'!E41,DropDown!$J$2:$J$392,0))&amp;"|"&amp;'Ingest Template'!B41)&amp;CHAR(10)&amp;'Ingest Template'!V41)</f>
        <v>#N/A</v>
      </c>
      <c r="X41" s="41" t="str">
        <f>'Ingest Template'!W41</f>
        <v/>
      </c>
      <c r="Y41" s="21" t="str">
        <f>SUBSTITUTE(SUBSTITUTE(SUBSTITUTE('Ingest Template'!X41,"http:",""),"https:",""),"/","")</f>
        <v/>
      </c>
      <c r="Z41" s="21" t="str">
        <f t="array" ref="Z41">IF('Ingest Template'!A41="Standard",(IF(ISBLANK('Ingest Template'!AA41),"", 'Ingest Template'!AA41&amp;"|DAR")),(IF(ISBLANK('Ingest Template'!AA41),"", 'Ingest Template'!AA41&amp;"|Film Ops")))</f>
        <v/>
      </c>
      <c r="AA41" s="21"/>
      <c r="AB41" s="21" t="str">
        <f>'Ingest Template'!M41</f>
        <v/>
      </c>
      <c r="AC41" s="21" t="str">
        <f>'Ingest Template'!Y41</f>
        <v/>
      </c>
      <c r="AD41" s="21" t="str">
        <f>'Ingest Template'!C41</f>
        <v/>
      </c>
      <c r="AE41" s="21" t="str">
        <f>'Ingest Template'!Z41</f>
        <v/>
      </c>
      <c r="AF41" s="29"/>
      <c r="AG41" s="21" t="str">
        <f t="array" ref="AG41">IF('Ingest Template'!A41="Standard",(CONCATENATE(IF(ISBLANK('Ingest Template'!O41),"", 'Ingest Template'!O41&amp;"|DAR"),CHAR(10), IF(ISBLANK('Ingest Template'!P41),"", 'Ingest Template'!P41&amp;"|DAR"),CHAR(10), IF(ISBLANK('Ingest Template'!Q41),"", 'Ingest Template'!Q41&amp;"|DAR"))),(CONCATENATE(IF(ISBLANK('Ingest Template'!O41),"", 'Ingest Template'!O41&amp;"|Operations - Core Title"),CHAR(10), IF(ISBLANK('Ingest Template'!P41),"", 'Ingest Template'!P41&amp;"|Operations - Core Title"),CHAR(10), IF(ISBLANK('Ingest Template'!Q41),"", 'Ingest Template'!Q41&amp;"|Operations - Core Title"))))</f>
        <v>#|Operations - Core Title
#|Operations - Core Title
</v>
      </c>
      <c r="AH41" s="21"/>
      <c r="AI41" s="21"/>
      <c r="AJ41" s="53" t="str">
        <f>if('Ingest Template'!A41="Standard",'Ingest Template'!N41&amp; "|DAR|DAR|2021-01-01",'Ingest Template'!N41&amp; "|Operations - Core Title|Operations - Core Title")</f>
        <v>#N/A</v>
      </c>
      <c r="AK41" s="53" t="str">
        <f>if('Ingest Template'!A41="Standard",'Ingest Template'!R41&amp; "|2021-01-01",'Ingest Template'!R41)</f>
        <v>#N/A</v>
      </c>
      <c r="AL41" s="21"/>
      <c r="AM41" s="21"/>
    </row>
    <row r="42">
      <c r="A42" s="21"/>
      <c r="B42" s="21" t="str">
        <f>'Ingest Template'!B42&amp;IF('Ingest Template'!A42 = "Standard", " - DAR","")</f>
        <v/>
      </c>
      <c r="C42" s="26" t="s">
        <v>109</v>
      </c>
      <c r="D42" s="29" t="str">
        <f t="array" ref="D42">CONCATENATE(INDEX(DropDown!$H$2:$H$10,MATCH(1,COUNTIF('Ingest Template'!F42,"*"&amp;DropDown!$H$2:$H$10&amp;"*"),0)),CHAR(10),'Ingest Template'!G42)</f>
        <v>#N/A</v>
      </c>
      <c r="E42" s="21" t="str">
        <f>CONCATENATE('Ingest Template'!H42,CHAR(10),'Ingest Template'!I42,CHAR(10),'Ingest Template'!J42)</f>
        <v>
</v>
      </c>
      <c r="F42" s="26" t="str">
        <f>'Ingest Template'!H42</f>
        <v/>
      </c>
      <c r="G42" s="21"/>
      <c r="H42" s="29"/>
      <c r="I42" s="21"/>
      <c r="J42" s="29" t="str">
        <f t="array" ref="J42">iF('Ingest Template'!A42="Standard","Pristine Brand",INDEX(DropDown!$M$2:$M$392,MATCH('Ingest Template'!E42,DropDown!$J$2:$J$392,0)))</f>
        <v>#N/A</v>
      </c>
      <c r="K42" s="21" t="str">
        <f>iF('Ingest Template'!A42="Standard",'Ingest Template'!K42&amp;CHAR(10)&amp;'Ingest Template'!L42,"Competitive View")</f>
        <v>Competitive View</v>
      </c>
      <c r="L42" s="29" t="s">
        <v>146</v>
      </c>
      <c r="M42" s="37" t="str">
        <f>'Ingest Template'!D42</f>
        <v/>
      </c>
      <c r="N42" s="21"/>
      <c r="O42" s="21"/>
      <c r="P42" s="21"/>
      <c r="Q42" s="21"/>
      <c r="R42" s="21" t="str">
        <f>'Ingest Template'!E42</f>
        <v/>
      </c>
      <c r="S42" s="29" t="s">
        <v>153</v>
      </c>
      <c r="T42" s="21" t="str">
        <f>'Ingest Template'!T42</f>
        <v/>
      </c>
      <c r="U42" s="21" t="str">
        <f>'Ingest Template'!S42</f>
        <v/>
      </c>
      <c r="V42" s="21" t="str">
        <f>LOWER(SUBSTITUTE(SUBSTITUTE(SUBSTITUTE(SUBSTITUTE(SUBSTITUTE('Ingest Template'!U42,"https:",""),"www.",""),"/",""),"?hl=en",""),"instagram.com",""))</f>
        <v/>
      </c>
      <c r="W42" s="41" t="str">
        <f t="array" ref="W42">IF('Ingest Template'!V42="",(INDEX(DropDown!$L$2:$L$392,MATCH('Ingest Template'!E42,DropDown!$J$2:$J$392,0))&amp;"|"&amp;'Ingest Template'!B42),(INDEX(DropDown!$L$2:$L$392,MATCH('Ingest Template'!E42,DropDown!$J$2:$J$392,0))&amp;"|"&amp;'Ingest Template'!B42)&amp;CHAR(10)&amp;'Ingest Template'!V42)</f>
        <v>#N/A</v>
      </c>
      <c r="X42" s="41" t="str">
        <f>'Ingest Template'!W42</f>
        <v/>
      </c>
      <c r="Y42" s="21" t="str">
        <f>SUBSTITUTE(SUBSTITUTE(SUBSTITUTE('Ingest Template'!X42,"http:",""),"https:",""),"/","")</f>
        <v/>
      </c>
      <c r="Z42" s="21" t="str">
        <f t="array" ref="Z42">IF('Ingest Template'!A42="Standard",(IF(ISBLANK('Ingest Template'!AA42),"", 'Ingest Template'!AA42&amp;"|DAR")),(IF(ISBLANK('Ingest Template'!AA42),"", 'Ingest Template'!AA42&amp;"|Film Ops")))</f>
        <v/>
      </c>
      <c r="AA42" s="21"/>
      <c r="AB42" s="21" t="str">
        <f>'Ingest Template'!M42</f>
        <v/>
      </c>
      <c r="AC42" s="21" t="str">
        <f>'Ingest Template'!Y42</f>
        <v/>
      </c>
      <c r="AD42" s="21" t="str">
        <f>'Ingest Template'!C42</f>
        <v/>
      </c>
      <c r="AE42" s="21" t="str">
        <f>'Ingest Template'!Z42</f>
        <v/>
      </c>
      <c r="AF42" s="29"/>
      <c r="AG42" s="21" t="str">
        <f t="array" ref="AG42">IF('Ingest Template'!A42="Standard",(CONCATENATE(IF(ISBLANK('Ingest Template'!O42),"", 'Ingest Template'!O42&amp;"|DAR"),CHAR(10), IF(ISBLANK('Ingest Template'!P42),"", 'Ingest Template'!P42&amp;"|DAR"),CHAR(10), IF(ISBLANK('Ingest Template'!Q42),"", 'Ingest Template'!Q42&amp;"|DAR"))),(CONCATENATE(IF(ISBLANK('Ingest Template'!O42),"", 'Ingest Template'!O42&amp;"|Operations - Core Title"),CHAR(10), IF(ISBLANK('Ingest Template'!P42),"", 'Ingest Template'!P42&amp;"|Operations - Core Title"),CHAR(10), IF(ISBLANK('Ingest Template'!Q42),"", 'Ingest Template'!Q42&amp;"|Operations - Core Title"))))</f>
        <v>#|Operations - Core Title
#|Operations - Core Title
</v>
      </c>
      <c r="AH42" s="21"/>
      <c r="AI42" s="21"/>
      <c r="AJ42" s="53" t="str">
        <f>if('Ingest Template'!A42="Standard",'Ingest Template'!N42&amp; "|DAR|DAR|2021-01-01",'Ingest Template'!N42&amp; "|Operations - Core Title|Operations - Core Title")</f>
        <v>#N/A</v>
      </c>
      <c r="AK42" s="53" t="str">
        <f>if('Ingest Template'!A42="Standard",'Ingest Template'!R42&amp; "|2021-01-01",'Ingest Template'!R42)</f>
        <v>#N/A</v>
      </c>
      <c r="AL42" s="21"/>
      <c r="AM42" s="21"/>
    </row>
    <row r="43">
      <c r="A43" s="21"/>
      <c r="B43" s="21" t="str">
        <f>'Ingest Template'!B43&amp;IF('Ingest Template'!A43 = "Standard", " - DAR","")</f>
        <v/>
      </c>
      <c r="C43" s="26" t="s">
        <v>109</v>
      </c>
      <c r="D43" s="29" t="str">
        <f t="array" ref="D43">CONCATENATE(INDEX(DropDown!$H$2:$H$10,MATCH(1,COUNTIF('Ingest Template'!F43,"*"&amp;DropDown!$H$2:$H$10&amp;"*"),0)),CHAR(10),'Ingest Template'!G43)</f>
        <v>#N/A</v>
      </c>
      <c r="E43" s="21" t="str">
        <f>CONCATENATE('Ingest Template'!H43,CHAR(10),'Ingest Template'!I43,CHAR(10),'Ingest Template'!J43)</f>
        <v>
</v>
      </c>
      <c r="F43" s="26" t="str">
        <f>'Ingest Template'!H43</f>
        <v/>
      </c>
      <c r="G43" s="21"/>
      <c r="H43" s="29"/>
      <c r="I43" s="21"/>
      <c r="J43" s="29" t="str">
        <f t="array" ref="J43">iF('Ingest Template'!A43="Standard","Pristine Brand",INDEX(DropDown!$M$2:$M$392,MATCH('Ingest Template'!E43,DropDown!$J$2:$J$392,0)))</f>
        <v>#N/A</v>
      </c>
      <c r="K43" s="21" t="str">
        <f>iF('Ingest Template'!A43="Standard",'Ingest Template'!K43&amp;CHAR(10)&amp;'Ingest Template'!L43,"Competitive View")</f>
        <v>Competitive View</v>
      </c>
      <c r="L43" s="29" t="s">
        <v>146</v>
      </c>
      <c r="M43" s="37" t="str">
        <f>'Ingest Template'!D43</f>
        <v/>
      </c>
      <c r="N43" s="21"/>
      <c r="O43" s="21"/>
      <c r="P43" s="21"/>
      <c r="Q43" s="21"/>
      <c r="R43" s="21" t="str">
        <f>'Ingest Template'!E43</f>
        <v/>
      </c>
      <c r="S43" s="29" t="s">
        <v>153</v>
      </c>
      <c r="T43" s="21" t="str">
        <f>'Ingest Template'!T43</f>
        <v/>
      </c>
      <c r="U43" s="21" t="str">
        <f>'Ingest Template'!S43</f>
        <v/>
      </c>
      <c r="V43" s="21" t="str">
        <f>LOWER(SUBSTITUTE(SUBSTITUTE(SUBSTITUTE(SUBSTITUTE(SUBSTITUTE('Ingest Template'!U43,"https:",""),"www.",""),"/",""),"?hl=en",""),"instagram.com",""))</f>
        <v/>
      </c>
      <c r="W43" s="41" t="str">
        <f t="array" ref="W43">IF('Ingest Template'!V43="",(INDEX(DropDown!$L$2:$L$392,MATCH('Ingest Template'!E43,DropDown!$J$2:$J$392,0))&amp;"|"&amp;'Ingest Template'!B43),(INDEX(DropDown!$L$2:$L$392,MATCH('Ingest Template'!E43,DropDown!$J$2:$J$392,0))&amp;"|"&amp;'Ingest Template'!B43)&amp;CHAR(10)&amp;'Ingest Template'!V43)</f>
        <v>#N/A</v>
      </c>
      <c r="X43" s="41" t="str">
        <f>'Ingest Template'!W43</f>
        <v/>
      </c>
      <c r="Y43" s="21" t="str">
        <f>SUBSTITUTE(SUBSTITUTE(SUBSTITUTE('Ingest Template'!X43,"http:",""),"https:",""),"/","")</f>
        <v/>
      </c>
      <c r="Z43" s="21" t="str">
        <f t="array" ref="Z43">IF('Ingest Template'!A43="Standard",(IF(ISBLANK('Ingest Template'!AA43),"", 'Ingest Template'!AA43&amp;"|DAR")),(IF(ISBLANK('Ingest Template'!AA43),"", 'Ingest Template'!AA43&amp;"|Film Ops")))</f>
        <v/>
      </c>
      <c r="AA43" s="21"/>
      <c r="AB43" s="21" t="str">
        <f>'Ingest Template'!M43</f>
        <v/>
      </c>
      <c r="AC43" s="21" t="str">
        <f>'Ingest Template'!Y43</f>
        <v/>
      </c>
      <c r="AD43" s="21" t="str">
        <f>'Ingest Template'!C43</f>
        <v/>
      </c>
      <c r="AE43" s="21" t="str">
        <f>'Ingest Template'!Z43</f>
        <v/>
      </c>
      <c r="AF43" s="29"/>
      <c r="AG43" s="21" t="str">
        <f t="array" ref="AG43">IF('Ingest Template'!A43="Standard",(CONCATENATE(IF(ISBLANK('Ingest Template'!O43),"", 'Ingest Template'!O43&amp;"|DAR"),CHAR(10), IF(ISBLANK('Ingest Template'!P43),"", 'Ingest Template'!P43&amp;"|DAR"),CHAR(10), IF(ISBLANK('Ingest Template'!Q43),"", 'Ingest Template'!Q43&amp;"|DAR"))),(CONCATENATE(IF(ISBLANK('Ingest Template'!O43),"", 'Ingest Template'!O43&amp;"|Operations - Core Title"),CHAR(10), IF(ISBLANK('Ingest Template'!P43),"", 'Ingest Template'!P43&amp;"|Operations - Core Title"),CHAR(10), IF(ISBLANK('Ingest Template'!Q43),"", 'Ingest Template'!Q43&amp;"|Operations - Core Title"))))</f>
        <v>#|Operations - Core Title
#|Operations - Core Title
</v>
      </c>
      <c r="AH43" s="21"/>
      <c r="AI43" s="21"/>
      <c r="AJ43" s="53" t="str">
        <f>if('Ingest Template'!A43="Standard",'Ingest Template'!N43&amp; "|DAR|DAR|2021-01-01",'Ingest Template'!N43&amp; "|Operations - Core Title|Operations - Core Title")</f>
        <v>#N/A</v>
      </c>
      <c r="AK43" s="53" t="str">
        <f>if('Ingest Template'!A43="Standard",'Ingest Template'!R43&amp; "|2021-01-01",'Ingest Template'!R43)</f>
        <v>#N/A</v>
      </c>
      <c r="AL43" s="21"/>
      <c r="AM43" s="21"/>
    </row>
    <row r="44">
      <c r="A44" s="21"/>
      <c r="B44" s="21" t="str">
        <f>'Ingest Template'!B44&amp;IF('Ingest Template'!A44 = "Standard", " - DAR","")</f>
        <v/>
      </c>
      <c r="C44" s="26" t="s">
        <v>109</v>
      </c>
      <c r="D44" s="29" t="str">
        <f t="array" ref="D44">CONCATENATE(INDEX(DropDown!$H$2:$H$10,MATCH(1,COUNTIF('Ingest Template'!F44,"*"&amp;DropDown!$H$2:$H$10&amp;"*"),0)),CHAR(10),'Ingest Template'!G44)</f>
        <v>#N/A</v>
      </c>
      <c r="E44" s="21" t="str">
        <f>CONCATENATE('Ingest Template'!H44,CHAR(10),'Ingest Template'!I44,CHAR(10),'Ingest Template'!J44)</f>
        <v>
</v>
      </c>
      <c r="F44" s="26" t="str">
        <f>'Ingest Template'!H44</f>
        <v/>
      </c>
      <c r="G44" s="21"/>
      <c r="H44" s="29"/>
      <c r="I44" s="21"/>
      <c r="J44" s="29" t="str">
        <f t="array" ref="J44">iF('Ingest Template'!A44="Standard","Pristine Brand",INDEX(DropDown!$M$2:$M$392,MATCH('Ingest Template'!E44,DropDown!$J$2:$J$392,0)))</f>
        <v>#N/A</v>
      </c>
      <c r="K44" s="21" t="str">
        <f>iF('Ingest Template'!A44="Standard",'Ingest Template'!K44&amp;CHAR(10)&amp;'Ingest Template'!L44,"Competitive View")</f>
        <v>Competitive View</v>
      </c>
      <c r="L44" s="29" t="s">
        <v>146</v>
      </c>
      <c r="M44" s="37" t="str">
        <f>'Ingest Template'!D44</f>
        <v/>
      </c>
      <c r="N44" s="21"/>
      <c r="O44" s="21"/>
      <c r="P44" s="21"/>
      <c r="Q44" s="21"/>
      <c r="R44" s="21" t="str">
        <f>'Ingest Template'!E44</f>
        <v/>
      </c>
      <c r="S44" s="29" t="s">
        <v>153</v>
      </c>
      <c r="T44" s="21" t="str">
        <f>'Ingest Template'!T44</f>
        <v/>
      </c>
      <c r="U44" s="21" t="str">
        <f>'Ingest Template'!S44</f>
        <v/>
      </c>
      <c r="V44" s="21" t="str">
        <f>LOWER(SUBSTITUTE(SUBSTITUTE(SUBSTITUTE(SUBSTITUTE(SUBSTITUTE('Ingest Template'!U44,"https:",""),"www.",""),"/",""),"?hl=en",""),"instagram.com",""))</f>
        <v/>
      </c>
      <c r="W44" s="41" t="str">
        <f t="array" ref="W44">IF('Ingest Template'!V44="",(INDEX(DropDown!$L$2:$L$392,MATCH('Ingest Template'!E44,DropDown!$J$2:$J$392,0))&amp;"|"&amp;'Ingest Template'!B44),(INDEX(DropDown!$L$2:$L$392,MATCH('Ingest Template'!E44,DropDown!$J$2:$J$392,0))&amp;"|"&amp;'Ingest Template'!B44)&amp;CHAR(10)&amp;'Ingest Template'!V44)</f>
        <v>#N/A</v>
      </c>
      <c r="X44" s="41" t="str">
        <f>'Ingest Template'!W44</f>
        <v/>
      </c>
      <c r="Y44" s="21" t="str">
        <f>SUBSTITUTE(SUBSTITUTE(SUBSTITUTE('Ingest Template'!X44,"http:",""),"https:",""),"/","")</f>
        <v/>
      </c>
      <c r="Z44" s="21" t="str">
        <f t="array" ref="Z44">IF('Ingest Template'!A44="Standard",(IF(ISBLANK('Ingest Template'!AA44),"", 'Ingest Template'!AA44&amp;"|DAR")),(IF(ISBLANK('Ingest Template'!AA44),"", 'Ingest Template'!AA44&amp;"|Film Ops")))</f>
        <v/>
      </c>
      <c r="AA44" s="21"/>
      <c r="AB44" s="21" t="str">
        <f>'Ingest Template'!M44</f>
        <v/>
      </c>
      <c r="AC44" s="21" t="str">
        <f>'Ingest Template'!Y44</f>
        <v/>
      </c>
      <c r="AD44" s="21" t="str">
        <f>'Ingest Template'!C44</f>
        <v/>
      </c>
      <c r="AE44" s="21" t="str">
        <f>'Ingest Template'!Z44</f>
        <v/>
      </c>
      <c r="AF44" s="29"/>
      <c r="AG44" s="21" t="str">
        <f t="array" ref="AG44">IF('Ingest Template'!A44="Standard",(CONCATENATE(IF(ISBLANK('Ingest Template'!O44),"", 'Ingest Template'!O44&amp;"|DAR"),CHAR(10), IF(ISBLANK('Ingest Template'!P44),"", 'Ingest Template'!P44&amp;"|DAR"),CHAR(10), IF(ISBLANK('Ingest Template'!Q44),"", 'Ingest Template'!Q44&amp;"|DAR"))),(CONCATENATE(IF(ISBLANK('Ingest Template'!O44),"", 'Ingest Template'!O44&amp;"|Operations - Core Title"),CHAR(10), IF(ISBLANK('Ingest Template'!P44),"", 'Ingest Template'!P44&amp;"|Operations - Core Title"),CHAR(10), IF(ISBLANK('Ingest Template'!Q44),"", 'Ingest Template'!Q44&amp;"|Operations - Core Title"))))</f>
        <v>#|Operations - Core Title
#|Operations - Core Title
</v>
      </c>
      <c r="AH44" s="21"/>
      <c r="AI44" s="21"/>
      <c r="AJ44" s="53" t="str">
        <f>if('Ingest Template'!A44="Standard",'Ingest Template'!N44&amp; "|DAR|DAR|2021-01-01",'Ingest Template'!N44&amp; "|Operations - Core Title|Operations - Core Title")</f>
        <v>#N/A</v>
      </c>
      <c r="AK44" s="53" t="str">
        <f>if('Ingest Template'!A44="Standard",'Ingest Template'!R44&amp; "|2021-01-01",'Ingest Template'!R44)</f>
        <v>#N/A</v>
      </c>
      <c r="AL44" s="21"/>
      <c r="AM44" s="21"/>
    </row>
    <row r="45">
      <c r="A45" s="21"/>
      <c r="B45" s="21" t="str">
        <f>'Ingest Template'!B45&amp;IF('Ingest Template'!A45 = "Standard", " - DAR","")</f>
        <v/>
      </c>
      <c r="C45" s="26" t="s">
        <v>109</v>
      </c>
      <c r="D45" s="29" t="str">
        <f t="array" ref="D45">CONCATENATE(INDEX(DropDown!$H$2:$H$10,MATCH(1,COUNTIF('Ingest Template'!F45,"*"&amp;DropDown!$H$2:$H$10&amp;"*"),0)),CHAR(10),'Ingest Template'!G45)</f>
        <v>#N/A</v>
      </c>
      <c r="E45" s="21" t="str">
        <f>CONCATENATE('Ingest Template'!H45,CHAR(10),'Ingest Template'!I45,CHAR(10),'Ingest Template'!J45)</f>
        <v>
</v>
      </c>
      <c r="F45" s="26" t="str">
        <f>'Ingest Template'!H45</f>
        <v/>
      </c>
      <c r="G45" s="21"/>
      <c r="H45" s="29"/>
      <c r="I45" s="21"/>
      <c r="J45" s="29" t="str">
        <f t="array" ref="J45">iF('Ingest Template'!A45="Standard","Pristine Brand",INDEX(DropDown!$M$2:$M$392,MATCH('Ingest Template'!E45,DropDown!$J$2:$J$392,0)))</f>
        <v>#N/A</v>
      </c>
      <c r="K45" s="21" t="str">
        <f>iF('Ingest Template'!A45="Standard",'Ingest Template'!K45&amp;CHAR(10)&amp;'Ingest Template'!L45,"Competitive View")</f>
        <v>Competitive View</v>
      </c>
      <c r="L45" s="29" t="s">
        <v>146</v>
      </c>
      <c r="M45" s="37" t="str">
        <f>'Ingest Template'!D45</f>
        <v/>
      </c>
      <c r="N45" s="21"/>
      <c r="O45" s="21"/>
      <c r="P45" s="21"/>
      <c r="Q45" s="21"/>
      <c r="R45" s="21" t="str">
        <f>'Ingest Template'!E45</f>
        <v/>
      </c>
      <c r="S45" s="29" t="s">
        <v>153</v>
      </c>
      <c r="T45" s="21" t="str">
        <f>'Ingest Template'!T45</f>
        <v/>
      </c>
      <c r="U45" s="21" t="str">
        <f>'Ingest Template'!S45</f>
        <v/>
      </c>
      <c r="V45" s="21" t="str">
        <f>LOWER(SUBSTITUTE(SUBSTITUTE(SUBSTITUTE(SUBSTITUTE(SUBSTITUTE('Ingest Template'!U45,"https:",""),"www.",""),"/",""),"?hl=en",""),"instagram.com",""))</f>
        <v/>
      </c>
      <c r="W45" s="41" t="str">
        <f t="array" ref="W45">IF('Ingest Template'!V45="",(INDEX(DropDown!$L$2:$L$392,MATCH('Ingest Template'!E45,DropDown!$J$2:$J$392,0))&amp;"|"&amp;'Ingest Template'!B45),(INDEX(DropDown!$L$2:$L$392,MATCH('Ingest Template'!E45,DropDown!$J$2:$J$392,0))&amp;"|"&amp;'Ingest Template'!B45)&amp;CHAR(10)&amp;'Ingest Template'!V45)</f>
        <v>#N/A</v>
      </c>
      <c r="X45" s="41" t="str">
        <f>'Ingest Template'!W45</f>
        <v/>
      </c>
      <c r="Y45" s="21" t="str">
        <f>SUBSTITUTE(SUBSTITUTE(SUBSTITUTE('Ingest Template'!X45,"http:",""),"https:",""),"/","")</f>
        <v/>
      </c>
      <c r="Z45" s="21" t="str">
        <f t="array" ref="Z45">IF('Ingest Template'!A45="Standard",(IF(ISBLANK('Ingest Template'!AA45),"", 'Ingest Template'!AA45&amp;"|DAR")),(IF(ISBLANK('Ingest Template'!AA45),"", 'Ingest Template'!AA45&amp;"|Film Ops")))</f>
        <v/>
      </c>
      <c r="AA45" s="21"/>
      <c r="AB45" s="21" t="str">
        <f>'Ingest Template'!M45</f>
        <v/>
      </c>
      <c r="AC45" s="21" t="str">
        <f>'Ingest Template'!Y45</f>
        <v/>
      </c>
      <c r="AD45" s="21" t="str">
        <f>'Ingest Template'!C45</f>
        <v/>
      </c>
      <c r="AE45" s="21" t="str">
        <f>'Ingest Template'!Z45</f>
        <v/>
      </c>
      <c r="AF45" s="29"/>
      <c r="AG45" s="21" t="str">
        <f t="array" ref="AG45">IF('Ingest Template'!A45="Standard",(CONCATENATE(IF(ISBLANK('Ingest Template'!O45),"", 'Ingest Template'!O45&amp;"|DAR"),CHAR(10), IF(ISBLANK('Ingest Template'!P45),"", 'Ingest Template'!P45&amp;"|DAR"),CHAR(10), IF(ISBLANK('Ingest Template'!Q45),"", 'Ingest Template'!Q45&amp;"|DAR"))),(CONCATENATE(IF(ISBLANK('Ingest Template'!O45),"", 'Ingest Template'!O45&amp;"|Operations - Core Title"),CHAR(10), IF(ISBLANK('Ingest Template'!P45),"", 'Ingest Template'!P45&amp;"|Operations - Core Title"),CHAR(10), IF(ISBLANK('Ingest Template'!Q45),"", 'Ingest Template'!Q45&amp;"|Operations - Core Title"))))</f>
        <v>#|Operations - Core Title
#|Operations - Core Title
</v>
      </c>
      <c r="AH45" s="21"/>
      <c r="AI45" s="21"/>
      <c r="AJ45" s="53" t="str">
        <f>if('Ingest Template'!A45="Standard",'Ingest Template'!N45&amp; "|DAR|DAR|2021-01-01",'Ingest Template'!N45&amp; "|Operations - Core Title|Operations - Core Title")</f>
        <v>#N/A</v>
      </c>
      <c r="AK45" s="53" t="str">
        <f>if('Ingest Template'!A45="Standard",'Ingest Template'!R45&amp; "|2021-01-01",'Ingest Template'!R45)</f>
        <v>#N/A</v>
      </c>
      <c r="AL45" s="21"/>
      <c r="AM45" s="21"/>
    </row>
    <row r="46">
      <c r="A46" s="21"/>
      <c r="B46" s="21" t="str">
        <f>'Ingest Template'!B46&amp;IF('Ingest Template'!A46 = "Standard", " - DAR","")</f>
        <v/>
      </c>
      <c r="C46" s="26" t="s">
        <v>109</v>
      </c>
      <c r="D46" s="29" t="str">
        <f t="array" ref="D46">CONCATENATE(INDEX(DropDown!$H$2:$H$10,MATCH(1,COUNTIF('Ingest Template'!F46,"*"&amp;DropDown!$H$2:$H$10&amp;"*"),0)),CHAR(10),'Ingest Template'!G46)</f>
        <v>#N/A</v>
      </c>
      <c r="E46" s="21" t="str">
        <f>CONCATENATE('Ingest Template'!H46,CHAR(10),'Ingest Template'!I46,CHAR(10),'Ingest Template'!J46)</f>
        <v>
</v>
      </c>
      <c r="F46" s="26" t="str">
        <f>'Ingest Template'!H46</f>
        <v/>
      </c>
      <c r="G46" s="21"/>
      <c r="H46" s="29"/>
      <c r="I46" s="21"/>
      <c r="J46" s="29" t="str">
        <f t="array" ref="J46">iF('Ingest Template'!A46="Standard","Pristine Brand",INDEX(DropDown!$M$2:$M$392,MATCH('Ingest Template'!E46,DropDown!$J$2:$J$392,0)))</f>
        <v>#N/A</v>
      </c>
      <c r="K46" s="21" t="str">
        <f>iF('Ingest Template'!A46="Standard",'Ingest Template'!K46&amp;CHAR(10)&amp;'Ingest Template'!L46,"Competitive View")</f>
        <v>Competitive View</v>
      </c>
      <c r="L46" s="29" t="s">
        <v>146</v>
      </c>
      <c r="M46" s="37" t="str">
        <f>'Ingest Template'!D46</f>
        <v/>
      </c>
      <c r="N46" s="21"/>
      <c r="O46" s="21"/>
      <c r="P46" s="21"/>
      <c r="Q46" s="21"/>
      <c r="R46" s="21" t="str">
        <f>'Ingest Template'!E46</f>
        <v/>
      </c>
      <c r="S46" s="29" t="s">
        <v>153</v>
      </c>
      <c r="T46" s="21" t="str">
        <f>'Ingest Template'!T46</f>
        <v/>
      </c>
      <c r="U46" s="21" t="str">
        <f>'Ingest Template'!S46</f>
        <v/>
      </c>
      <c r="V46" s="21" t="str">
        <f>LOWER(SUBSTITUTE(SUBSTITUTE(SUBSTITUTE(SUBSTITUTE(SUBSTITUTE('Ingest Template'!U46,"https:",""),"www.",""),"/",""),"?hl=en",""),"instagram.com",""))</f>
        <v/>
      </c>
      <c r="W46" s="41" t="str">
        <f t="array" ref="W46">IF('Ingest Template'!V46="",(INDEX(DropDown!$L$2:$L$392,MATCH('Ingest Template'!E46,DropDown!$J$2:$J$392,0))&amp;"|"&amp;'Ingest Template'!B46),(INDEX(DropDown!$L$2:$L$392,MATCH('Ingest Template'!E46,DropDown!$J$2:$J$392,0))&amp;"|"&amp;'Ingest Template'!B46)&amp;CHAR(10)&amp;'Ingest Template'!V46)</f>
        <v>#N/A</v>
      </c>
      <c r="X46" s="41" t="str">
        <f>'Ingest Template'!W46</f>
        <v/>
      </c>
      <c r="Y46" s="21" t="str">
        <f>SUBSTITUTE(SUBSTITUTE(SUBSTITUTE('Ingest Template'!X46,"http:",""),"https:",""),"/","")</f>
        <v/>
      </c>
      <c r="Z46" s="21" t="str">
        <f t="array" ref="Z46">IF('Ingest Template'!A46="Standard",(IF(ISBLANK('Ingest Template'!AA46),"", 'Ingest Template'!AA46&amp;"|DAR")),(IF(ISBLANK('Ingest Template'!AA46),"", 'Ingest Template'!AA46&amp;"|Film Ops")))</f>
        <v/>
      </c>
      <c r="AA46" s="21"/>
      <c r="AB46" s="21" t="str">
        <f>'Ingest Template'!M46</f>
        <v/>
      </c>
      <c r="AC46" s="21" t="str">
        <f>'Ingest Template'!Y46</f>
        <v/>
      </c>
      <c r="AD46" s="21" t="str">
        <f>'Ingest Template'!C46</f>
        <v/>
      </c>
      <c r="AE46" s="21" t="str">
        <f>'Ingest Template'!Z46</f>
        <v/>
      </c>
      <c r="AF46" s="29"/>
      <c r="AG46" s="21" t="str">
        <f t="array" ref="AG46">IF('Ingest Template'!A46="Standard",(CONCATENATE(IF(ISBLANK('Ingest Template'!O46),"", 'Ingest Template'!O46&amp;"|DAR"),CHAR(10), IF(ISBLANK('Ingest Template'!P46),"", 'Ingest Template'!P46&amp;"|DAR"),CHAR(10), IF(ISBLANK('Ingest Template'!Q46),"", 'Ingest Template'!Q46&amp;"|DAR"))),(CONCATENATE(IF(ISBLANK('Ingest Template'!O46),"", 'Ingest Template'!O46&amp;"|Operations - Core Title"),CHAR(10), IF(ISBLANK('Ingest Template'!P46),"", 'Ingest Template'!P46&amp;"|Operations - Core Title"),CHAR(10), IF(ISBLANK('Ingest Template'!Q46),"", 'Ingest Template'!Q46&amp;"|Operations - Core Title"))))</f>
        <v>#|Operations - Core Title
#|Operations - Core Title
</v>
      </c>
      <c r="AH46" s="21"/>
      <c r="AI46" s="21"/>
      <c r="AJ46" s="53" t="str">
        <f>if('Ingest Template'!A46="Standard",'Ingest Template'!N46&amp; "|DAR|DAR|2021-01-01",'Ingest Template'!N46&amp; "|Operations - Core Title|Operations - Core Title")</f>
        <v>#N/A</v>
      </c>
      <c r="AK46" s="53" t="str">
        <f>if('Ingest Template'!A46="Standard",'Ingest Template'!R46&amp; "|2021-01-01",'Ingest Template'!R46)</f>
        <v>#N/A</v>
      </c>
      <c r="AL46" s="21"/>
      <c r="AM46" s="21"/>
    </row>
    <row r="47">
      <c r="A47" s="21"/>
      <c r="B47" s="21" t="str">
        <f>'Ingest Template'!B47&amp;IF('Ingest Template'!A47 = "Standard", " - DAR","")</f>
        <v/>
      </c>
      <c r="C47" s="26" t="s">
        <v>109</v>
      </c>
      <c r="D47" s="29" t="str">
        <f t="array" ref="D47">CONCATENATE(INDEX(DropDown!$H$2:$H$10,MATCH(1,COUNTIF('Ingest Template'!F47,"*"&amp;DropDown!$H$2:$H$10&amp;"*"),0)),CHAR(10),'Ingest Template'!G47)</f>
        <v>#N/A</v>
      </c>
      <c r="E47" s="21" t="str">
        <f>CONCATENATE('Ingest Template'!H47,CHAR(10),'Ingest Template'!I47,CHAR(10),'Ingest Template'!J47)</f>
        <v>
</v>
      </c>
      <c r="F47" s="26" t="str">
        <f>'Ingest Template'!H47</f>
        <v/>
      </c>
      <c r="G47" s="21"/>
      <c r="H47" s="29"/>
      <c r="I47" s="21"/>
      <c r="J47" s="29" t="str">
        <f t="array" ref="J47">iF('Ingest Template'!A47="Standard","Pristine Brand",INDEX(DropDown!$M$2:$M$392,MATCH('Ingest Template'!E47,DropDown!$J$2:$J$392,0)))</f>
        <v>#N/A</v>
      </c>
      <c r="K47" s="21" t="str">
        <f>iF('Ingest Template'!A47="Standard",'Ingest Template'!K47&amp;CHAR(10)&amp;'Ingest Template'!L47,"Competitive View")</f>
        <v>Competitive View</v>
      </c>
      <c r="L47" s="29" t="s">
        <v>146</v>
      </c>
      <c r="M47" s="37" t="str">
        <f>'Ingest Template'!D47</f>
        <v/>
      </c>
      <c r="N47" s="21"/>
      <c r="O47" s="21"/>
      <c r="P47" s="21"/>
      <c r="Q47" s="21"/>
      <c r="R47" s="21" t="str">
        <f>'Ingest Template'!E47</f>
        <v/>
      </c>
      <c r="S47" s="29" t="s">
        <v>153</v>
      </c>
      <c r="T47" s="21" t="str">
        <f>'Ingest Template'!T47</f>
        <v/>
      </c>
      <c r="U47" s="21" t="str">
        <f>'Ingest Template'!S47</f>
        <v/>
      </c>
      <c r="V47" s="21" t="str">
        <f>LOWER(SUBSTITUTE(SUBSTITUTE(SUBSTITUTE(SUBSTITUTE(SUBSTITUTE('Ingest Template'!U47,"https:",""),"www.",""),"/",""),"?hl=en",""),"instagram.com",""))</f>
        <v/>
      </c>
      <c r="W47" s="41" t="str">
        <f t="array" ref="W47">IF('Ingest Template'!V47="",(INDEX(DropDown!$L$2:$L$392,MATCH('Ingest Template'!E47,DropDown!$J$2:$J$392,0))&amp;"|"&amp;'Ingest Template'!B47),(INDEX(DropDown!$L$2:$L$392,MATCH('Ingest Template'!E47,DropDown!$J$2:$J$392,0))&amp;"|"&amp;'Ingest Template'!B47)&amp;CHAR(10)&amp;'Ingest Template'!V47)</f>
        <v>#N/A</v>
      </c>
      <c r="X47" s="41" t="str">
        <f>'Ingest Template'!W47</f>
        <v/>
      </c>
      <c r="Y47" s="21" t="str">
        <f>SUBSTITUTE(SUBSTITUTE(SUBSTITUTE('Ingest Template'!X47,"http:",""),"https:",""),"/","")</f>
        <v/>
      </c>
      <c r="Z47" s="21" t="str">
        <f t="array" ref="Z47">IF('Ingest Template'!A47="Standard",(IF(ISBLANK('Ingest Template'!AA47),"", 'Ingest Template'!AA47&amp;"|DAR")),(IF(ISBLANK('Ingest Template'!AA47),"", 'Ingest Template'!AA47&amp;"|Film Ops")))</f>
        <v/>
      </c>
      <c r="AA47" s="21"/>
      <c r="AB47" s="21" t="str">
        <f>'Ingest Template'!M47</f>
        <v/>
      </c>
      <c r="AC47" s="21" t="str">
        <f>'Ingest Template'!Y47</f>
        <v/>
      </c>
      <c r="AD47" s="21" t="str">
        <f>'Ingest Template'!C47</f>
        <v/>
      </c>
      <c r="AE47" s="21" t="str">
        <f>'Ingest Template'!Z47</f>
        <v/>
      </c>
      <c r="AF47" s="29"/>
      <c r="AG47" s="21" t="str">
        <f t="array" ref="AG47">IF('Ingest Template'!A47="Standard",(CONCATENATE(IF(ISBLANK('Ingest Template'!O47),"", 'Ingest Template'!O47&amp;"|DAR"),CHAR(10), IF(ISBLANK('Ingest Template'!P47),"", 'Ingest Template'!P47&amp;"|DAR"),CHAR(10), IF(ISBLANK('Ingest Template'!Q47),"", 'Ingest Template'!Q47&amp;"|DAR"))),(CONCATENATE(IF(ISBLANK('Ingest Template'!O47),"", 'Ingest Template'!O47&amp;"|Operations - Core Title"),CHAR(10), IF(ISBLANK('Ingest Template'!P47),"", 'Ingest Template'!P47&amp;"|Operations - Core Title"),CHAR(10), IF(ISBLANK('Ingest Template'!Q47),"", 'Ingest Template'!Q47&amp;"|Operations - Core Title"))))</f>
        <v>#|Operations - Core Title
#|Operations - Core Title
</v>
      </c>
      <c r="AH47" s="21"/>
      <c r="AI47" s="21"/>
      <c r="AJ47" s="53" t="str">
        <f>if('Ingest Template'!A47="Standard",'Ingest Template'!N47&amp; "|DAR|DAR|2021-01-01",'Ingest Template'!N47&amp; "|Operations - Core Title|Operations - Core Title")</f>
        <v>#N/A</v>
      </c>
      <c r="AK47" s="53" t="str">
        <f>if('Ingest Template'!A47="Standard",'Ingest Template'!R47&amp; "|2021-01-01",'Ingest Template'!R47)</f>
        <v>#N/A</v>
      </c>
      <c r="AL47" s="21"/>
      <c r="AM47" s="21"/>
    </row>
    <row r="48">
      <c r="A48" s="21"/>
      <c r="B48" s="21" t="str">
        <f>'Ingest Template'!B48&amp;IF('Ingest Template'!A48 = "Standard", " - DAR","")</f>
        <v/>
      </c>
      <c r="C48" s="26" t="s">
        <v>109</v>
      </c>
      <c r="D48" s="29" t="str">
        <f t="array" ref="D48">CONCATENATE(INDEX(DropDown!$H$2:$H$10,MATCH(1,COUNTIF('Ingest Template'!F48,"*"&amp;DropDown!$H$2:$H$10&amp;"*"),0)),CHAR(10),'Ingest Template'!G48)</f>
        <v>#N/A</v>
      </c>
      <c r="E48" s="21" t="str">
        <f>CONCATENATE('Ingest Template'!H48,CHAR(10),'Ingest Template'!I48,CHAR(10),'Ingest Template'!J48)</f>
        <v>
</v>
      </c>
      <c r="F48" s="26" t="str">
        <f>'Ingest Template'!H48</f>
        <v/>
      </c>
      <c r="G48" s="21"/>
      <c r="H48" s="29"/>
      <c r="I48" s="21"/>
      <c r="J48" s="29" t="str">
        <f t="array" ref="J48">iF('Ingest Template'!A48="Standard","Pristine Brand",INDEX(DropDown!$M$2:$M$392,MATCH('Ingest Template'!E48,DropDown!$J$2:$J$392,0)))</f>
        <v>#N/A</v>
      </c>
      <c r="K48" s="21" t="str">
        <f>iF('Ingest Template'!A48="Standard",'Ingest Template'!K48&amp;CHAR(10)&amp;'Ingest Template'!L48,"Competitive View")</f>
        <v>Competitive View</v>
      </c>
      <c r="L48" s="29" t="s">
        <v>146</v>
      </c>
      <c r="M48" s="37" t="str">
        <f>'Ingest Template'!D48</f>
        <v/>
      </c>
      <c r="N48" s="21"/>
      <c r="O48" s="21"/>
      <c r="P48" s="21"/>
      <c r="Q48" s="21"/>
      <c r="R48" s="21" t="str">
        <f>'Ingest Template'!E48</f>
        <v/>
      </c>
      <c r="S48" s="29" t="s">
        <v>153</v>
      </c>
      <c r="T48" s="21" t="str">
        <f>'Ingest Template'!T48</f>
        <v/>
      </c>
      <c r="U48" s="21" t="str">
        <f>'Ingest Template'!S48</f>
        <v/>
      </c>
      <c r="V48" s="21" t="str">
        <f>LOWER(SUBSTITUTE(SUBSTITUTE(SUBSTITUTE(SUBSTITUTE(SUBSTITUTE('Ingest Template'!U48,"https:",""),"www.",""),"/",""),"?hl=en",""),"instagram.com",""))</f>
        <v/>
      </c>
      <c r="W48" s="41" t="str">
        <f t="array" ref="W48">IF('Ingest Template'!V48="",(INDEX(DropDown!$L$2:$L$392,MATCH('Ingest Template'!E48,DropDown!$J$2:$J$392,0))&amp;"|"&amp;'Ingest Template'!B48),(INDEX(DropDown!$L$2:$L$392,MATCH('Ingest Template'!E48,DropDown!$J$2:$J$392,0))&amp;"|"&amp;'Ingest Template'!B48)&amp;CHAR(10)&amp;'Ingest Template'!V48)</f>
        <v>#N/A</v>
      </c>
      <c r="X48" s="41" t="str">
        <f>'Ingest Template'!W48</f>
        <v/>
      </c>
      <c r="Y48" s="21" t="str">
        <f>SUBSTITUTE(SUBSTITUTE(SUBSTITUTE('Ingest Template'!X48,"http:",""),"https:",""),"/","")</f>
        <v/>
      </c>
      <c r="Z48" s="21" t="str">
        <f t="array" ref="Z48">IF('Ingest Template'!A48="Standard",(IF(ISBLANK('Ingest Template'!AA48),"", 'Ingest Template'!AA48&amp;"|DAR")),(IF(ISBLANK('Ingest Template'!AA48),"", 'Ingest Template'!AA48&amp;"|Film Ops")))</f>
        <v/>
      </c>
      <c r="AA48" s="21"/>
      <c r="AB48" s="21" t="str">
        <f>'Ingest Template'!M48</f>
        <v/>
      </c>
      <c r="AC48" s="21" t="str">
        <f>'Ingest Template'!Y48</f>
        <v/>
      </c>
      <c r="AD48" s="21" t="str">
        <f>'Ingest Template'!C48</f>
        <v/>
      </c>
      <c r="AE48" s="21" t="str">
        <f>'Ingest Template'!Z48</f>
        <v/>
      </c>
      <c r="AF48" s="29"/>
      <c r="AG48" s="21" t="str">
        <f t="array" ref="AG48">IF('Ingest Template'!A48="Standard",(CONCATENATE(IF(ISBLANK('Ingest Template'!O48),"", 'Ingest Template'!O48&amp;"|DAR"),CHAR(10), IF(ISBLANK('Ingest Template'!P48),"", 'Ingest Template'!P48&amp;"|DAR"),CHAR(10), IF(ISBLANK('Ingest Template'!Q48),"", 'Ingest Template'!Q48&amp;"|DAR"))),(CONCATENATE(IF(ISBLANK('Ingest Template'!O48),"", 'Ingest Template'!O48&amp;"|Operations - Core Title"),CHAR(10), IF(ISBLANK('Ingest Template'!P48),"", 'Ingest Template'!P48&amp;"|Operations - Core Title"),CHAR(10), IF(ISBLANK('Ingest Template'!Q48),"", 'Ingest Template'!Q48&amp;"|Operations - Core Title"))))</f>
        <v>#|Operations - Core Title
#|Operations - Core Title
</v>
      </c>
      <c r="AH48" s="21"/>
      <c r="AI48" s="21"/>
      <c r="AJ48" s="53" t="str">
        <f>if('Ingest Template'!A48="Standard",'Ingest Template'!N48&amp; "|DAR|DAR|2021-01-01",'Ingest Template'!N48&amp; "|Operations - Core Title|Operations - Core Title")</f>
        <v>#N/A</v>
      </c>
      <c r="AK48" s="53" t="str">
        <f>if('Ingest Template'!A48="Standard",'Ingest Template'!R48&amp; "|2021-01-01",'Ingest Template'!R48)</f>
        <v>#N/A</v>
      </c>
      <c r="AL48" s="21"/>
      <c r="AM48" s="21"/>
    </row>
    <row r="49">
      <c r="A49" s="21"/>
      <c r="B49" s="21" t="str">
        <f>'Ingest Template'!B49&amp;IF('Ingest Template'!A49 = "Standard", " - DAR","")</f>
        <v/>
      </c>
      <c r="C49" s="26" t="s">
        <v>109</v>
      </c>
      <c r="D49" s="29" t="str">
        <f t="array" ref="D49">CONCATENATE(INDEX(DropDown!$H$2:$H$10,MATCH(1,COUNTIF('Ingest Template'!F49,"*"&amp;DropDown!$H$2:$H$10&amp;"*"),0)),CHAR(10),'Ingest Template'!G49)</f>
        <v>#N/A</v>
      </c>
      <c r="E49" s="21" t="str">
        <f>CONCATENATE('Ingest Template'!H49,CHAR(10),'Ingest Template'!I49,CHAR(10),'Ingest Template'!J49)</f>
        <v>
</v>
      </c>
      <c r="F49" s="26" t="str">
        <f>'Ingest Template'!H49</f>
        <v/>
      </c>
      <c r="G49" s="21"/>
      <c r="H49" s="29"/>
      <c r="I49" s="21"/>
      <c r="J49" s="29" t="str">
        <f t="array" ref="J49">iF('Ingest Template'!A49="Standard","Pristine Brand",INDEX(DropDown!$M$2:$M$392,MATCH('Ingest Template'!E49,DropDown!$J$2:$J$392,0)))</f>
        <v>#N/A</v>
      </c>
      <c r="K49" s="21" t="str">
        <f>iF('Ingest Template'!A49="Standard",'Ingest Template'!K49&amp;CHAR(10)&amp;'Ingest Template'!L49,"Competitive View")</f>
        <v>Competitive View</v>
      </c>
      <c r="L49" s="29" t="s">
        <v>146</v>
      </c>
      <c r="M49" s="37" t="str">
        <f>'Ingest Template'!D49</f>
        <v/>
      </c>
      <c r="N49" s="21"/>
      <c r="O49" s="21"/>
      <c r="P49" s="21"/>
      <c r="Q49" s="21"/>
      <c r="R49" s="21" t="str">
        <f>'Ingest Template'!E49</f>
        <v/>
      </c>
      <c r="S49" s="29" t="s">
        <v>153</v>
      </c>
      <c r="T49" s="21" t="str">
        <f>'Ingest Template'!T49</f>
        <v/>
      </c>
      <c r="U49" s="21" t="str">
        <f>'Ingest Template'!S49</f>
        <v/>
      </c>
      <c r="V49" s="21" t="str">
        <f>LOWER(SUBSTITUTE(SUBSTITUTE(SUBSTITUTE(SUBSTITUTE(SUBSTITUTE('Ingest Template'!U49,"https:",""),"www.",""),"/",""),"?hl=en",""),"instagram.com",""))</f>
        <v/>
      </c>
      <c r="W49" s="41" t="str">
        <f t="array" ref="W49">IF('Ingest Template'!V49="",(INDEX(DropDown!$L$2:$L$392,MATCH('Ingest Template'!E49,DropDown!$J$2:$J$392,0))&amp;"|"&amp;'Ingest Template'!B49),(INDEX(DropDown!$L$2:$L$392,MATCH('Ingest Template'!E49,DropDown!$J$2:$J$392,0))&amp;"|"&amp;'Ingest Template'!B49)&amp;CHAR(10)&amp;'Ingest Template'!V49)</f>
        <v>#N/A</v>
      </c>
      <c r="X49" s="41" t="str">
        <f>'Ingest Template'!W49</f>
        <v/>
      </c>
      <c r="Y49" s="21" t="str">
        <f>SUBSTITUTE(SUBSTITUTE(SUBSTITUTE('Ingest Template'!X49,"http:",""),"https:",""),"/","")</f>
        <v/>
      </c>
      <c r="Z49" s="21" t="str">
        <f t="array" ref="Z49">IF('Ingest Template'!A49="Standard",(IF(ISBLANK('Ingest Template'!AA49),"", 'Ingest Template'!AA49&amp;"|DAR")),(IF(ISBLANK('Ingest Template'!AA49),"", 'Ingest Template'!AA49&amp;"|Film Ops")))</f>
        <v/>
      </c>
      <c r="AA49" s="21"/>
      <c r="AB49" s="21" t="str">
        <f>'Ingest Template'!M49</f>
        <v/>
      </c>
      <c r="AC49" s="21" t="str">
        <f>'Ingest Template'!Y49</f>
        <v/>
      </c>
      <c r="AD49" s="21" t="str">
        <f>'Ingest Template'!C49</f>
        <v/>
      </c>
      <c r="AE49" s="21" t="str">
        <f>'Ingest Template'!Z49</f>
        <v/>
      </c>
      <c r="AF49" s="29"/>
      <c r="AG49" s="21" t="str">
        <f t="array" ref="AG49">IF('Ingest Template'!A49="Standard",(CONCATENATE(IF(ISBLANK('Ingest Template'!O49),"", 'Ingest Template'!O49&amp;"|DAR"),CHAR(10), IF(ISBLANK('Ingest Template'!P49),"", 'Ingest Template'!P49&amp;"|DAR"),CHAR(10), IF(ISBLANK('Ingest Template'!Q49),"", 'Ingest Template'!Q49&amp;"|DAR"))),(CONCATENATE(IF(ISBLANK('Ingest Template'!O49),"", 'Ingest Template'!O49&amp;"|Operations - Core Title"),CHAR(10), IF(ISBLANK('Ingest Template'!P49),"", 'Ingest Template'!P49&amp;"|Operations - Core Title"),CHAR(10), IF(ISBLANK('Ingest Template'!Q49),"", 'Ingest Template'!Q49&amp;"|Operations - Core Title"))))</f>
        <v>#|Operations - Core Title
#|Operations - Core Title
</v>
      </c>
      <c r="AH49" s="21"/>
      <c r="AI49" s="21"/>
      <c r="AJ49" s="53" t="str">
        <f>if('Ingest Template'!A49="Standard",'Ingest Template'!N49&amp; "|DAR|DAR|2021-01-01",'Ingest Template'!N49&amp; "|Operations - Core Title|Operations - Core Title")</f>
        <v>#N/A</v>
      </c>
      <c r="AK49" s="53" t="str">
        <f>if('Ingest Template'!A49="Standard",'Ingest Template'!R49&amp; "|2021-01-01",'Ingest Template'!R49)</f>
        <v>#N/A</v>
      </c>
      <c r="AL49" s="21"/>
      <c r="AM49" s="21"/>
    </row>
    <row r="50">
      <c r="A50" s="21"/>
      <c r="B50" s="21" t="str">
        <f>'Ingest Template'!B50&amp;IF('Ingest Template'!A50 = "Standard", " - DAR","")</f>
        <v/>
      </c>
      <c r="C50" s="26" t="s">
        <v>109</v>
      </c>
      <c r="D50" s="29" t="str">
        <f t="array" ref="D50">CONCATENATE(INDEX(DropDown!$H$2:$H$10,MATCH(1,COUNTIF('Ingest Template'!F50,"*"&amp;DropDown!$H$2:$H$10&amp;"*"),0)),CHAR(10),'Ingest Template'!G50)</f>
        <v>#N/A</v>
      </c>
      <c r="E50" s="21" t="str">
        <f>CONCATENATE('Ingest Template'!H50,CHAR(10),'Ingest Template'!I50,CHAR(10),'Ingest Template'!J50)</f>
        <v>
</v>
      </c>
      <c r="F50" s="26" t="str">
        <f>'Ingest Template'!H50</f>
        <v/>
      </c>
      <c r="G50" s="21"/>
      <c r="H50" s="29"/>
      <c r="I50" s="21"/>
      <c r="J50" s="29" t="str">
        <f t="array" ref="J50">iF('Ingest Template'!A50="Standard","Pristine Brand",INDEX(DropDown!$M$2:$M$392,MATCH('Ingest Template'!E50,DropDown!$J$2:$J$392,0)))</f>
        <v>#N/A</v>
      </c>
      <c r="K50" s="21" t="str">
        <f>iF('Ingest Template'!A50="Standard",'Ingest Template'!K50&amp;CHAR(10)&amp;'Ingest Template'!L50,"Competitive View")</f>
        <v>Competitive View</v>
      </c>
      <c r="L50" s="29" t="s">
        <v>146</v>
      </c>
      <c r="M50" s="37" t="str">
        <f>'Ingest Template'!D50</f>
        <v/>
      </c>
      <c r="N50" s="21"/>
      <c r="O50" s="21"/>
      <c r="P50" s="21"/>
      <c r="Q50" s="21"/>
      <c r="R50" s="21" t="str">
        <f>'Ingest Template'!E50</f>
        <v/>
      </c>
      <c r="S50" s="29" t="s">
        <v>153</v>
      </c>
      <c r="T50" s="21" t="str">
        <f>'Ingest Template'!T50</f>
        <v/>
      </c>
      <c r="U50" s="21" t="str">
        <f>'Ingest Template'!S50</f>
        <v/>
      </c>
      <c r="V50" s="21" t="str">
        <f>LOWER(SUBSTITUTE(SUBSTITUTE(SUBSTITUTE(SUBSTITUTE(SUBSTITUTE('Ingest Template'!U50,"https:",""),"www.",""),"/",""),"?hl=en",""),"instagram.com",""))</f>
        <v/>
      </c>
      <c r="W50" s="41" t="str">
        <f t="array" ref="W50">IF('Ingest Template'!V50="",(INDEX(DropDown!$L$2:$L$392,MATCH('Ingest Template'!E50,DropDown!$J$2:$J$392,0))&amp;"|"&amp;'Ingest Template'!B50),(INDEX(DropDown!$L$2:$L$392,MATCH('Ingest Template'!E50,DropDown!$J$2:$J$392,0))&amp;"|"&amp;'Ingest Template'!B50)&amp;CHAR(10)&amp;'Ingest Template'!V50)</f>
        <v>#N/A</v>
      </c>
      <c r="X50" s="41" t="str">
        <f>'Ingest Template'!W50</f>
        <v/>
      </c>
      <c r="Y50" s="21" t="str">
        <f>SUBSTITUTE(SUBSTITUTE(SUBSTITUTE('Ingest Template'!X50,"http:",""),"https:",""),"/","")</f>
        <v/>
      </c>
      <c r="Z50" s="21" t="str">
        <f t="array" ref="Z50">IF('Ingest Template'!A50="Standard",(IF(ISBLANK('Ingest Template'!AA50),"", 'Ingest Template'!AA50&amp;"|DAR")),(IF(ISBLANK('Ingest Template'!AA50),"", 'Ingest Template'!AA50&amp;"|Film Ops")))</f>
        <v/>
      </c>
      <c r="AA50" s="21"/>
      <c r="AB50" s="21" t="str">
        <f>'Ingest Template'!M50</f>
        <v/>
      </c>
      <c r="AC50" s="21" t="str">
        <f>'Ingest Template'!Y50</f>
        <v/>
      </c>
      <c r="AD50" s="21" t="str">
        <f>'Ingest Template'!C50</f>
        <v/>
      </c>
      <c r="AE50" s="21" t="str">
        <f>'Ingest Template'!Z50</f>
        <v/>
      </c>
      <c r="AF50" s="29"/>
      <c r="AG50" s="21" t="str">
        <f t="array" ref="AG50">IF('Ingest Template'!A50="Standard",(CONCATENATE(IF(ISBLANK('Ingest Template'!O50),"", 'Ingest Template'!O50&amp;"|DAR"),CHAR(10), IF(ISBLANK('Ingest Template'!P50),"", 'Ingest Template'!P50&amp;"|DAR"),CHAR(10), IF(ISBLANK('Ingest Template'!Q50),"", 'Ingest Template'!Q50&amp;"|DAR"))),(CONCATENATE(IF(ISBLANK('Ingest Template'!O50),"", 'Ingest Template'!O50&amp;"|Operations - Core Title"),CHAR(10), IF(ISBLANK('Ingest Template'!P50),"", 'Ingest Template'!P50&amp;"|Operations - Core Title"),CHAR(10), IF(ISBLANK('Ingest Template'!Q50),"", 'Ingest Template'!Q50&amp;"|Operations - Core Title"))))</f>
        <v>#|Operations - Core Title
#|Operations - Core Title
</v>
      </c>
      <c r="AH50" s="21"/>
      <c r="AI50" s="21"/>
      <c r="AJ50" s="53" t="str">
        <f>if('Ingest Template'!A50="Standard",'Ingest Template'!N50&amp; "|DAR|DAR|2021-01-01",'Ingest Template'!N50&amp; "|Operations - Core Title|Operations - Core Title")</f>
        <v>#N/A</v>
      </c>
      <c r="AK50" s="53" t="str">
        <f>if('Ingest Template'!A50="Standard",'Ingest Template'!R50&amp; "|2021-01-01",'Ingest Template'!R50)</f>
        <v>#N/A</v>
      </c>
      <c r="AL50" s="21"/>
      <c r="AM50" s="21"/>
    </row>
    <row r="51">
      <c r="A51" s="21"/>
      <c r="B51" s="21" t="str">
        <f>'Ingest Template'!B51&amp;IF('Ingest Template'!A51 = "Standard", " - DAR","")</f>
        <v/>
      </c>
      <c r="C51" s="26" t="s">
        <v>109</v>
      </c>
      <c r="D51" s="29" t="str">
        <f t="array" ref="D51">CONCATENATE(INDEX(DropDown!$H$2:$H$10,MATCH(1,COUNTIF('Ingest Template'!F51,"*"&amp;DropDown!$H$2:$H$10&amp;"*"),0)),CHAR(10),'Ingest Template'!G51)</f>
        <v>#N/A</v>
      </c>
      <c r="E51" s="21" t="str">
        <f>CONCATENATE('Ingest Template'!H51,CHAR(10),'Ingest Template'!I51,CHAR(10),'Ingest Template'!J51)</f>
        <v>
</v>
      </c>
      <c r="F51" s="26" t="str">
        <f>'Ingest Template'!H51</f>
        <v/>
      </c>
      <c r="G51" s="21"/>
      <c r="H51" s="29"/>
      <c r="I51" s="21"/>
      <c r="J51" s="29" t="str">
        <f t="array" ref="J51">iF('Ingest Template'!A51="Standard","Pristine Brand",INDEX(DropDown!$M$2:$M$392,MATCH('Ingest Template'!E51,DropDown!$J$2:$J$392,0)))</f>
        <v>#N/A</v>
      </c>
      <c r="K51" s="21" t="str">
        <f>iF('Ingest Template'!A51="Standard",'Ingest Template'!K51&amp;CHAR(10)&amp;'Ingest Template'!L51,"Competitive View")</f>
        <v>Competitive View</v>
      </c>
      <c r="L51" s="29" t="s">
        <v>146</v>
      </c>
      <c r="M51" s="37" t="str">
        <f>'Ingest Template'!D51</f>
        <v/>
      </c>
      <c r="N51" s="21"/>
      <c r="O51" s="21"/>
      <c r="P51" s="21"/>
      <c r="Q51" s="21"/>
      <c r="R51" s="21" t="str">
        <f>'Ingest Template'!E51</f>
        <v/>
      </c>
      <c r="S51" s="29" t="s">
        <v>153</v>
      </c>
      <c r="T51" s="21" t="str">
        <f>'Ingest Template'!T51</f>
        <v/>
      </c>
      <c r="U51" s="21" t="str">
        <f>'Ingest Template'!S51</f>
        <v/>
      </c>
      <c r="V51" s="21" t="str">
        <f>LOWER(SUBSTITUTE(SUBSTITUTE(SUBSTITUTE(SUBSTITUTE(SUBSTITUTE('Ingest Template'!U51,"https:",""),"www.",""),"/",""),"?hl=en",""),"instagram.com",""))</f>
        <v/>
      </c>
      <c r="W51" s="41" t="str">
        <f t="array" ref="W51">IF('Ingest Template'!V51="",(INDEX(DropDown!$L$2:$L$392,MATCH('Ingest Template'!E51,DropDown!$J$2:$J$392,0))&amp;"|"&amp;'Ingest Template'!B51),(INDEX(DropDown!$L$2:$L$392,MATCH('Ingest Template'!E51,DropDown!$J$2:$J$392,0))&amp;"|"&amp;'Ingest Template'!B51)&amp;CHAR(10)&amp;'Ingest Template'!V51)</f>
        <v>#N/A</v>
      </c>
      <c r="X51" s="41" t="str">
        <f>'Ingest Template'!W51</f>
        <v/>
      </c>
      <c r="Y51" s="21" t="str">
        <f>SUBSTITUTE(SUBSTITUTE(SUBSTITUTE('Ingest Template'!X51,"http:",""),"https:",""),"/","")</f>
        <v/>
      </c>
      <c r="Z51" s="21" t="str">
        <f t="array" ref="Z51">IF('Ingest Template'!A51="Standard",(IF(ISBLANK('Ingest Template'!AA51),"", 'Ingest Template'!AA51&amp;"|DAR")),(IF(ISBLANK('Ingest Template'!AA51),"", 'Ingest Template'!AA51&amp;"|Film Ops")))</f>
        <v/>
      </c>
      <c r="AA51" s="21"/>
      <c r="AB51" s="21" t="str">
        <f>'Ingest Template'!M51</f>
        <v/>
      </c>
      <c r="AC51" s="21" t="str">
        <f>'Ingest Template'!Y51</f>
        <v/>
      </c>
      <c r="AD51" s="21" t="str">
        <f>'Ingest Template'!C51</f>
        <v/>
      </c>
      <c r="AE51" s="21" t="str">
        <f>'Ingest Template'!Z51</f>
        <v/>
      </c>
      <c r="AF51" s="29"/>
      <c r="AG51" s="21" t="str">
        <f t="array" ref="AG51">IF('Ingest Template'!A51="Standard",(CONCATENATE(IF(ISBLANK('Ingest Template'!O51),"", 'Ingest Template'!O51&amp;"|DAR"),CHAR(10), IF(ISBLANK('Ingest Template'!P51),"", 'Ingest Template'!P51&amp;"|DAR"),CHAR(10), IF(ISBLANK('Ingest Template'!Q51),"", 'Ingest Template'!Q51&amp;"|DAR"))),(CONCATENATE(IF(ISBLANK('Ingest Template'!O51),"", 'Ingest Template'!O51&amp;"|Operations - Core Title"),CHAR(10), IF(ISBLANK('Ingest Template'!P51),"", 'Ingest Template'!P51&amp;"|Operations - Core Title"),CHAR(10), IF(ISBLANK('Ingest Template'!Q51),"", 'Ingest Template'!Q51&amp;"|Operations - Core Title"))))</f>
        <v>#|Operations - Core Title
#|Operations - Core Title
</v>
      </c>
      <c r="AH51" s="21"/>
      <c r="AI51" s="21"/>
      <c r="AJ51" s="53" t="str">
        <f>if('Ingest Template'!A51="Standard",'Ingest Template'!N51&amp; "|DAR|DAR|2021-01-01",'Ingest Template'!N51&amp; "|Operations - Core Title|Operations - Core Title")</f>
        <v>#N/A</v>
      </c>
      <c r="AK51" s="53" t="str">
        <f>if('Ingest Template'!A51="Standard",'Ingest Template'!R51&amp; "|2021-01-01",'Ingest Template'!R51)</f>
        <v>#N/A</v>
      </c>
      <c r="AL51" s="21"/>
      <c r="AM51" s="21"/>
    </row>
    <row r="52">
      <c r="A52" s="21"/>
      <c r="B52" s="21" t="str">
        <f>'Ingest Template'!B52&amp;IF('Ingest Template'!A52 = "Standard", " - DAR","")</f>
        <v/>
      </c>
      <c r="C52" s="26" t="s">
        <v>109</v>
      </c>
      <c r="D52" s="29" t="str">
        <f t="array" ref="D52">CONCATENATE(INDEX(DropDown!$H$2:$H$10,MATCH(1,COUNTIF('Ingest Template'!F52,"*"&amp;DropDown!$H$2:$H$10&amp;"*"),0)),CHAR(10),'Ingest Template'!G52)</f>
        <v>#N/A</v>
      </c>
      <c r="E52" s="21" t="str">
        <f>CONCATENATE('Ingest Template'!H52,CHAR(10),'Ingest Template'!I52,CHAR(10),'Ingest Template'!J52)</f>
        <v>
</v>
      </c>
      <c r="F52" s="26" t="str">
        <f>'Ingest Template'!H52</f>
        <v/>
      </c>
      <c r="G52" s="21"/>
      <c r="H52" s="29"/>
      <c r="I52" s="21"/>
      <c r="J52" s="29" t="str">
        <f t="array" ref="J52">iF('Ingest Template'!A52="Standard","Pristine Brand",INDEX(DropDown!$M$2:$M$392,MATCH('Ingest Template'!E52,DropDown!$J$2:$J$392,0)))</f>
        <v>#N/A</v>
      </c>
      <c r="K52" s="21" t="str">
        <f>iF('Ingest Template'!A52="Standard",'Ingest Template'!K52&amp;CHAR(10)&amp;'Ingest Template'!L52,"Competitive View")</f>
        <v>Competitive View</v>
      </c>
      <c r="L52" s="29" t="s">
        <v>146</v>
      </c>
      <c r="M52" s="37" t="str">
        <f>'Ingest Template'!D52</f>
        <v/>
      </c>
      <c r="N52" s="21"/>
      <c r="O52" s="21"/>
      <c r="P52" s="21"/>
      <c r="Q52" s="21"/>
      <c r="R52" s="21" t="str">
        <f>'Ingest Template'!E52</f>
        <v/>
      </c>
      <c r="S52" s="29" t="s">
        <v>153</v>
      </c>
      <c r="T52" s="21" t="str">
        <f>'Ingest Template'!T52</f>
        <v/>
      </c>
      <c r="U52" s="21" t="str">
        <f>'Ingest Template'!S52</f>
        <v/>
      </c>
      <c r="V52" s="21" t="str">
        <f>LOWER(SUBSTITUTE(SUBSTITUTE(SUBSTITUTE(SUBSTITUTE(SUBSTITUTE('Ingest Template'!U52,"https:",""),"www.",""),"/",""),"?hl=en",""),"instagram.com",""))</f>
        <v/>
      </c>
      <c r="W52" s="41" t="str">
        <f t="array" ref="W52">IF('Ingest Template'!V52="",(INDEX(DropDown!$L$2:$L$392,MATCH('Ingest Template'!E52,DropDown!$J$2:$J$392,0))&amp;"|"&amp;'Ingest Template'!B52),(INDEX(DropDown!$L$2:$L$392,MATCH('Ingest Template'!E52,DropDown!$J$2:$J$392,0))&amp;"|"&amp;'Ingest Template'!B52)&amp;CHAR(10)&amp;'Ingest Template'!V52)</f>
        <v>#N/A</v>
      </c>
      <c r="X52" s="41" t="str">
        <f>'Ingest Template'!W52</f>
        <v/>
      </c>
      <c r="Y52" s="21" t="str">
        <f>SUBSTITUTE(SUBSTITUTE(SUBSTITUTE('Ingest Template'!X52,"http:",""),"https:",""),"/","")</f>
        <v/>
      </c>
      <c r="Z52" s="21" t="str">
        <f t="array" ref="Z52">IF('Ingest Template'!A52="Standard",(IF(ISBLANK('Ingest Template'!AA52),"", 'Ingest Template'!AA52&amp;"|DAR")),(IF(ISBLANK('Ingest Template'!AA52),"", 'Ingest Template'!AA52&amp;"|Film Ops")))</f>
        <v/>
      </c>
      <c r="AA52" s="21"/>
      <c r="AB52" s="21" t="str">
        <f>'Ingest Template'!M52</f>
        <v/>
      </c>
      <c r="AC52" s="21" t="str">
        <f>'Ingest Template'!Y52</f>
        <v/>
      </c>
      <c r="AD52" s="21" t="str">
        <f>'Ingest Template'!C52</f>
        <v/>
      </c>
      <c r="AE52" s="21" t="str">
        <f>'Ingest Template'!Z52</f>
        <v/>
      </c>
      <c r="AF52" s="29"/>
      <c r="AG52" s="21" t="str">
        <f t="array" ref="AG52">IF('Ingest Template'!A52="Standard",(CONCATENATE(IF(ISBLANK('Ingest Template'!O52),"", 'Ingest Template'!O52&amp;"|DAR"),CHAR(10), IF(ISBLANK('Ingest Template'!P52),"", 'Ingest Template'!P52&amp;"|DAR"),CHAR(10), IF(ISBLANK('Ingest Template'!Q52),"", 'Ingest Template'!Q52&amp;"|DAR"))),(CONCATENATE(IF(ISBLANK('Ingest Template'!O52),"", 'Ingest Template'!O52&amp;"|Operations - Core Title"),CHAR(10), IF(ISBLANK('Ingest Template'!P52),"", 'Ingest Template'!P52&amp;"|Operations - Core Title"),CHAR(10), IF(ISBLANK('Ingest Template'!Q52),"", 'Ingest Template'!Q52&amp;"|Operations - Core Title"))))</f>
        <v>#|Operations - Core Title
#|Operations - Core Title
</v>
      </c>
      <c r="AH52" s="21"/>
      <c r="AI52" s="21"/>
      <c r="AJ52" s="53" t="str">
        <f>if('Ingest Template'!A52="Standard",'Ingest Template'!N52&amp; "|DAR|DAR|2021-01-01",'Ingest Template'!N52&amp; "|Operations - Core Title|Operations - Core Title")</f>
        <v>#N/A</v>
      </c>
      <c r="AK52" s="53" t="str">
        <f>if('Ingest Template'!A52="Standard",'Ingest Template'!R52&amp; "|2021-01-01",'Ingest Template'!R52)</f>
        <v>#N/A</v>
      </c>
      <c r="AL52" s="21"/>
      <c r="AM52" s="21"/>
    </row>
    <row r="53">
      <c r="A53" s="21"/>
      <c r="B53" s="21" t="str">
        <f>'Ingest Template'!B53&amp;IF('Ingest Template'!A53 = "Standard", " - DAR","")</f>
        <v/>
      </c>
      <c r="C53" s="26" t="s">
        <v>109</v>
      </c>
      <c r="D53" s="29" t="str">
        <f t="array" ref="D53">CONCATENATE(INDEX(DropDown!$H$2:$H$10,MATCH(1,COUNTIF('Ingest Template'!F53,"*"&amp;DropDown!$H$2:$H$10&amp;"*"),0)),CHAR(10),'Ingest Template'!G53)</f>
        <v>#N/A</v>
      </c>
      <c r="E53" s="21" t="str">
        <f>CONCATENATE('Ingest Template'!H53,CHAR(10),'Ingest Template'!I53,CHAR(10),'Ingest Template'!J53)</f>
        <v>
</v>
      </c>
      <c r="F53" s="26" t="str">
        <f>'Ingest Template'!H53</f>
        <v/>
      </c>
      <c r="G53" s="21"/>
      <c r="H53" s="29"/>
      <c r="I53" s="21"/>
      <c r="J53" s="29" t="str">
        <f t="array" ref="J53">iF('Ingest Template'!A53="Standard","Pristine Brand",INDEX(DropDown!$M$2:$M$392,MATCH('Ingest Template'!E53,DropDown!$J$2:$J$392,0)))</f>
        <v>#N/A</v>
      </c>
      <c r="K53" s="21" t="str">
        <f>iF('Ingest Template'!A53="Standard",'Ingest Template'!K53&amp;CHAR(10)&amp;'Ingest Template'!L53,"Competitive View")</f>
        <v>Competitive View</v>
      </c>
      <c r="L53" s="29" t="s">
        <v>146</v>
      </c>
      <c r="M53" s="37" t="str">
        <f>'Ingest Template'!D53</f>
        <v/>
      </c>
      <c r="N53" s="21"/>
      <c r="O53" s="21"/>
      <c r="P53" s="21"/>
      <c r="Q53" s="21"/>
      <c r="R53" s="21" t="str">
        <f>'Ingest Template'!E53</f>
        <v/>
      </c>
      <c r="S53" s="29" t="s">
        <v>153</v>
      </c>
      <c r="T53" s="21" t="str">
        <f>'Ingest Template'!T53</f>
        <v/>
      </c>
      <c r="U53" s="21" t="str">
        <f>'Ingest Template'!S53</f>
        <v/>
      </c>
      <c r="V53" s="21" t="str">
        <f>LOWER(SUBSTITUTE(SUBSTITUTE(SUBSTITUTE(SUBSTITUTE(SUBSTITUTE('Ingest Template'!U53,"https:",""),"www.",""),"/",""),"?hl=en",""),"instagram.com",""))</f>
        <v/>
      </c>
      <c r="W53" s="41" t="str">
        <f t="array" ref="W53">IF('Ingest Template'!V53="",(INDEX(DropDown!$L$2:$L$392,MATCH('Ingest Template'!E53,DropDown!$J$2:$J$392,0))&amp;"|"&amp;'Ingest Template'!B53),(INDEX(DropDown!$L$2:$L$392,MATCH('Ingest Template'!E53,DropDown!$J$2:$J$392,0))&amp;"|"&amp;'Ingest Template'!B53)&amp;CHAR(10)&amp;'Ingest Template'!V53)</f>
        <v>#N/A</v>
      </c>
      <c r="X53" s="41" t="str">
        <f>'Ingest Template'!W53</f>
        <v/>
      </c>
      <c r="Y53" s="21" t="str">
        <f>SUBSTITUTE(SUBSTITUTE(SUBSTITUTE('Ingest Template'!X53,"http:",""),"https:",""),"/","")</f>
        <v/>
      </c>
      <c r="Z53" s="21" t="str">
        <f t="array" ref="Z53">IF('Ingest Template'!A53="Standard",(IF(ISBLANK('Ingest Template'!AA53),"", 'Ingest Template'!AA53&amp;"|DAR")),(IF(ISBLANK('Ingest Template'!AA53),"", 'Ingest Template'!AA53&amp;"|Film Ops")))</f>
        <v/>
      </c>
      <c r="AA53" s="21"/>
      <c r="AB53" s="21" t="str">
        <f>'Ingest Template'!M53</f>
        <v/>
      </c>
      <c r="AC53" s="21" t="str">
        <f>'Ingest Template'!Y53</f>
        <v/>
      </c>
      <c r="AD53" s="21" t="str">
        <f>'Ingest Template'!C53</f>
        <v/>
      </c>
      <c r="AE53" s="21" t="str">
        <f>'Ingest Template'!Z53</f>
        <v/>
      </c>
      <c r="AF53" s="29"/>
      <c r="AG53" s="21" t="str">
        <f t="array" ref="AG53">IF('Ingest Template'!A53="Standard",(CONCATENATE(IF(ISBLANK('Ingest Template'!O53),"", 'Ingest Template'!O53&amp;"|DAR"),CHAR(10), IF(ISBLANK('Ingest Template'!P53),"", 'Ingest Template'!P53&amp;"|DAR"),CHAR(10), IF(ISBLANK('Ingest Template'!Q53),"", 'Ingest Template'!Q53&amp;"|DAR"))),(CONCATENATE(IF(ISBLANK('Ingest Template'!O53),"", 'Ingest Template'!O53&amp;"|Operations - Core Title"),CHAR(10), IF(ISBLANK('Ingest Template'!P53),"", 'Ingest Template'!P53&amp;"|Operations - Core Title"),CHAR(10), IF(ISBLANK('Ingest Template'!Q53),"", 'Ingest Template'!Q53&amp;"|Operations - Core Title"))))</f>
        <v>#|Operations - Core Title
#|Operations - Core Title
</v>
      </c>
      <c r="AH53" s="21"/>
      <c r="AI53" s="21"/>
      <c r="AJ53" s="53" t="str">
        <f>if('Ingest Template'!A53="Standard",'Ingest Template'!N53&amp; "|DAR|DAR|2021-01-01",'Ingest Template'!N53&amp; "|Operations - Core Title|Operations - Core Title")</f>
        <v>#N/A</v>
      </c>
      <c r="AK53" s="53" t="str">
        <f>if('Ingest Template'!A53="Standard",'Ingest Template'!R53&amp; "|2021-01-01",'Ingest Template'!R53)</f>
        <v>#N/A</v>
      </c>
      <c r="AL53" s="21"/>
      <c r="AM53" s="21"/>
    </row>
    <row r="54">
      <c r="A54" s="21"/>
      <c r="B54" s="21" t="str">
        <f>'Ingest Template'!B54&amp;IF('Ingest Template'!A54 = "Standard", " - DAR","")</f>
        <v/>
      </c>
      <c r="C54" s="26" t="s">
        <v>109</v>
      </c>
      <c r="D54" s="29" t="str">
        <f t="array" ref="D54">CONCATENATE(INDEX(DropDown!$H$2:$H$10,MATCH(1,COUNTIF('Ingest Template'!F54,"*"&amp;DropDown!$H$2:$H$10&amp;"*"),0)),CHAR(10),'Ingest Template'!G54)</f>
        <v>#N/A</v>
      </c>
      <c r="E54" s="21" t="str">
        <f>CONCATENATE('Ingest Template'!H54,CHAR(10),'Ingest Template'!I54,CHAR(10),'Ingest Template'!J54)</f>
        <v>
</v>
      </c>
      <c r="F54" s="26" t="str">
        <f>'Ingest Template'!H54</f>
        <v/>
      </c>
      <c r="G54" s="21"/>
      <c r="H54" s="29"/>
      <c r="I54" s="21"/>
      <c r="J54" s="29" t="str">
        <f t="array" ref="J54">iF('Ingest Template'!A54="Standard","Pristine Brand",INDEX(DropDown!$M$2:$M$392,MATCH('Ingest Template'!E54,DropDown!$J$2:$J$392,0)))</f>
        <v>#N/A</v>
      </c>
      <c r="K54" s="21" t="str">
        <f>iF('Ingest Template'!A54="Standard",'Ingest Template'!K54&amp;CHAR(10)&amp;'Ingest Template'!L54,"Competitive View")</f>
        <v>Competitive View</v>
      </c>
      <c r="L54" s="29" t="s">
        <v>146</v>
      </c>
      <c r="M54" s="37" t="str">
        <f>'Ingest Template'!D54</f>
        <v/>
      </c>
      <c r="N54" s="21"/>
      <c r="O54" s="21"/>
      <c r="P54" s="21"/>
      <c r="Q54" s="21"/>
      <c r="R54" s="21" t="str">
        <f>'Ingest Template'!E54</f>
        <v/>
      </c>
      <c r="S54" s="29" t="s">
        <v>153</v>
      </c>
      <c r="T54" s="21" t="str">
        <f>'Ingest Template'!T54</f>
        <v/>
      </c>
      <c r="U54" s="21" t="str">
        <f>'Ingest Template'!S54</f>
        <v/>
      </c>
      <c r="V54" s="21" t="str">
        <f>LOWER(SUBSTITUTE(SUBSTITUTE(SUBSTITUTE(SUBSTITUTE(SUBSTITUTE('Ingest Template'!U54,"https:",""),"www.",""),"/",""),"?hl=en",""),"instagram.com",""))</f>
        <v/>
      </c>
      <c r="W54" s="41" t="str">
        <f t="array" ref="W54">IF('Ingest Template'!V54="",(INDEX(DropDown!$L$2:$L$392,MATCH('Ingest Template'!E54,DropDown!$J$2:$J$392,0))&amp;"|"&amp;'Ingest Template'!B54),(INDEX(DropDown!$L$2:$L$392,MATCH('Ingest Template'!E54,DropDown!$J$2:$J$392,0))&amp;"|"&amp;'Ingest Template'!B54)&amp;CHAR(10)&amp;'Ingest Template'!V54)</f>
        <v>#N/A</v>
      </c>
      <c r="X54" s="41" t="str">
        <f>'Ingest Template'!W54</f>
        <v/>
      </c>
      <c r="Y54" s="21" t="str">
        <f>SUBSTITUTE(SUBSTITUTE(SUBSTITUTE('Ingest Template'!X54,"http:",""),"https:",""),"/","")</f>
        <v/>
      </c>
      <c r="Z54" s="21" t="str">
        <f t="array" ref="Z54">IF('Ingest Template'!A54="Standard",(IF(ISBLANK('Ingest Template'!AA54),"", 'Ingest Template'!AA54&amp;"|DAR")),(IF(ISBLANK('Ingest Template'!AA54),"", 'Ingest Template'!AA54&amp;"|Film Ops")))</f>
        <v/>
      </c>
      <c r="AA54" s="21"/>
      <c r="AB54" s="21" t="str">
        <f>'Ingest Template'!M54</f>
        <v/>
      </c>
      <c r="AC54" s="21" t="str">
        <f>'Ingest Template'!Y54</f>
        <v/>
      </c>
      <c r="AD54" s="21" t="str">
        <f>'Ingest Template'!C54</f>
        <v/>
      </c>
      <c r="AE54" s="21" t="str">
        <f>'Ingest Template'!Z54</f>
        <v/>
      </c>
      <c r="AF54" s="29"/>
      <c r="AG54" s="21" t="str">
        <f t="array" ref="AG54">IF('Ingest Template'!A54="Standard",(CONCATENATE(IF(ISBLANK('Ingest Template'!O54),"", 'Ingest Template'!O54&amp;"|DAR"),CHAR(10), IF(ISBLANK('Ingest Template'!P54),"", 'Ingest Template'!P54&amp;"|DAR"),CHAR(10), IF(ISBLANK('Ingest Template'!Q54),"", 'Ingest Template'!Q54&amp;"|DAR"))),(CONCATENATE(IF(ISBLANK('Ingest Template'!O54),"", 'Ingest Template'!O54&amp;"|Operations - Core Title"),CHAR(10), IF(ISBLANK('Ingest Template'!P54),"", 'Ingest Template'!P54&amp;"|Operations - Core Title"),CHAR(10), IF(ISBLANK('Ingest Template'!Q54),"", 'Ingest Template'!Q54&amp;"|Operations - Core Title"))))</f>
        <v>#|Operations - Core Title
#|Operations - Core Title
</v>
      </c>
      <c r="AH54" s="21"/>
      <c r="AI54" s="21"/>
      <c r="AJ54" s="53" t="str">
        <f>if('Ingest Template'!A54="Standard",'Ingest Template'!N54&amp; "|DAR|DAR|2021-01-01",'Ingest Template'!N54&amp; "|Operations - Core Title|Operations - Core Title")</f>
        <v>#N/A</v>
      </c>
      <c r="AK54" s="53" t="str">
        <f>if('Ingest Template'!A54="Standard",'Ingest Template'!R54&amp; "|2021-01-01",'Ingest Template'!R54)</f>
        <v>#N/A</v>
      </c>
      <c r="AL54" s="21"/>
      <c r="AM54" s="21"/>
    </row>
    <row r="55">
      <c r="A55" s="21"/>
      <c r="B55" s="21" t="str">
        <f>'Ingest Template'!B55&amp;IF('Ingest Template'!A55 = "Standard", " - DAR","")</f>
        <v/>
      </c>
      <c r="C55" s="26" t="s">
        <v>109</v>
      </c>
      <c r="D55" s="29" t="str">
        <f t="array" ref="D55">CONCATENATE(INDEX(DropDown!$H$2:$H$10,MATCH(1,COUNTIF('Ingest Template'!F55,"*"&amp;DropDown!$H$2:$H$10&amp;"*"),0)),CHAR(10),'Ingest Template'!G55)</f>
        <v>#N/A</v>
      </c>
      <c r="E55" s="21" t="str">
        <f>CONCATENATE('Ingest Template'!H55,CHAR(10),'Ingest Template'!I55,CHAR(10),'Ingest Template'!J55)</f>
        <v>
</v>
      </c>
      <c r="F55" s="26" t="str">
        <f>'Ingest Template'!H55</f>
        <v/>
      </c>
      <c r="G55" s="21"/>
      <c r="H55" s="29"/>
      <c r="I55" s="21"/>
      <c r="J55" s="29" t="str">
        <f t="array" ref="J55">iF('Ingest Template'!A55="Standard","Pristine Brand",INDEX(DropDown!$M$2:$M$392,MATCH('Ingest Template'!E55,DropDown!$J$2:$J$392,0)))</f>
        <v>#N/A</v>
      </c>
      <c r="K55" s="21" t="str">
        <f>iF('Ingest Template'!A55="Standard",'Ingest Template'!K55&amp;CHAR(10)&amp;'Ingest Template'!L55,"Competitive View")</f>
        <v>Competitive View</v>
      </c>
      <c r="L55" s="29" t="s">
        <v>146</v>
      </c>
      <c r="M55" s="37" t="str">
        <f>'Ingest Template'!D55</f>
        <v/>
      </c>
      <c r="N55" s="21"/>
      <c r="O55" s="21"/>
      <c r="P55" s="21"/>
      <c r="Q55" s="21"/>
      <c r="R55" s="21" t="str">
        <f>'Ingest Template'!E55</f>
        <v/>
      </c>
      <c r="S55" s="29" t="s">
        <v>153</v>
      </c>
      <c r="T55" s="21" t="str">
        <f>'Ingest Template'!T55</f>
        <v/>
      </c>
      <c r="U55" s="21" t="str">
        <f>'Ingest Template'!S55</f>
        <v/>
      </c>
      <c r="V55" s="21" t="str">
        <f>LOWER(SUBSTITUTE(SUBSTITUTE(SUBSTITUTE(SUBSTITUTE(SUBSTITUTE('Ingest Template'!U55,"https:",""),"www.",""),"/",""),"?hl=en",""),"instagram.com",""))</f>
        <v/>
      </c>
      <c r="W55" s="41" t="str">
        <f t="array" ref="W55">IF('Ingest Template'!V55="",(INDEX(DropDown!$L$2:$L$392,MATCH('Ingest Template'!E55,DropDown!$J$2:$J$392,0))&amp;"|"&amp;'Ingest Template'!B55),(INDEX(DropDown!$L$2:$L$392,MATCH('Ingest Template'!E55,DropDown!$J$2:$J$392,0))&amp;"|"&amp;'Ingest Template'!B55)&amp;CHAR(10)&amp;'Ingest Template'!V55)</f>
        <v>#N/A</v>
      </c>
      <c r="X55" s="41" t="str">
        <f>'Ingest Template'!W55</f>
        <v/>
      </c>
      <c r="Y55" s="21" t="str">
        <f>SUBSTITUTE(SUBSTITUTE(SUBSTITUTE('Ingest Template'!X55,"http:",""),"https:",""),"/","")</f>
        <v/>
      </c>
      <c r="Z55" s="21" t="str">
        <f t="array" ref="Z55">IF('Ingest Template'!A55="Standard",(IF(ISBLANK('Ingest Template'!AA55),"", 'Ingest Template'!AA55&amp;"|DAR")),(IF(ISBLANK('Ingest Template'!AA55),"", 'Ingest Template'!AA55&amp;"|Film Ops")))</f>
        <v/>
      </c>
      <c r="AA55" s="21"/>
      <c r="AB55" s="21" t="str">
        <f>'Ingest Template'!M55</f>
        <v/>
      </c>
      <c r="AC55" s="21" t="str">
        <f>'Ingest Template'!Y55</f>
        <v/>
      </c>
      <c r="AD55" s="21" t="str">
        <f>'Ingest Template'!C55</f>
        <v/>
      </c>
      <c r="AE55" s="21" t="str">
        <f>'Ingest Template'!Z55</f>
        <v/>
      </c>
      <c r="AF55" s="29"/>
      <c r="AG55" s="21" t="str">
        <f t="array" ref="AG55">IF('Ingest Template'!A55="Standard",(CONCATENATE(IF(ISBLANK('Ingest Template'!O55),"", 'Ingest Template'!O55&amp;"|DAR"),CHAR(10), IF(ISBLANK('Ingest Template'!P55),"", 'Ingest Template'!P55&amp;"|DAR"),CHAR(10), IF(ISBLANK('Ingest Template'!Q55),"", 'Ingest Template'!Q55&amp;"|DAR"))),(CONCATENATE(IF(ISBLANK('Ingest Template'!O55),"", 'Ingest Template'!O55&amp;"|Operations - Core Title"),CHAR(10), IF(ISBLANK('Ingest Template'!P55),"", 'Ingest Template'!P55&amp;"|Operations - Core Title"),CHAR(10), IF(ISBLANK('Ingest Template'!Q55),"", 'Ingest Template'!Q55&amp;"|Operations - Core Title"))))</f>
        <v>#|Operations - Core Title
#|Operations - Core Title
</v>
      </c>
      <c r="AH55" s="21"/>
      <c r="AI55" s="21"/>
      <c r="AJ55" s="53" t="str">
        <f>if('Ingest Template'!A55="Standard",'Ingest Template'!N55&amp; "|DAR|DAR|2021-01-01",'Ingest Template'!N55&amp; "|Operations - Core Title|Operations - Core Title")</f>
        <v>#N/A</v>
      </c>
      <c r="AK55" s="53" t="str">
        <f>if('Ingest Template'!A55="Standard",'Ingest Template'!R55&amp; "|2021-01-01",'Ingest Template'!R55)</f>
        <v>#N/A</v>
      </c>
      <c r="AL55" s="21"/>
      <c r="AM55" s="21"/>
    </row>
    <row r="56">
      <c r="A56" s="21"/>
      <c r="B56" s="21" t="str">
        <f>'Ingest Template'!B56&amp;IF('Ingest Template'!A56 = "Standard", " - DAR","")</f>
        <v/>
      </c>
      <c r="C56" s="26" t="s">
        <v>109</v>
      </c>
      <c r="D56" s="29" t="str">
        <f t="array" ref="D56">CONCATENATE(INDEX(DropDown!$H$2:$H$10,MATCH(1,COUNTIF('Ingest Template'!F56,"*"&amp;DropDown!$H$2:$H$10&amp;"*"),0)),CHAR(10),'Ingest Template'!G56)</f>
        <v>#N/A</v>
      </c>
      <c r="E56" s="21" t="str">
        <f>CONCATENATE('Ingest Template'!H56,CHAR(10),'Ingest Template'!I56,CHAR(10),'Ingest Template'!J56)</f>
        <v>
</v>
      </c>
      <c r="F56" s="26" t="str">
        <f>'Ingest Template'!H56</f>
        <v/>
      </c>
      <c r="G56" s="21"/>
      <c r="H56" s="29"/>
      <c r="I56" s="21"/>
      <c r="J56" s="29" t="str">
        <f t="array" ref="J56">iF('Ingest Template'!A56="Standard","Pristine Brand",INDEX(DropDown!$M$2:$M$392,MATCH('Ingest Template'!E56,DropDown!$J$2:$J$392,0)))</f>
        <v>#N/A</v>
      </c>
      <c r="K56" s="21" t="str">
        <f>iF('Ingest Template'!A56="Standard",'Ingest Template'!K56&amp;CHAR(10)&amp;'Ingest Template'!L56,"Competitive View")</f>
        <v>Competitive View</v>
      </c>
      <c r="L56" s="29" t="s">
        <v>146</v>
      </c>
      <c r="M56" s="37" t="str">
        <f>'Ingest Template'!D56</f>
        <v/>
      </c>
      <c r="N56" s="21"/>
      <c r="O56" s="21"/>
      <c r="P56" s="21"/>
      <c r="Q56" s="21"/>
      <c r="R56" s="21" t="str">
        <f>'Ingest Template'!E56</f>
        <v/>
      </c>
      <c r="S56" s="29" t="s">
        <v>153</v>
      </c>
      <c r="T56" s="21" t="str">
        <f>'Ingest Template'!T56</f>
        <v/>
      </c>
      <c r="U56" s="21" t="str">
        <f>'Ingest Template'!S56</f>
        <v/>
      </c>
      <c r="V56" s="21" t="str">
        <f>LOWER(SUBSTITUTE(SUBSTITUTE(SUBSTITUTE(SUBSTITUTE(SUBSTITUTE('Ingest Template'!U56,"https:",""),"www.",""),"/",""),"?hl=en",""),"instagram.com",""))</f>
        <v/>
      </c>
      <c r="W56" s="41" t="str">
        <f t="array" ref="W56">IF('Ingest Template'!V56="",(INDEX(DropDown!$L$2:$L$392,MATCH('Ingest Template'!E56,DropDown!$J$2:$J$392,0))&amp;"|"&amp;'Ingest Template'!B56),(INDEX(DropDown!$L$2:$L$392,MATCH('Ingest Template'!E56,DropDown!$J$2:$J$392,0))&amp;"|"&amp;'Ingest Template'!B56)&amp;CHAR(10)&amp;'Ingest Template'!V56)</f>
        <v>#N/A</v>
      </c>
      <c r="X56" s="41" t="str">
        <f>'Ingest Template'!W56</f>
        <v/>
      </c>
      <c r="Y56" s="21" t="str">
        <f>SUBSTITUTE(SUBSTITUTE(SUBSTITUTE('Ingest Template'!X56,"http:",""),"https:",""),"/","")</f>
        <v/>
      </c>
      <c r="Z56" s="21" t="str">
        <f t="array" ref="Z56">IF('Ingest Template'!A56="Standard",(IF(ISBLANK('Ingest Template'!AA56),"", 'Ingest Template'!AA56&amp;"|DAR")),(IF(ISBLANK('Ingest Template'!AA56),"", 'Ingest Template'!AA56&amp;"|Film Ops")))</f>
        <v/>
      </c>
      <c r="AA56" s="21"/>
      <c r="AB56" s="21" t="str">
        <f>'Ingest Template'!M56</f>
        <v/>
      </c>
      <c r="AC56" s="21" t="str">
        <f>'Ingest Template'!Y56</f>
        <v/>
      </c>
      <c r="AD56" s="21" t="str">
        <f>'Ingest Template'!C56</f>
        <v/>
      </c>
      <c r="AE56" s="21" t="str">
        <f>'Ingest Template'!Z56</f>
        <v/>
      </c>
      <c r="AF56" s="29"/>
      <c r="AG56" s="21" t="str">
        <f t="array" ref="AG56">IF('Ingest Template'!A56="Standard",(CONCATENATE(IF(ISBLANK('Ingest Template'!O56),"", 'Ingest Template'!O56&amp;"|DAR"),CHAR(10), IF(ISBLANK('Ingest Template'!P56),"", 'Ingest Template'!P56&amp;"|DAR"),CHAR(10), IF(ISBLANK('Ingest Template'!Q56),"", 'Ingest Template'!Q56&amp;"|DAR"))),(CONCATENATE(IF(ISBLANK('Ingest Template'!O56),"", 'Ingest Template'!O56&amp;"|Operations - Core Title"),CHAR(10), IF(ISBLANK('Ingest Template'!P56),"", 'Ingest Template'!P56&amp;"|Operations - Core Title"),CHAR(10), IF(ISBLANK('Ingest Template'!Q56),"", 'Ingest Template'!Q56&amp;"|Operations - Core Title"))))</f>
        <v>#|Operations - Core Title
#|Operations - Core Title
</v>
      </c>
      <c r="AH56" s="21"/>
      <c r="AI56" s="21"/>
      <c r="AJ56" s="53" t="str">
        <f>if('Ingest Template'!A56="Standard",'Ingest Template'!N56&amp; "|DAR|DAR|2021-01-01",'Ingest Template'!N56&amp; "|Operations - Core Title|Operations - Core Title")</f>
        <v>#N/A</v>
      </c>
      <c r="AK56" s="53" t="str">
        <f>if('Ingest Template'!A56="Standard",'Ingest Template'!R56&amp; "|2021-01-01",'Ingest Template'!R56)</f>
        <v>#N/A</v>
      </c>
      <c r="AL56" s="21"/>
      <c r="AM56" s="21"/>
    </row>
    <row r="57">
      <c r="A57" s="21"/>
      <c r="B57" s="21" t="str">
        <f>'Ingest Template'!B57&amp;IF('Ingest Template'!A57 = "Standard", " - DAR","")</f>
        <v/>
      </c>
      <c r="C57" s="26" t="s">
        <v>109</v>
      </c>
      <c r="D57" s="29" t="str">
        <f t="array" ref="D57">CONCATENATE(INDEX(DropDown!$H$2:$H$10,MATCH(1,COUNTIF('Ingest Template'!F57,"*"&amp;DropDown!$H$2:$H$10&amp;"*"),0)),CHAR(10),'Ingest Template'!G57)</f>
        <v>#N/A</v>
      </c>
      <c r="E57" s="21" t="str">
        <f>CONCATENATE('Ingest Template'!H57,CHAR(10),'Ingest Template'!I57,CHAR(10),'Ingest Template'!J57)</f>
        <v>
</v>
      </c>
      <c r="F57" s="26" t="str">
        <f>'Ingest Template'!H57</f>
        <v/>
      </c>
      <c r="G57" s="21"/>
      <c r="H57" s="29"/>
      <c r="I57" s="21"/>
      <c r="J57" s="29" t="str">
        <f t="array" ref="J57">iF('Ingest Template'!A57="Standard","Pristine Brand",INDEX(DropDown!$M$2:$M$392,MATCH('Ingest Template'!E57,DropDown!$J$2:$J$392,0)))</f>
        <v>#N/A</v>
      </c>
      <c r="K57" s="21" t="str">
        <f>iF('Ingest Template'!A57="Standard",'Ingest Template'!K57&amp;CHAR(10)&amp;'Ingest Template'!L57,"Competitive View")</f>
        <v>Competitive View</v>
      </c>
      <c r="L57" s="29" t="s">
        <v>146</v>
      </c>
      <c r="M57" s="37" t="str">
        <f>'Ingest Template'!D57</f>
        <v/>
      </c>
      <c r="N57" s="21"/>
      <c r="O57" s="21"/>
      <c r="P57" s="21"/>
      <c r="Q57" s="21"/>
      <c r="R57" s="21" t="str">
        <f>'Ingest Template'!E57</f>
        <v/>
      </c>
      <c r="S57" s="29" t="s">
        <v>153</v>
      </c>
      <c r="T57" s="21" t="str">
        <f>'Ingest Template'!T57</f>
        <v/>
      </c>
      <c r="U57" s="21" t="str">
        <f>'Ingest Template'!S57</f>
        <v/>
      </c>
      <c r="V57" s="21" t="str">
        <f>LOWER(SUBSTITUTE(SUBSTITUTE(SUBSTITUTE(SUBSTITUTE(SUBSTITUTE('Ingest Template'!U57,"https:",""),"www.",""),"/",""),"?hl=en",""),"instagram.com",""))</f>
        <v/>
      </c>
      <c r="W57" s="41" t="str">
        <f t="array" ref="W57">IF('Ingest Template'!V57="",(INDEX(DropDown!$L$2:$L$392,MATCH('Ingest Template'!E57,DropDown!$J$2:$J$392,0))&amp;"|"&amp;'Ingest Template'!B57),(INDEX(DropDown!$L$2:$L$392,MATCH('Ingest Template'!E57,DropDown!$J$2:$J$392,0))&amp;"|"&amp;'Ingest Template'!B57)&amp;CHAR(10)&amp;'Ingest Template'!V57)</f>
        <v>#N/A</v>
      </c>
      <c r="X57" s="41" t="str">
        <f>'Ingest Template'!W57</f>
        <v/>
      </c>
      <c r="Y57" s="21" t="str">
        <f>SUBSTITUTE(SUBSTITUTE(SUBSTITUTE('Ingest Template'!X57,"http:",""),"https:",""),"/","")</f>
        <v/>
      </c>
      <c r="Z57" s="21" t="str">
        <f t="array" ref="Z57">IF('Ingest Template'!A57="Standard",(IF(ISBLANK('Ingest Template'!AA57),"", 'Ingest Template'!AA57&amp;"|DAR")),(IF(ISBLANK('Ingest Template'!AA57),"", 'Ingest Template'!AA57&amp;"|Film Ops")))</f>
        <v/>
      </c>
      <c r="AA57" s="21"/>
      <c r="AB57" s="21" t="str">
        <f>'Ingest Template'!M57</f>
        <v/>
      </c>
      <c r="AC57" s="21" t="str">
        <f>'Ingest Template'!Y57</f>
        <v/>
      </c>
      <c r="AD57" s="21" t="str">
        <f>'Ingest Template'!C57</f>
        <v/>
      </c>
      <c r="AE57" s="21" t="str">
        <f>'Ingest Template'!Z57</f>
        <v/>
      </c>
      <c r="AF57" s="29"/>
      <c r="AG57" s="21" t="str">
        <f t="array" ref="AG57">IF('Ingest Template'!A57="Standard",(CONCATENATE(IF(ISBLANK('Ingest Template'!O57),"", 'Ingest Template'!O57&amp;"|DAR"),CHAR(10), IF(ISBLANK('Ingest Template'!P57),"", 'Ingest Template'!P57&amp;"|DAR"),CHAR(10), IF(ISBLANK('Ingest Template'!Q57),"", 'Ingest Template'!Q57&amp;"|DAR"))),(CONCATENATE(IF(ISBLANK('Ingest Template'!O57),"", 'Ingest Template'!O57&amp;"|Operations - Core Title"),CHAR(10), IF(ISBLANK('Ingest Template'!P57),"", 'Ingest Template'!P57&amp;"|Operations - Core Title"),CHAR(10), IF(ISBLANK('Ingest Template'!Q57),"", 'Ingest Template'!Q57&amp;"|Operations - Core Title"))))</f>
        <v>#|Operations - Core Title
#|Operations - Core Title
</v>
      </c>
      <c r="AH57" s="21"/>
      <c r="AI57" s="21"/>
      <c r="AJ57" s="53" t="str">
        <f>if('Ingest Template'!A57="Standard",'Ingest Template'!N57&amp; "|DAR|DAR|2021-01-01",'Ingest Template'!N57&amp; "|Operations - Core Title|Operations - Core Title")</f>
        <v>#N/A</v>
      </c>
      <c r="AK57" s="53" t="str">
        <f>if('Ingest Template'!A57="Standard",'Ingest Template'!R57&amp; "|2021-01-01",'Ingest Template'!R57)</f>
        <v>#N/A</v>
      </c>
      <c r="AL57" s="21"/>
      <c r="AM57" s="21"/>
    </row>
    <row r="58">
      <c r="A58" s="21"/>
      <c r="B58" s="21" t="str">
        <f>'Ingest Template'!B58&amp;IF('Ingest Template'!A58 = "Standard", " - DAR","")</f>
        <v/>
      </c>
      <c r="C58" s="26" t="s">
        <v>109</v>
      </c>
      <c r="D58" s="29" t="str">
        <f t="array" ref="D58">CONCATENATE(INDEX(DropDown!$H$2:$H$10,MATCH(1,COUNTIF('Ingest Template'!F58,"*"&amp;DropDown!$H$2:$H$10&amp;"*"),0)),CHAR(10),'Ingest Template'!G58)</f>
        <v>#N/A</v>
      </c>
      <c r="E58" s="21" t="str">
        <f>CONCATENATE('Ingest Template'!H58,CHAR(10),'Ingest Template'!I58,CHAR(10),'Ingest Template'!J58)</f>
        <v>
</v>
      </c>
      <c r="F58" s="26" t="str">
        <f>'Ingest Template'!H58</f>
        <v/>
      </c>
      <c r="G58" s="21"/>
      <c r="H58" s="29"/>
      <c r="I58" s="21"/>
      <c r="J58" s="29" t="str">
        <f t="array" ref="J58">iF('Ingest Template'!A58="Standard","Pristine Brand",INDEX(DropDown!$M$2:$M$392,MATCH('Ingest Template'!E58,DropDown!$J$2:$J$392,0)))</f>
        <v>#N/A</v>
      </c>
      <c r="K58" s="21" t="str">
        <f>iF('Ingest Template'!A58="Standard",'Ingest Template'!K58&amp;CHAR(10)&amp;'Ingest Template'!L58,"Competitive View")</f>
        <v>Competitive View</v>
      </c>
      <c r="L58" s="29" t="s">
        <v>146</v>
      </c>
      <c r="M58" s="37" t="str">
        <f>'Ingest Template'!D58</f>
        <v/>
      </c>
      <c r="N58" s="21"/>
      <c r="O58" s="21"/>
      <c r="P58" s="21"/>
      <c r="Q58" s="21"/>
      <c r="R58" s="21" t="str">
        <f>'Ingest Template'!E58</f>
        <v/>
      </c>
      <c r="S58" s="29" t="s">
        <v>153</v>
      </c>
      <c r="T58" s="21" t="str">
        <f>'Ingest Template'!T58</f>
        <v/>
      </c>
      <c r="U58" s="21" t="str">
        <f>'Ingest Template'!S58</f>
        <v/>
      </c>
      <c r="V58" s="21" t="str">
        <f>LOWER(SUBSTITUTE(SUBSTITUTE(SUBSTITUTE(SUBSTITUTE(SUBSTITUTE('Ingest Template'!U58,"https:",""),"www.",""),"/",""),"?hl=en",""),"instagram.com",""))</f>
        <v/>
      </c>
      <c r="W58" s="41" t="str">
        <f t="array" ref="W58">IF('Ingest Template'!V58="",(INDEX(DropDown!$L$2:$L$392,MATCH('Ingest Template'!E58,DropDown!$J$2:$J$392,0))&amp;"|"&amp;'Ingest Template'!B58),(INDEX(DropDown!$L$2:$L$392,MATCH('Ingest Template'!E58,DropDown!$J$2:$J$392,0))&amp;"|"&amp;'Ingest Template'!B58)&amp;CHAR(10)&amp;'Ingest Template'!V58)</f>
        <v>#N/A</v>
      </c>
      <c r="X58" s="41" t="str">
        <f>'Ingest Template'!W58</f>
        <v/>
      </c>
      <c r="Y58" s="21" t="str">
        <f>SUBSTITUTE(SUBSTITUTE(SUBSTITUTE('Ingest Template'!X58,"http:",""),"https:",""),"/","")</f>
        <v/>
      </c>
      <c r="Z58" s="21" t="str">
        <f t="array" ref="Z58">IF('Ingest Template'!A58="Standard",(IF(ISBLANK('Ingest Template'!AA58),"", 'Ingest Template'!AA58&amp;"|DAR")),(IF(ISBLANK('Ingest Template'!AA58),"", 'Ingest Template'!AA58&amp;"|Film Ops")))</f>
        <v/>
      </c>
      <c r="AA58" s="21"/>
      <c r="AB58" s="21" t="str">
        <f>'Ingest Template'!M58</f>
        <v/>
      </c>
      <c r="AC58" s="21" t="str">
        <f>'Ingest Template'!Y58</f>
        <v/>
      </c>
      <c r="AD58" s="21" t="str">
        <f>'Ingest Template'!C58</f>
        <v/>
      </c>
      <c r="AE58" s="21" t="str">
        <f>'Ingest Template'!Z58</f>
        <v/>
      </c>
      <c r="AF58" s="29"/>
      <c r="AG58" s="21" t="str">
        <f t="array" ref="AG58">IF('Ingest Template'!A58="Standard",(CONCATENATE(IF(ISBLANK('Ingest Template'!O58),"", 'Ingest Template'!O58&amp;"|DAR"),CHAR(10), IF(ISBLANK('Ingest Template'!P58),"", 'Ingest Template'!P58&amp;"|DAR"),CHAR(10), IF(ISBLANK('Ingest Template'!Q58),"", 'Ingest Template'!Q58&amp;"|DAR"))),(CONCATENATE(IF(ISBLANK('Ingest Template'!O58),"", 'Ingest Template'!O58&amp;"|Operations - Core Title"),CHAR(10), IF(ISBLANK('Ingest Template'!P58),"", 'Ingest Template'!P58&amp;"|Operations - Core Title"),CHAR(10), IF(ISBLANK('Ingest Template'!Q58),"", 'Ingest Template'!Q58&amp;"|Operations - Core Title"))))</f>
        <v>#|Operations - Core Title
#|Operations - Core Title
</v>
      </c>
      <c r="AH58" s="21"/>
      <c r="AI58" s="21"/>
      <c r="AJ58" s="53" t="str">
        <f>if('Ingest Template'!A58="Standard",'Ingest Template'!N58&amp; "|DAR|DAR|2021-01-01",'Ingest Template'!N58&amp; "|Operations - Core Title|Operations - Core Title")</f>
        <v>#N/A</v>
      </c>
      <c r="AK58" s="53" t="str">
        <f>if('Ingest Template'!A58="Standard",'Ingest Template'!R58&amp; "|2021-01-01",'Ingest Template'!R58)</f>
        <v>#N/A</v>
      </c>
      <c r="AL58" s="21"/>
      <c r="AM58" s="21"/>
    </row>
    <row r="59">
      <c r="A59" s="21"/>
      <c r="B59" s="21" t="str">
        <f>'Ingest Template'!B59&amp;IF('Ingest Template'!A59 = "Standard", " - DAR","")</f>
        <v/>
      </c>
      <c r="C59" s="26" t="s">
        <v>109</v>
      </c>
      <c r="D59" s="29" t="str">
        <f t="array" ref="D59">CONCATENATE(INDEX(DropDown!$H$2:$H$10,MATCH(1,COUNTIF('Ingest Template'!F59,"*"&amp;DropDown!$H$2:$H$10&amp;"*"),0)),CHAR(10),'Ingest Template'!G59)</f>
        <v>#N/A</v>
      </c>
      <c r="E59" s="21" t="str">
        <f>CONCATENATE('Ingest Template'!H59,CHAR(10),'Ingest Template'!I59,CHAR(10),'Ingest Template'!J59)</f>
        <v>
</v>
      </c>
      <c r="F59" s="26" t="str">
        <f>'Ingest Template'!H59</f>
        <v/>
      </c>
      <c r="G59" s="21"/>
      <c r="H59" s="29"/>
      <c r="I59" s="21"/>
      <c r="J59" s="29" t="str">
        <f t="array" ref="J59">iF('Ingest Template'!A59="Standard","Pristine Brand",INDEX(DropDown!$M$2:$M$392,MATCH('Ingest Template'!E59,DropDown!$J$2:$J$392,0)))</f>
        <v>#N/A</v>
      </c>
      <c r="K59" s="21" t="str">
        <f>iF('Ingest Template'!A59="Standard",'Ingest Template'!K59&amp;CHAR(10)&amp;'Ingest Template'!L59,"Competitive View")</f>
        <v>Competitive View</v>
      </c>
      <c r="L59" s="29" t="s">
        <v>146</v>
      </c>
      <c r="M59" s="37" t="str">
        <f>'Ingest Template'!D59</f>
        <v/>
      </c>
      <c r="N59" s="21"/>
      <c r="O59" s="21"/>
      <c r="P59" s="21"/>
      <c r="Q59" s="21"/>
      <c r="R59" s="21" t="str">
        <f>'Ingest Template'!E59</f>
        <v/>
      </c>
      <c r="S59" s="29" t="s">
        <v>153</v>
      </c>
      <c r="T59" s="21" t="str">
        <f>'Ingest Template'!T59</f>
        <v/>
      </c>
      <c r="U59" s="21" t="str">
        <f>'Ingest Template'!S59</f>
        <v/>
      </c>
      <c r="V59" s="21" t="str">
        <f>LOWER(SUBSTITUTE(SUBSTITUTE(SUBSTITUTE(SUBSTITUTE(SUBSTITUTE('Ingest Template'!U59,"https:",""),"www.",""),"/",""),"?hl=en",""),"instagram.com",""))</f>
        <v/>
      </c>
      <c r="W59" s="41" t="str">
        <f t="array" ref="W59">IF('Ingest Template'!V59="",(INDEX(DropDown!$L$2:$L$392,MATCH('Ingest Template'!E59,DropDown!$J$2:$J$392,0))&amp;"|"&amp;'Ingest Template'!B59),(INDEX(DropDown!$L$2:$L$392,MATCH('Ingest Template'!E59,DropDown!$J$2:$J$392,0))&amp;"|"&amp;'Ingest Template'!B59)&amp;CHAR(10)&amp;'Ingest Template'!V59)</f>
        <v>#N/A</v>
      </c>
      <c r="X59" s="41" t="str">
        <f>'Ingest Template'!W59</f>
        <v/>
      </c>
      <c r="Y59" s="21" t="str">
        <f>SUBSTITUTE(SUBSTITUTE(SUBSTITUTE('Ingest Template'!X59,"http:",""),"https:",""),"/","")</f>
        <v/>
      </c>
      <c r="Z59" s="21" t="str">
        <f t="array" ref="Z59">IF('Ingest Template'!A59="Standard",(IF(ISBLANK('Ingest Template'!AA59),"", 'Ingest Template'!AA59&amp;"|DAR")),(IF(ISBLANK('Ingest Template'!AA59),"", 'Ingest Template'!AA59&amp;"|Film Ops")))</f>
        <v/>
      </c>
      <c r="AA59" s="21"/>
      <c r="AB59" s="21" t="str">
        <f>'Ingest Template'!M59</f>
        <v/>
      </c>
      <c r="AC59" s="21" t="str">
        <f>'Ingest Template'!Y59</f>
        <v/>
      </c>
      <c r="AD59" s="21" t="str">
        <f>'Ingest Template'!C59</f>
        <v/>
      </c>
      <c r="AE59" s="21" t="str">
        <f>'Ingest Template'!Z59</f>
        <v/>
      </c>
      <c r="AF59" s="29"/>
      <c r="AG59" s="21" t="str">
        <f t="array" ref="AG59">IF('Ingest Template'!A59="Standard",(CONCATENATE(IF(ISBLANK('Ingest Template'!O59),"", 'Ingest Template'!O59&amp;"|DAR"),CHAR(10), IF(ISBLANK('Ingest Template'!P59),"", 'Ingest Template'!P59&amp;"|DAR"),CHAR(10), IF(ISBLANK('Ingest Template'!Q59),"", 'Ingest Template'!Q59&amp;"|DAR"))),(CONCATENATE(IF(ISBLANK('Ingest Template'!O59),"", 'Ingest Template'!O59&amp;"|Operations - Core Title"),CHAR(10), IF(ISBLANK('Ingest Template'!P59),"", 'Ingest Template'!P59&amp;"|Operations - Core Title"),CHAR(10), IF(ISBLANK('Ingest Template'!Q59),"", 'Ingest Template'!Q59&amp;"|Operations - Core Title"))))</f>
        <v>#|Operations - Core Title
#|Operations - Core Title
</v>
      </c>
      <c r="AH59" s="21"/>
      <c r="AI59" s="21"/>
      <c r="AJ59" s="53" t="str">
        <f>if('Ingest Template'!A59="Standard",'Ingest Template'!N59&amp; "|DAR|DAR|2021-01-01",'Ingest Template'!N59&amp; "|Operations - Core Title|Operations - Core Title")</f>
        <v>#N/A</v>
      </c>
      <c r="AK59" s="53" t="str">
        <f>if('Ingest Template'!A59="Standard",'Ingest Template'!R59&amp; "|2021-01-01",'Ingest Template'!R59)</f>
        <v>#N/A</v>
      </c>
      <c r="AL59" s="21"/>
      <c r="AM59" s="21"/>
    </row>
    <row r="60">
      <c r="A60" s="21"/>
      <c r="B60" s="21" t="str">
        <f>'Ingest Template'!B60&amp;IF('Ingest Template'!A60 = "Standard", " - DAR","")</f>
        <v/>
      </c>
      <c r="C60" s="26" t="s">
        <v>109</v>
      </c>
      <c r="D60" s="29" t="str">
        <f t="array" ref="D60">CONCATENATE(INDEX(DropDown!$H$2:$H$10,MATCH(1,COUNTIF('Ingest Template'!F60,"*"&amp;DropDown!$H$2:$H$10&amp;"*"),0)),CHAR(10),'Ingest Template'!G60)</f>
        <v>#N/A</v>
      </c>
      <c r="E60" s="21" t="str">
        <f>CONCATENATE('Ingest Template'!H60,CHAR(10),'Ingest Template'!I60,CHAR(10),'Ingest Template'!J60)</f>
        <v>
</v>
      </c>
      <c r="F60" s="26" t="str">
        <f>'Ingest Template'!H60</f>
        <v/>
      </c>
      <c r="G60" s="21"/>
      <c r="H60" s="29"/>
      <c r="I60" s="21"/>
      <c r="J60" s="29" t="str">
        <f t="array" ref="J60">iF('Ingest Template'!A60="Standard","Pristine Brand",INDEX(DropDown!$M$2:$M$392,MATCH('Ingest Template'!E60,DropDown!$J$2:$J$392,0)))</f>
        <v>#N/A</v>
      </c>
      <c r="K60" s="21" t="str">
        <f>iF('Ingest Template'!A60="Standard",'Ingest Template'!K60&amp;CHAR(10)&amp;'Ingest Template'!L60,"Competitive View")</f>
        <v>Competitive View</v>
      </c>
      <c r="L60" s="29" t="s">
        <v>146</v>
      </c>
      <c r="M60" s="37" t="str">
        <f>'Ingest Template'!D60</f>
        <v/>
      </c>
      <c r="N60" s="21"/>
      <c r="O60" s="21"/>
      <c r="P60" s="21"/>
      <c r="Q60" s="21"/>
      <c r="R60" s="21" t="str">
        <f>'Ingest Template'!E60</f>
        <v/>
      </c>
      <c r="S60" s="29" t="s">
        <v>153</v>
      </c>
      <c r="T60" s="21" t="str">
        <f>'Ingest Template'!T60</f>
        <v/>
      </c>
      <c r="U60" s="21" t="str">
        <f>'Ingest Template'!S60</f>
        <v/>
      </c>
      <c r="V60" s="21" t="str">
        <f>LOWER(SUBSTITUTE(SUBSTITUTE(SUBSTITUTE(SUBSTITUTE(SUBSTITUTE('Ingest Template'!U60,"https:",""),"www.",""),"/",""),"?hl=en",""),"instagram.com",""))</f>
        <v/>
      </c>
      <c r="W60" s="41" t="str">
        <f t="array" ref="W60">IF('Ingest Template'!V60="",(INDEX(DropDown!$L$2:$L$392,MATCH('Ingest Template'!E60,DropDown!$J$2:$J$392,0))&amp;"|"&amp;'Ingest Template'!B60),(INDEX(DropDown!$L$2:$L$392,MATCH('Ingest Template'!E60,DropDown!$J$2:$J$392,0))&amp;"|"&amp;'Ingest Template'!B60)&amp;CHAR(10)&amp;'Ingest Template'!V60)</f>
        <v>#N/A</v>
      </c>
      <c r="X60" s="41" t="str">
        <f>'Ingest Template'!W60</f>
        <v/>
      </c>
      <c r="Y60" s="21" t="str">
        <f>SUBSTITUTE(SUBSTITUTE(SUBSTITUTE('Ingest Template'!X60,"http:",""),"https:",""),"/","")</f>
        <v/>
      </c>
      <c r="Z60" s="21" t="str">
        <f t="array" ref="Z60">IF('Ingest Template'!A60="Standard",(IF(ISBLANK('Ingest Template'!AA60),"", 'Ingest Template'!AA60&amp;"|DAR")),(IF(ISBLANK('Ingest Template'!AA60),"", 'Ingest Template'!AA60&amp;"|Film Ops")))</f>
        <v/>
      </c>
      <c r="AA60" s="21"/>
      <c r="AB60" s="21" t="str">
        <f>'Ingest Template'!M60</f>
        <v/>
      </c>
      <c r="AC60" s="21" t="str">
        <f>'Ingest Template'!Y60</f>
        <v/>
      </c>
      <c r="AD60" s="21" t="str">
        <f>'Ingest Template'!C60</f>
        <v/>
      </c>
      <c r="AE60" s="21" t="str">
        <f>'Ingest Template'!Z60</f>
        <v/>
      </c>
      <c r="AF60" s="29"/>
      <c r="AG60" s="21" t="str">
        <f t="array" ref="AG60">IF('Ingest Template'!A60="Standard",(CONCATENATE(IF(ISBLANK('Ingest Template'!O60),"", 'Ingest Template'!O60&amp;"|DAR"),CHAR(10), IF(ISBLANK('Ingest Template'!P60),"", 'Ingest Template'!P60&amp;"|DAR"),CHAR(10), IF(ISBLANK('Ingest Template'!Q60),"", 'Ingest Template'!Q60&amp;"|DAR"))),(CONCATENATE(IF(ISBLANK('Ingest Template'!O60),"", 'Ingest Template'!O60&amp;"|Operations - Core Title"),CHAR(10), IF(ISBLANK('Ingest Template'!P60),"", 'Ingest Template'!P60&amp;"|Operations - Core Title"),CHAR(10), IF(ISBLANK('Ingest Template'!Q60),"", 'Ingest Template'!Q60&amp;"|Operations - Core Title"))))</f>
        <v>#|Operations - Core Title
#|Operations - Core Title
</v>
      </c>
      <c r="AH60" s="21"/>
      <c r="AI60" s="21"/>
      <c r="AJ60" s="53" t="str">
        <f>if('Ingest Template'!A60="Standard",'Ingest Template'!N60&amp; "|DAR|DAR|2021-01-01",'Ingest Template'!N60&amp; "|Operations - Core Title|Operations - Core Title")</f>
        <v>#N/A</v>
      </c>
      <c r="AK60" s="53" t="str">
        <f>if('Ingest Template'!A60="Standard",'Ingest Template'!R60&amp; "|2021-01-01",'Ingest Template'!R60)</f>
        <v>#N/A</v>
      </c>
      <c r="AL60" s="21"/>
      <c r="AM60" s="21"/>
    </row>
    <row r="61">
      <c r="A61" s="21"/>
      <c r="B61" s="21" t="str">
        <f>'Ingest Template'!B61&amp;IF('Ingest Template'!A61 = "Standard", " - DAR","")</f>
        <v/>
      </c>
      <c r="C61" s="26" t="s">
        <v>109</v>
      </c>
      <c r="D61" s="29" t="str">
        <f t="array" ref="D61">CONCATENATE(INDEX(DropDown!$H$2:$H$10,MATCH(1,COUNTIF('Ingest Template'!F61,"*"&amp;DropDown!$H$2:$H$10&amp;"*"),0)),CHAR(10),'Ingest Template'!G61)</f>
        <v>#N/A</v>
      </c>
      <c r="E61" s="21" t="str">
        <f>CONCATENATE('Ingest Template'!H61,CHAR(10),'Ingest Template'!I61,CHAR(10),'Ingest Template'!J61)</f>
        <v>
</v>
      </c>
      <c r="F61" s="26" t="str">
        <f>'Ingest Template'!H61</f>
        <v/>
      </c>
      <c r="G61" s="21"/>
      <c r="H61" s="29"/>
      <c r="I61" s="21"/>
      <c r="J61" s="29" t="str">
        <f t="array" ref="J61">iF('Ingest Template'!A61="Standard","Pristine Brand",INDEX(DropDown!$M$2:$M$392,MATCH('Ingest Template'!E61,DropDown!$J$2:$J$392,0)))</f>
        <v>#N/A</v>
      </c>
      <c r="K61" s="21" t="str">
        <f>iF('Ingest Template'!A61="Standard",'Ingest Template'!K61&amp;CHAR(10)&amp;'Ingest Template'!L61,"Competitive View")</f>
        <v>Competitive View</v>
      </c>
      <c r="L61" s="29" t="s">
        <v>146</v>
      </c>
      <c r="M61" s="37" t="str">
        <f>'Ingest Template'!D61</f>
        <v/>
      </c>
      <c r="N61" s="21"/>
      <c r="O61" s="21"/>
      <c r="P61" s="21"/>
      <c r="Q61" s="21"/>
      <c r="R61" s="21" t="str">
        <f>'Ingest Template'!E61</f>
        <v/>
      </c>
      <c r="S61" s="29" t="s">
        <v>153</v>
      </c>
      <c r="T61" s="21" t="str">
        <f>'Ingest Template'!T61</f>
        <v/>
      </c>
      <c r="U61" s="21" t="str">
        <f>'Ingest Template'!S61</f>
        <v/>
      </c>
      <c r="V61" s="21" t="str">
        <f>LOWER(SUBSTITUTE(SUBSTITUTE(SUBSTITUTE(SUBSTITUTE(SUBSTITUTE('Ingest Template'!U61,"https:",""),"www.",""),"/",""),"?hl=en",""),"instagram.com",""))</f>
        <v/>
      </c>
      <c r="W61" s="41" t="str">
        <f t="array" ref="W61">IF('Ingest Template'!V61="",(INDEX(DropDown!$L$2:$L$392,MATCH('Ingest Template'!E61,DropDown!$J$2:$J$392,0))&amp;"|"&amp;'Ingest Template'!B61),(INDEX(DropDown!$L$2:$L$392,MATCH('Ingest Template'!E61,DropDown!$J$2:$J$392,0))&amp;"|"&amp;'Ingest Template'!B61)&amp;CHAR(10)&amp;'Ingest Template'!V61)</f>
        <v>#N/A</v>
      </c>
      <c r="X61" s="41" t="str">
        <f>'Ingest Template'!W61</f>
        <v/>
      </c>
      <c r="Y61" s="21" t="str">
        <f>SUBSTITUTE(SUBSTITUTE(SUBSTITUTE('Ingest Template'!X61,"http:",""),"https:",""),"/","")</f>
        <v/>
      </c>
      <c r="Z61" s="21" t="str">
        <f t="array" ref="Z61">IF('Ingest Template'!A61="Standard",(IF(ISBLANK('Ingest Template'!AA61),"", 'Ingest Template'!AA61&amp;"|DAR")),(IF(ISBLANK('Ingest Template'!AA61),"", 'Ingest Template'!AA61&amp;"|Film Ops")))</f>
        <v/>
      </c>
      <c r="AA61" s="21"/>
      <c r="AB61" s="21" t="str">
        <f>'Ingest Template'!M61</f>
        <v/>
      </c>
      <c r="AC61" s="21" t="str">
        <f>'Ingest Template'!Y61</f>
        <v/>
      </c>
      <c r="AD61" s="21" t="str">
        <f>'Ingest Template'!C61</f>
        <v/>
      </c>
      <c r="AE61" s="21" t="str">
        <f>'Ingest Template'!Z61</f>
        <v/>
      </c>
      <c r="AF61" s="29"/>
      <c r="AG61" s="21" t="str">
        <f t="array" ref="AG61">IF('Ingest Template'!A61="Standard",(CONCATENATE(IF(ISBLANK('Ingest Template'!O61),"", 'Ingest Template'!O61&amp;"|DAR"),CHAR(10), IF(ISBLANK('Ingest Template'!P61),"", 'Ingest Template'!P61&amp;"|DAR"),CHAR(10), IF(ISBLANK('Ingest Template'!Q61),"", 'Ingest Template'!Q61&amp;"|DAR"))),(CONCATENATE(IF(ISBLANK('Ingest Template'!O61),"", 'Ingest Template'!O61&amp;"|Operations - Core Title"),CHAR(10), IF(ISBLANK('Ingest Template'!P61),"", 'Ingest Template'!P61&amp;"|Operations - Core Title"),CHAR(10), IF(ISBLANK('Ingest Template'!Q61),"", 'Ingest Template'!Q61&amp;"|Operations - Core Title"))))</f>
        <v>#|Operations - Core Title
#|Operations - Core Title
</v>
      </c>
      <c r="AH61" s="21"/>
      <c r="AI61" s="21"/>
      <c r="AJ61" s="53" t="str">
        <f>if('Ingest Template'!A61="Standard",'Ingest Template'!N61&amp; "|DAR|DAR|2021-01-01",'Ingest Template'!N61&amp; "|Operations - Core Title|Operations - Core Title")</f>
        <v>#N/A</v>
      </c>
      <c r="AK61" s="53" t="str">
        <f>if('Ingest Template'!A61="Standard",'Ingest Template'!R61&amp; "|2021-01-01",'Ingest Template'!R61)</f>
        <v>#N/A</v>
      </c>
      <c r="AL61" s="21"/>
      <c r="AM61" s="21"/>
    </row>
    <row r="62">
      <c r="A62" s="21"/>
      <c r="B62" s="21" t="str">
        <f>'Ingest Template'!B62&amp;IF('Ingest Template'!A62 = "Standard", " - DAR","")</f>
        <v/>
      </c>
      <c r="C62" s="26" t="s">
        <v>109</v>
      </c>
      <c r="D62" s="29" t="str">
        <f t="array" ref="D62">CONCATENATE(INDEX(DropDown!$H$2:$H$10,MATCH(1,COUNTIF('Ingest Template'!F62,"*"&amp;DropDown!$H$2:$H$10&amp;"*"),0)),CHAR(10),'Ingest Template'!G62)</f>
        <v>#N/A</v>
      </c>
      <c r="E62" s="21" t="str">
        <f>CONCATENATE('Ingest Template'!H62,CHAR(10),'Ingest Template'!I62,CHAR(10),'Ingest Template'!J62)</f>
        <v>
</v>
      </c>
      <c r="F62" s="26" t="str">
        <f>'Ingest Template'!H62</f>
        <v/>
      </c>
      <c r="G62" s="21"/>
      <c r="H62" s="29"/>
      <c r="I62" s="21"/>
      <c r="J62" s="29" t="str">
        <f t="array" ref="J62">iF('Ingest Template'!A62="Standard","Pristine Brand",INDEX(DropDown!$M$2:$M$392,MATCH('Ingest Template'!E62,DropDown!$J$2:$J$392,0)))</f>
        <v>#N/A</v>
      </c>
      <c r="K62" s="21" t="str">
        <f>iF('Ingest Template'!A62="Standard",'Ingest Template'!K62&amp;CHAR(10)&amp;'Ingest Template'!L62,"Competitive View")</f>
        <v>Competitive View</v>
      </c>
      <c r="L62" s="29" t="s">
        <v>146</v>
      </c>
      <c r="M62" s="37" t="str">
        <f>'Ingest Template'!D62</f>
        <v/>
      </c>
      <c r="N62" s="21"/>
      <c r="O62" s="21"/>
      <c r="P62" s="21"/>
      <c r="Q62" s="21"/>
      <c r="R62" s="21" t="str">
        <f>'Ingest Template'!E62</f>
        <v/>
      </c>
      <c r="S62" s="29" t="s">
        <v>153</v>
      </c>
      <c r="T62" s="21" t="str">
        <f>'Ingest Template'!T62</f>
        <v/>
      </c>
      <c r="U62" s="21" t="str">
        <f>'Ingest Template'!S62</f>
        <v/>
      </c>
      <c r="V62" s="21" t="str">
        <f>LOWER(SUBSTITUTE(SUBSTITUTE(SUBSTITUTE(SUBSTITUTE(SUBSTITUTE('Ingest Template'!U62,"https:",""),"www.",""),"/",""),"?hl=en",""),"instagram.com",""))</f>
        <v/>
      </c>
      <c r="W62" s="41" t="str">
        <f t="array" ref="W62">IF('Ingest Template'!V62="",(INDEX(DropDown!$L$2:$L$392,MATCH('Ingest Template'!E62,DropDown!$J$2:$J$392,0))&amp;"|"&amp;'Ingest Template'!B62),(INDEX(DropDown!$L$2:$L$392,MATCH('Ingest Template'!E62,DropDown!$J$2:$J$392,0))&amp;"|"&amp;'Ingest Template'!B62)&amp;CHAR(10)&amp;'Ingest Template'!V62)</f>
        <v>#N/A</v>
      </c>
      <c r="X62" s="41" t="str">
        <f>'Ingest Template'!W62</f>
        <v/>
      </c>
      <c r="Y62" s="21" t="str">
        <f>SUBSTITUTE(SUBSTITUTE(SUBSTITUTE('Ingest Template'!X62,"http:",""),"https:",""),"/","")</f>
        <v/>
      </c>
      <c r="Z62" s="21" t="str">
        <f t="array" ref="Z62">IF('Ingest Template'!A62="Standard",(IF(ISBLANK('Ingest Template'!AA62),"", 'Ingest Template'!AA62&amp;"|DAR")),(IF(ISBLANK('Ingest Template'!AA62),"", 'Ingest Template'!AA62&amp;"|Film Ops")))</f>
        <v/>
      </c>
      <c r="AA62" s="21"/>
      <c r="AB62" s="21" t="str">
        <f>'Ingest Template'!M62</f>
        <v/>
      </c>
      <c r="AC62" s="21" t="str">
        <f>'Ingest Template'!Y62</f>
        <v/>
      </c>
      <c r="AD62" s="21" t="str">
        <f>'Ingest Template'!C62</f>
        <v/>
      </c>
      <c r="AE62" s="21" t="str">
        <f>'Ingest Template'!Z62</f>
        <v/>
      </c>
      <c r="AF62" s="29"/>
      <c r="AG62" s="21" t="str">
        <f t="array" ref="AG62">IF('Ingest Template'!A62="Standard",(CONCATENATE(IF(ISBLANK('Ingest Template'!O62),"", 'Ingest Template'!O62&amp;"|DAR"),CHAR(10), IF(ISBLANK('Ingest Template'!P62),"", 'Ingest Template'!P62&amp;"|DAR"),CHAR(10), IF(ISBLANK('Ingest Template'!Q62),"", 'Ingest Template'!Q62&amp;"|DAR"))),(CONCATENATE(IF(ISBLANK('Ingest Template'!O62),"", 'Ingest Template'!O62&amp;"|Operations - Core Title"),CHAR(10), IF(ISBLANK('Ingest Template'!P62),"", 'Ingest Template'!P62&amp;"|Operations - Core Title"),CHAR(10), IF(ISBLANK('Ingest Template'!Q62),"", 'Ingest Template'!Q62&amp;"|Operations - Core Title"))))</f>
        <v>#|Operations - Core Title
#|Operations - Core Title
</v>
      </c>
      <c r="AH62" s="21"/>
      <c r="AI62" s="21"/>
      <c r="AJ62" s="53" t="str">
        <f>if('Ingest Template'!A62="Standard",'Ingest Template'!N62&amp; "|DAR|DAR|2021-01-01",'Ingest Template'!N62&amp; "|Operations - Core Title|Operations - Core Title")</f>
        <v>#N/A</v>
      </c>
      <c r="AK62" s="53" t="str">
        <f>if('Ingest Template'!A62="Standard",'Ingest Template'!R62&amp; "|2021-01-01",'Ingest Template'!R62)</f>
        <v>#N/A</v>
      </c>
      <c r="AL62" s="21"/>
      <c r="AM62" s="21"/>
    </row>
    <row r="63">
      <c r="A63" s="21"/>
      <c r="B63" s="21" t="str">
        <f>'Ingest Template'!B63&amp;IF('Ingest Template'!A63 = "Standard", " - DAR","")</f>
        <v/>
      </c>
      <c r="C63" s="26" t="s">
        <v>109</v>
      </c>
      <c r="D63" s="29" t="str">
        <f t="array" ref="D63">CONCATENATE(INDEX(DropDown!$H$2:$H$10,MATCH(1,COUNTIF('Ingest Template'!F63,"*"&amp;DropDown!$H$2:$H$10&amp;"*"),0)),CHAR(10),'Ingest Template'!G63)</f>
        <v>#N/A</v>
      </c>
      <c r="E63" s="21" t="str">
        <f>CONCATENATE('Ingest Template'!H63,CHAR(10),'Ingest Template'!I63,CHAR(10),'Ingest Template'!J63)</f>
        <v>
</v>
      </c>
      <c r="F63" s="26" t="str">
        <f>'Ingest Template'!H63</f>
        <v/>
      </c>
      <c r="G63" s="21"/>
      <c r="H63" s="29"/>
      <c r="I63" s="21"/>
      <c r="J63" s="29" t="str">
        <f t="array" ref="J63">iF('Ingest Template'!A63="Standard","Pristine Brand",INDEX(DropDown!$M$2:$M$392,MATCH('Ingest Template'!E63,DropDown!$J$2:$J$392,0)))</f>
        <v>#N/A</v>
      </c>
      <c r="K63" s="21" t="str">
        <f>iF('Ingest Template'!A63="Standard",'Ingest Template'!K63&amp;CHAR(10)&amp;'Ingest Template'!L63,"Competitive View")</f>
        <v>Competitive View</v>
      </c>
      <c r="L63" s="29" t="s">
        <v>146</v>
      </c>
      <c r="M63" s="37" t="str">
        <f>'Ingest Template'!D63</f>
        <v/>
      </c>
      <c r="N63" s="21"/>
      <c r="O63" s="21"/>
      <c r="P63" s="21"/>
      <c r="Q63" s="21"/>
      <c r="R63" s="21" t="str">
        <f>'Ingest Template'!E63</f>
        <v/>
      </c>
      <c r="S63" s="29" t="s">
        <v>153</v>
      </c>
      <c r="T63" s="21" t="str">
        <f>'Ingest Template'!T63</f>
        <v/>
      </c>
      <c r="U63" s="21" t="str">
        <f>'Ingest Template'!S63</f>
        <v/>
      </c>
      <c r="V63" s="21" t="str">
        <f>LOWER(SUBSTITUTE(SUBSTITUTE(SUBSTITUTE(SUBSTITUTE(SUBSTITUTE('Ingest Template'!U63,"https:",""),"www.",""),"/",""),"?hl=en",""),"instagram.com",""))</f>
        <v/>
      </c>
      <c r="W63" s="41" t="str">
        <f t="array" ref="W63">IF('Ingest Template'!V63="",(INDEX(DropDown!$L$2:$L$392,MATCH('Ingest Template'!E63,DropDown!$J$2:$J$392,0))&amp;"|"&amp;'Ingest Template'!B63),(INDEX(DropDown!$L$2:$L$392,MATCH('Ingest Template'!E63,DropDown!$J$2:$J$392,0))&amp;"|"&amp;'Ingest Template'!B63)&amp;CHAR(10)&amp;'Ingest Template'!V63)</f>
        <v>#N/A</v>
      </c>
      <c r="X63" s="41" t="str">
        <f>'Ingest Template'!W63</f>
        <v/>
      </c>
      <c r="Y63" s="21" t="str">
        <f>SUBSTITUTE(SUBSTITUTE(SUBSTITUTE('Ingest Template'!X63,"http:",""),"https:",""),"/","")</f>
        <v/>
      </c>
      <c r="Z63" s="21" t="str">
        <f t="array" ref="Z63">IF('Ingest Template'!A63="Standard",(IF(ISBLANK('Ingest Template'!AA63),"", 'Ingest Template'!AA63&amp;"|DAR")),(IF(ISBLANK('Ingest Template'!AA63),"", 'Ingest Template'!AA63&amp;"|Film Ops")))</f>
        <v/>
      </c>
      <c r="AA63" s="21"/>
      <c r="AB63" s="21" t="str">
        <f>'Ingest Template'!M63</f>
        <v/>
      </c>
      <c r="AC63" s="21" t="str">
        <f>'Ingest Template'!Y63</f>
        <v/>
      </c>
      <c r="AD63" s="21" t="str">
        <f>'Ingest Template'!C63</f>
        <v/>
      </c>
      <c r="AE63" s="21" t="str">
        <f>'Ingest Template'!Z63</f>
        <v/>
      </c>
      <c r="AF63" s="29"/>
      <c r="AG63" s="21" t="str">
        <f t="array" ref="AG63">IF('Ingest Template'!A63="Standard",(CONCATENATE(IF(ISBLANK('Ingest Template'!O63),"", 'Ingest Template'!O63&amp;"|DAR"),CHAR(10), IF(ISBLANK('Ingest Template'!P63),"", 'Ingest Template'!P63&amp;"|DAR"),CHAR(10), IF(ISBLANK('Ingest Template'!Q63),"", 'Ingest Template'!Q63&amp;"|DAR"))),(CONCATENATE(IF(ISBLANK('Ingest Template'!O63),"", 'Ingest Template'!O63&amp;"|Operations - Core Title"),CHAR(10), IF(ISBLANK('Ingest Template'!P63),"", 'Ingest Template'!P63&amp;"|Operations - Core Title"),CHAR(10), IF(ISBLANK('Ingest Template'!Q63),"", 'Ingest Template'!Q63&amp;"|Operations - Core Title"))))</f>
        <v>#|Operations - Core Title
#|Operations - Core Title
</v>
      </c>
      <c r="AH63" s="21"/>
      <c r="AI63" s="21"/>
      <c r="AJ63" s="53" t="str">
        <f>if('Ingest Template'!A63="Standard",'Ingest Template'!N63&amp; "|DAR|DAR|2021-01-01",'Ingest Template'!N63&amp; "|Operations - Core Title|Operations - Core Title")</f>
        <v>#N/A</v>
      </c>
      <c r="AK63" s="53" t="str">
        <f>if('Ingest Template'!A63="Standard",'Ingest Template'!R63&amp; "|2021-01-01",'Ingest Template'!R63)</f>
        <v>#N/A</v>
      </c>
      <c r="AL63" s="21"/>
      <c r="AM63" s="21"/>
    </row>
    <row r="64">
      <c r="A64" s="21"/>
      <c r="B64" s="21" t="str">
        <f>'Ingest Template'!B64&amp;IF('Ingest Template'!A64 = "Standard", " - DAR","")</f>
        <v/>
      </c>
      <c r="C64" s="26" t="s">
        <v>109</v>
      </c>
      <c r="D64" s="29" t="str">
        <f t="array" ref="D64">CONCATENATE(INDEX(DropDown!$H$2:$H$10,MATCH(1,COUNTIF('Ingest Template'!F64,"*"&amp;DropDown!$H$2:$H$10&amp;"*"),0)),CHAR(10),'Ingest Template'!G64)</f>
        <v>#N/A</v>
      </c>
      <c r="E64" s="21" t="str">
        <f>CONCATENATE('Ingest Template'!H64,CHAR(10),'Ingest Template'!I64,CHAR(10),'Ingest Template'!J64)</f>
        <v>
</v>
      </c>
      <c r="F64" s="26" t="str">
        <f>'Ingest Template'!H64</f>
        <v/>
      </c>
      <c r="G64" s="21"/>
      <c r="H64" s="29"/>
      <c r="I64" s="21"/>
      <c r="J64" s="29" t="str">
        <f t="array" ref="J64">iF('Ingest Template'!A64="Standard","Pristine Brand",INDEX(DropDown!$M$2:$M$392,MATCH('Ingest Template'!E64,DropDown!$J$2:$J$392,0)))</f>
        <v>#N/A</v>
      </c>
      <c r="K64" s="21" t="str">
        <f>iF('Ingest Template'!A64="Standard",'Ingest Template'!K64&amp;CHAR(10)&amp;'Ingest Template'!L64,"Competitive View")</f>
        <v>Competitive View</v>
      </c>
      <c r="L64" s="29" t="s">
        <v>146</v>
      </c>
      <c r="M64" s="37" t="str">
        <f>'Ingest Template'!D64</f>
        <v/>
      </c>
      <c r="N64" s="21"/>
      <c r="O64" s="21"/>
      <c r="P64" s="21"/>
      <c r="Q64" s="21"/>
      <c r="R64" s="21" t="str">
        <f>'Ingest Template'!E64</f>
        <v/>
      </c>
      <c r="S64" s="29" t="s">
        <v>153</v>
      </c>
      <c r="T64" s="21" t="str">
        <f>'Ingest Template'!T64</f>
        <v/>
      </c>
      <c r="U64" s="21" t="str">
        <f>'Ingest Template'!S64</f>
        <v/>
      </c>
      <c r="V64" s="21" t="str">
        <f>LOWER(SUBSTITUTE(SUBSTITUTE(SUBSTITUTE(SUBSTITUTE(SUBSTITUTE('Ingest Template'!U64,"https:",""),"www.",""),"/",""),"?hl=en",""),"instagram.com",""))</f>
        <v/>
      </c>
      <c r="W64" s="41" t="str">
        <f t="array" ref="W64">IF('Ingest Template'!V64="",(INDEX(DropDown!$L$2:$L$392,MATCH('Ingest Template'!E64,DropDown!$J$2:$J$392,0))&amp;"|"&amp;'Ingest Template'!B64),(INDEX(DropDown!$L$2:$L$392,MATCH('Ingest Template'!E64,DropDown!$J$2:$J$392,0))&amp;"|"&amp;'Ingest Template'!B64)&amp;CHAR(10)&amp;'Ingest Template'!V64)</f>
        <v>#N/A</v>
      </c>
      <c r="X64" s="41" t="str">
        <f>'Ingest Template'!W64</f>
        <v/>
      </c>
      <c r="Y64" s="21" t="str">
        <f>SUBSTITUTE(SUBSTITUTE(SUBSTITUTE('Ingest Template'!X64,"http:",""),"https:",""),"/","")</f>
        <v/>
      </c>
      <c r="Z64" s="21" t="str">
        <f t="array" ref="Z64">IF('Ingest Template'!A64="Standard",(IF(ISBLANK('Ingest Template'!AA64),"", 'Ingest Template'!AA64&amp;"|DAR")),(IF(ISBLANK('Ingest Template'!AA64),"", 'Ingest Template'!AA64&amp;"|Film Ops")))</f>
        <v/>
      </c>
      <c r="AA64" s="21"/>
      <c r="AB64" s="21" t="str">
        <f>'Ingest Template'!M64</f>
        <v/>
      </c>
      <c r="AC64" s="21" t="str">
        <f>'Ingest Template'!Y64</f>
        <v/>
      </c>
      <c r="AD64" s="21" t="str">
        <f>'Ingest Template'!C64</f>
        <v/>
      </c>
      <c r="AE64" s="21" t="str">
        <f>'Ingest Template'!Z64</f>
        <v/>
      </c>
      <c r="AF64" s="29"/>
      <c r="AG64" s="21" t="str">
        <f t="array" ref="AG64">IF('Ingest Template'!A64="Standard",(CONCATENATE(IF(ISBLANK('Ingest Template'!O64),"", 'Ingest Template'!O64&amp;"|DAR"),CHAR(10), IF(ISBLANK('Ingest Template'!P64),"", 'Ingest Template'!P64&amp;"|DAR"),CHAR(10), IF(ISBLANK('Ingest Template'!Q64),"", 'Ingest Template'!Q64&amp;"|DAR"))),(CONCATENATE(IF(ISBLANK('Ingest Template'!O64),"", 'Ingest Template'!O64&amp;"|Operations - Core Title"),CHAR(10), IF(ISBLANK('Ingest Template'!P64),"", 'Ingest Template'!P64&amp;"|Operations - Core Title"),CHAR(10), IF(ISBLANK('Ingest Template'!Q64),"", 'Ingest Template'!Q64&amp;"|Operations - Core Title"))))</f>
        <v>#|Operations - Core Title
#|Operations - Core Title
</v>
      </c>
      <c r="AH64" s="21"/>
      <c r="AI64" s="21"/>
      <c r="AJ64" s="53" t="str">
        <f>if('Ingest Template'!A64="Standard",'Ingest Template'!N64&amp; "|DAR|DAR|2021-01-01",'Ingest Template'!N64&amp; "|Operations - Core Title|Operations - Core Title")</f>
        <v>#N/A</v>
      </c>
      <c r="AK64" s="53" t="str">
        <f>if('Ingest Template'!A64="Standard",'Ingest Template'!R64&amp; "|2021-01-01",'Ingest Template'!R64)</f>
        <v>#N/A</v>
      </c>
      <c r="AL64" s="21"/>
      <c r="AM64" s="21"/>
    </row>
    <row r="65">
      <c r="A65" s="21"/>
      <c r="B65" s="21" t="str">
        <f>'Ingest Template'!B65&amp;IF('Ingest Template'!A65 = "Standard", " - DAR","")</f>
        <v/>
      </c>
      <c r="C65" s="26" t="s">
        <v>109</v>
      </c>
      <c r="D65" s="29" t="str">
        <f t="array" ref="D65">CONCATENATE(INDEX(DropDown!$H$2:$H$10,MATCH(1,COUNTIF('Ingest Template'!F65,"*"&amp;DropDown!$H$2:$H$10&amp;"*"),0)),CHAR(10),'Ingest Template'!G65)</f>
        <v>#N/A</v>
      </c>
      <c r="E65" s="21" t="str">
        <f>CONCATENATE('Ingest Template'!H65,CHAR(10),'Ingest Template'!I65,CHAR(10),'Ingest Template'!J65)</f>
        <v>
</v>
      </c>
      <c r="F65" s="26" t="str">
        <f>'Ingest Template'!H65</f>
        <v/>
      </c>
      <c r="G65" s="21"/>
      <c r="H65" s="29"/>
      <c r="I65" s="21"/>
      <c r="J65" s="29" t="str">
        <f t="array" ref="J65">iF('Ingest Template'!A65="Standard","Pristine Brand",INDEX(DropDown!$M$2:$M$392,MATCH('Ingest Template'!E65,DropDown!$J$2:$J$392,0)))</f>
        <v>#N/A</v>
      </c>
      <c r="K65" s="21" t="str">
        <f>iF('Ingest Template'!A65="Standard",'Ingest Template'!K65&amp;CHAR(10)&amp;'Ingest Template'!L65,"Competitive View")</f>
        <v>Competitive View</v>
      </c>
      <c r="L65" s="29" t="s">
        <v>146</v>
      </c>
      <c r="M65" s="37" t="str">
        <f>'Ingest Template'!D65</f>
        <v/>
      </c>
      <c r="N65" s="21"/>
      <c r="O65" s="21"/>
      <c r="P65" s="21"/>
      <c r="Q65" s="21"/>
      <c r="R65" s="21" t="str">
        <f>'Ingest Template'!E65</f>
        <v/>
      </c>
      <c r="S65" s="29" t="s">
        <v>153</v>
      </c>
      <c r="T65" s="21" t="str">
        <f>'Ingest Template'!T65</f>
        <v/>
      </c>
      <c r="U65" s="21" t="str">
        <f>'Ingest Template'!S65</f>
        <v/>
      </c>
      <c r="V65" s="21" t="str">
        <f>LOWER(SUBSTITUTE(SUBSTITUTE(SUBSTITUTE(SUBSTITUTE(SUBSTITUTE('Ingest Template'!U65,"https:",""),"www.",""),"/",""),"?hl=en",""),"instagram.com",""))</f>
        <v/>
      </c>
      <c r="W65" s="41" t="str">
        <f t="array" ref="W65">IF('Ingest Template'!V65="",(INDEX(DropDown!$L$2:$L$392,MATCH('Ingest Template'!E65,DropDown!$J$2:$J$392,0))&amp;"|"&amp;'Ingest Template'!B65),(INDEX(DropDown!$L$2:$L$392,MATCH('Ingest Template'!E65,DropDown!$J$2:$J$392,0))&amp;"|"&amp;'Ingest Template'!B65)&amp;CHAR(10)&amp;'Ingest Template'!V65)</f>
        <v>#N/A</v>
      </c>
      <c r="X65" s="41" t="str">
        <f>'Ingest Template'!W65</f>
        <v/>
      </c>
      <c r="Y65" s="21" t="str">
        <f>SUBSTITUTE(SUBSTITUTE(SUBSTITUTE('Ingest Template'!X65,"http:",""),"https:",""),"/","")</f>
        <v/>
      </c>
      <c r="Z65" s="21" t="str">
        <f t="array" ref="Z65">IF('Ingest Template'!A65="Standard",(IF(ISBLANK('Ingest Template'!AA65),"", 'Ingest Template'!AA65&amp;"|DAR")),(IF(ISBLANK('Ingest Template'!AA65),"", 'Ingest Template'!AA65&amp;"|Film Ops")))</f>
        <v/>
      </c>
      <c r="AA65" s="21"/>
      <c r="AB65" s="21" t="str">
        <f>'Ingest Template'!M65</f>
        <v/>
      </c>
      <c r="AC65" s="21" t="str">
        <f>'Ingest Template'!Y65</f>
        <v/>
      </c>
      <c r="AD65" s="21" t="str">
        <f>'Ingest Template'!C65</f>
        <v/>
      </c>
      <c r="AE65" s="21" t="str">
        <f>'Ingest Template'!Z65</f>
        <v/>
      </c>
      <c r="AF65" s="29"/>
      <c r="AG65" s="21" t="str">
        <f t="array" ref="AG65">IF('Ingest Template'!A65="Standard",(CONCATENATE(IF(ISBLANK('Ingest Template'!O65),"", 'Ingest Template'!O65&amp;"|DAR"),CHAR(10), IF(ISBLANK('Ingest Template'!P65),"", 'Ingest Template'!P65&amp;"|DAR"),CHAR(10), IF(ISBLANK('Ingest Template'!Q65),"", 'Ingest Template'!Q65&amp;"|DAR"))),(CONCATENATE(IF(ISBLANK('Ingest Template'!O65),"", 'Ingest Template'!O65&amp;"|Operations - Core Title"),CHAR(10), IF(ISBLANK('Ingest Template'!P65),"", 'Ingest Template'!P65&amp;"|Operations - Core Title"),CHAR(10), IF(ISBLANK('Ingest Template'!Q65),"", 'Ingest Template'!Q65&amp;"|Operations - Core Title"))))</f>
        <v>#|Operations - Core Title
#|Operations - Core Title
</v>
      </c>
      <c r="AH65" s="21"/>
      <c r="AI65" s="21"/>
      <c r="AJ65" s="53" t="str">
        <f>if('Ingest Template'!A65="Standard",'Ingest Template'!N65&amp; "|DAR|DAR|2021-01-01",'Ingest Template'!N65&amp; "|Operations - Core Title|Operations - Core Title")</f>
        <v>#N/A</v>
      </c>
      <c r="AK65" s="53" t="str">
        <f>if('Ingest Template'!A65="Standard",'Ingest Template'!R65&amp; "|2021-01-01",'Ingest Template'!R65)</f>
        <v>#N/A</v>
      </c>
      <c r="AL65" s="21"/>
      <c r="AM65" s="21"/>
    </row>
    <row r="66">
      <c r="A66" s="21"/>
      <c r="B66" s="21" t="str">
        <f>'Ingest Template'!B66&amp;IF('Ingest Template'!A66 = "Standard", " - DAR","")</f>
        <v/>
      </c>
      <c r="C66" s="26" t="s">
        <v>109</v>
      </c>
      <c r="D66" s="29" t="str">
        <f t="array" ref="D66">CONCATENATE(INDEX(DropDown!$H$2:$H$10,MATCH(1,COUNTIF('Ingest Template'!F66,"*"&amp;DropDown!$H$2:$H$10&amp;"*"),0)),CHAR(10),'Ingest Template'!G66)</f>
        <v>#N/A</v>
      </c>
      <c r="E66" s="21" t="str">
        <f>CONCATENATE('Ingest Template'!H66,CHAR(10),'Ingest Template'!I66,CHAR(10),'Ingest Template'!J66)</f>
        <v>
</v>
      </c>
      <c r="F66" s="26" t="str">
        <f>'Ingest Template'!H66</f>
        <v/>
      </c>
      <c r="G66" s="21"/>
      <c r="H66" s="29"/>
      <c r="I66" s="21"/>
      <c r="J66" s="29" t="str">
        <f t="array" ref="J66">iF('Ingest Template'!A66="Standard","Pristine Brand",INDEX(DropDown!$M$2:$M$392,MATCH('Ingest Template'!E66,DropDown!$J$2:$J$392,0)))</f>
        <v>#N/A</v>
      </c>
      <c r="K66" s="21" t="str">
        <f>iF('Ingest Template'!A66="Standard",'Ingest Template'!K66&amp;CHAR(10)&amp;'Ingest Template'!L66,"Competitive View")</f>
        <v>Competitive View</v>
      </c>
      <c r="L66" s="29" t="s">
        <v>146</v>
      </c>
      <c r="M66" s="37" t="str">
        <f>'Ingest Template'!D66</f>
        <v/>
      </c>
      <c r="N66" s="21"/>
      <c r="O66" s="21"/>
      <c r="P66" s="21"/>
      <c r="Q66" s="21"/>
      <c r="R66" s="21" t="str">
        <f>'Ingest Template'!E66</f>
        <v/>
      </c>
      <c r="S66" s="29" t="s">
        <v>153</v>
      </c>
      <c r="T66" s="21" t="str">
        <f>'Ingest Template'!T66</f>
        <v/>
      </c>
      <c r="U66" s="21" t="str">
        <f>'Ingest Template'!S66</f>
        <v/>
      </c>
      <c r="V66" s="21" t="str">
        <f>LOWER(SUBSTITUTE(SUBSTITUTE(SUBSTITUTE(SUBSTITUTE(SUBSTITUTE('Ingest Template'!U66,"https:",""),"www.",""),"/",""),"?hl=en",""),"instagram.com",""))</f>
        <v/>
      </c>
      <c r="W66" s="41" t="str">
        <f t="array" ref="W66">IF('Ingest Template'!V66="",(INDEX(DropDown!$L$2:$L$392,MATCH('Ingest Template'!E66,DropDown!$J$2:$J$392,0))&amp;"|"&amp;'Ingest Template'!B66),(INDEX(DropDown!$L$2:$L$392,MATCH('Ingest Template'!E66,DropDown!$J$2:$J$392,0))&amp;"|"&amp;'Ingest Template'!B66)&amp;CHAR(10)&amp;'Ingest Template'!V66)</f>
        <v>#N/A</v>
      </c>
      <c r="X66" s="41" t="str">
        <f>'Ingest Template'!W66</f>
        <v/>
      </c>
      <c r="Y66" s="21" t="str">
        <f>SUBSTITUTE(SUBSTITUTE(SUBSTITUTE('Ingest Template'!X66,"http:",""),"https:",""),"/","")</f>
        <v/>
      </c>
      <c r="Z66" s="21" t="str">
        <f t="array" ref="Z66">IF('Ingest Template'!A66="Standard",(IF(ISBLANK('Ingest Template'!AA66),"", 'Ingest Template'!AA66&amp;"|DAR")),(IF(ISBLANK('Ingest Template'!AA66),"", 'Ingest Template'!AA66&amp;"|Film Ops")))</f>
        <v/>
      </c>
      <c r="AA66" s="21"/>
      <c r="AB66" s="21" t="str">
        <f>'Ingest Template'!M66</f>
        <v/>
      </c>
      <c r="AC66" s="21" t="str">
        <f>'Ingest Template'!Y66</f>
        <v/>
      </c>
      <c r="AD66" s="21" t="str">
        <f>'Ingest Template'!C66</f>
        <v/>
      </c>
      <c r="AE66" s="21" t="str">
        <f>'Ingest Template'!Z66</f>
        <v/>
      </c>
      <c r="AF66" s="29"/>
      <c r="AG66" s="21" t="str">
        <f t="array" ref="AG66">IF('Ingest Template'!A66="Standard",(CONCATENATE(IF(ISBLANK('Ingest Template'!O66),"", 'Ingest Template'!O66&amp;"|DAR"),CHAR(10), IF(ISBLANK('Ingest Template'!P66),"", 'Ingest Template'!P66&amp;"|DAR"),CHAR(10), IF(ISBLANK('Ingest Template'!Q66),"", 'Ingest Template'!Q66&amp;"|DAR"))),(CONCATENATE(IF(ISBLANK('Ingest Template'!O66),"", 'Ingest Template'!O66&amp;"|Operations - Core Title"),CHAR(10), IF(ISBLANK('Ingest Template'!P66),"", 'Ingest Template'!P66&amp;"|Operations - Core Title"),CHAR(10), IF(ISBLANK('Ingest Template'!Q66),"", 'Ingest Template'!Q66&amp;"|Operations - Core Title"))))</f>
        <v>#|Operations - Core Title
#|Operations - Core Title
</v>
      </c>
      <c r="AH66" s="21"/>
      <c r="AI66" s="21"/>
      <c r="AJ66" s="53" t="str">
        <f>if('Ingest Template'!A66="Standard",'Ingest Template'!N66&amp; "|DAR|DAR|2021-01-01",'Ingest Template'!N66&amp; "|Operations - Core Title|Operations - Core Title")</f>
        <v>#N/A</v>
      </c>
      <c r="AK66" s="53" t="str">
        <f>if('Ingest Template'!A66="Standard",'Ingest Template'!R66&amp; "|2021-01-01",'Ingest Template'!R66)</f>
        <v>#N/A</v>
      </c>
      <c r="AL66" s="21"/>
      <c r="AM66" s="21"/>
    </row>
    <row r="67">
      <c r="A67" s="21"/>
      <c r="B67" s="21" t="str">
        <f>'Ingest Template'!B67&amp;IF('Ingest Template'!A67 = "Standard", " - DAR","")</f>
        <v/>
      </c>
      <c r="C67" s="26" t="s">
        <v>109</v>
      </c>
      <c r="D67" s="29" t="str">
        <f t="array" ref="D67">CONCATENATE(INDEX(DropDown!$H$2:$H$10,MATCH(1,COUNTIF('Ingest Template'!F67,"*"&amp;DropDown!$H$2:$H$10&amp;"*"),0)),CHAR(10),'Ingest Template'!G67)</f>
        <v>#N/A</v>
      </c>
      <c r="E67" s="21" t="str">
        <f>CONCATENATE('Ingest Template'!H67,CHAR(10),'Ingest Template'!I67,CHAR(10),'Ingest Template'!J67)</f>
        <v>
</v>
      </c>
      <c r="F67" s="26" t="str">
        <f>'Ingest Template'!H67</f>
        <v/>
      </c>
      <c r="G67" s="21"/>
      <c r="H67" s="29"/>
      <c r="I67" s="21"/>
      <c r="J67" s="29" t="str">
        <f t="array" ref="J67">iF('Ingest Template'!A67="Standard","Pristine Brand",INDEX(DropDown!$M$2:$M$392,MATCH('Ingest Template'!E67,DropDown!$J$2:$J$392,0)))</f>
        <v>#N/A</v>
      </c>
      <c r="K67" s="21" t="str">
        <f>iF('Ingest Template'!A67="Standard",'Ingest Template'!K67&amp;CHAR(10)&amp;'Ingest Template'!L67,"Competitive View")</f>
        <v>Competitive View</v>
      </c>
      <c r="L67" s="29" t="s">
        <v>146</v>
      </c>
      <c r="M67" s="37" t="str">
        <f>'Ingest Template'!D67</f>
        <v/>
      </c>
      <c r="N67" s="21"/>
      <c r="O67" s="21"/>
      <c r="P67" s="21"/>
      <c r="Q67" s="21"/>
      <c r="R67" s="21" t="str">
        <f>'Ingest Template'!E67</f>
        <v/>
      </c>
      <c r="S67" s="29" t="s">
        <v>153</v>
      </c>
      <c r="T67" s="21" t="str">
        <f>'Ingest Template'!T67</f>
        <v/>
      </c>
      <c r="U67" s="21" t="str">
        <f>'Ingest Template'!S67</f>
        <v/>
      </c>
      <c r="V67" s="21" t="str">
        <f>LOWER(SUBSTITUTE(SUBSTITUTE(SUBSTITUTE(SUBSTITUTE(SUBSTITUTE('Ingest Template'!U67,"https:",""),"www.",""),"/",""),"?hl=en",""),"instagram.com",""))</f>
        <v/>
      </c>
      <c r="W67" s="41" t="str">
        <f t="array" ref="W67">IF('Ingest Template'!V67="",(INDEX(DropDown!$L$2:$L$392,MATCH('Ingest Template'!E67,DropDown!$J$2:$J$392,0))&amp;"|"&amp;'Ingest Template'!B67),(INDEX(DropDown!$L$2:$L$392,MATCH('Ingest Template'!E67,DropDown!$J$2:$J$392,0))&amp;"|"&amp;'Ingest Template'!B67)&amp;CHAR(10)&amp;'Ingest Template'!V67)</f>
        <v>#N/A</v>
      </c>
      <c r="X67" s="41" t="str">
        <f>'Ingest Template'!W67</f>
        <v/>
      </c>
      <c r="Y67" s="21" t="str">
        <f>SUBSTITUTE(SUBSTITUTE(SUBSTITUTE('Ingest Template'!X67,"http:",""),"https:",""),"/","")</f>
        <v/>
      </c>
      <c r="Z67" s="21" t="str">
        <f t="array" ref="Z67">IF('Ingest Template'!A67="Standard",(IF(ISBLANK('Ingest Template'!AA67),"", 'Ingest Template'!AA67&amp;"|DAR")),(IF(ISBLANK('Ingest Template'!AA67),"", 'Ingest Template'!AA67&amp;"|Film Ops")))</f>
        <v/>
      </c>
      <c r="AA67" s="21"/>
      <c r="AB67" s="21" t="str">
        <f>'Ingest Template'!M67</f>
        <v/>
      </c>
      <c r="AC67" s="21" t="str">
        <f>'Ingest Template'!Y67</f>
        <v/>
      </c>
      <c r="AD67" s="21" t="str">
        <f>'Ingest Template'!C67</f>
        <v/>
      </c>
      <c r="AE67" s="21" t="str">
        <f>'Ingest Template'!Z67</f>
        <v/>
      </c>
      <c r="AF67" s="29"/>
      <c r="AG67" s="21" t="str">
        <f t="array" ref="AG67">IF('Ingest Template'!A67="Standard",(CONCATENATE(IF(ISBLANK('Ingest Template'!O67),"", 'Ingest Template'!O67&amp;"|DAR"),CHAR(10), IF(ISBLANK('Ingest Template'!P67),"", 'Ingest Template'!P67&amp;"|DAR"),CHAR(10), IF(ISBLANK('Ingest Template'!Q67),"", 'Ingest Template'!Q67&amp;"|DAR"))),(CONCATENATE(IF(ISBLANK('Ingest Template'!O67),"", 'Ingest Template'!O67&amp;"|Operations - Core Title"),CHAR(10), IF(ISBLANK('Ingest Template'!P67),"", 'Ingest Template'!P67&amp;"|Operations - Core Title"),CHAR(10), IF(ISBLANK('Ingest Template'!Q67),"", 'Ingest Template'!Q67&amp;"|Operations - Core Title"))))</f>
        <v>#|Operations - Core Title
#|Operations - Core Title
</v>
      </c>
      <c r="AH67" s="21"/>
      <c r="AI67" s="21"/>
      <c r="AJ67" s="53" t="str">
        <f>if('Ingest Template'!A67="Standard",'Ingest Template'!N67&amp; "|DAR|DAR|2021-01-01",'Ingest Template'!N67&amp; "|Operations - Core Title|Operations - Core Title")</f>
        <v>#N/A</v>
      </c>
      <c r="AK67" s="53" t="str">
        <f>if('Ingest Template'!A67="Standard",'Ingest Template'!R67&amp; "|2021-01-01",'Ingest Template'!R67)</f>
        <v>#N/A</v>
      </c>
      <c r="AL67" s="21"/>
      <c r="AM67" s="21"/>
    </row>
    <row r="68">
      <c r="A68" s="21"/>
      <c r="B68" s="21" t="str">
        <f>'Ingest Template'!B68&amp;IF('Ingest Template'!A68 = "Standard", " - DAR","")</f>
        <v/>
      </c>
      <c r="C68" s="26" t="s">
        <v>109</v>
      </c>
      <c r="D68" s="29" t="str">
        <f t="array" ref="D68">CONCATENATE(INDEX(DropDown!$H$2:$H$10,MATCH(1,COUNTIF('Ingest Template'!F68,"*"&amp;DropDown!$H$2:$H$10&amp;"*"),0)),CHAR(10),'Ingest Template'!G68)</f>
        <v>#N/A</v>
      </c>
      <c r="E68" s="21" t="str">
        <f>CONCATENATE('Ingest Template'!H68,CHAR(10),'Ingest Template'!I68,CHAR(10),'Ingest Template'!J68)</f>
        <v>
</v>
      </c>
      <c r="F68" s="26" t="str">
        <f>'Ingest Template'!H68</f>
        <v/>
      </c>
      <c r="G68" s="21"/>
      <c r="H68" s="29"/>
      <c r="I68" s="21"/>
      <c r="J68" s="29" t="str">
        <f t="array" ref="J68">iF('Ingest Template'!A68="Standard","Pristine Brand",INDEX(DropDown!$M$2:$M$392,MATCH('Ingest Template'!E68,DropDown!$J$2:$J$392,0)))</f>
        <v>#N/A</v>
      </c>
      <c r="K68" s="21" t="str">
        <f>iF('Ingest Template'!A68="Standard",'Ingest Template'!K68&amp;CHAR(10)&amp;'Ingest Template'!L68,"Competitive View")</f>
        <v>Competitive View</v>
      </c>
      <c r="L68" s="29" t="s">
        <v>146</v>
      </c>
      <c r="M68" s="37" t="str">
        <f>'Ingest Template'!D68</f>
        <v/>
      </c>
      <c r="N68" s="21"/>
      <c r="O68" s="21"/>
      <c r="P68" s="21"/>
      <c r="Q68" s="21"/>
      <c r="R68" s="21" t="str">
        <f>'Ingest Template'!E68</f>
        <v/>
      </c>
      <c r="S68" s="29" t="s">
        <v>153</v>
      </c>
      <c r="T68" s="21" t="str">
        <f>'Ingest Template'!T68</f>
        <v/>
      </c>
      <c r="U68" s="21" t="str">
        <f>'Ingest Template'!S68</f>
        <v/>
      </c>
      <c r="V68" s="21" t="str">
        <f>LOWER(SUBSTITUTE(SUBSTITUTE(SUBSTITUTE(SUBSTITUTE(SUBSTITUTE('Ingest Template'!U68,"https:",""),"www.",""),"/",""),"?hl=en",""),"instagram.com",""))</f>
        <v/>
      </c>
      <c r="W68" s="41" t="str">
        <f t="array" ref="W68">IF('Ingest Template'!V68="",(INDEX(DropDown!$L$2:$L$392,MATCH('Ingest Template'!E68,DropDown!$J$2:$J$392,0))&amp;"|"&amp;'Ingest Template'!B68),(INDEX(DropDown!$L$2:$L$392,MATCH('Ingest Template'!E68,DropDown!$J$2:$J$392,0))&amp;"|"&amp;'Ingest Template'!B68)&amp;CHAR(10)&amp;'Ingest Template'!V68)</f>
        <v>#N/A</v>
      </c>
      <c r="X68" s="41" t="str">
        <f>'Ingest Template'!W68</f>
        <v/>
      </c>
      <c r="Y68" s="21" t="str">
        <f>SUBSTITUTE(SUBSTITUTE(SUBSTITUTE('Ingest Template'!X68,"http:",""),"https:",""),"/","")</f>
        <v/>
      </c>
      <c r="Z68" s="21" t="str">
        <f t="array" ref="Z68">IF('Ingest Template'!A68="Standard",(IF(ISBLANK('Ingest Template'!AA68),"", 'Ingest Template'!AA68&amp;"|DAR")),(IF(ISBLANK('Ingest Template'!AA68),"", 'Ingest Template'!AA68&amp;"|Film Ops")))</f>
        <v/>
      </c>
      <c r="AA68" s="21"/>
      <c r="AB68" s="21" t="str">
        <f>'Ingest Template'!M68</f>
        <v/>
      </c>
      <c r="AC68" s="21" t="str">
        <f>'Ingest Template'!Y68</f>
        <v/>
      </c>
      <c r="AD68" s="21" t="str">
        <f>'Ingest Template'!C68</f>
        <v/>
      </c>
      <c r="AE68" s="21" t="str">
        <f>'Ingest Template'!Z68</f>
        <v/>
      </c>
      <c r="AF68" s="29"/>
      <c r="AG68" s="21" t="str">
        <f t="array" ref="AG68">IF('Ingest Template'!A68="Standard",(CONCATENATE(IF(ISBLANK('Ingest Template'!O68),"", 'Ingest Template'!O68&amp;"|DAR"),CHAR(10), IF(ISBLANK('Ingest Template'!P68),"", 'Ingest Template'!P68&amp;"|DAR"),CHAR(10), IF(ISBLANK('Ingest Template'!Q68),"", 'Ingest Template'!Q68&amp;"|DAR"))),(CONCATENATE(IF(ISBLANK('Ingest Template'!O68),"", 'Ingest Template'!O68&amp;"|Operations - Core Title"),CHAR(10), IF(ISBLANK('Ingest Template'!P68),"", 'Ingest Template'!P68&amp;"|Operations - Core Title"),CHAR(10), IF(ISBLANK('Ingest Template'!Q68),"", 'Ingest Template'!Q68&amp;"|Operations - Core Title"))))</f>
        <v>#|Operations - Core Title
#|Operations - Core Title
</v>
      </c>
      <c r="AH68" s="21"/>
      <c r="AI68" s="21"/>
      <c r="AJ68" s="53" t="str">
        <f>if('Ingest Template'!A68="Standard",'Ingest Template'!N68&amp; "|DAR|DAR|2021-01-01",'Ingest Template'!N68&amp; "|Operations - Core Title|Operations - Core Title")</f>
        <v>#N/A</v>
      </c>
      <c r="AK68" s="53" t="str">
        <f>if('Ingest Template'!A68="Standard",'Ingest Template'!R68&amp; "|2021-01-01",'Ingest Template'!R68)</f>
        <v>#N/A</v>
      </c>
      <c r="AL68" s="21"/>
      <c r="AM68" s="21"/>
    </row>
    <row r="69">
      <c r="A69" s="21"/>
      <c r="B69" s="21" t="str">
        <f>'Ingest Template'!B69&amp;IF('Ingest Template'!A69 = "Standard", " - DAR","")</f>
        <v/>
      </c>
      <c r="C69" s="26" t="s">
        <v>109</v>
      </c>
      <c r="D69" s="29" t="str">
        <f t="array" ref="D69">CONCATENATE(INDEX(DropDown!$H$2:$H$10,MATCH(1,COUNTIF('Ingest Template'!F69,"*"&amp;DropDown!$H$2:$H$10&amp;"*"),0)),CHAR(10),'Ingest Template'!G69)</f>
        <v>#N/A</v>
      </c>
      <c r="E69" s="21" t="str">
        <f>CONCATENATE('Ingest Template'!H69,CHAR(10),'Ingest Template'!I69,CHAR(10),'Ingest Template'!J69)</f>
        <v>
</v>
      </c>
      <c r="F69" s="26" t="str">
        <f>'Ingest Template'!H69</f>
        <v/>
      </c>
      <c r="G69" s="21"/>
      <c r="H69" s="29"/>
      <c r="I69" s="21"/>
      <c r="J69" s="29" t="str">
        <f t="array" ref="J69">iF('Ingest Template'!A69="Standard","Pristine Brand",INDEX(DropDown!$M$2:$M$392,MATCH('Ingest Template'!E69,DropDown!$J$2:$J$392,0)))</f>
        <v>#N/A</v>
      </c>
      <c r="K69" s="21" t="str">
        <f>iF('Ingest Template'!A69="Standard",'Ingest Template'!K69&amp;CHAR(10)&amp;'Ingest Template'!L69,"Competitive View")</f>
        <v>Competitive View</v>
      </c>
      <c r="L69" s="29" t="s">
        <v>146</v>
      </c>
      <c r="M69" s="37" t="str">
        <f>'Ingest Template'!D69</f>
        <v/>
      </c>
      <c r="N69" s="21"/>
      <c r="O69" s="21"/>
      <c r="P69" s="21"/>
      <c r="Q69" s="21"/>
      <c r="R69" s="21" t="str">
        <f>'Ingest Template'!E69</f>
        <v/>
      </c>
      <c r="S69" s="29" t="s">
        <v>153</v>
      </c>
      <c r="T69" s="21" t="str">
        <f>'Ingest Template'!T69</f>
        <v/>
      </c>
      <c r="U69" s="21" t="str">
        <f>'Ingest Template'!S69</f>
        <v/>
      </c>
      <c r="V69" s="21" t="str">
        <f>LOWER(SUBSTITUTE(SUBSTITUTE(SUBSTITUTE(SUBSTITUTE(SUBSTITUTE('Ingest Template'!U69,"https:",""),"www.",""),"/",""),"?hl=en",""),"instagram.com",""))</f>
        <v/>
      </c>
      <c r="W69" s="41" t="str">
        <f t="array" ref="W69">IF('Ingest Template'!V69="",(INDEX(DropDown!$L$2:$L$392,MATCH('Ingest Template'!E69,DropDown!$J$2:$J$392,0))&amp;"|"&amp;'Ingest Template'!B69),(INDEX(DropDown!$L$2:$L$392,MATCH('Ingest Template'!E69,DropDown!$J$2:$J$392,0))&amp;"|"&amp;'Ingest Template'!B69)&amp;CHAR(10)&amp;'Ingest Template'!V69)</f>
        <v>#N/A</v>
      </c>
      <c r="X69" s="41" t="str">
        <f>'Ingest Template'!W69</f>
        <v/>
      </c>
      <c r="Y69" s="21" t="str">
        <f>SUBSTITUTE(SUBSTITUTE(SUBSTITUTE('Ingest Template'!X69,"http:",""),"https:",""),"/","")</f>
        <v/>
      </c>
      <c r="Z69" s="21" t="str">
        <f t="array" ref="Z69">IF('Ingest Template'!A69="Standard",(IF(ISBLANK('Ingest Template'!AA69),"", 'Ingest Template'!AA69&amp;"|DAR")),(IF(ISBLANK('Ingest Template'!AA69),"", 'Ingest Template'!AA69&amp;"|Film Ops")))</f>
        <v/>
      </c>
      <c r="AA69" s="21"/>
      <c r="AB69" s="21" t="str">
        <f>'Ingest Template'!M69</f>
        <v/>
      </c>
      <c r="AC69" s="21" t="str">
        <f>'Ingest Template'!Y69</f>
        <v/>
      </c>
      <c r="AD69" s="21" t="str">
        <f>'Ingest Template'!C69</f>
        <v/>
      </c>
      <c r="AE69" s="21" t="str">
        <f>'Ingest Template'!Z69</f>
        <v/>
      </c>
      <c r="AF69" s="29"/>
      <c r="AG69" s="21" t="str">
        <f t="array" ref="AG69">IF('Ingest Template'!A69="Standard",(CONCATENATE(IF(ISBLANK('Ingest Template'!O69),"", 'Ingest Template'!O69&amp;"|DAR"),CHAR(10), IF(ISBLANK('Ingest Template'!P69),"", 'Ingest Template'!P69&amp;"|DAR"),CHAR(10), IF(ISBLANK('Ingest Template'!Q69),"", 'Ingest Template'!Q69&amp;"|DAR"))),(CONCATENATE(IF(ISBLANK('Ingest Template'!O69),"", 'Ingest Template'!O69&amp;"|Operations - Core Title"),CHAR(10), IF(ISBLANK('Ingest Template'!P69),"", 'Ingest Template'!P69&amp;"|Operations - Core Title"),CHAR(10), IF(ISBLANK('Ingest Template'!Q69),"", 'Ingest Template'!Q69&amp;"|Operations - Core Title"))))</f>
        <v>#|Operations - Core Title
#|Operations - Core Title
</v>
      </c>
      <c r="AH69" s="21"/>
      <c r="AI69" s="21"/>
      <c r="AJ69" s="53" t="str">
        <f>if('Ingest Template'!A69="Standard",'Ingest Template'!N69&amp; "|DAR|DAR|2021-01-01",'Ingest Template'!N69&amp; "|Operations - Core Title|Operations - Core Title")</f>
        <v>#N/A</v>
      </c>
      <c r="AK69" s="53" t="str">
        <f>if('Ingest Template'!A69="Standard",'Ingest Template'!R69&amp; "|2021-01-01",'Ingest Template'!R69)</f>
        <v>#N/A</v>
      </c>
      <c r="AL69" s="21"/>
      <c r="AM69" s="21"/>
    </row>
    <row r="70">
      <c r="A70" s="21"/>
      <c r="B70" s="21" t="str">
        <f>'Ingest Template'!B70&amp;IF('Ingest Template'!A70 = "Standard", " - DAR","")</f>
        <v/>
      </c>
      <c r="C70" s="26" t="s">
        <v>109</v>
      </c>
      <c r="D70" s="29" t="str">
        <f t="array" ref="D70">CONCATENATE(INDEX(DropDown!$H$2:$H$10,MATCH(1,COUNTIF('Ingest Template'!F70,"*"&amp;DropDown!$H$2:$H$10&amp;"*"),0)),CHAR(10),'Ingest Template'!G70)</f>
        <v>#N/A</v>
      </c>
      <c r="E70" s="21" t="str">
        <f>CONCATENATE('Ingest Template'!H70,CHAR(10),'Ingest Template'!I70,CHAR(10),'Ingest Template'!J70)</f>
        <v>
</v>
      </c>
      <c r="F70" s="26" t="str">
        <f>'Ingest Template'!H70</f>
        <v/>
      </c>
      <c r="G70" s="21"/>
      <c r="H70" s="29"/>
      <c r="I70" s="21"/>
      <c r="J70" s="29" t="str">
        <f t="array" ref="J70">iF('Ingest Template'!A70="Standard","Pristine Brand",INDEX(DropDown!$M$2:$M$392,MATCH('Ingest Template'!E70,DropDown!$J$2:$J$392,0)))</f>
        <v>#N/A</v>
      </c>
      <c r="K70" s="21" t="str">
        <f>iF('Ingest Template'!A70="Standard",'Ingest Template'!K70&amp;CHAR(10)&amp;'Ingest Template'!L70,"Competitive View")</f>
        <v>Competitive View</v>
      </c>
      <c r="L70" s="29" t="s">
        <v>146</v>
      </c>
      <c r="M70" s="37" t="str">
        <f>'Ingest Template'!D70</f>
        <v/>
      </c>
      <c r="N70" s="21"/>
      <c r="O70" s="21"/>
      <c r="P70" s="21"/>
      <c r="Q70" s="21"/>
      <c r="R70" s="21" t="str">
        <f>'Ingest Template'!E70</f>
        <v/>
      </c>
      <c r="S70" s="29" t="s">
        <v>153</v>
      </c>
      <c r="T70" s="21" t="str">
        <f>'Ingest Template'!T70</f>
        <v/>
      </c>
      <c r="U70" s="21" t="str">
        <f>'Ingest Template'!S70</f>
        <v/>
      </c>
      <c r="V70" s="21" t="str">
        <f>LOWER(SUBSTITUTE(SUBSTITUTE(SUBSTITUTE(SUBSTITUTE(SUBSTITUTE('Ingest Template'!U70,"https:",""),"www.",""),"/",""),"?hl=en",""),"instagram.com",""))</f>
        <v/>
      </c>
      <c r="W70" s="41" t="str">
        <f t="array" ref="W70">IF('Ingest Template'!V70="",(INDEX(DropDown!$L$2:$L$392,MATCH('Ingest Template'!E70,DropDown!$J$2:$J$392,0))&amp;"|"&amp;'Ingest Template'!B70),(INDEX(DropDown!$L$2:$L$392,MATCH('Ingest Template'!E70,DropDown!$J$2:$J$392,0))&amp;"|"&amp;'Ingest Template'!B70)&amp;CHAR(10)&amp;'Ingest Template'!V70)</f>
        <v>#N/A</v>
      </c>
      <c r="X70" s="41" t="str">
        <f>'Ingest Template'!W70</f>
        <v/>
      </c>
      <c r="Y70" s="21" t="str">
        <f>SUBSTITUTE(SUBSTITUTE(SUBSTITUTE('Ingest Template'!X70,"http:",""),"https:",""),"/","")</f>
        <v/>
      </c>
      <c r="Z70" s="21" t="str">
        <f t="array" ref="Z70">IF('Ingest Template'!A70="Standard",(IF(ISBLANK('Ingest Template'!AA70),"", 'Ingest Template'!AA70&amp;"|DAR")),(IF(ISBLANK('Ingest Template'!AA70),"", 'Ingest Template'!AA70&amp;"|Film Ops")))</f>
        <v/>
      </c>
      <c r="AA70" s="21"/>
      <c r="AB70" s="21" t="str">
        <f>'Ingest Template'!M70</f>
        <v/>
      </c>
      <c r="AC70" s="21" t="str">
        <f>'Ingest Template'!Y70</f>
        <v/>
      </c>
      <c r="AD70" s="21" t="str">
        <f>'Ingest Template'!C70</f>
        <v/>
      </c>
      <c r="AE70" s="21" t="str">
        <f>'Ingest Template'!Z70</f>
        <v/>
      </c>
      <c r="AF70" s="29"/>
      <c r="AG70" s="21" t="str">
        <f t="array" ref="AG70">IF('Ingest Template'!A70="Standard",(CONCATENATE(IF(ISBLANK('Ingest Template'!O70),"", 'Ingest Template'!O70&amp;"|DAR"),CHAR(10), IF(ISBLANK('Ingest Template'!P70),"", 'Ingest Template'!P70&amp;"|DAR"),CHAR(10), IF(ISBLANK('Ingest Template'!Q70),"", 'Ingest Template'!Q70&amp;"|DAR"))),(CONCATENATE(IF(ISBLANK('Ingest Template'!O70),"", 'Ingest Template'!O70&amp;"|Operations - Core Title"),CHAR(10), IF(ISBLANK('Ingest Template'!P70),"", 'Ingest Template'!P70&amp;"|Operations - Core Title"),CHAR(10), IF(ISBLANK('Ingest Template'!Q70),"", 'Ingest Template'!Q70&amp;"|Operations - Core Title"))))</f>
        <v>#|Operations - Core Title
#|Operations - Core Title
</v>
      </c>
      <c r="AH70" s="21"/>
      <c r="AI70" s="21"/>
      <c r="AJ70" s="53" t="str">
        <f>if('Ingest Template'!A70="Standard",'Ingest Template'!N70&amp; "|DAR|DAR|2021-01-01",'Ingest Template'!N70&amp; "|Operations - Core Title|Operations - Core Title")</f>
        <v>#N/A</v>
      </c>
      <c r="AK70" s="53" t="str">
        <f>if('Ingest Template'!A70="Standard",'Ingest Template'!R70&amp; "|2021-01-01",'Ingest Template'!R70)</f>
        <v>#N/A</v>
      </c>
      <c r="AL70" s="21"/>
      <c r="AM70" s="21"/>
    </row>
    <row r="71">
      <c r="A71" s="21"/>
      <c r="B71" s="21" t="str">
        <f>'Ingest Template'!B71&amp;IF('Ingest Template'!A71 = "Standard", " - DAR","")</f>
        <v/>
      </c>
      <c r="C71" s="26" t="s">
        <v>109</v>
      </c>
      <c r="D71" s="29" t="str">
        <f t="array" ref="D71">CONCATENATE(INDEX(DropDown!$H$2:$H$10,MATCH(1,COUNTIF('Ingest Template'!F71,"*"&amp;DropDown!$H$2:$H$10&amp;"*"),0)),CHAR(10),'Ingest Template'!G71)</f>
        <v>#N/A</v>
      </c>
      <c r="E71" s="21" t="str">
        <f>CONCATENATE('Ingest Template'!H71,CHAR(10),'Ingest Template'!I71,CHAR(10),'Ingest Template'!J71)</f>
        <v>
</v>
      </c>
      <c r="F71" s="26" t="str">
        <f>'Ingest Template'!H71</f>
        <v/>
      </c>
      <c r="G71" s="21"/>
      <c r="H71" s="29"/>
      <c r="I71" s="21"/>
      <c r="J71" s="29" t="str">
        <f t="array" ref="J71">iF('Ingest Template'!A71="Standard","Pristine Brand",INDEX(DropDown!$M$2:$M$392,MATCH('Ingest Template'!E71,DropDown!$J$2:$J$392,0)))</f>
        <v>#N/A</v>
      </c>
      <c r="K71" s="21" t="str">
        <f>iF('Ingest Template'!A71="Standard",'Ingest Template'!K71&amp;CHAR(10)&amp;'Ingest Template'!L71,"Competitive View")</f>
        <v>Competitive View</v>
      </c>
      <c r="L71" s="29" t="s">
        <v>146</v>
      </c>
      <c r="M71" s="37" t="str">
        <f>'Ingest Template'!D71</f>
        <v/>
      </c>
      <c r="N71" s="21"/>
      <c r="O71" s="21"/>
      <c r="P71" s="21"/>
      <c r="Q71" s="21"/>
      <c r="R71" s="21" t="str">
        <f>'Ingest Template'!E71</f>
        <v/>
      </c>
      <c r="S71" s="29" t="s">
        <v>153</v>
      </c>
      <c r="T71" s="21" t="str">
        <f>'Ingest Template'!T71</f>
        <v/>
      </c>
      <c r="U71" s="21" t="str">
        <f>'Ingest Template'!S71</f>
        <v/>
      </c>
      <c r="V71" s="21" t="str">
        <f>LOWER(SUBSTITUTE(SUBSTITUTE(SUBSTITUTE(SUBSTITUTE(SUBSTITUTE('Ingest Template'!U71,"https:",""),"www.",""),"/",""),"?hl=en",""),"instagram.com",""))</f>
        <v/>
      </c>
      <c r="W71" s="41" t="str">
        <f t="array" ref="W71">IF('Ingest Template'!V71="",(INDEX(DropDown!$L$2:$L$392,MATCH('Ingest Template'!E71,DropDown!$J$2:$J$392,0))&amp;"|"&amp;'Ingest Template'!B71),(INDEX(DropDown!$L$2:$L$392,MATCH('Ingest Template'!E71,DropDown!$J$2:$J$392,0))&amp;"|"&amp;'Ingest Template'!B71)&amp;CHAR(10)&amp;'Ingest Template'!V71)</f>
        <v>#N/A</v>
      </c>
      <c r="X71" s="41" t="str">
        <f>'Ingest Template'!W71</f>
        <v/>
      </c>
      <c r="Y71" s="21" t="str">
        <f>SUBSTITUTE(SUBSTITUTE(SUBSTITUTE('Ingest Template'!X71,"http:",""),"https:",""),"/","")</f>
        <v/>
      </c>
      <c r="Z71" s="21" t="str">
        <f t="array" ref="Z71">IF('Ingest Template'!A71="Standard",(IF(ISBLANK('Ingest Template'!AA71),"", 'Ingest Template'!AA71&amp;"|DAR")),(IF(ISBLANK('Ingest Template'!AA71),"", 'Ingest Template'!AA71&amp;"|Film Ops")))</f>
        <v/>
      </c>
      <c r="AA71" s="21"/>
      <c r="AB71" s="21" t="str">
        <f>'Ingest Template'!M71</f>
        <v/>
      </c>
      <c r="AC71" s="21" t="str">
        <f>'Ingest Template'!Y71</f>
        <v/>
      </c>
      <c r="AD71" s="21" t="str">
        <f>'Ingest Template'!C71</f>
        <v/>
      </c>
      <c r="AE71" s="21" t="str">
        <f>'Ingest Template'!Z71</f>
        <v/>
      </c>
      <c r="AF71" s="29"/>
      <c r="AG71" s="21" t="str">
        <f t="array" ref="AG71">IF('Ingest Template'!A71="Standard",(CONCATENATE(IF(ISBLANK('Ingest Template'!O71),"", 'Ingest Template'!O71&amp;"|DAR"),CHAR(10), IF(ISBLANK('Ingest Template'!P71),"", 'Ingest Template'!P71&amp;"|DAR"),CHAR(10), IF(ISBLANK('Ingest Template'!Q71),"", 'Ingest Template'!Q71&amp;"|DAR"))),(CONCATENATE(IF(ISBLANK('Ingest Template'!O71),"", 'Ingest Template'!O71&amp;"|Operations - Core Title"),CHAR(10), IF(ISBLANK('Ingest Template'!P71),"", 'Ingest Template'!P71&amp;"|Operations - Core Title"),CHAR(10), IF(ISBLANK('Ingest Template'!Q71),"", 'Ingest Template'!Q71&amp;"|Operations - Core Title"))))</f>
        <v>#|Operations - Core Title
#|Operations - Core Title
</v>
      </c>
      <c r="AH71" s="21"/>
      <c r="AI71" s="21"/>
      <c r="AJ71" s="53" t="str">
        <f>if('Ingest Template'!A71="Standard",'Ingest Template'!N71&amp; "|DAR|DAR|2021-01-01",'Ingest Template'!N71&amp; "|Operations - Core Title|Operations - Core Title")</f>
        <v>#N/A</v>
      </c>
      <c r="AK71" s="53" t="str">
        <f>if('Ingest Template'!A71="Standard",'Ingest Template'!R71&amp; "|2021-01-01",'Ingest Template'!R71)</f>
        <v>#N/A</v>
      </c>
      <c r="AL71" s="21"/>
      <c r="AM71" s="21"/>
    </row>
    <row r="72">
      <c r="A72" s="21"/>
      <c r="B72" s="21" t="str">
        <f>'Ingest Template'!B72&amp;IF('Ingest Template'!A72 = "Standard", " - DAR","")</f>
        <v/>
      </c>
      <c r="C72" s="26" t="s">
        <v>109</v>
      </c>
      <c r="D72" s="29" t="str">
        <f t="array" ref="D72">CONCATENATE(INDEX(DropDown!$H$2:$H$10,MATCH(1,COUNTIF('Ingest Template'!F72,"*"&amp;DropDown!$H$2:$H$10&amp;"*"),0)),CHAR(10),'Ingest Template'!G72)</f>
        <v>#N/A</v>
      </c>
      <c r="E72" s="21" t="str">
        <f>CONCATENATE('Ingest Template'!H72,CHAR(10),'Ingest Template'!I72,CHAR(10),'Ingest Template'!J72)</f>
        <v>
</v>
      </c>
      <c r="F72" s="26" t="str">
        <f>'Ingest Template'!H72</f>
        <v/>
      </c>
      <c r="G72" s="21"/>
      <c r="H72" s="29"/>
      <c r="I72" s="21"/>
      <c r="J72" s="29" t="str">
        <f t="array" ref="J72">iF('Ingest Template'!A72="Standard","Pristine Brand",INDEX(DropDown!$M$2:$M$392,MATCH('Ingest Template'!E72,DropDown!$J$2:$J$392,0)))</f>
        <v>#N/A</v>
      </c>
      <c r="K72" s="21" t="str">
        <f>iF('Ingest Template'!A72="Standard",'Ingest Template'!K72&amp;CHAR(10)&amp;'Ingest Template'!L72,"Competitive View")</f>
        <v>Competitive View</v>
      </c>
      <c r="L72" s="29" t="s">
        <v>146</v>
      </c>
      <c r="M72" s="37" t="str">
        <f>'Ingest Template'!D72</f>
        <v/>
      </c>
      <c r="N72" s="21"/>
      <c r="O72" s="21"/>
      <c r="P72" s="21"/>
      <c r="Q72" s="21"/>
      <c r="R72" s="21" t="str">
        <f>'Ingest Template'!E72</f>
        <v/>
      </c>
      <c r="S72" s="29" t="s">
        <v>153</v>
      </c>
      <c r="T72" s="21" t="str">
        <f>'Ingest Template'!T72</f>
        <v/>
      </c>
      <c r="U72" s="21" t="str">
        <f>'Ingest Template'!S72</f>
        <v/>
      </c>
      <c r="V72" s="21" t="str">
        <f>LOWER(SUBSTITUTE(SUBSTITUTE(SUBSTITUTE(SUBSTITUTE(SUBSTITUTE('Ingest Template'!U72,"https:",""),"www.",""),"/",""),"?hl=en",""),"instagram.com",""))</f>
        <v/>
      </c>
      <c r="W72" s="41" t="str">
        <f t="array" ref="W72">IF('Ingest Template'!V72="",(INDEX(DropDown!$L$2:$L$392,MATCH('Ingest Template'!E72,DropDown!$J$2:$J$392,0))&amp;"|"&amp;'Ingest Template'!B72),(INDEX(DropDown!$L$2:$L$392,MATCH('Ingest Template'!E72,DropDown!$J$2:$J$392,0))&amp;"|"&amp;'Ingest Template'!B72)&amp;CHAR(10)&amp;'Ingest Template'!V72)</f>
        <v>#N/A</v>
      </c>
      <c r="X72" s="41" t="str">
        <f>'Ingest Template'!W72</f>
        <v/>
      </c>
      <c r="Y72" s="21" t="str">
        <f>SUBSTITUTE(SUBSTITUTE(SUBSTITUTE('Ingest Template'!X72,"http:",""),"https:",""),"/","")</f>
        <v/>
      </c>
      <c r="Z72" s="21" t="str">
        <f t="array" ref="Z72">IF('Ingest Template'!A72="Standard",(IF(ISBLANK('Ingest Template'!AA72),"", 'Ingest Template'!AA72&amp;"|DAR")),(IF(ISBLANK('Ingest Template'!AA72),"", 'Ingest Template'!AA72&amp;"|Film Ops")))</f>
        <v/>
      </c>
      <c r="AA72" s="21"/>
      <c r="AB72" s="21" t="str">
        <f>'Ingest Template'!M72</f>
        <v/>
      </c>
      <c r="AC72" s="21" t="str">
        <f>'Ingest Template'!Y72</f>
        <v/>
      </c>
      <c r="AD72" s="21" t="str">
        <f>'Ingest Template'!C72</f>
        <v/>
      </c>
      <c r="AE72" s="21" t="str">
        <f>'Ingest Template'!Z72</f>
        <v/>
      </c>
      <c r="AF72" s="29"/>
      <c r="AG72" s="21" t="str">
        <f t="array" ref="AG72">IF('Ingest Template'!A72="Standard",(CONCATENATE(IF(ISBLANK('Ingest Template'!O72),"", 'Ingest Template'!O72&amp;"|DAR"),CHAR(10), IF(ISBLANK('Ingest Template'!P72),"", 'Ingest Template'!P72&amp;"|DAR"),CHAR(10), IF(ISBLANK('Ingest Template'!Q72),"", 'Ingest Template'!Q72&amp;"|DAR"))),(CONCATENATE(IF(ISBLANK('Ingest Template'!O72),"", 'Ingest Template'!O72&amp;"|Operations - Core Title"),CHAR(10), IF(ISBLANK('Ingest Template'!P72),"", 'Ingest Template'!P72&amp;"|Operations - Core Title"),CHAR(10), IF(ISBLANK('Ingest Template'!Q72),"", 'Ingest Template'!Q72&amp;"|Operations - Core Title"))))</f>
        <v>#|Operations - Core Title
#|Operations - Core Title
</v>
      </c>
      <c r="AH72" s="21"/>
      <c r="AI72" s="21"/>
      <c r="AJ72" s="53" t="str">
        <f>if('Ingest Template'!A72="Standard",'Ingest Template'!N72&amp; "|DAR|DAR|2021-01-01",'Ingest Template'!N72&amp; "|Operations - Core Title|Operations - Core Title")</f>
        <v>#N/A</v>
      </c>
      <c r="AK72" s="53" t="str">
        <f>if('Ingest Template'!A72="Standard",'Ingest Template'!R72&amp; "|2021-01-01",'Ingest Template'!R72)</f>
        <v>#N/A</v>
      </c>
      <c r="AL72" s="21"/>
      <c r="AM72" s="21"/>
    </row>
    <row r="73">
      <c r="A73" s="21"/>
      <c r="B73" s="21" t="str">
        <f>'Ingest Template'!B73&amp;IF('Ingest Template'!A73 = "Standard", " - DAR","")</f>
        <v/>
      </c>
      <c r="C73" s="26" t="s">
        <v>109</v>
      </c>
      <c r="D73" s="29" t="str">
        <f t="array" ref="D73">CONCATENATE(INDEX(DropDown!$H$2:$H$10,MATCH(1,COUNTIF('Ingest Template'!F73,"*"&amp;DropDown!$H$2:$H$10&amp;"*"),0)),CHAR(10),'Ingest Template'!G73)</f>
        <v>#N/A</v>
      </c>
      <c r="E73" s="21" t="str">
        <f>CONCATENATE('Ingest Template'!H73,CHAR(10),'Ingest Template'!I73,CHAR(10),'Ingest Template'!J73)</f>
        <v>
</v>
      </c>
      <c r="F73" s="26" t="str">
        <f>'Ingest Template'!H73</f>
        <v/>
      </c>
      <c r="G73" s="21"/>
      <c r="H73" s="29"/>
      <c r="I73" s="21"/>
      <c r="J73" s="29" t="str">
        <f t="array" ref="J73">iF('Ingest Template'!A73="Standard","Pristine Brand",INDEX(DropDown!$M$2:$M$392,MATCH('Ingest Template'!E73,DropDown!$J$2:$J$392,0)))</f>
        <v>#N/A</v>
      </c>
      <c r="K73" s="21" t="str">
        <f>iF('Ingest Template'!A73="Standard",'Ingest Template'!K73&amp;CHAR(10)&amp;'Ingest Template'!L73,"Competitive View")</f>
        <v>Competitive View</v>
      </c>
      <c r="L73" s="29" t="s">
        <v>146</v>
      </c>
      <c r="M73" s="37" t="str">
        <f>'Ingest Template'!D73</f>
        <v/>
      </c>
      <c r="N73" s="21"/>
      <c r="O73" s="21"/>
      <c r="P73" s="21"/>
      <c r="Q73" s="21"/>
      <c r="R73" s="21" t="str">
        <f>'Ingest Template'!E73</f>
        <v/>
      </c>
      <c r="S73" s="29" t="s">
        <v>153</v>
      </c>
      <c r="T73" s="21" t="str">
        <f>'Ingest Template'!T73</f>
        <v/>
      </c>
      <c r="U73" s="21" t="str">
        <f>'Ingest Template'!S73</f>
        <v/>
      </c>
      <c r="V73" s="21" t="str">
        <f>LOWER(SUBSTITUTE(SUBSTITUTE(SUBSTITUTE(SUBSTITUTE(SUBSTITUTE('Ingest Template'!U73,"https:",""),"www.",""),"/",""),"?hl=en",""),"instagram.com",""))</f>
        <v/>
      </c>
      <c r="W73" s="41" t="str">
        <f t="array" ref="W73">IF('Ingest Template'!V73="",(INDEX(DropDown!$L$2:$L$392,MATCH('Ingest Template'!E73,DropDown!$J$2:$J$392,0))&amp;"|"&amp;'Ingest Template'!B73),(INDEX(DropDown!$L$2:$L$392,MATCH('Ingest Template'!E73,DropDown!$J$2:$J$392,0))&amp;"|"&amp;'Ingest Template'!B73)&amp;CHAR(10)&amp;'Ingest Template'!V73)</f>
        <v>#N/A</v>
      </c>
      <c r="X73" s="41" t="str">
        <f>'Ingest Template'!W73</f>
        <v/>
      </c>
      <c r="Y73" s="21" t="str">
        <f>SUBSTITUTE(SUBSTITUTE(SUBSTITUTE('Ingest Template'!X73,"http:",""),"https:",""),"/","")</f>
        <v/>
      </c>
      <c r="Z73" s="21" t="str">
        <f t="array" ref="Z73">IF('Ingest Template'!A73="Standard",(IF(ISBLANK('Ingest Template'!AA73),"", 'Ingest Template'!AA73&amp;"|DAR")),(IF(ISBLANK('Ingest Template'!AA73),"", 'Ingest Template'!AA73&amp;"|Film Ops")))</f>
        <v/>
      </c>
      <c r="AA73" s="21"/>
      <c r="AB73" s="21" t="str">
        <f>'Ingest Template'!M73</f>
        <v/>
      </c>
      <c r="AC73" s="21" t="str">
        <f>'Ingest Template'!Y73</f>
        <v/>
      </c>
      <c r="AD73" s="21" t="str">
        <f>'Ingest Template'!C73</f>
        <v/>
      </c>
      <c r="AE73" s="21" t="str">
        <f>'Ingest Template'!Z73</f>
        <v/>
      </c>
      <c r="AF73" s="29"/>
      <c r="AG73" s="21" t="str">
        <f t="array" ref="AG73">IF('Ingest Template'!A73="Standard",(CONCATENATE(IF(ISBLANK('Ingest Template'!O73),"", 'Ingest Template'!O73&amp;"|DAR"),CHAR(10), IF(ISBLANK('Ingest Template'!P73),"", 'Ingest Template'!P73&amp;"|DAR"),CHAR(10), IF(ISBLANK('Ingest Template'!Q73),"", 'Ingest Template'!Q73&amp;"|DAR"))),(CONCATENATE(IF(ISBLANK('Ingest Template'!O73),"", 'Ingest Template'!O73&amp;"|Operations - Core Title"),CHAR(10), IF(ISBLANK('Ingest Template'!P73),"", 'Ingest Template'!P73&amp;"|Operations - Core Title"),CHAR(10), IF(ISBLANK('Ingest Template'!Q73),"", 'Ingest Template'!Q73&amp;"|Operations - Core Title"))))</f>
        <v>#|Operations - Core Title
#|Operations - Core Title
</v>
      </c>
      <c r="AH73" s="21"/>
      <c r="AI73" s="21"/>
      <c r="AJ73" s="53" t="str">
        <f>if('Ingest Template'!A73="Standard",'Ingest Template'!N73&amp; "|DAR|DAR|2021-01-01",'Ingest Template'!N73&amp; "|Operations - Core Title|Operations - Core Title")</f>
        <v>#N/A</v>
      </c>
      <c r="AK73" s="53" t="str">
        <f>if('Ingest Template'!A73="Standard",'Ingest Template'!R73&amp; "|2021-01-01",'Ingest Template'!R73)</f>
        <v>#N/A</v>
      </c>
      <c r="AL73" s="21"/>
      <c r="AM73" s="21"/>
    </row>
    <row r="74">
      <c r="A74" s="21"/>
      <c r="B74" s="21" t="str">
        <f>'Ingest Template'!B74&amp;IF('Ingest Template'!A74 = "Standard", " - DAR","")</f>
        <v/>
      </c>
      <c r="C74" s="26" t="s">
        <v>109</v>
      </c>
      <c r="D74" s="29" t="str">
        <f t="array" ref="D74">CONCATENATE(INDEX(DropDown!$H$2:$H$10,MATCH(1,COUNTIF('Ingest Template'!F74,"*"&amp;DropDown!$H$2:$H$10&amp;"*"),0)),CHAR(10),'Ingest Template'!G74)</f>
        <v>#N/A</v>
      </c>
      <c r="E74" s="21" t="str">
        <f>CONCATENATE('Ingest Template'!H74,CHAR(10),'Ingest Template'!I74,CHAR(10),'Ingest Template'!J74)</f>
        <v>
</v>
      </c>
      <c r="F74" s="26" t="str">
        <f>'Ingest Template'!H74</f>
        <v/>
      </c>
      <c r="G74" s="21"/>
      <c r="H74" s="29"/>
      <c r="I74" s="21"/>
      <c r="J74" s="29" t="str">
        <f t="array" ref="J74">iF('Ingest Template'!A74="Standard","Pristine Brand",INDEX(DropDown!$M$2:$M$392,MATCH('Ingest Template'!E74,DropDown!$J$2:$J$392,0)))</f>
        <v>#N/A</v>
      </c>
      <c r="K74" s="21" t="str">
        <f>iF('Ingest Template'!A74="Standard",'Ingest Template'!K74&amp;CHAR(10)&amp;'Ingest Template'!L74,"Competitive View")</f>
        <v>Competitive View</v>
      </c>
      <c r="L74" s="29" t="s">
        <v>146</v>
      </c>
      <c r="M74" s="37" t="str">
        <f>'Ingest Template'!D74</f>
        <v/>
      </c>
      <c r="N74" s="21"/>
      <c r="O74" s="21"/>
      <c r="P74" s="21"/>
      <c r="Q74" s="21"/>
      <c r="R74" s="21" t="str">
        <f>'Ingest Template'!E74</f>
        <v/>
      </c>
      <c r="S74" s="29" t="s">
        <v>153</v>
      </c>
      <c r="T74" s="21" t="str">
        <f>'Ingest Template'!T74</f>
        <v/>
      </c>
      <c r="U74" s="21" t="str">
        <f>'Ingest Template'!S74</f>
        <v/>
      </c>
      <c r="V74" s="21" t="str">
        <f>LOWER(SUBSTITUTE(SUBSTITUTE(SUBSTITUTE(SUBSTITUTE(SUBSTITUTE('Ingest Template'!U74,"https:",""),"www.",""),"/",""),"?hl=en",""),"instagram.com",""))</f>
        <v/>
      </c>
      <c r="W74" s="41" t="str">
        <f t="array" ref="W74">IF('Ingest Template'!V74="",(INDEX(DropDown!$L$2:$L$392,MATCH('Ingest Template'!E74,DropDown!$J$2:$J$392,0))&amp;"|"&amp;'Ingest Template'!B74),(INDEX(DropDown!$L$2:$L$392,MATCH('Ingest Template'!E74,DropDown!$J$2:$J$392,0))&amp;"|"&amp;'Ingest Template'!B74)&amp;CHAR(10)&amp;'Ingest Template'!V74)</f>
        <v>#N/A</v>
      </c>
      <c r="X74" s="41" t="str">
        <f>'Ingest Template'!W74</f>
        <v/>
      </c>
      <c r="Y74" s="21" t="str">
        <f>SUBSTITUTE(SUBSTITUTE(SUBSTITUTE('Ingest Template'!X74,"http:",""),"https:",""),"/","")</f>
        <v/>
      </c>
      <c r="Z74" s="21" t="str">
        <f t="array" ref="Z74">IF('Ingest Template'!A74="Standard",(IF(ISBLANK('Ingest Template'!AA74),"", 'Ingest Template'!AA74&amp;"|DAR")),(IF(ISBLANK('Ingest Template'!AA74),"", 'Ingest Template'!AA74&amp;"|Film Ops")))</f>
        <v/>
      </c>
      <c r="AA74" s="21"/>
      <c r="AB74" s="21" t="str">
        <f>'Ingest Template'!M74</f>
        <v/>
      </c>
      <c r="AC74" s="21" t="str">
        <f>'Ingest Template'!Y74</f>
        <v/>
      </c>
      <c r="AD74" s="21" t="str">
        <f>'Ingest Template'!C74</f>
        <v/>
      </c>
      <c r="AE74" s="21" t="str">
        <f>'Ingest Template'!Z74</f>
        <v/>
      </c>
      <c r="AF74" s="29"/>
      <c r="AG74" s="21" t="str">
        <f t="array" ref="AG74">IF('Ingest Template'!A74="Standard",(CONCATENATE(IF(ISBLANK('Ingest Template'!O74),"", 'Ingest Template'!O74&amp;"|DAR"),CHAR(10), IF(ISBLANK('Ingest Template'!P74),"", 'Ingest Template'!P74&amp;"|DAR"),CHAR(10), IF(ISBLANK('Ingest Template'!Q74),"", 'Ingest Template'!Q74&amp;"|DAR"))),(CONCATENATE(IF(ISBLANK('Ingest Template'!O74),"", 'Ingest Template'!O74&amp;"|Operations - Core Title"),CHAR(10), IF(ISBLANK('Ingest Template'!P74),"", 'Ingest Template'!P74&amp;"|Operations - Core Title"),CHAR(10), IF(ISBLANK('Ingest Template'!Q74),"", 'Ingest Template'!Q74&amp;"|Operations - Core Title"))))</f>
        <v>#|Operations - Core Title
#|Operations - Core Title
</v>
      </c>
      <c r="AH74" s="21"/>
      <c r="AI74" s="21"/>
      <c r="AJ74" s="53" t="str">
        <f>if('Ingest Template'!A74="Standard",'Ingest Template'!N74&amp; "|DAR|DAR|2021-01-01",'Ingest Template'!N74&amp; "|Operations - Core Title|Operations - Core Title")</f>
        <v>#N/A</v>
      </c>
      <c r="AK74" s="53" t="str">
        <f>if('Ingest Template'!A74="Standard",'Ingest Template'!R74&amp; "|2021-01-01",'Ingest Template'!R74)</f>
        <v>#N/A</v>
      </c>
      <c r="AL74" s="21"/>
      <c r="AM74" s="21"/>
    </row>
    <row r="75">
      <c r="A75" s="21"/>
      <c r="B75" s="21" t="str">
        <f>'Ingest Template'!B75&amp;IF('Ingest Template'!A75 = "Standard", " - DAR","")</f>
        <v/>
      </c>
      <c r="C75" s="26" t="s">
        <v>109</v>
      </c>
      <c r="D75" s="29" t="str">
        <f t="array" ref="D75">CONCATENATE(INDEX(DropDown!$H$2:$H$10,MATCH(1,COUNTIF('Ingest Template'!F75,"*"&amp;DropDown!$H$2:$H$10&amp;"*"),0)),CHAR(10),'Ingest Template'!G75)</f>
        <v>#N/A</v>
      </c>
      <c r="E75" s="21" t="str">
        <f>CONCATENATE('Ingest Template'!H75,CHAR(10),'Ingest Template'!I75,CHAR(10),'Ingest Template'!J75)</f>
        <v>
</v>
      </c>
      <c r="F75" s="26" t="str">
        <f>'Ingest Template'!H75</f>
        <v/>
      </c>
      <c r="G75" s="21"/>
      <c r="H75" s="29"/>
      <c r="I75" s="21"/>
      <c r="J75" s="29" t="str">
        <f t="array" ref="J75">iF('Ingest Template'!A75="Standard","Pristine Brand",INDEX(DropDown!$M$2:$M$392,MATCH('Ingest Template'!E75,DropDown!$J$2:$J$392,0)))</f>
        <v>#N/A</v>
      </c>
      <c r="K75" s="21" t="str">
        <f>iF('Ingest Template'!A75="Standard",'Ingest Template'!K75&amp;CHAR(10)&amp;'Ingest Template'!L75,"Competitive View")</f>
        <v>Competitive View</v>
      </c>
      <c r="L75" s="29" t="s">
        <v>146</v>
      </c>
      <c r="M75" s="37" t="str">
        <f>'Ingest Template'!D75</f>
        <v/>
      </c>
      <c r="N75" s="21"/>
      <c r="O75" s="21"/>
      <c r="P75" s="21"/>
      <c r="Q75" s="21"/>
      <c r="R75" s="21" t="str">
        <f>'Ingest Template'!E75</f>
        <v/>
      </c>
      <c r="S75" s="29" t="s">
        <v>153</v>
      </c>
      <c r="T75" s="21" t="str">
        <f>'Ingest Template'!T75</f>
        <v/>
      </c>
      <c r="U75" s="21" t="str">
        <f>'Ingest Template'!S75</f>
        <v/>
      </c>
      <c r="V75" s="21" t="str">
        <f>LOWER(SUBSTITUTE(SUBSTITUTE(SUBSTITUTE(SUBSTITUTE(SUBSTITUTE('Ingest Template'!U75,"https:",""),"www.",""),"/",""),"?hl=en",""),"instagram.com",""))</f>
        <v/>
      </c>
      <c r="W75" s="41" t="str">
        <f t="array" ref="W75">IF('Ingest Template'!V75="",(INDEX(DropDown!$L$2:$L$392,MATCH('Ingest Template'!E75,DropDown!$J$2:$J$392,0))&amp;"|"&amp;'Ingest Template'!B75),(INDEX(DropDown!$L$2:$L$392,MATCH('Ingest Template'!E75,DropDown!$J$2:$J$392,0))&amp;"|"&amp;'Ingest Template'!B75)&amp;CHAR(10)&amp;'Ingest Template'!V75)</f>
        <v>#N/A</v>
      </c>
      <c r="X75" s="41" t="str">
        <f>'Ingest Template'!W75</f>
        <v/>
      </c>
      <c r="Y75" s="21" t="str">
        <f>SUBSTITUTE(SUBSTITUTE(SUBSTITUTE('Ingest Template'!X75,"http:",""),"https:",""),"/","")</f>
        <v/>
      </c>
      <c r="Z75" s="21" t="str">
        <f t="array" ref="Z75">IF('Ingest Template'!A75="Standard",(IF(ISBLANK('Ingest Template'!AA75),"", 'Ingest Template'!AA75&amp;"|DAR")),(IF(ISBLANK('Ingest Template'!AA75),"", 'Ingest Template'!AA75&amp;"|Film Ops")))</f>
        <v/>
      </c>
      <c r="AA75" s="21"/>
      <c r="AB75" s="21" t="str">
        <f>'Ingest Template'!M75</f>
        <v/>
      </c>
      <c r="AC75" s="21" t="str">
        <f>'Ingest Template'!Y75</f>
        <v/>
      </c>
      <c r="AD75" s="21" t="str">
        <f>'Ingest Template'!C75</f>
        <v/>
      </c>
      <c r="AE75" s="21" t="str">
        <f>'Ingest Template'!Z75</f>
        <v/>
      </c>
      <c r="AF75" s="29"/>
      <c r="AG75" s="21" t="str">
        <f t="array" ref="AG75">IF('Ingest Template'!A75="Standard",(CONCATENATE(IF(ISBLANK('Ingest Template'!O75),"", 'Ingest Template'!O75&amp;"|DAR"),CHAR(10), IF(ISBLANK('Ingest Template'!P75),"", 'Ingest Template'!P75&amp;"|DAR"),CHAR(10), IF(ISBLANK('Ingest Template'!Q75),"", 'Ingest Template'!Q75&amp;"|DAR"))),(CONCATENATE(IF(ISBLANK('Ingest Template'!O75),"", 'Ingest Template'!O75&amp;"|Operations - Core Title"),CHAR(10), IF(ISBLANK('Ingest Template'!P75),"", 'Ingest Template'!P75&amp;"|Operations - Core Title"),CHAR(10), IF(ISBLANK('Ingest Template'!Q75),"", 'Ingest Template'!Q75&amp;"|Operations - Core Title"))))</f>
        <v>#|Operations - Core Title
#|Operations - Core Title
</v>
      </c>
      <c r="AH75" s="21"/>
      <c r="AI75" s="21"/>
      <c r="AJ75" s="53" t="str">
        <f>if('Ingest Template'!A75="Standard",'Ingest Template'!N75&amp; "|DAR|DAR|2021-01-01",'Ingest Template'!N75&amp; "|Operations - Core Title|Operations - Core Title")</f>
        <v>#N/A</v>
      </c>
      <c r="AK75" s="53" t="str">
        <f>if('Ingest Template'!A75="Standard",'Ingest Template'!R75&amp; "|2021-01-01",'Ingest Template'!R75)</f>
        <v>#N/A</v>
      </c>
      <c r="AL75" s="21"/>
      <c r="AM75" s="21"/>
    </row>
    <row r="76">
      <c r="A76" s="21"/>
      <c r="B76" s="21" t="str">
        <f>'Ingest Template'!B76&amp;IF('Ingest Template'!A76 = "Standard", " - DAR","")</f>
        <v/>
      </c>
      <c r="C76" s="26" t="s">
        <v>109</v>
      </c>
      <c r="D76" s="29" t="str">
        <f t="array" ref="D76">CONCATENATE(INDEX(DropDown!$H$2:$H$10,MATCH(1,COUNTIF('Ingest Template'!F76,"*"&amp;DropDown!$H$2:$H$10&amp;"*"),0)),CHAR(10),'Ingest Template'!G76)</f>
        <v>#N/A</v>
      </c>
      <c r="E76" s="21" t="str">
        <f>CONCATENATE('Ingest Template'!H76,CHAR(10),'Ingest Template'!I76,CHAR(10),'Ingest Template'!J76)</f>
        <v>
</v>
      </c>
      <c r="F76" s="26" t="str">
        <f>'Ingest Template'!H76</f>
        <v/>
      </c>
      <c r="G76" s="21"/>
      <c r="H76" s="29"/>
      <c r="I76" s="21"/>
      <c r="J76" s="29" t="str">
        <f t="array" ref="J76">iF('Ingest Template'!A76="Standard","Pristine Brand",INDEX(DropDown!$M$2:$M$392,MATCH('Ingest Template'!E76,DropDown!$J$2:$J$392,0)))</f>
        <v>#N/A</v>
      </c>
      <c r="K76" s="21" t="str">
        <f>iF('Ingest Template'!A76="Standard",'Ingest Template'!K76&amp;CHAR(10)&amp;'Ingest Template'!L76,"Competitive View")</f>
        <v>Competitive View</v>
      </c>
      <c r="L76" s="29" t="s">
        <v>146</v>
      </c>
      <c r="M76" s="37" t="str">
        <f>'Ingest Template'!D76</f>
        <v/>
      </c>
      <c r="N76" s="21"/>
      <c r="O76" s="21"/>
      <c r="P76" s="21"/>
      <c r="Q76" s="21"/>
      <c r="R76" s="21" t="str">
        <f>'Ingest Template'!E76</f>
        <v/>
      </c>
      <c r="S76" s="29" t="s">
        <v>153</v>
      </c>
      <c r="T76" s="21" t="str">
        <f>'Ingest Template'!T76</f>
        <v/>
      </c>
      <c r="U76" s="21" t="str">
        <f>'Ingest Template'!S76</f>
        <v/>
      </c>
      <c r="V76" s="21" t="str">
        <f>LOWER(SUBSTITUTE(SUBSTITUTE(SUBSTITUTE(SUBSTITUTE(SUBSTITUTE('Ingest Template'!U76,"https:",""),"www.",""),"/",""),"?hl=en",""),"instagram.com",""))</f>
        <v/>
      </c>
      <c r="W76" s="41" t="str">
        <f t="array" ref="W76">IF('Ingest Template'!V76="",(INDEX(DropDown!$L$2:$L$392,MATCH('Ingest Template'!E76,DropDown!$J$2:$J$392,0))&amp;"|"&amp;'Ingest Template'!B76),(INDEX(DropDown!$L$2:$L$392,MATCH('Ingest Template'!E76,DropDown!$J$2:$J$392,0))&amp;"|"&amp;'Ingest Template'!B76)&amp;CHAR(10)&amp;'Ingest Template'!V76)</f>
        <v>#N/A</v>
      </c>
      <c r="X76" s="41" t="str">
        <f>'Ingest Template'!W76</f>
        <v/>
      </c>
      <c r="Y76" s="21" t="str">
        <f>SUBSTITUTE(SUBSTITUTE(SUBSTITUTE('Ingest Template'!X76,"http:",""),"https:",""),"/","")</f>
        <v/>
      </c>
      <c r="Z76" s="21" t="str">
        <f t="array" ref="Z76">IF('Ingest Template'!A76="Standard",(IF(ISBLANK('Ingest Template'!AA76),"", 'Ingest Template'!AA76&amp;"|DAR")),(IF(ISBLANK('Ingest Template'!AA76),"", 'Ingest Template'!AA76&amp;"|Film Ops")))</f>
        <v/>
      </c>
      <c r="AA76" s="21"/>
      <c r="AB76" s="21" t="str">
        <f>'Ingest Template'!M76</f>
        <v/>
      </c>
      <c r="AC76" s="21" t="str">
        <f>'Ingest Template'!Y76</f>
        <v/>
      </c>
      <c r="AD76" s="21" t="str">
        <f>'Ingest Template'!C76</f>
        <v/>
      </c>
      <c r="AE76" s="21" t="str">
        <f>'Ingest Template'!Z76</f>
        <v/>
      </c>
      <c r="AF76" s="29"/>
      <c r="AG76" s="21" t="str">
        <f t="array" ref="AG76">IF('Ingest Template'!A76="Standard",(CONCATENATE(IF(ISBLANK('Ingest Template'!O76),"", 'Ingest Template'!O76&amp;"|DAR"),CHAR(10), IF(ISBLANK('Ingest Template'!P76),"", 'Ingest Template'!P76&amp;"|DAR"),CHAR(10), IF(ISBLANK('Ingest Template'!Q76),"", 'Ingest Template'!Q76&amp;"|DAR"))),(CONCATENATE(IF(ISBLANK('Ingest Template'!O76),"", 'Ingest Template'!O76&amp;"|Operations - Core Title"),CHAR(10), IF(ISBLANK('Ingest Template'!P76),"", 'Ingest Template'!P76&amp;"|Operations - Core Title"),CHAR(10), IF(ISBLANK('Ingest Template'!Q76),"", 'Ingest Template'!Q76&amp;"|Operations - Core Title"))))</f>
        <v>#|Operations - Core Title
#|Operations - Core Title
</v>
      </c>
      <c r="AH76" s="21"/>
      <c r="AI76" s="21"/>
      <c r="AJ76" s="53" t="str">
        <f>if('Ingest Template'!A76="Standard",'Ingest Template'!N76&amp; "|DAR|DAR|2021-01-01",'Ingest Template'!N76&amp; "|Operations - Core Title|Operations - Core Title")</f>
        <v>#N/A</v>
      </c>
      <c r="AK76" s="53" t="str">
        <f>if('Ingest Template'!A76="Standard",'Ingest Template'!R76&amp; "|2021-01-01",'Ingest Template'!R76)</f>
        <v>#N/A</v>
      </c>
      <c r="AL76" s="21"/>
      <c r="AM76" s="21"/>
    </row>
    <row r="77">
      <c r="A77" s="21"/>
      <c r="B77" s="21" t="str">
        <f>'Ingest Template'!B77&amp;IF('Ingest Template'!A77 = "Standard", " - DAR","")</f>
        <v/>
      </c>
      <c r="C77" s="26" t="s">
        <v>109</v>
      </c>
      <c r="D77" s="29" t="str">
        <f t="array" ref="D77">CONCATENATE(INDEX(DropDown!$H$2:$H$10,MATCH(1,COUNTIF('Ingest Template'!F77,"*"&amp;DropDown!$H$2:$H$10&amp;"*"),0)),CHAR(10),'Ingest Template'!G77)</f>
        <v>#N/A</v>
      </c>
      <c r="E77" s="21" t="str">
        <f>CONCATENATE('Ingest Template'!H77,CHAR(10),'Ingest Template'!I77,CHAR(10),'Ingest Template'!J77)</f>
        <v>
</v>
      </c>
      <c r="F77" s="26" t="str">
        <f>'Ingest Template'!H77</f>
        <v/>
      </c>
      <c r="G77" s="21"/>
      <c r="H77" s="29"/>
      <c r="I77" s="21"/>
      <c r="J77" s="29" t="str">
        <f t="array" ref="J77">iF('Ingest Template'!A77="Standard","Pristine Brand",INDEX(DropDown!$M$2:$M$392,MATCH('Ingest Template'!E77,DropDown!$J$2:$J$392,0)))</f>
        <v>#N/A</v>
      </c>
      <c r="K77" s="21" t="str">
        <f>iF('Ingest Template'!A77="Standard",'Ingest Template'!K77&amp;CHAR(10)&amp;'Ingest Template'!L77,"Competitive View")</f>
        <v>Competitive View</v>
      </c>
      <c r="L77" s="29" t="s">
        <v>146</v>
      </c>
      <c r="M77" s="37" t="str">
        <f>'Ingest Template'!D77</f>
        <v/>
      </c>
      <c r="N77" s="21"/>
      <c r="O77" s="21"/>
      <c r="P77" s="21"/>
      <c r="Q77" s="21"/>
      <c r="R77" s="21" t="str">
        <f>'Ingest Template'!E77</f>
        <v/>
      </c>
      <c r="S77" s="29" t="s">
        <v>153</v>
      </c>
      <c r="T77" s="21" t="str">
        <f>'Ingest Template'!T77</f>
        <v/>
      </c>
      <c r="U77" s="21" t="str">
        <f>'Ingest Template'!S77</f>
        <v/>
      </c>
      <c r="V77" s="21" t="str">
        <f>LOWER(SUBSTITUTE(SUBSTITUTE(SUBSTITUTE(SUBSTITUTE(SUBSTITUTE('Ingest Template'!U77,"https:",""),"www.",""),"/",""),"?hl=en",""),"instagram.com",""))</f>
        <v/>
      </c>
      <c r="W77" s="41" t="str">
        <f t="array" ref="W77">IF('Ingest Template'!V77="",(INDEX(DropDown!$L$2:$L$392,MATCH('Ingest Template'!E77,DropDown!$J$2:$J$392,0))&amp;"|"&amp;'Ingest Template'!B77),(INDEX(DropDown!$L$2:$L$392,MATCH('Ingest Template'!E77,DropDown!$J$2:$J$392,0))&amp;"|"&amp;'Ingest Template'!B77)&amp;CHAR(10)&amp;'Ingest Template'!V77)</f>
        <v>#N/A</v>
      </c>
      <c r="X77" s="41" t="str">
        <f>'Ingest Template'!W77</f>
        <v/>
      </c>
      <c r="Y77" s="21" t="str">
        <f>SUBSTITUTE(SUBSTITUTE(SUBSTITUTE('Ingest Template'!X77,"http:",""),"https:",""),"/","")</f>
        <v/>
      </c>
      <c r="Z77" s="21" t="str">
        <f t="array" ref="Z77">IF('Ingest Template'!A77="Standard",(IF(ISBLANK('Ingest Template'!AA77),"", 'Ingest Template'!AA77&amp;"|DAR")),(IF(ISBLANK('Ingest Template'!AA77),"", 'Ingest Template'!AA77&amp;"|Film Ops")))</f>
        <v/>
      </c>
      <c r="AA77" s="21"/>
      <c r="AB77" s="21" t="str">
        <f>'Ingest Template'!M77</f>
        <v/>
      </c>
      <c r="AC77" s="21" t="str">
        <f>'Ingest Template'!Y77</f>
        <v/>
      </c>
      <c r="AD77" s="21" t="str">
        <f>'Ingest Template'!C77</f>
        <v/>
      </c>
      <c r="AE77" s="21" t="str">
        <f>'Ingest Template'!Z77</f>
        <v/>
      </c>
      <c r="AF77" s="29"/>
      <c r="AG77" s="21" t="str">
        <f t="array" ref="AG77">IF('Ingest Template'!A77="Standard",(CONCATENATE(IF(ISBLANK('Ingest Template'!O77),"", 'Ingest Template'!O77&amp;"|DAR"),CHAR(10), IF(ISBLANK('Ingest Template'!P77),"", 'Ingest Template'!P77&amp;"|DAR"),CHAR(10), IF(ISBLANK('Ingest Template'!Q77),"", 'Ingest Template'!Q77&amp;"|DAR"))),(CONCATENATE(IF(ISBLANK('Ingest Template'!O77),"", 'Ingest Template'!O77&amp;"|Operations - Core Title"),CHAR(10), IF(ISBLANK('Ingest Template'!P77),"", 'Ingest Template'!P77&amp;"|Operations - Core Title"),CHAR(10), IF(ISBLANK('Ingest Template'!Q77),"", 'Ingest Template'!Q77&amp;"|Operations - Core Title"))))</f>
        <v>#|Operations - Core Title
#|Operations - Core Title
</v>
      </c>
      <c r="AH77" s="21"/>
      <c r="AI77" s="21"/>
      <c r="AJ77" s="53" t="str">
        <f>if('Ingest Template'!A77="Standard",'Ingest Template'!N77&amp; "|DAR|DAR|2021-01-01",'Ingest Template'!N77&amp; "|Operations - Core Title|Operations - Core Title")</f>
        <v>#N/A</v>
      </c>
      <c r="AK77" s="53" t="str">
        <f>if('Ingest Template'!A77="Standard",'Ingest Template'!R77&amp; "|2021-01-01",'Ingest Template'!R77)</f>
        <v>#N/A</v>
      </c>
      <c r="AL77" s="21"/>
      <c r="AM77" s="21"/>
    </row>
    <row r="78">
      <c r="A78" s="21"/>
      <c r="B78" s="21" t="str">
        <f>'Ingest Template'!B78&amp;IF('Ingest Template'!A78 = "Standard", " - DAR","")</f>
        <v/>
      </c>
      <c r="C78" s="26" t="s">
        <v>109</v>
      </c>
      <c r="D78" s="29" t="str">
        <f t="array" ref="D78">CONCATENATE(INDEX(DropDown!$H$2:$H$10,MATCH(1,COUNTIF('Ingest Template'!F78,"*"&amp;DropDown!$H$2:$H$10&amp;"*"),0)),CHAR(10),'Ingest Template'!G78)</f>
        <v>#N/A</v>
      </c>
      <c r="E78" s="21" t="str">
        <f>CONCATENATE('Ingest Template'!H78,CHAR(10),'Ingest Template'!I78,CHAR(10),'Ingest Template'!J78)</f>
        <v>
</v>
      </c>
      <c r="F78" s="26" t="str">
        <f>'Ingest Template'!H78</f>
        <v/>
      </c>
      <c r="G78" s="21"/>
      <c r="H78" s="29"/>
      <c r="I78" s="21"/>
      <c r="J78" s="29" t="str">
        <f t="array" ref="J78">iF('Ingest Template'!A78="Standard","Pristine Brand",INDEX(DropDown!$M$2:$M$392,MATCH('Ingest Template'!E78,DropDown!$J$2:$J$392,0)))</f>
        <v>#N/A</v>
      </c>
      <c r="K78" s="21" t="str">
        <f>iF('Ingest Template'!A78="Standard",'Ingest Template'!K78&amp;CHAR(10)&amp;'Ingest Template'!L78,"Competitive View")</f>
        <v>Competitive View</v>
      </c>
      <c r="L78" s="29" t="s">
        <v>146</v>
      </c>
      <c r="M78" s="37" t="str">
        <f>'Ingest Template'!D78</f>
        <v/>
      </c>
      <c r="N78" s="21"/>
      <c r="O78" s="21"/>
      <c r="P78" s="21"/>
      <c r="Q78" s="21"/>
      <c r="R78" s="21" t="str">
        <f>'Ingest Template'!E78</f>
        <v/>
      </c>
      <c r="S78" s="29" t="s">
        <v>153</v>
      </c>
      <c r="T78" s="21" t="str">
        <f>'Ingest Template'!T78</f>
        <v/>
      </c>
      <c r="U78" s="21" t="str">
        <f>'Ingest Template'!S78</f>
        <v/>
      </c>
      <c r="V78" s="21" t="str">
        <f>LOWER(SUBSTITUTE(SUBSTITUTE(SUBSTITUTE(SUBSTITUTE(SUBSTITUTE('Ingest Template'!U78,"https:",""),"www.",""),"/",""),"?hl=en",""),"instagram.com",""))</f>
        <v/>
      </c>
      <c r="W78" s="41" t="str">
        <f t="array" ref="W78">IF('Ingest Template'!V78="",(INDEX(DropDown!$L$2:$L$392,MATCH('Ingest Template'!E78,DropDown!$J$2:$J$392,0))&amp;"|"&amp;'Ingest Template'!B78),(INDEX(DropDown!$L$2:$L$392,MATCH('Ingest Template'!E78,DropDown!$J$2:$J$392,0))&amp;"|"&amp;'Ingest Template'!B78)&amp;CHAR(10)&amp;'Ingest Template'!V78)</f>
        <v>#N/A</v>
      </c>
      <c r="X78" s="41" t="str">
        <f>'Ingest Template'!W78</f>
        <v/>
      </c>
      <c r="Y78" s="21" t="str">
        <f>SUBSTITUTE(SUBSTITUTE(SUBSTITUTE('Ingest Template'!X78,"http:",""),"https:",""),"/","")</f>
        <v/>
      </c>
      <c r="Z78" s="21" t="str">
        <f t="array" ref="Z78">IF('Ingest Template'!A78="Standard",(IF(ISBLANK('Ingest Template'!AA78),"", 'Ingest Template'!AA78&amp;"|DAR")),(IF(ISBLANK('Ingest Template'!AA78),"", 'Ingest Template'!AA78&amp;"|Film Ops")))</f>
        <v/>
      </c>
      <c r="AA78" s="21"/>
      <c r="AB78" s="21" t="str">
        <f>'Ingest Template'!M78</f>
        <v/>
      </c>
      <c r="AC78" s="21" t="str">
        <f>'Ingest Template'!Y78</f>
        <v/>
      </c>
      <c r="AD78" s="21" t="str">
        <f>'Ingest Template'!C78</f>
        <v/>
      </c>
      <c r="AE78" s="21" t="str">
        <f>'Ingest Template'!Z78</f>
        <v/>
      </c>
      <c r="AF78" s="29"/>
      <c r="AG78" s="21" t="str">
        <f t="array" ref="AG78">IF('Ingest Template'!A78="Standard",(CONCATENATE(IF(ISBLANK('Ingest Template'!O78),"", 'Ingest Template'!O78&amp;"|DAR"),CHAR(10), IF(ISBLANK('Ingest Template'!P78),"", 'Ingest Template'!P78&amp;"|DAR"),CHAR(10), IF(ISBLANK('Ingest Template'!Q78),"", 'Ingest Template'!Q78&amp;"|DAR"))),(CONCATENATE(IF(ISBLANK('Ingest Template'!O78),"", 'Ingest Template'!O78&amp;"|Operations - Core Title"),CHAR(10), IF(ISBLANK('Ingest Template'!P78),"", 'Ingest Template'!P78&amp;"|Operations - Core Title"),CHAR(10), IF(ISBLANK('Ingest Template'!Q78),"", 'Ingest Template'!Q78&amp;"|Operations - Core Title"))))</f>
        <v>#|Operations - Core Title
#|Operations - Core Title
</v>
      </c>
      <c r="AH78" s="21"/>
      <c r="AI78" s="21"/>
      <c r="AJ78" s="53" t="str">
        <f>if('Ingest Template'!A78="Standard",'Ingest Template'!N78&amp; "|DAR|DAR|2021-01-01",'Ingest Template'!N78&amp; "|Operations - Core Title|Operations - Core Title")</f>
        <v>#N/A</v>
      </c>
      <c r="AK78" s="53" t="str">
        <f>if('Ingest Template'!A78="Standard",'Ingest Template'!R78&amp; "|2021-01-01",'Ingest Template'!R78)</f>
        <v>#N/A</v>
      </c>
      <c r="AL78" s="21"/>
      <c r="AM78" s="21"/>
    </row>
    <row r="79">
      <c r="A79" s="21"/>
      <c r="B79" s="21" t="str">
        <f>'Ingest Template'!B79&amp;IF('Ingest Template'!A79 = "Standard", " - DAR","")</f>
        <v/>
      </c>
      <c r="C79" s="26" t="s">
        <v>109</v>
      </c>
      <c r="D79" s="29" t="str">
        <f t="array" ref="D79">CONCATENATE(INDEX(DropDown!$H$2:$H$10,MATCH(1,COUNTIF('Ingest Template'!F79,"*"&amp;DropDown!$H$2:$H$10&amp;"*"),0)),CHAR(10),'Ingest Template'!G79)</f>
        <v>#N/A</v>
      </c>
      <c r="E79" s="21" t="str">
        <f>CONCATENATE('Ingest Template'!H79,CHAR(10),'Ingest Template'!I79,CHAR(10),'Ingest Template'!J79)</f>
        <v>
</v>
      </c>
      <c r="F79" s="26" t="str">
        <f>'Ingest Template'!H79</f>
        <v/>
      </c>
      <c r="G79" s="21"/>
      <c r="H79" s="29"/>
      <c r="I79" s="21"/>
      <c r="J79" s="29" t="str">
        <f t="array" ref="J79">iF('Ingest Template'!A79="Standard","Pristine Brand",INDEX(DropDown!$M$2:$M$392,MATCH('Ingest Template'!E79,DropDown!$J$2:$J$392,0)))</f>
        <v>#N/A</v>
      </c>
      <c r="K79" s="21" t="str">
        <f>iF('Ingest Template'!A79="Standard",'Ingest Template'!K79&amp;CHAR(10)&amp;'Ingest Template'!L79,"Competitive View")</f>
        <v>Competitive View</v>
      </c>
      <c r="L79" s="29" t="s">
        <v>146</v>
      </c>
      <c r="M79" s="37" t="str">
        <f>'Ingest Template'!D79</f>
        <v/>
      </c>
      <c r="N79" s="21"/>
      <c r="O79" s="21"/>
      <c r="P79" s="21"/>
      <c r="Q79" s="21"/>
      <c r="R79" s="21" t="str">
        <f>'Ingest Template'!E79</f>
        <v/>
      </c>
      <c r="S79" s="29" t="s">
        <v>153</v>
      </c>
      <c r="T79" s="21" t="str">
        <f>'Ingest Template'!T79</f>
        <v/>
      </c>
      <c r="U79" s="21" t="str">
        <f>'Ingest Template'!S79</f>
        <v/>
      </c>
      <c r="V79" s="21" t="str">
        <f>LOWER(SUBSTITUTE(SUBSTITUTE(SUBSTITUTE(SUBSTITUTE(SUBSTITUTE('Ingest Template'!U79,"https:",""),"www.",""),"/",""),"?hl=en",""),"instagram.com",""))</f>
        <v/>
      </c>
      <c r="W79" s="41" t="str">
        <f t="array" ref="W79">IF('Ingest Template'!V79="",(INDEX(DropDown!$L$2:$L$392,MATCH('Ingest Template'!E79,DropDown!$J$2:$J$392,0))&amp;"|"&amp;'Ingest Template'!B79),(INDEX(DropDown!$L$2:$L$392,MATCH('Ingest Template'!E79,DropDown!$J$2:$J$392,0))&amp;"|"&amp;'Ingest Template'!B79)&amp;CHAR(10)&amp;'Ingest Template'!V79)</f>
        <v>#N/A</v>
      </c>
      <c r="X79" s="41" t="str">
        <f>'Ingest Template'!W79</f>
        <v/>
      </c>
      <c r="Y79" s="21" t="str">
        <f>SUBSTITUTE(SUBSTITUTE(SUBSTITUTE('Ingest Template'!X79,"http:",""),"https:",""),"/","")</f>
        <v/>
      </c>
      <c r="Z79" s="21" t="str">
        <f t="array" ref="Z79">IF('Ingest Template'!A79="Standard",(IF(ISBLANK('Ingest Template'!AA79),"", 'Ingest Template'!AA79&amp;"|DAR")),(IF(ISBLANK('Ingest Template'!AA79),"", 'Ingest Template'!AA79&amp;"|Film Ops")))</f>
        <v/>
      </c>
      <c r="AA79" s="21"/>
      <c r="AB79" s="21" t="str">
        <f>'Ingest Template'!M79</f>
        <v/>
      </c>
      <c r="AC79" s="21" t="str">
        <f>'Ingest Template'!Y79</f>
        <v/>
      </c>
      <c r="AD79" s="21" t="str">
        <f>'Ingest Template'!C79</f>
        <v/>
      </c>
      <c r="AE79" s="21" t="str">
        <f>'Ingest Template'!Z79</f>
        <v/>
      </c>
      <c r="AF79" s="29"/>
      <c r="AG79" s="21" t="str">
        <f t="array" ref="AG79">IF('Ingest Template'!A79="Standard",(CONCATENATE(IF(ISBLANK('Ingest Template'!O79),"", 'Ingest Template'!O79&amp;"|DAR"),CHAR(10), IF(ISBLANK('Ingest Template'!P79),"", 'Ingest Template'!P79&amp;"|DAR"),CHAR(10), IF(ISBLANK('Ingest Template'!Q79),"", 'Ingest Template'!Q79&amp;"|DAR"))),(CONCATENATE(IF(ISBLANK('Ingest Template'!O79),"", 'Ingest Template'!O79&amp;"|Operations - Core Title"),CHAR(10), IF(ISBLANK('Ingest Template'!P79),"", 'Ingest Template'!P79&amp;"|Operations - Core Title"),CHAR(10), IF(ISBLANK('Ingest Template'!Q79),"", 'Ingest Template'!Q79&amp;"|Operations - Core Title"))))</f>
        <v>#|Operations - Core Title
#|Operations - Core Title
</v>
      </c>
      <c r="AH79" s="21"/>
      <c r="AI79" s="21"/>
      <c r="AJ79" s="53" t="str">
        <f>if('Ingest Template'!A79="Standard",'Ingest Template'!N79&amp; "|DAR|DAR|2021-01-01",'Ingest Template'!N79&amp; "|Operations - Core Title|Operations - Core Title")</f>
        <v>#N/A</v>
      </c>
      <c r="AK79" s="53" t="str">
        <f>if('Ingest Template'!A79="Standard",'Ingest Template'!R79&amp; "|2021-01-01",'Ingest Template'!R79)</f>
        <v>#N/A</v>
      </c>
      <c r="AL79" s="21"/>
      <c r="AM79" s="21"/>
    </row>
    <row r="80">
      <c r="A80" s="21"/>
      <c r="B80" s="21" t="str">
        <f>'Ingest Template'!B80&amp;IF('Ingest Template'!A80 = "Standard", " - DAR","")</f>
        <v/>
      </c>
      <c r="C80" s="26" t="s">
        <v>109</v>
      </c>
      <c r="D80" s="29" t="str">
        <f t="array" ref="D80">CONCATENATE(INDEX(DropDown!$H$2:$H$10,MATCH(1,COUNTIF('Ingest Template'!F80,"*"&amp;DropDown!$H$2:$H$10&amp;"*"),0)),CHAR(10),'Ingest Template'!G80)</f>
        <v>#N/A</v>
      </c>
      <c r="E80" s="21" t="str">
        <f>CONCATENATE('Ingest Template'!H80,CHAR(10),'Ingest Template'!I80,CHAR(10),'Ingest Template'!J80)</f>
        <v>
</v>
      </c>
      <c r="F80" s="26" t="str">
        <f>'Ingest Template'!H80</f>
        <v/>
      </c>
      <c r="G80" s="21"/>
      <c r="H80" s="29"/>
      <c r="I80" s="21"/>
      <c r="J80" s="29" t="str">
        <f t="array" ref="J80">iF('Ingest Template'!A80="Standard","Pristine Brand",INDEX(DropDown!$M$2:$M$392,MATCH('Ingest Template'!E80,DropDown!$J$2:$J$392,0)))</f>
        <v>#N/A</v>
      </c>
      <c r="K80" s="21" t="str">
        <f>iF('Ingest Template'!A80="Standard",'Ingest Template'!K80&amp;CHAR(10)&amp;'Ingest Template'!L80,"Competitive View")</f>
        <v>Competitive View</v>
      </c>
      <c r="L80" s="29" t="s">
        <v>146</v>
      </c>
      <c r="M80" s="37" t="str">
        <f>'Ingest Template'!D80</f>
        <v/>
      </c>
      <c r="N80" s="21"/>
      <c r="O80" s="21"/>
      <c r="P80" s="21"/>
      <c r="Q80" s="21"/>
      <c r="R80" s="21" t="str">
        <f>'Ingest Template'!E80</f>
        <v/>
      </c>
      <c r="S80" s="29" t="s">
        <v>153</v>
      </c>
      <c r="T80" s="21" t="str">
        <f>'Ingest Template'!T80</f>
        <v/>
      </c>
      <c r="U80" s="21" t="str">
        <f>'Ingest Template'!S80</f>
        <v/>
      </c>
      <c r="V80" s="21" t="str">
        <f>LOWER(SUBSTITUTE(SUBSTITUTE(SUBSTITUTE(SUBSTITUTE(SUBSTITUTE('Ingest Template'!U80,"https:",""),"www.",""),"/",""),"?hl=en",""),"instagram.com",""))</f>
        <v/>
      </c>
      <c r="W80" s="41" t="str">
        <f t="array" ref="W80">IF('Ingest Template'!V80="",(INDEX(DropDown!$L$2:$L$392,MATCH('Ingest Template'!E80,DropDown!$J$2:$J$392,0))&amp;"|"&amp;'Ingest Template'!B80),(INDEX(DropDown!$L$2:$L$392,MATCH('Ingest Template'!E80,DropDown!$J$2:$J$392,0))&amp;"|"&amp;'Ingest Template'!B80)&amp;CHAR(10)&amp;'Ingest Template'!V80)</f>
        <v>#N/A</v>
      </c>
      <c r="X80" s="41" t="str">
        <f>'Ingest Template'!W80</f>
        <v/>
      </c>
      <c r="Y80" s="21" t="str">
        <f>SUBSTITUTE(SUBSTITUTE(SUBSTITUTE('Ingest Template'!X80,"http:",""),"https:",""),"/","")</f>
        <v/>
      </c>
      <c r="Z80" s="21" t="str">
        <f t="array" ref="Z80">IF('Ingest Template'!A80="Standard",(IF(ISBLANK('Ingest Template'!AA80),"", 'Ingest Template'!AA80&amp;"|DAR")),(IF(ISBLANK('Ingest Template'!AA80),"", 'Ingest Template'!AA80&amp;"|Film Ops")))</f>
        <v/>
      </c>
      <c r="AA80" s="21"/>
      <c r="AB80" s="21" t="str">
        <f>'Ingest Template'!M80</f>
        <v/>
      </c>
      <c r="AC80" s="21" t="str">
        <f>'Ingest Template'!Y80</f>
        <v/>
      </c>
      <c r="AD80" s="21" t="str">
        <f>'Ingest Template'!C80</f>
        <v/>
      </c>
      <c r="AE80" s="21" t="str">
        <f>'Ingest Template'!Z80</f>
        <v/>
      </c>
      <c r="AF80" s="29"/>
      <c r="AG80" s="21" t="str">
        <f t="array" ref="AG80">IF('Ingest Template'!A80="Standard",(CONCATENATE(IF(ISBLANK('Ingest Template'!O80),"", 'Ingest Template'!O80&amp;"|DAR"),CHAR(10), IF(ISBLANK('Ingest Template'!P80),"", 'Ingest Template'!P80&amp;"|DAR"),CHAR(10), IF(ISBLANK('Ingest Template'!Q80),"", 'Ingest Template'!Q80&amp;"|DAR"))),(CONCATENATE(IF(ISBLANK('Ingest Template'!O80),"", 'Ingest Template'!O80&amp;"|Operations - Core Title"),CHAR(10), IF(ISBLANK('Ingest Template'!P80),"", 'Ingest Template'!P80&amp;"|Operations - Core Title"),CHAR(10), IF(ISBLANK('Ingest Template'!Q80),"", 'Ingest Template'!Q80&amp;"|Operations - Core Title"))))</f>
        <v>#|Operations - Core Title
#|Operations - Core Title
</v>
      </c>
      <c r="AH80" s="21"/>
      <c r="AI80" s="21"/>
      <c r="AJ80" s="53" t="str">
        <f>if('Ingest Template'!A80="Standard",'Ingest Template'!N80&amp; "|DAR|DAR|2021-01-01",'Ingest Template'!N80&amp; "|Operations - Core Title|Operations - Core Title")</f>
        <v>#N/A</v>
      </c>
      <c r="AK80" s="53" t="str">
        <f>if('Ingest Template'!A80="Standard",'Ingest Template'!R80&amp; "|2021-01-01",'Ingest Template'!R80)</f>
        <v>#N/A</v>
      </c>
      <c r="AL80" s="21"/>
      <c r="AM80" s="21"/>
    </row>
    <row r="81">
      <c r="A81" s="21"/>
      <c r="B81" s="21" t="str">
        <f>'Ingest Template'!B81&amp;IF('Ingest Template'!A81 = "Standard", " - DAR","")</f>
        <v/>
      </c>
      <c r="C81" s="26" t="s">
        <v>109</v>
      </c>
      <c r="D81" s="29" t="str">
        <f t="array" ref="D81">CONCATENATE(INDEX(DropDown!$H$2:$H$10,MATCH(1,COUNTIF('Ingest Template'!F81,"*"&amp;DropDown!$H$2:$H$10&amp;"*"),0)),CHAR(10),'Ingest Template'!G81)</f>
        <v>#N/A</v>
      </c>
      <c r="E81" s="21" t="str">
        <f>CONCATENATE('Ingest Template'!H81,CHAR(10),'Ingest Template'!I81,CHAR(10),'Ingest Template'!J81)</f>
        <v>
</v>
      </c>
      <c r="F81" s="26" t="str">
        <f>'Ingest Template'!H81</f>
        <v/>
      </c>
      <c r="G81" s="21"/>
      <c r="H81" s="29"/>
      <c r="I81" s="21"/>
      <c r="J81" s="29" t="str">
        <f t="array" ref="J81">iF('Ingest Template'!A81="Standard","Pristine Brand",INDEX(DropDown!$M$2:$M$392,MATCH('Ingest Template'!E81,DropDown!$J$2:$J$392,0)))</f>
        <v>#N/A</v>
      </c>
      <c r="K81" s="21" t="str">
        <f>iF('Ingest Template'!A81="Standard",'Ingest Template'!K81&amp;CHAR(10)&amp;'Ingest Template'!L81,"Competitive View")</f>
        <v>Competitive View</v>
      </c>
      <c r="L81" s="29" t="s">
        <v>146</v>
      </c>
      <c r="M81" s="37" t="str">
        <f>'Ingest Template'!D81</f>
        <v/>
      </c>
      <c r="N81" s="21"/>
      <c r="O81" s="21"/>
      <c r="P81" s="21"/>
      <c r="Q81" s="21"/>
      <c r="R81" s="21" t="str">
        <f>'Ingest Template'!E81</f>
        <v/>
      </c>
      <c r="S81" s="29" t="s">
        <v>153</v>
      </c>
      <c r="T81" s="21" t="str">
        <f>'Ingest Template'!T81</f>
        <v/>
      </c>
      <c r="U81" s="21" t="str">
        <f>'Ingest Template'!S81</f>
        <v/>
      </c>
      <c r="V81" s="21" t="str">
        <f>LOWER(SUBSTITUTE(SUBSTITUTE(SUBSTITUTE(SUBSTITUTE(SUBSTITUTE('Ingest Template'!U81,"https:",""),"www.",""),"/",""),"?hl=en",""),"instagram.com",""))</f>
        <v/>
      </c>
      <c r="W81" s="41" t="str">
        <f t="array" ref="W81">IF('Ingest Template'!V81="",(INDEX(DropDown!$L$2:$L$392,MATCH('Ingest Template'!E81,DropDown!$J$2:$J$392,0))&amp;"|"&amp;'Ingest Template'!B81),(INDEX(DropDown!$L$2:$L$392,MATCH('Ingest Template'!E81,DropDown!$J$2:$J$392,0))&amp;"|"&amp;'Ingest Template'!B81)&amp;CHAR(10)&amp;'Ingest Template'!V81)</f>
        <v>#N/A</v>
      </c>
      <c r="X81" s="41" t="str">
        <f>'Ingest Template'!W81</f>
        <v/>
      </c>
      <c r="Y81" s="21" t="str">
        <f>SUBSTITUTE(SUBSTITUTE(SUBSTITUTE('Ingest Template'!X81,"http:",""),"https:",""),"/","")</f>
        <v/>
      </c>
      <c r="Z81" s="21" t="str">
        <f t="array" ref="Z81">IF('Ingest Template'!A81="Standard",(IF(ISBLANK('Ingest Template'!AA81),"", 'Ingest Template'!AA81&amp;"|DAR")),(IF(ISBLANK('Ingest Template'!AA81),"", 'Ingest Template'!AA81&amp;"|Film Ops")))</f>
        <v/>
      </c>
      <c r="AA81" s="21"/>
      <c r="AB81" s="21" t="str">
        <f>'Ingest Template'!M81</f>
        <v/>
      </c>
      <c r="AC81" s="21" t="str">
        <f>'Ingest Template'!Y81</f>
        <v/>
      </c>
      <c r="AD81" s="21" t="str">
        <f>'Ingest Template'!C81</f>
        <v/>
      </c>
      <c r="AE81" s="21" t="str">
        <f>'Ingest Template'!Z81</f>
        <v/>
      </c>
      <c r="AF81" s="29"/>
      <c r="AG81" s="21" t="str">
        <f t="array" ref="AG81">IF('Ingest Template'!A81="Standard",(CONCATENATE(IF(ISBLANK('Ingest Template'!O81),"", 'Ingest Template'!O81&amp;"|DAR"),CHAR(10), IF(ISBLANK('Ingest Template'!P81),"", 'Ingest Template'!P81&amp;"|DAR"),CHAR(10), IF(ISBLANK('Ingest Template'!Q81),"", 'Ingest Template'!Q81&amp;"|DAR"))),(CONCATENATE(IF(ISBLANK('Ingest Template'!O81),"", 'Ingest Template'!O81&amp;"|Operations - Core Title"),CHAR(10), IF(ISBLANK('Ingest Template'!P81),"", 'Ingest Template'!P81&amp;"|Operations - Core Title"),CHAR(10), IF(ISBLANK('Ingest Template'!Q81),"", 'Ingest Template'!Q81&amp;"|Operations - Core Title"))))</f>
        <v>#|Operations - Core Title
#|Operations - Core Title
</v>
      </c>
      <c r="AH81" s="21"/>
      <c r="AI81" s="21"/>
      <c r="AJ81" s="53" t="str">
        <f>if('Ingest Template'!A81="Standard",'Ingest Template'!N81&amp; "|DAR|DAR|2021-01-01",'Ingest Template'!N81&amp; "|Operations - Core Title|Operations - Core Title")</f>
        <v>#N/A</v>
      </c>
      <c r="AK81" s="53" t="str">
        <f>if('Ingest Template'!A81="Standard",'Ingest Template'!R81&amp; "|2021-01-01",'Ingest Template'!R81)</f>
        <v>#N/A</v>
      </c>
      <c r="AL81" s="21"/>
      <c r="AM81" s="21"/>
    </row>
    <row r="82">
      <c r="A82" s="21"/>
      <c r="B82" s="21" t="str">
        <f>'Ingest Template'!B82&amp;IF('Ingest Template'!A82 = "Standard", " - DAR","")</f>
        <v/>
      </c>
      <c r="C82" s="26" t="s">
        <v>109</v>
      </c>
      <c r="D82" s="29" t="str">
        <f t="array" ref="D82">CONCATENATE(INDEX(DropDown!$H$2:$H$10,MATCH(1,COUNTIF('Ingest Template'!F82,"*"&amp;DropDown!$H$2:$H$10&amp;"*"),0)),CHAR(10),'Ingest Template'!G82)</f>
        <v>#N/A</v>
      </c>
      <c r="E82" s="21" t="str">
        <f>CONCATENATE('Ingest Template'!H82,CHAR(10),'Ingest Template'!I82,CHAR(10),'Ingest Template'!J82)</f>
        <v>
</v>
      </c>
      <c r="F82" s="26" t="str">
        <f>'Ingest Template'!H82</f>
        <v/>
      </c>
      <c r="G82" s="21"/>
      <c r="H82" s="29"/>
      <c r="I82" s="21"/>
      <c r="J82" s="29" t="str">
        <f t="array" ref="J82">iF('Ingest Template'!A82="Standard","Pristine Brand",INDEX(DropDown!$M$2:$M$392,MATCH('Ingest Template'!E82,DropDown!$J$2:$J$392,0)))</f>
        <v>#N/A</v>
      </c>
      <c r="K82" s="21" t="str">
        <f>iF('Ingest Template'!A82="Standard",'Ingest Template'!K82&amp;CHAR(10)&amp;'Ingest Template'!L82,"Competitive View")</f>
        <v>Competitive View</v>
      </c>
      <c r="L82" s="29" t="s">
        <v>146</v>
      </c>
      <c r="M82" s="37" t="str">
        <f>'Ingest Template'!D82</f>
        <v/>
      </c>
      <c r="N82" s="21"/>
      <c r="O82" s="21"/>
      <c r="P82" s="21"/>
      <c r="Q82" s="21"/>
      <c r="R82" s="21" t="str">
        <f>'Ingest Template'!E82</f>
        <v/>
      </c>
      <c r="S82" s="29" t="s">
        <v>153</v>
      </c>
      <c r="T82" s="21" t="str">
        <f>'Ingest Template'!T82</f>
        <v/>
      </c>
      <c r="U82" s="21" t="str">
        <f>'Ingest Template'!S82</f>
        <v/>
      </c>
      <c r="V82" s="21" t="str">
        <f>LOWER(SUBSTITUTE(SUBSTITUTE(SUBSTITUTE(SUBSTITUTE(SUBSTITUTE('Ingest Template'!U82,"https:",""),"www.",""),"/",""),"?hl=en",""),"instagram.com",""))</f>
        <v/>
      </c>
      <c r="W82" s="41" t="str">
        <f t="array" ref="W82">IF('Ingest Template'!V82="",(INDEX(DropDown!$L$2:$L$392,MATCH('Ingest Template'!E82,DropDown!$J$2:$J$392,0))&amp;"|"&amp;'Ingest Template'!B82),(INDEX(DropDown!$L$2:$L$392,MATCH('Ingest Template'!E82,DropDown!$J$2:$J$392,0))&amp;"|"&amp;'Ingest Template'!B82)&amp;CHAR(10)&amp;'Ingest Template'!V82)</f>
        <v>#N/A</v>
      </c>
      <c r="X82" s="41" t="str">
        <f>'Ingest Template'!W82</f>
        <v/>
      </c>
      <c r="Y82" s="21" t="str">
        <f>SUBSTITUTE(SUBSTITUTE(SUBSTITUTE('Ingest Template'!X82,"http:",""),"https:",""),"/","")</f>
        <v/>
      </c>
      <c r="Z82" s="21" t="str">
        <f t="array" ref="Z82">IF('Ingest Template'!A82="Standard",(IF(ISBLANK('Ingest Template'!AA82),"", 'Ingest Template'!AA82&amp;"|DAR")),(IF(ISBLANK('Ingest Template'!AA82),"", 'Ingest Template'!AA82&amp;"|Film Ops")))</f>
        <v/>
      </c>
      <c r="AA82" s="21"/>
      <c r="AB82" s="21" t="str">
        <f>'Ingest Template'!M82</f>
        <v/>
      </c>
      <c r="AC82" s="21" t="str">
        <f>'Ingest Template'!Y82</f>
        <v/>
      </c>
      <c r="AD82" s="21" t="str">
        <f>'Ingest Template'!C82</f>
        <v/>
      </c>
      <c r="AE82" s="21" t="str">
        <f>'Ingest Template'!Z82</f>
        <v/>
      </c>
      <c r="AF82" s="29"/>
      <c r="AG82" s="21" t="str">
        <f t="array" ref="AG82">IF('Ingest Template'!A82="Standard",(CONCATENATE(IF(ISBLANK('Ingest Template'!O82),"", 'Ingest Template'!O82&amp;"|DAR"),CHAR(10), IF(ISBLANK('Ingest Template'!P82),"", 'Ingest Template'!P82&amp;"|DAR"),CHAR(10), IF(ISBLANK('Ingest Template'!Q82),"", 'Ingest Template'!Q82&amp;"|DAR"))),(CONCATENATE(IF(ISBLANK('Ingest Template'!O82),"", 'Ingest Template'!O82&amp;"|Operations - Core Title"),CHAR(10), IF(ISBLANK('Ingest Template'!P82),"", 'Ingest Template'!P82&amp;"|Operations - Core Title"),CHAR(10), IF(ISBLANK('Ingest Template'!Q82),"", 'Ingest Template'!Q82&amp;"|Operations - Core Title"))))</f>
        <v>#|Operations - Core Title
#|Operations - Core Title
</v>
      </c>
      <c r="AH82" s="21"/>
      <c r="AI82" s="21"/>
      <c r="AJ82" s="53" t="str">
        <f>if('Ingest Template'!A82="Standard",'Ingest Template'!N82&amp; "|DAR|DAR|2021-01-01",'Ingest Template'!N82&amp; "|Operations - Core Title|Operations - Core Title")</f>
        <v>#N/A</v>
      </c>
      <c r="AK82" s="53" t="str">
        <f>if('Ingest Template'!A82="Standard",'Ingest Template'!R82&amp; "|2021-01-01",'Ingest Template'!R82)</f>
        <v>#N/A</v>
      </c>
      <c r="AL82" s="21"/>
      <c r="AM82" s="21"/>
    </row>
    <row r="83">
      <c r="A83" s="21"/>
      <c r="B83" s="21" t="str">
        <f>'Ingest Template'!B83&amp;IF('Ingest Template'!A83 = "Standard", " - DAR","")</f>
        <v/>
      </c>
      <c r="C83" s="26" t="s">
        <v>109</v>
      </c>
      <c r="D83" s="29" t="str">
        <f t="array" ref="D83">CONCATENATE(INDEX(DropDown!$H$2:$H$10,MATCH(1,COUNTIF('Ingest Template'!F83,"*"&amp;DropDown!$H$2:$H$10&amp;"*"),0)),CHAR(10),'Ingest Template'!G83)</f>
        <v>#N/A</v>
      </c>
      <c r="E83" s="21" t="str">
        <f>CONCATENATE('Ingest Template'!H83,CHAR(10),'Ingest Template'!I83,CHAR(10),'Ingest Template'!J83)</f>
        <v>
</v>
      </c>
      <c r="F83" s="26" t="str">
        <f>'Ingest Template'!H83</f>
        <v/>
      </c>
      <c r="G83" s="21"/>
      <c r="H83" s="29"/>
      <c r="I83" s="21"/>
      <c r="J83" s="29" t="str">
        <f t="array" ref="J83">iF('Ingest Template'!A83="Standard","Pristine Brand",INDEX(DropDown!$M$2:$M$392,MATCH('Ingest Template'!E83,DropDown!$J$2:$J$392,0)))</f>
        <v>#N/A</v>
      </c>
      <c r="K83" s="21" t="str">
        <f>iF('Ingest Template'!A83="Standard",'Ingest Template'!K83&amp;CHAR(10)&amp;'Ingest Template'!L83,"Competitive View")</f>
        <v>Competitive View</v>
      </c>
      <c r="L83" s="29" t="s">
        <v>146</v>
      </c>
      <c r="M83" s="37" t="str">
        <f>'Ingest Template'!D83</f>
        <v/>
      </c>
      <c r="N83" s="21"/>
      <c r="O83" s="21"/>
      <c r="P83" s="21"/>
      <c r="Q83" s="21"/>
      <c r="R83" s="21" t="str">
        <f>'Ingest Template'!E83</f>
        <v/>
      </c>
      <c r="S83" s="29" t="s">
        <v>153</v>
      </c>
      <c r="T83" s="21" t="str">
        <f>'Ingest Template'!T83</f>
        <v/>
      </c>
      <c r="U83" s="21" t="str">
        <f>'Ingest Template'!S83</f>
        <v/>
      </c>
      <c r="V83" s="21" t="str">
        <f>LOWER(SUBSTITUTE(SUBSTITUTE(SUBSTITUTE(SUBSTITUTE(SUBSTITUTE('Ingest Template'!U83,"https:",""),"www.",""),"/",""),"?hl=en",""),"instagram.com",""))</f>
        <v/>
      </c>
      <c r="W83" s="41" t="str">
        <f t="array" ref="W83">IF('Ingest Template'!V83="",(INDEX(DropDown!$L$2:$L$392,MATCH('Ingest Template'!E83,DropDown!$J$2:$J$392,0))&amp;"|"&amp;'Ingest Template'!B83),(INDEX(DropDown!$L$2:$L$392,MATCH('Ingest Template'!E83,DropDown!$J$2:$J$392,0))&amp;"|"&amp;'Ingest Template'!B83)&amp;CHAR(10)&amp;'Ingest Template'!V83)</f>
        <v>#N/A</v>
      </c>
      <c r="X83" s="41" t="str">
        <f>'Ingest Template'!W83</f>
        <v/>
      </c>
      <c r="Y83" s="21" t="str">
        <f>SUBSTITUTE(SUBSTITUTE(SUBSTITUTE('Ingest Template'!X83,"http:",""),"https:",""),"/","")</f>
        <v/>
      </c>
      <c r="Z83" s="21" t="str">
        <f t="array" ref="Z83">IF('Ingest Template'!A83="Standard",(IF(ISBLANK('Ingest Template'!AA83),"", 'Ingest Template'!AA83&amp;"|DAR")),(IF(ISBLANK('Ingest Template'!AA83),"", 'Ingest Template'!AA83&amp;"|Film Ops")))</f>
        <v/>
      </c>
      <c r="AA83" s="21"/>
      <c r="AB83" s="21" t="str">
        <f>'Ingest Template'!M83</f>
        <v/>
      </c>
      <c r="AC83" s="21" t="str">
        <f>'Ingest Template'!Y83</f>
        <v/>
      </c>
      <c r="AD83" s="21" t="str">
        <f>'Ingest Template'!C83</f>
        <v/>
      </c>
      <c r="AE83" s="21" t="str">
        <f>'Ingest Template'!Z83</f>
        <v/>
      </c>
      <c r="AF83" s="29"/>
      <c r="AG83" s="21" t="str">
        <f t="array" ref="AG83">IF('Ingest Template'!A83="Standard",(CONCATENATE(IF(ISBLANK('Ingest Template'!O83),"", 'Ingest Template'!O83&amp;"|DAR"),CHAR(10), IF(ISBLANK('Ingest Template'!P83),"", 'Ingest Template'!P83&amp;"|DAR"),CHAR(10), IF(ISBLANK('Ingest Template'!Q83),"", 'Ingest Template'!Q83&amp;"|DAR"))),(CONCATENATE(IF(ISBLANK('Ingest Template'!O83),"", 'Ingest Template'!O83&amp;"|Operations - Core Title"),CHAR(10), IF(ISBLANK('Ingest Template'!P83),"", 'Ingest Template'!P83&amp;"|Operations - Core Title"),CHAR(10), IF(ISBLANK('Ingest Template'!Q83),"", 'Ingest Template'!Q83&amp;"|Operations - Core Title"))))</f>
        <v>#|Operations - Core Title
#|Operations - Core Title
</v>
      </c>
      <c r="AH83" s="21"/>
      <c r="AI83" s="21"/>
      <c r="AJ83" s="53" t="str">
        <f>if('Ingest Template'!A83="Standard",'Ingest Template'!N83&amp; "|DAR|DAR|2021-01-01",'Ingest Template'!N83&amp; "|Operations - Core Title|Operations - Core Title")</f>
        <v>#N/A</v>
      </c>
      <c r="AK83" s="53" t="str">
        <f>if('Ingest Template'!A83="Standard",'Ingest Template'!R83&amp; "|2021-01-01",'Ingest Template'!R83)</f>
        <v>#N/A</v>
      </c>
      <c r="AL83" s="21"/>
      <c r="AM83" s="21"/>
    </row>
    <row r="84">
      <c r="A84" s="21"/>
      <c r="B84" s="21" t="str">
        <f>'Ingest Template'!B84&amp;IF('Ingest Template'!A84 = "Standard", " - DAR","")</f>
        <v/>
      </c>
      <c r="C84" s="26" t="s">
        <v>109</v>
      </c>
      <c r="D84" s="29" t="str">
        <f t="array" ref="D84">CONCATENATE(INDEX(DropDown!$H$2:$H$10,MATCH(1,COUNTIF('Ingest Template'!F84,"*"&amp;DropDown!$H$2:$H$10&amp;"*"),0)),CHAR(10),'Ingest Template'!G84)</f>
        <v>#N/A</v>
      </c>
      <c r="E84" s="21" t="str">
        <f>CONCATENATE('Ingest Template'!H84,CHAR(10),'Ingest Template'!I84,CHAR(10),'Ingest Template'!J84)</f>
        <v>
</v>
      </c>
      <c r="F84" s="26" t="str">
        <f>'Ingest Template'!H84</f>
        <v/>
      </c>
      <c r="G84" s="21"/>
      <c r="H84" s="29"/>
      <c r="I84" s="21"/>
      <c r="J84" s="29" t="str">
        <f t="array" ref="J84">iF('Ingest Template'!A84="Standard","Pristine Brand",INDEX(DropDown!$M$2:$M$392,MATCH('Ingest Template'!E84,DropDown!$J$2:$J$392,0)))</f>
        <v>#N/A</v>
      </c>
      <c r="K84" s="21" t="str">
        <f>iF('Ingest Template'!A84="Standard",'Ingest Template'!K84&amp;CHAR(10)&amp;'Ingest Template'!L84,"Competitive View")</f>
        <v>Competitive View</v>
      </c>
      <c r="L84" s="29" t="s">
        <v>146</v>
      </c>
      <c r="M84" s="37" t="str">
        <f>'Ingest Template'!D84</f>
        <v/>
      </c>
      <c r="N84" s="21"/>
      <c r="O84" s="21"/>
      <c r="P84" s="21"/>
      <c r="Q84" s="21"/>
      <c r="R84" s="21" t="str">
        <f>'Ingest Template'!E84</f>
        <v/>
      </c>
      <c r="S84" s="29" t="s">
        <v>153</v>
      </c>
      <c r="T84" s="21" t="str">
        <f>'Ingest Template'!T84</f>
        <v/>
      </c>
      <c r="U84" s="21" t="str">
        <f>'Ingest Template'!S84</f>
        <v/>
      </c>
      <c r="V84" s="21" t="str">
        <f>LOWER(SUBSTITUTE(SUBSTITUTE(SUBSTITUTE(SUBSTITUTE(SUBSTITUTE('Ingest Template'!U84,"https:",""),"www.",""),"/",""),"?hl=en",""),"instagram.com",""))</f>
        <v/>
      </c>
      <c r="W84" s="41" t="str">
        <f t="array" ref="W84">IF('Ingest Template'!V84="",(INDEX(DropDown!$L$2:$L$392,MATCH('Ingest Template'!E84,DropDown!$J$2:$J$392,0))&amp;"|"&amp;'Ingest Template'!B84),(INDEX(DropDown!$L$2:$L$392,MATCH('Ingest Template'!E84,DropDown!$J$2:$J$392,0))&amp;"|"&amp;'Ingest Template'!B84)&amp;CHAR(10)&amp;'Ingest Template'!V84)</f>
        <v>#N/A</v>
      </c>
      <c r="X84" s="41" t="str">
        <f>'Ingest Template'!W84</f>
        <v/>
      </c>
      <c r="Y84" s="21" t="str">
        <f>SUBSTITUTE(SUBSTITUTE(SUBSTITUTE('Ingest Template'!X84,"http:",""),"https:",""),"/","")</f>
        <v/>
      </c>
      <c r="Z84" s="21" t="str">
        <f t="array" ref="Z84">IF('Ingest Template'!A84="Standard",(IF(ISBLANK('Ingest Template'!AA84),"", 'Ingest Template'!AA84&amp;"|DAR")),(IF(ISBLANK('Ingest Template'!AA84),"", 'Ingest Template'!AA84&amp;"|Film Ops")))</f>
        <v/>
      </c>
      <c r="AA84" s="21"/>
      <c r="AB84" s="21" t="str">
        <f>'Ingest Template'!M84</f>
        <v/>
      </c>
      <c r="AC84" s="21" t="str">
        <f>'Ingest Template'!Y84</f>
        <v/>
      </c>
      <c r="AD84" s="21" t="str">
        <f>'Ingest Template'!C84</f>
        <v/>
      </c>
      <c r="AE84" s="21" t="str">
        <f>'Ingest Template'!Z84</f>
        <v/>
      </c>
      <c r="AF84" s="29"/>
      <c r="AG84" s="21" t="str">
        <f t="array" ref="AG84">IF('Ingest Template'!A84="Standard",(CONCATENATE(IF(ISBLANK('Ingest Template'!O84),"", 'Ingest Template'!O84&amp;"|DAR"),CHAR(10), IF(ISBLANK('Ingest Template'!P84),"", 'Ingest Template'!P84&amp;"|DAR"),CHAR(10), IF(ISBLANK('Ingest Template'!Q84),"", 'Ingest Template'!Q84&amp;"|DAR"))),(CONCATENATE(IF(ISBLANK('Ingest Template'!O84),"", 'Ingest Template'!O84&amp;"|Operations - Core Title"),CHAR(10), IF(ISBLANK('Ingest Template'!P84),"", 'Ingest Template'!P84&amp;"|Operations - Core Title"),CHAR(10), IF(ISBLANK('Ingest Template'!Q84),"", 'Ingest Template'!Q84&amp;"|Operations - Core Title"))))</f>
        <v>#|Operations - Core Title
#|Operations - Core Title
</v>
      </c>
      <c r="AH84" s="21"/>
      <c r="AI84" s="21"/>
      <c r="AJ84" s="53" t="str">
        <f>if('Ingest Template'!A84="Standard",'Ingest Template'!N84&amp; "|DAR|DAR|2021-01-01",'Ingest Template'!N84&amp; "|Operations - Core Title|Operations - Core Title")</f>
        <v>#N/A</v>
      </c>
      <c r="AK84" s="53" t="str">
        <f>if('Ingest Template'!A84="Standard",'Ingest Template'!R84&amp; "|2021-01-01",'Ingest Template'!R84)</f>
        <v>#N/A</v>
      </c>
      <c r="AL84" s="21"/>
      <c r="AM84" s="21"/>
    </row>
    <row r="85">
      <c r="A85" s="21"/>
      <c r="B85" s="21" t="str">
        <f>'Ingest Template'!B85&amp;IF('Ingest Template'!A85 = "Standard", " - DAR","")</f>
        <v/>
      </c>
      <c r="C85" s="26" t="s">
        <v>109</v>
      </c>
      <c r="D85" s="29" t="str">
        <f t="array" ref="D85">CONCATENATE(INDEX(DropDown!$H$2:$H$10,MATCH(1,COUNTIF('Ingest Template'!F85,"*"&amp;DropDown!$H$2:$H$10&amp;"*"),0)),CHAR(10),'Ingest Template'!G85)</f>
        <v>#N/A</v>
      </c>
      <c r="E85" s="21" t="str">
        <f>CONCATENATE('Ingest Template'!H85,CHAR(10),'Ingest Template'!I85,CHAR(10),'Ingest Template'!J85)</f>
        <v>
</v>
      </c>
      <c r="F85" s="26" t="str">
        <f>'Ingest Template'!H85</f>
        <v/>
      </c>
      <c r="G85" s="21"/>
      <c r="H85" s="29"/>
      <c r="I85" s="21"/>
      <c r="J85" s="29" t="str">
        <f t="array" ref="J85">iF('Ingest Template'!A85="Standard","Pristine Brand",INDEX(DropDown!$M$2:$M$392,MATCH('Ingest Template'!E85,DropDown!$J$2:$J$392,0)))</f>
        <v>#N/A</v>
      </c>
      <c r="K85" s="21" t="str">
        <f>iF('Ingest Template'!A85="Standard",'Ingest Template'!K85&amp;CHAR(10)&amp;'Ingest Template'!L85,"Competitive View")</f>
        <v>Competitive View</v>
      </c>
      <c r="L85" s="29" t="s">
        <v>146</v>
      </c>
      <c r="M85" s="37" t="str">
        <f>'Ingest Template'!D85</f>
        <v/>
      </c>
      <c r="N85" s="21"/>
      <c r="O85" s="21"/>
      <c r="P85" s="21"/>
      <c r="Q85" s="21"/>
      <c r="R85" s="21" t="str">
        <f>'Ingest Template'!E85</f>
        <v/>
      </c>
      <c r="S85" s="29" t="s">
        <v>153</v>
      </c>
      <c r="T85" s="21" t="str">
        <f>'Ingest Template'!T85</f>
        <v/>
      </c>
      <c r="U85" s="21" t="str">
        <f>'Ingest Template'!S85</f>
        <v/>
      </c>
      <c r="V85" s="21" t="str">
        <f>LOWER(SUBSTITUTE(SUBSTITUTE(SUBSTITUTE(SUBSTITUTE(SUBSTITUTE('Ingest Template'!U85,"https:",""),"www.",""),"/",""),"?hl=en",""),"instagram.com",""))</f>
        <v/>
      </c>
      <c r="W85" s="41" t="str">
        <f t="array" ref="W85">IF('Ingest Template'!V85="",(INDEX(DropDown!$L$2:$L$392,MATCH('Ingest Template'!E85,DropDown!$J$2:$J$392,0))&amp;"|"&amp;'Ingest Template'!B85),(INDEX(DropDown!$L$2:$L$392,MATCH('Ingest Template'!E85,DropDown!$J$2:$J$392,0))&amp;"|"&amp;'Ingest Template'!B85)&amp;CHAR(10)&amp;'Ingest Template'!V85)</f>
        <v>#N/A</v>
      </c>
      <c r="X85" s="41" t="str">
        <f>'Ingest Template'!W85</f>
        <v/>
      </c>
      <c r="Y85" s="21" t="str">
        <f>SUBSTITUTE(SUBSTITUTE(SUBSTITUTE('Ingest Template'!X85,"http:",""),"https:",""),"/","")</f>
        <v/>
      </c>
      <c r="Z85" s="21" t="str">
        <f t="array" ref="Z85">IF('Ingest Template'!A85="Standard",(IF(ISBLANK('Ingest Template'!AA85),"", 'Ingest Template'!AA85&amp;"|DAR")),(IF(ISBLANK('Ingest Template'!AA85),"", 'Ingest Template'!AA85&amp;"|Film Ops")))</f>
        <v/>
      </c>
      <c r="AA85" s="21"/>
      <c r="AB85" s="21" t="str">
        <f>'Ingest Template'!M85</f>
        <v/>
      </c>
      <c r="AC85" s="21" t="str">
        <f>'Ingest Template'!Y85</f>
        <v/>
      </c>
      <c r="AD85" s="21" t="str">
        <f>'Ingest Template'!C85</f>
        <v/>
      </c>
      <c r="AE85" s="21" t="str">
        <f>'Ingest Template'!Z85</f>
        <v/>
      </c>
      <c r="AF85" s="29"/>
      <c r="AG85" s="21" t="str">
        <f t="array" ref="AG85">IF('Ingest Template'!A85="Standard",(CONCATENATE(IF(ISBLANK('Ingest Template'!O85),"", 'Ingest Template'!O85&amp;"|DAR"),CHAR(10), IF(ISBLANK('Ingest Template'!P85),"", 'Ingest Template'!P85&amp;"|DAR"),CHAR(10), IF(ISBLANK('Ingest Template'!Q85),"", 'Ingest Template'!Q85&amp;"|DAR"))),(CONCATENATE(IF(ISBLANK('Ingest Template'!O85),"", 'Ingest Template'!O85&amp;"|Operations - Core Title"),CHAR(10), IF(ISBLANK('Ingest Template'!P85),"", 'Ingest Template'!P85&amp;"|Operations - Core Title"),CHAR(10), IF(ISBLANK('Ingest Template'!Q85),"", 'Ingest Template'!Q85&amp;"|Operations - Core Title"))))</f>
        <v>#|Operations - Core Title
#|Operations - Core Title
</v>
      </c>
      <c r="AH85" s="21"/>
      <c r="AI85" s="21"/>
      <c r="AJ85" s="53" t="str">
        <f>if('Ingest Template'!A85="Standard",'Ingest Template'!N85&amp; "|DAR|DAR|2021-01-01",'Ingest Template'!N85&amp; "|Operations - Core Title|Operations - Core Title")</f>
        <v>#N/A</v>
      </c>
      <c r="AK85" s="53" t="str">
        <f>if('Ingest Template'!A85="Standard",'Ingest Template'!R85&amp; "|2021-01-01",'Ingest Template'!R85)</f>
        <v>#N/A</v>
      </c>
      <c r="AL85" s="21"/>
      <c r="AM85" s="21"/>
    </row>
    <row r="86">
      <c r="A86" s="21"/>
      <c r="B86" s="21" t="str">
        <f>'Ingest Template'!B86&amp;IF('Ingest Template'!A86 = "Standard", " - DAR","")</f>
        <v/>
      </c>
      <c r="C86" s="26" t="s">
        <v>109</v>
      </c>
      <c r="D86" s="29" t="str">
        <f t="array" ref="D86">CONCATENATE(INDEX(DropDown!$H$2:$H$10,MATCH(1,COUNTIF('Ingest Template'!F86,"*"&amp;DropDown!$H$2:$H$10&amp;"*"),0)),CHAR(10),'Ingest Template'!G86)</f>
        <v>#N/A</v>
      </c>
      <c r="E86" s="21" t="str">
        <f>CONCATENATE('Ingest Template'!H86,CHAR(10),'Ingest Template'!I86,CHAR(10),'Ingest Template'!J86)</f>
        <v>
</v>
      </c>
      <c r="F86" s="26" t="str">
        <f>'Ingest Template'!H86</f>
        <v/>
      </c>
      <c r="G86" s="21"/>
      <c r="H86" s="29"/>
      <c r="I86" s="21"/>
      <c r="J86" s="29" t="str">
        <f t="array" ref="J86">iF('Ingest Template'!A86="Standard","Pristine Brand",INDEX(DropDown!$M$2:$M$392,MATCH('Ingest Template'!E86,DropDown!$J$2:$J$392,0)))</f>
        <v>#N/A</v>
      </c>
      <c r="K86" s="21" t="str">
        <f>iF('Ingest Template'!A86="Standard",'Ingest Template'!K86&amp;CHAR(10)&amp;'Ingest Template'!L86,"Competitive View")</f>
        <v>Competitive View</v>
      </c>
      <c r="L86" s="29" t="s">
        <v>146</v>
      </c>
      <c r="M86" s="37" t="str">
        <f>'Ingest Template'!D86</f>
        <v/>
      </c>
      <c r="N86" s="21"/>
      <c r="O86" s="21"/>
      <c r="P86" s="21"/>
      <c r="Q86" s="21"/>
      <c r="R86" s="21" t="str">
        <f>'Ingest Template'!E86</f>
        <v/>
      </c>
      <c r="S86" s="29" t="s">
        <v>153</v>
      </c>
      <c r="T86" s="21" t="str">
        <f>'Ingest Template'!T86</f>
        <v/>
      </c>
      <c r="U86" s="21" t="str">
        <f>'Ingest Template'!S86</f>
        <v/>
      </c>
      <c r="V86" s="21" t="str">
        <f>LOWER(SUBSTITUTE(SUBSTITUTE(SUBSTITUTE(SUBSTITUTE(SUBSTITUTE('Ingest Template'!U86,"https:",""),"www.",""),"/",""),"?hl=en",""),"instagram.com",""))</f>
        <v/>
      </c>
      <c r="W86" s="41" t="str">
        <f t="array" ref="W86">IF('Ingest Template'!V86="",(INDEX(DropDown!$L$2:$L$392,MATCH('Ingest Template'!E86,DropDown!$J$2:$J$392,0))&amp;"|"&amp;'Ingest Template'!B86),(INDEX(DropDown!$L$2:$L$392,MATCH('Ingest Template'!E86,DropDown!$J$2:$J$392,0))&amp;"|"&amp;'Ingest Template'!B86)&amp;CHAR(10)&amp;'Ingest Template'!V86)</f>
        <v>#N/A</v>
      </c>
      <c r="X86" s="41" t="str">
        <f>'Ingest Template'!W86</f>
        <v/>
      </c>
      <c r="Y86" s="21" t="str">
        <f>SUBSTITUTE(SUBSTITUTE(SUBSTITUTE('Ingest Template'!X86,"http:",""),"https:",""),"/","")</f>
        <v/>
      </c>
      <c r="Z86" s="21" t="str">
        <f t="array" ref="Z86">IF('Ingest Template'!A86="Standard",(IF(ISBLANK('Ingest Template'!AA86),"", 'Ingest Template'!AA86&amp;"|DAR")),(IF(ISBLANK('Ingest Template'!AA86),"", 'Ingest Template'!AA86&amp;"|Film Ops")))</f>
        <v/>
      </c>
      <c r="AA86" s="21"/>
      <c r="AB86" s="21" t="str">
        <f>'Ingest Template'!M86</f>
        <v/>
      </c>
      <c r="AC86" s="21" t="str">
        <f>'Ingest Template'!Y86</f>
        <v/>
      </c>
      <c r="AD86" s="21" t="str">
        <f>'Ingest Template'!C86</f>
        <v/>
      </c>
      <c r="AE86" s="21" t="str">
        <f>'Ingest Template'!Z86</f>
        <v/>
      </c>
      <c r="AF86" s="29"/>
      <c r="AG86" s="21" t="str">
        <f t="array" ref="AG86">IF('Ingest Template'!A86="Standard",(CONCATENATE(IF(ISBLANK('Ingest Template'!O86),"", 'Ingest Template'!O86&amp;"|DAR"),CHAR(10), IF(ISBLANK('Ingest Template'!P86),"", 'Ingest Template'!P86&amp;"|DAR"),CHAR(10), IF(ISBLANK('Ingest Template'!Q86),"", 'Ingest Template'!Q86&amp;"|DAR"))),(CONCATENATE(IF(ISBLANK('Ingest Template'!O86),"", 'Ingest Template'!O86&amp;"|Operations - Core Title"),CHAR(10), IF(ISBLANK('Ingest Template'!P86),"", 'Ingest Template'!P86&amp;"|Operations - Core Title"),CHAR(10), IF(ISBLANK('Ingest Template'!Q86),"", 'Ingest Template'!Q86&amp;"|Operations - Core Title"))))</f>
        <v>#|Operations - Core Title
#|Operations - Core Title
</v>
      </c>
      <c r="AH86" s="21"/>
      <c r="AI86" s="21"/>
      <c r="AJ86" s="53" t="str">
        <f>if('Ingest Template'!A86="Standard",'Ingest Template'!N86&amp; "|DAR|DAR|2021-01-01",'Ingest Template'!N86&amp; "|Operations - Core Title|Operations - Core Title")</f>
        <v>#N/A</v>
      </c>
      <c r="AK86" s="53" t="str">
        <f>if('Ingest Template'!A86="Standard",'Ingest Template'!R86&amp; "|2021-01-01",'Ingest Template'!R86)</f>
        <v>#N/A</v>
      </c>
      <c r="AL86" s="21"/>
      <c r="AM86" s="21"/>
    </row>
    <row r="87">
      <c r="A87" s="21"/>
      <c r="B87" s="21" t="str">
        <f>'Ingest Template'!B87&amp;IF('Ingest Template'!A87 = "Standard", " - DAR","")</f>
        <v/>
      </c>
      <c r="C87" s="26" t="s">
        <v>109</v>
      </c>
      <c r="D87" s="29" t="str">
        <f t="array" ref="D87">CONCATENATE(INDEX(DropDown!$H$2:$H$10,MATCH(1,COUNTIF('Ingest Template'!F87,"*"&amp;DropDown!$H$2:$H$10&amp;"*"),0)),CHAR(10),'Ingest Template'!G87)</f>
        <v>#N/A</v>
      </c>
      <c r="E87" s="21" t="str">
        <f>CONCATENATE('Ingest Template'!H87,CHAR(10),'Ingest Template'!I87,CHAR(10),'Ingest Template'!J87)</f>
        <v>
</v>
      </c>
      <c r="F87" s="26" t="str">
        <f>'Ingest Template'!H87</f>
        <v/>
      </c>
      <c r="G87" s="21"/>
      <c r="H87" s="29"/>
      <c r="I87" s="21"/>
      <c r="J87" s="29" t="str">
        <f t="array" ref="J87">iF('Ingest Template'!A87="Standard","Pristine Brand",INDEX(DropDown!$M$2:$M$392,MATCH('Ingest Template'!E87,DropDown!$J$2:$J$392,0)))</f>
        <v>#N/A</v>
      </c>
      <c r="K87" s="21" t="str">
        <f>iF('Ingest Template'!A87="Standard",'Ingest Template'!K87&amp;CHAR(10)&amp;'Ingest Template'!L87,"Competitive View")</f>
        <v>Competitive View</v>
      </c>
      <c r="L87" s="29" t="s">
        <v>146</v>
      </c>
      <c r="M87" s="37" t="str">
        <f>'Ingest Template'!D87</f>
        <v/>
      </c>
      <c r="N87" s="21"/>
      <c r="O87" s="21"/>
      <c r="P87" s="21"/>
      <c r="Q87" s="21"/>
      <c r="R87" s="21" t="str">
        <f>'Ingest Template'!E87</f>
        <v/>
      </c>
      <c r="S87" s="29" t="s">
        <v>153</v>
      </c>
      <c r="T87" s="21" t="str">
        <f>'Ingest Template'!T87</f>
        <v/>
      </c>
      <c r="U87" s="21" t="str">
        <f>'Ingest Template'!S87</f>
        <v/>
      </c>
      <c r="V87" s="21" t="str">
        <f>LOWER(SUBSTITUTE(SUBSTITUTE(SUBSTITUTE(SUBSTITUTE(SUBSTITUTE('Ingest Template'!U87,"https:",""),"www.",""),"/",""),"?hl=en",""),"instagram.com",""))</f>
        <v/>
      </c>
      <c r="W87" s="41" t="str">
        <f t="array" ref="W87">IF('Ingest Template'!V87="",(INDEX(DropDown!$L$2:$L$392,MATCH('Ingest Template'!E87,DropDown!$J$2:$J$392,0))&amp;"|"&amp;'Ingest Template'!B87),(INDEX(DropDown!$L$2:$L$392,MATCH('Ingest Template'!E87,DropDown!$J$2:$J$392,0))&amp;"|"&amp;'Ingest Template'!B87)&amp;CHAR(10)&amp;'Ingest Template'!V87)</f>
        <v>#N/A</v>
      </c>
      <c r="X87" s="41" t="str">
        <f>'Ingest Template'!W87</f>
        <v/>
      </c>
      <c r="Y87" s="21" t="str">
        <f>SUBSTITUTE(SUBSTITUTE(SUBSTITUTE('Ingest Template'!X87,"http:",""),"https:",""),"/","")</f>
        <v/>
      </c>
      <c r="Z87" s="21" t="str">
        <f t="array" ref="Z87">IF('Ingest Template'!A87="Standard",(IF(ISBLANK('Ingest Template'!AA87),"", 'Ingest Template'!AA87&amp;"|DAR")),(IF(ISBLANK('Ingest Template'!AA87),"", 'Ingest Template'!AA87&amp;"|Film Ops")))</f>
        <v/>
      </c>
      <c r="AA87" s="21"/>
      <c r="AB87" s="21" t="str">
        <f>'Ingest Template'!M87</f>
        <v/>
      </c>
      <c r="AC87" s="21" t="str">
        <f>'Ingest Template'!Y87</f>
        <v/>
      </c>
      <c r="AD87" s="21" t="str">
        <f>'Ingest Template'!C87</f>
        <v/>
      </c>
      <c r="AE87" s="21" t="str">
        <f>'Ingest Template'!Z87</f>
        <v/>
      </c>
      <c r="AF87" s="29"/>
      <c r="AG87" s="21" t="str">
        <f t="array" ref="AG87">IF('Ingest Template'!A87="Standard",(CONCATENATE(IF(ISBLANK('Ingest Template'!O87),"", 'Ingest Template'!O87&amp;"|DAR"),CHAR(10), IF(ISBLANK('Ingest Template'!P87),"", 'Ingest Template'!P87&amp;"|DAR"),CHAR(10), IF(ISBLANK('Ingest Template'!Q87),"", 'Ingest Template'!Q87&amp;"|DAR"))),(CONCATENATE(IF(ISBLANK('Ingest Template'!O87),"", 'Ingest Template'!O87&amp;"|Operations - Core Title"),CHAR(10), IF(ISBLANK('Ingest Template'!P87),"", 'Ingest Template'!P87&amp;"|Operations - Core Title"),CHAR(10), IF(ISBLANK('Ingest Template'!Q87),"", 'Ingest Template'!Q87&amp;"|Operations - Core Title"))))</f>
        <v>#|Operations - Core Title
#|Operations - Core Title
</v>
      </c>
      <c r="AH87" s="21"/>
      <c r="AI87" s="21"/>
      <c r="AJ87" s="53" t="str">
        <f>if('Ingest Template'!A87="Standard",'Ingest Template'!N87&amp; "|DAR|DAR|2021-01-01",'Ingest Template'!N87&amp; "|Operations - Core Title|Operations - Core Title")</f>
        <v>#N/A</v>
      </c>
      <c r="AK87" s="53" t="str">
        <f>if('Ingest Template'!A87="Standard",'Ingest Template'!R87&amp; "|2021-01-01",'Ingest Template'!R87)</f>
        <v>#N/A</v>
      </c>
      <c r="AL87" s="21"/>
      <c r="AM87" s="21"/>
    </row>
    <row r="88">
      <c r="A88" s="21"/>
      <c r="B88" s="21" t="str">
        <f>'Ingest Template'!B88&amp;IF('Ingest Template'!A88 = "Standard", " - DAR","")</f>
        <v/>
      </c>
      <c r="C88" s="26" t="s">
        <v>109</v>
      </c>
      <c r="D88" s="29" t="str">
        <f t="array" ref="D88">CONCATENATE(INDEX(DropDown!$H$2:$H$10,MATCH(1,COUNTIF('Ingest Template'!F88,"*"&amp;DropDown!$H$2:$H$10&amp;"*"),0)),CHAR(10),'Ingest Template'!G88)</f>
        <v>#N/A</v>
      </c>
      <c r="E88" s="21" t="str">
        <f>CONCATENATE('Ingest Template'!H88,CHAR(10),'Ingest Template'!I88,CHAR(10),'Ingest Template'!J88)</f>
        <v>
</v>
      </c>
      <c r="F88" s="26" t="str">
        <f>'Ingest Template'!H88</f>
        <v/>
      </c>
      <c r="G88" s="21"/>
      <c r="H88" s="29"/>
      <c r="I88" s="21"/>
      <c r="J88" s="29" t="str">
        <f t="array" ref="J88">iF('Ingest Template'!A88="Standard","Pristine Brand",INDEX(DropDown!$M$2:$M$392,MATCH('Ingest Template'!E88,DropDown!$J$2:$J$392,0)))</f>
        <v>#N/A</v>
      </c>
      <c r="K88" s="21" t="str">
        <f>iF('Ingest Template'!A88="Standard",'Ingest Template'!K88&amp;CHAR(10)&amp;'Ingest Template'!L88,"Competitive View")</f>
        <v>Competitive View</v>
      </c>
      <c r="L88" s="29" t="s">
        <v>146</v>
      </c>
      <c r="M88" s="37" t="str">
        <f>'Ingest Template'!D88</f>
        <v/>
      </c>
      <c r="N88" s="21"/>
      <c r="O88" s="21"/>
      <c r="P88" s="21"/>
      <c r="Q88" s="21"/>
      <c r="R88" s="21" t="str">
        <f>'Ingest Template'!E88</f>
        <v/>
      </c>
      <c r="S88" s="29" t="s">
        <v>153</v>
      </c>
      <c r="T88" s="21" t="str">
        <f>'Ingest Template'!T88</f>
        <v/>
      </c>
      <c r="U88" s="21" t="str">
        <f>'Ingest Template'!S88</f>
        <v/>
      </c>
      <c r="V88" s="21" t="str">
        <f>LOWER(SUBSTITUTE(SUBSTITUTE(SUBSTITUTE(SUBSTITUTE(SUBSTITUTE('Ingest Template'!U88,"https:",""),"www.",""),"/",""),"?hl=en",""),"instagram.com",""))</f>
        <v/>
      </c>
      <c r="W88" s="41" t="str">
        <f t="array" ref="W88">IF('Ingest Template'!V88="",(INDEX(DropDown!$L$2:$L$392,MATCH('Ingest Template'!E88,DropDown!$J$2:$J$392,0))&amp;"|"&amp;'Ingest Template'!B88),(INDEX(DropDown!$L$2:$L$392,MATCH('Ingest Template'!E88,DropDown!$J$2:$J$392,0))&amp;"|"&amp;'Ingest Template'!B88)&amp;CHAR(10)&amp;'Ingest Template'!V88)</f>
        <v>#N/A</v>
      </c>
      <c r="X88" s="41" t="str">
        <f>'Ingest Template'!W88</f>
        <v/>
      </c>
      <c r="Y88" s="21" t="str">
        <f>SUBSTITUTE(SUBSTITUTE(SUBSTITUTE('Ingest Template'!X88,"http:",""),"https:",""),"/","")</f>
        <v/>
      </c>
      <c r="Z88" s="21" t="str">
        <f t="array" ref="Z88">IF('Ingest Template'!A88="Standard",(IF(ISBLANK('Ingest Template'!AA88),"", 'Ingest Template'!AA88&amp;"|DAR")),(IF(ISBLANK('Ingest Template'!AA88),"", 'Ingest Template'!AA88&amp;"|Film Ops")))</f>
        <v/>
      </c>
      <c r="AA88" s="21"/>
      <c r="AB88" s="21" t="str">
        <f>'Ingest Template'!M88</f>
        <v/>
      </c>
      <c r="AC88" s="21" t="str">
        <f>'Ingest Template'!Y88</f>
        <v/>
      </c>
      <c r="AD88" s="21" t="str">
        <f>'Ingest Template'!C88</f>
        <v/>
      </c>
      <c r="AE88" s="21" t="str">
        <f>'Ingest Template'!Z88</f>
        <v/>
      </c>
      <c r="AF88" s="29"/>
      <c r="AG88" s="21" t="str">
        <f t="array" ref="AG88">IF('Ingest Template'!A88="Standard",(CONCATENATE(IF(ISBLANK('Ingest Template'!O88),"", 'Ingest Template'!O88&amp;"|DAR"),CHAR(10), IF(ISBLANK('Ingest Template'!P88),"", 'Ingest Template'!P88&amp;"|DAR"),CHAR(10), IF(ISBLANK('Ingest Template'!Q88),"", 'Ingest Template'!Q88&amp;"|DAR"))),(CONCATENATE(IF(ISBLANK('Ingest Template'!O88),"", 'Ingest Template'!O88&amp;"|Operations - Core Title"),CHAR(10), IF(ISBLANK('Ingest Template'!P88),"", 'Ingest Template'!P88&amp;"|Operations - Core Title"),CHAR(10), IF(ISBLANK('Ingest Template'!Q88),"", 'Ingest Template'!Q88&amp;"|Operations - Core Title"))))</f>
        <v>#|Operations - Core Title
#|Operations - Core Title
</v>
      </c>
      <c r="AH88" s="21"/>
      <c r="AI88" s="21"/>
      <c r="AJ88" s="53" t="str">
        <f>if('Ingest Template'!A88="Standard",'Ingest Template'!N88&amp; "|DAR|DAR|2021-01-01",'Ingest Template'!N88&amp; "|Operations - Core Title|Operations - Core Title")</f>
        <v>#N/A</v>
      </c>
      <c r="AK88" s="53" t="str">
        <f>if('Ingest Template'!A88="Standard",'Ingest Template'!R88&amp; "|2021-01-01",'Ingest Template'!R88)</f>
        <v>#N/A</v>
      </c>
      <c r="AL88" s="21"/>
      <c r="AM88" s="21"/>
    </row>
    <row r="89">
      <c r="A89" s="21"/>
      <c r="B89" s="21" t="str">
        <f>'Ingest Template'!B89&amp;IF('Ingest Template'!A89 = "Standard", " - DAR","")</f>
        <v/>
      </c>
      <c r="C89" s="26" t="s">
        <v>109</v>
      </c>
      <c r="D89" s="29" t="str">
        <f t="array" ref="D89">CONCATENATE(INDEX(DropDown!$H$2:$H$10,MATCH(1,COUNTIF('Ingest Template'!F89,"*"&amp;DropDown!$H$2:$H$10&amp;"*"),0)),CHAR(10),'Ingest Template'!G89)</f>
        <v>#N/A</v>
      </c>
      <c r="E89" s="21" t="str">
        <f>CONCATENATE('Ingest Template'!H89,CHAR(10),'Ingest Template'!I89,CHAR(10),'Ingest Template'!J89)</f>
        <v>
</v>
      </c>
      <c r="F89" s="26" t="str">
        <f>'Ingest Template'!H89</f>
        <v/>
      </c>
      <c r="G89" s="21"/>
      <c r="H89" s="29"/>
      <c r="I89" s="21"/>
      <c r="J89" s="29" t="str">
        <f t="array" ref="J89">iF('Ingest Template'!A89="Standard","Pristine Brand",INDEX(DropDown!$M$2:$M$392,MATCH('Ingest Template'!E89,DropDown!$J$2:$J$392,0)))</f>
        <v>#N/A</v>
      </c>
      <c r="K89" s="21" t="str">
        <f>iF('Ingest Template'!A89="Standard",'Ingest Template'!K89&amp;CHAR(10)&amp;'Ingest Template'!L89,"Competitive View")</f>
        <v>Competitive View</v>
      </c>
      <c r="L89" s="29" t="s">
        <v>146</v>
      </c>
      <c r="M89" s="37" t="str">
        <f>'Ingest Template'!D89</f>
        <v/>
      </c>
      <c r="N89" s="21"/>
      <c r="O89" s="21"/>
      <c r="P89" s="21"/>
      <c r="Q89" s="21"/>
      <c r="R89" s="21" t="str">
        <f>'Ingest Template'!E89</f>
        <v/>
      </c>
      <c r="S89" s="29" t="s">
        <v>153</v>
      </c>
      <c r="T89" s="21" t="str">
        <f>'Ingest Template'!T89</f>
        <v/>
      </c>
      <c r="U89" s="21" t="str">
        <f>'Ingest Template'!S89</f>
        <v/>
      </c>
      <c r="V89" s="21" t="str">
        <f>LOWER(SUBSTITUTE(SUBSTITUTE(SUBSTITUTE(SUBSTITUTE(SUBSTITUTE('Ingest Template'!U89,"https:",""),"www.",""),"/",""),"?hl=en",""),"instagram.com",""))</f>
        <v/>
      </c>
      <c r="W89" s="41" t="str">
        <f t="array" ref="W89">IF('Ingest Template'!V89="",(INDEX(DropDown!$L$2:$L$392,MATCH('Ingest Template'!E89,DropDown!$J$2:$J$392,0))&amp;"|"&amp;'Ingest Template'!B89),(INDEX(DropDown!$L$2:$L$392,MATCH('Ingest Template'!E89,DropDown!$J$2:$J$392,0))&amp;"|"&amp;'Ingest Template'!B89)&amp;CHAR(10)&amp;'Ingest Template'!V89)</f>
        <v>#N/A</v>
      </c>
      <c r="X89" s="41" t="str">
        <f>'Ingest Template'!W89</f>
        <v/>
      </c>
      <c r="Y89" s="21" t="str">
        <f>SUBSTITUTE(SUBSTITUTE(SUBSTITUTE('Ingest Template'!X89,"http:",""),"https:",""),"/","")</f>
        <v/>
      </c>
      <c r="Z89" s="21" t="str">
        <f t="array" ref="Z89">IF('Ingest Template'!A89="Standard",(IF(ISBLANK('Ingest Template'!AA89),"", 'Ingest Template'!AA89&amp;"|DAR")),(IF(ISBLANK('Ingest Template'!AA89),"", 'Ingest Template'!AA89&amp;"|Film Ops")))</f>
        <v/>
      </c>
      <c r="AA89" s="21"/>
      <c r="AB89" s="21" t="str">
        <f>'Ingest Template'!M89</f>
        <v/>
      </c>
      <c r="AC89" s="21" t="str">
        <f>'Ingest Template'!Y89</f>
        <v/>
      </c>
      <c r="AD89" s="21" t="str">
        <f>'Ingest Template'!C89</f>
        <v/>
      </c>
      <c r="AE89" s="21" t="str">
        <f>'Ingest Template'!Z89</f>
        <v/>
      </c>
      <c r="AF89" s="29"/>
      <c r="AG89" s="21" t="str">
        <f t="array" ref="AG89">IF('Ingest Template'!A89="Standard",(CONCATENATE(IF(ISBLANK('Ingest Template'!O89),"", 'Ingest Template'!O89&amp;"|DAR"),CHAR(10), IF(ISBLANK('Ingest Template'!P89),"", 'Ingest Template'!P89&amp;"|DAR"),CHAR(10), IF(ISBLANK('Ingest Template'!Q89),"", 'Ingest Template'!Q89&amp;"|DAR"))),(CONCATENATE(IF(ISBLANK('Ingest Template'!O89),"", 'Ingest Template'!O89&amp;"|Operations - Core Title"),CHAR(10), IF(ISBLANK('Ingest Template'!P89),"", 'Ingest Template'!P89&amp;"|Operations - Core Title"),CHAR(10), IF(ISBLANK('Ingest Template'!Q89),"", 'Ingest Template'!Q89&amp;"|Operations - Core Title"))))</f>
        <v>#|Operations - Core Title
#|Operations - Core Title
</v>
      </c>
      <c r="AH89" s="21"/>
      <c r="AI89" s="21"/>
      <c r="AJ89" s="53" t="str">
        <f>if('Ingest Template'!A89="Standard",'Ingest Template'!N89&amp; "|DAR|DAR|2021-01-01",'Ingest Template'!N89&amp; "|Operations - Core Title|Operations - Core Title")</f>
        <v>#N/A</v>
      </c>
      <c r="AK89" s="53" t="str">
        <f>if('Ingest Template'!A89="Standard",'Ingest Template'!R89&amp; "|2021-01-01",'Ingest Template'!R89)</f>
        <v>#N/A</v>
      </c>
      <c r="AL89" s="21"/>
      <c r="AM89" s="21"/>
    </row>
    <row r="90">
      <c r="A90" s="21"/>
      <c r="B90" s="21" t="str">
        <f>'Ingest Template'!B90&amp;IF('Ingest Template'!A90 = "Standard", " - DAR","")</f>
        <v/>
      </c>
      <c r="C90" s="26" t="s">
        <v>109</v>
      </c>
      <c r="D90" s="29" t="str">
        <f t="array" ref="D90">CONCATENATE(INDEX(DropDown!$H$2:$H$10,MATCH(1,COUNTIF('Ingest Template'!F90,"*"&amp;DropDown!$H$2:$H$10&amp;"*"),0)),CHAR(10),'Ingest Template'!G90)</f>
        <v>#N/A</v>
      </c>
      <c r="E90" s="21" t="str">
        <f>CONCATENATE('Ingest Template'!H90,CHAR(10),'Ingest Template'!I90,CHAR(10),'Ingest Template'!J90)</f>
        <v>
</v>
      </c>
      <c r="F90" s="26" t="str">
        <f>'Ingest Template'!H90</f>
        <v/>
      </c>
      <c r="G90" s="21"/>
      <c r="H90" s="29"/>
      <c r="I90" s="21"/>
      <c r="J90" s="29" t="str">
        <f t="array" ref="J90">iF('Ingest Template'!A90="Standard","Pristine Brand",INDEX(DropDown!$M$2:$M$392,MATCH('Ingest Template'!E90,DropDown!$J$2:$J$392,0)))</f>
        <v>#N/A</v>
      </c>
      <c r="K90" s="21" t="str">
        <f>iF('Ingest Template'!A90="Standard",'Ingest Template'!K90&amp;CHAR(10)&amp;'Ingest Template'!L90,"Competitive View")</f>
        <v>Competitive View</v>
      </c>
      <c r="L90" s="29" t="s">
        <v>146</v>
      </c>
      <c r="M90" s="37" t="str">
        <f>'Ingest Template'!D90</f>
        <v/>
      </c>
      <c r="N90" s="21"/>
      <c r="O90" s="21"/>
      <c r="P90" s="21"/>
      <c r="Q90" s="21"/>
      <c r="R90" s="21" t="str">
        <f>'Ingest Template'!E90</f>
        <v/>
      </c>
      <c r="S90" s="29" t="s">
        <v>153</v>
      </c>
      <c r="T90" s="21" t="str">
        <f>'Ingest Template'!T90</f>
        <v/>
      </c>
      <c r="U90" s="21" t="str">
        <f>'Ingest Template'!S90</f>
        <v/>
      </c>
      <c r="V90" s="21" t="str">
        <f>LOWER(SUBSTITUTE(SUBSTITUTE(SUBSTITUTE(SUBSTITUTE(SUBSTITUTE('Ingest Template'!U90,"https:",""),"www.",""),"/",""),"?hl=en",""),"instagram.com",""))</f>
        <v/>
      </c>
      <c r="W90" s="41" t="str">
        <f t="array" ref="W90">IF('Ingest Template'!V90="",(INDEX(DropDown!$L$2:$L$392,MATCH('Ingest Template'!E90,DropDown!$J$2:$J$392,0))&amp;"|"&amp;'Ingest Template'!B90),(INDEX(DropDown!$L$2:$L$392,MATCH('Ingest Template'!E90,DropDown!$J$2:$J$392,0))&amp;"|"&amp;'Ingest Template'!B90)&amp;CHAR(10)&amp;'Ingest Template'!V90)</f>
        <v>#N/A</v>
      </c>
      <c r="X90" s="41" t="str">
        <f>'Ingest Template'!W90</f>
        <v/>
      </c>
      <c r="Y90" s="21" t="str">
        <f>SUBSTITUTE(SUBSTITUTE(SUBSTITUTE('Ingest Template'!X90,"http:",""),"https:",""),"/","")</f>
        <v/>
      </c>
      <c r="Z90" s="21" t="str">
        <f t="array" ref="Z90">IF('Ingest Template'!A90="Standard",(IF(ISBLANK('Ingest Template'!AA90),"", 'Ingest Template'!AA90&amp;"|DAR")),(IF(ISBLANK('Ingest Template'!AA90),"", 'Ingest Template'!AA90&amp;"|Film Ops")))</f>
        <v/>
      </c>
      <c r="AA90" s="21"/>
      <c r="AB90" s="21" t="str">
        <f>'Ingest Template'!M90</f>
        <v/>
      </c>
      <c r="AC90" s="21" t="str">
        <f>'Ingest Template'!Y90</f>
        <v/>
      </c>
      <c r="AD90" s="21" t="str">
        <f>'Ingest Template'!C90</f>
        <v/>
      </c>
      <c r="AE90" s="21" t="str">
        <f>'Ingest Template'!Z90</f>
        <v/>
      </c>
      <c r="AF90" s="29"/>
      <c r="AG90" s="21" t="str">
        <f t="array" ref="AG90">IF('Ingest Template'!A90="Standard",(CONCATENATE(IF(ISBLANK('Ingest Template'!O90),"", 'Ingest Template'!O90&amp;"|DAR"),CHAR(10), IF(ISBLANK('Ingest Template'!P90),"", 'Ingest Template'!P90&amp;"|DAR"),CHAR(10), IF(ISBLANK('Ingest Template'!Q90),"", 'Ingest Template'!Q90&amp;"|DAR"))),(CONCATENATE(IF(ISBLANK('Ingest Template'!O90),"", 'Ingest Template'!O90&amp;"|Operations - Core Title"),CHAR(10), IF(ISBLANK('Ingest Template'!P90),"", 'Ingest Template'!P90&amp;"|Operations - Core Title"),CHAR(10), IF(ISBLANK('Ingest Template'!Q90),"", 'Ingest Template'!Q90&amp;"|Operations - Core Title"))))</f>
        <v>#|Operations - Core Title
#|Operations - Core Title
</v>
      </c>
      <c r="AH90" s="21"/>
      <c r="AI90" s="21"/>
      <c r="AJ90" s="53" t="str">
        <f>if('Ingest Template'!A90="Standard",'Ingest Template'!N90&amp; "|DAR|DAR|2021-01-01",'Ingest Template'!N90&amp; "|Operations - Core Title|Operations - Core Title")</f>
        <v>#N/A</v>
      </c>
      <c r="AK90" s="53" t="str">
        <f>if('Ingest Template'!A90="Standard",'Ingest Template'!R90&amp; "|2021-01-01",'Ingest Template'!R90)</f>
        <v>#N/A</v>
      </c>
      <c r="AL90" s="21"/>
      <c r="AM90" s="21"/>
    </row>
    <row r="91">
      <c r="A91" s="21"/>
      <c r="B91" s="21" t="str">
        <f>'Ingest Template'!B91&amp;IF('Ingest Template'!A91 = "Standard", " - DAR","")</f>
        <v/>
      </c>
      <c r="C91" s="26" t="s">
        <v>109</v>
      </c>
      <c r="D91" s="29" t="str">
        <f t="array" ref="D91">CONCATENATE(INDEX(DropDown!$H$2:$H$10,MATCH(1,COUNTIF('Ingest Template'!F91,"*"&amp;DropDown!$H$2:$H$10&amp;"*"),0)),CHAR(10),'Ingest Template'!G91)</f>
        <v>#N/A</v>
      </c>
      <c r="E91" s="21" t="str">
        <f>CONCATENATE('Ingest Template'!H91,CHAR(10),'Ingest Template'!I91,CHAR(10),'Ingest Template'!J91)</f>
        <v>
</v>
      </c>
      <c r="F91" s="26" t="str">
        <f>'Ingest Template'!H91</f>
        <v/>
      </c>
      <c r="G91" s="21"/>
      <c r="H91" s="29"/>
      <c r="I91" s="21"/>
      <c r="J91" s="29" t="str">
        <f t="array" ref="J91">iF('Ingest Template'!A91="Standard","Pristine Brand",INDEX(DropDown!$M$2:$M$392,MATCH('Ingest Template'!E91,DropDown!$J$2:$J$392,0)))</f>
        <v>#N/A</v>
      </c>
      <c r="K91" s="21" t="str">
        <f>iF('Ingest Template'!A91="Standard",'Ingest Template'!K91&amp;CHAR(10)&amp;'Ingest Template'!L91,"Competitive View")</f>
        <v>Competitive View</v>
      </c>
      <c r="L91" s="29" t="s">
        <v>146</v>
      </c>
      <c r="M91" s="37" t="str">
        <f>'Ingest Template'!D91</f>
        <v/>
      </c>
      <c r="N91" s="21"/>
      <c r="O91" s="21"/>
      <c r="P91" s="21"/>
      <c r="Q91" s="21"/>
      <c r="R91" s="21" t="str">
        <f>'Ingest Template'!E91</f>
        <v/>
      </c>
      <c r="S91" s="29" t="s">
        <v>153</v>
      </c>
      <c r="T91" s="21" t="str">
        <f>'Ingest Template'!T91</f>
        <v/>
      </c>
      <c r="U91" s="21" t="str">
        <f>'Ingest Template'!S91</f>
        <v/>
      </c>
      <c r="V91" s="21" t="str">
        <f>LOWER(SUBSTITUTE(SUBSTITUTE(SUBSTITUTE(SUBSTITUTE(SUBSTITUTE('Ingest Template'!U91,"https:",""),"www.",""),"/",""),"?hl=en",""),"instagram.com",""))</f>
        <v/>
      </c>
      <c r="W91" s="41" t="str">
        <f t="array" ref="W91">IF('Ingest Template'!V91="",(INDEX(DropDown!$L$2:$L$392,MATCH('Ingest Template'!E91,DropDown!$J$2:$J$392,0))&amp;"|"&amp;'Ingest Template'!B91),(INDEX(DropDown!$L$2:$L$392,MATCH('Ingest Template'!E91,DropDown!$J$2:$J$392,0))&amp;"|"&amp;'Ingest Template'!B91)&amp;CHAR(10)&amp;'Ingest Template'!V91)</f>
        <v>#N/A</v>
      </c>
      <c r="X91" s="41" t="str">
        <f>'Ingest Template'!W91</f>
        <v/>
      </c>
      <c r="Y91" s="21" t="str">
        <f>SUBSTITUTE(SUBSTITUTE(SUBSTITUTE('Ingest Template'!X91,"http:",""),"https:",""),"/","")</f>
        <v/>
      </c>
      <c r="Z91" s="21" t="str">
        <f t="array" ref="Z91">IF('Ingest Template'!A91="Standard",(IF(ISBLANK('Ingest Template'!AA91),"", 'Ingest Template'!AA91&amp;"|DAR")),(IF(ISBLANK('Ingest Template'!AA91),"", 'Ingest Template'!AA91&amp;"|Film Ops")))</f>
        <v/>
      </c>
      <c r="AA91" s="21"/>
      <c r="AB91" s="21" t="str">
        <f>'Ingest Template'!M91</f>
        <v/>
      </c>
      <c r="AC91" s="21" t="str">
        <f>'Ingest Template'!Y91</f>
        <v/>
      </c>
      <c r="AD91" s="21" t="str">
        <f>'Ingest Template'!C91</f>
        <v/>
      </c>
      <c r="AE91" s="21" t="str">
        <f>'Ingest Template'!Z91</f>
        <v/>
      </c>
      <c r="AF91" s="29"/>
      <c r="AG91" s="21" t="str">
        <f t="array" ref="AG91">IF('Ingest Template'!A91="Standard",(CONCATENATE(IF(ISBLANK('Ingest Template'!O91),"", 'Ingest Template'!O91&amp;"|DAR"),CHAR(10), IF(ISBLANK('Ingest Template'!P91),"", 'Ingest Template'!P91&amp;"|DAR"),CHAR(10), IF(ISBLANK('Ingest Template'!Q91),"", 'Ingest Template'!Q91&amp;"|DAR"))),(CONCATENATE(IF(ISBLANK('Ingest Template'!O91),"", 'Ingest Template'!O91&amp;"|Operations - Core Title"),CHAR(10), IF(ISBLANK('Ingest Template'!P91),"", 'Ingest Template'!P91&amp;"|Operations - Core Title"),CHAR(10), IF(ISBLANK('Ingest Template'!Q91),"", 'Ingest Template'!Q91&amp;"|Operations - Core Title"))))</f>
        <v>#|Operations - Core Title
#|Operations - Core Title
</v>
      </c>
      <c r="AH91" s="21"/>
      <c r="AI91" s="21"/>
      <c r="AJ91" s="53" t="str">
        <f>if('Ingest Template'!A91="Standard",'Ingest Template'!N91&amp; "|DAR|DAR|2021-01-01",'Ingest Template'!N91&amp; "|Operations - Core Title|Operations - Core Title")</f>
        <v>#N/A</v>
      </c>
      <c r="AK91" s="53" t="str">
        <f>if('Ingest Template'!A91="Standard",'Ingest Template'!R91&amp; "|2021-01-01",'Ingest Template'!R91)</f>
        <v>#N/A</v>
      </c>
      <c r="AL91" s="21"/>
      <c r="AM91" s="21"/>
    </row>
    <row r="92">
      <c r="A92" s="21"/>
      <c r="B92" s="21" t="str">
        <f>'Ingest Template'!B92&amp;IF('Ingest Template'!A92 = "Standard", " - DAR","")</f>
        <v/>
      </c>
      <c r="C92" s="26" t="s">
        <v>109</v>
      </c>
      <c r="D92" s="29" t="str">
        <f t="array" ref="D92">CONCATENATE(INDEX(DropDown!$H$2:$H$10,MATCH(1,COUNTIF('Ingest Template'!F92,"*"&amp;DropDown!$H$2:$H$10&amp;"*"),0)),CHAR(10),'Ingest Template'!G92)</f>
        <v>#N/A</v>
      </c>
      <c r="E92" s="21" t="str">
        <f>CONCATENATE('Ingest Template'!H92,CHAR(10),'Ingest Template'!I92,CHAR(10),'Ingest Template'!J92)</f>
        <v>
</v>
      </c>
      <c r="F92" s="26" t="str">
        <f>'Ingest Template'!H92</f>
        <v/>
      </c>
      <c r="G92" s="21"/>
      <c r="H92" s="29"/>
      <c r="I92" s="21"/>
      <c r="J92" s="29" t="str">
        <f t="array" ref="J92">iF('Ingest Template'!A92="Standard","Pristine Brand",INDEX(DropDown!$M$2:$M$392,MATCH('Ingest Template'!E92,DropDown!$J$2:$J$392,0)))</f>
        <v>#N/A</v>
      </c>
      <c r="K92" s="21" t="str">
        <f>iF('Ingest Template'!A92="Standard",'Ingest Template'!K92&amp;CHAR(10)&amp;'Ingest Template'!L92,"Competitive View")</f>
        <v>Competitive View</v>
      </c>
      <c r="L92" s="29" t="s">
        <v>146</v>
      </c>
      <c r="M92" s="37" t="str">
        <f>'Ingest Template'!D92</f>
        <v/>
      </c>
      <c r="N92" s="21"/>
      <c r="O92" s="21"/>
      <c r="P92" s="21"/>
      <c r="Q92" s="21"/>
      <c r="R92" s="21" t="str">
        <f>'Ingest Template'!E92</f>
        <v/>
      </c>
      <c r="S92" s="29" t="s">
        <v>153</v>
      </c>
      <c r="T92" s="21" t="str">
        <f>'Ingest Template'!T92</f>
        <v/>
      </c>
      <c r="U92" s="21" t="str">
        <f>'Ingest Template'!S92</f>
        <v/>
      </c>
      <c r="V92" s="21" t="str">
        <f>LOWER(SUBSTITUTE(SUBSTITUTE(SUBSTITUTE(SUBSTITUTE(SUBSTITUTE('Ingest Template'!U92,"https:",""),"www.",""),"/",""),"?hl=en",""),"instagram.com",""))</f>
        <v/>
      </c>
      <c r="W92" s="41" t="str">
        <f t="array" ref="W92">IF('Ingest Template'!V92="",(INDEX(DropDown!$L$2:$L$392,MATCH('Ingest Template'!E92,DropDown!$J$2:$J$392,0))&amp;"|"&amp;'Ingest Template'!B92),(INDEX(DropDown!$L$2:$L$392,MATCH('Ingest Template'!E92,DropDown!$J$2:$J$392,0))&amp;"|"&amp;'Ingest Template'!B92)&amp;CHAR(10)&amp;'Ingest Template'!V92)</f>
        <v>#N/A</v>
      </c>
      <c r="X92" s="41" t="str">
        <f>'Ingest Template'!W92</f>
        <v/>
      </c>
      <c r="Y92" s="21" t="str">
        <f>SUBSTITUTE(SUBSTITUTE(SUBSTITUTE('Ingest Template'!X92,"http:",""),"https:",""),"/","")</f>
        <v/>
      </c>
      <c r="Z92" s="21" t="str">
        <f t="array" ref="Z92">IF('Ingest Template'!A92="Standard",(IF(ISBLANK('Ingest Template'!AA92),"", 'Ingest Template'!AA92&amp;"|DAR")),(IF(ISBLANK('Ingest Template'!AA92),"", 'Ingest Template'!AA92&amp;"|Film Ops")))</f>
        <v/>
      </c>
      <c r="AA92" s="21"/>
      <c r="AB92" s="21" t="str">
        <f>'Ingest Template'!M92</f>
        <v/>
      </c>
      <c r="AC92" s="21" t="str">
        <f>'Ingest Template'!Y92</f>
        <v/>
      </c>
      <c r="AD92" s="21" t="str">
        <f>'Ingest Template'!C92</f>
        <v/>
      </c>
      <c r="AE92" s="21" t="str">
        <f>'Ingest Template'!Z92</f>
        <v/>
      </c>
      <c r="AF92" s="29"/>
      <c r="AG92" s="21" t="str">
        <f t="array" ref="AG92">IF('Ingest Template'!A92="Standard",(CONCATENATE(IF(ISBLANK('Ingest Template'!O92),"", 'Ingest Template'!O92&amp;"|DAR"),CHAR(10), IF(ISBLANK('Ingest Template'!P92),"", 'Ingest Template'!P92&amp;"|DAR"),CHAR(10), IF(ISBLANK('Ingest Template'!Q92),"", 'Ingest Template'!Q92&amp;"|DAR"))),(CONCATENATE(IF(ISBLANK('Ingest Template'!O92),"", 'Ingest Template'!O92&amp;"|Operations - Core Title"),CHAR(10), IF(ISBLANK('Ingest Template'!P92),"", 'Ingest Template'!P92&amp;"|Operations - Core Title"),CHAR(10), IF(ISBLANK('Ingest Template'!Q92),"", 'Ingest Template'!Q92&amp;"|Operations - Core Title"))))</f>
        <v>#|Operations - Core Title
#|Operations - Core Title
</v>
      </c>
      <c r="AH92" s="21"/>
      <c r="AI92" s="21"/>
      <c r="AJ92" s="53" t="str">
        <f>if('Ingest Template'!A92="Standard",'Ingest Template'!N92&amp; "|DAR|DAR|2021-01-01",'Ingest Template'!N92&amp; "|Operations - Core Title|Operations - Core Title")</f>
        <v>#N/A</v>
      </c>
      <c r="AK92" s="53" t="str">
        <f>if('Ingest Template'!A92="Standard",'Ingest Template'!R92&amp; "|2021-01-01",'Ingest Template'!R92)</f>
        <v>#N/A</v>
      </c>
      <c r="AL92" s="21"/>
      <c r="AM92" s="21"/>
    </row>
    <row r="93">
      <c r="A93" s="21"/>
      <c r="B93" s="21" t="str">
        <f>'Ingest Template'!B93&amp;IF('Ingest Template'!A93 = "Standard", " - DAR","")</f>
        <v/>
      </c>
      <c r="C93" s="26" t="s">
        <v>109</v>
      </c>
      <c r="D93" s="29" t="str">
        <f t="array" ref="D93">CONCATENATE(INDEX(DropDown!$H$2:$H$10,MATCH(1,COUNTIF('Ingest Template'!F93,"*"&amp;DropDown!$H$2:$H$10&amp;"*"),0)),CHAR(10),'Ingest Template'!G93)</f>
        <v>#N/A</v>
      </c>
      <c r="E93" s="21" t="str">
        <f>CONCATENATE('Ingest Template'!H93,CHAR(10),'Ingest Template'!I93,CHAR(10),'Ingest Template'!J93)</f>
        <v>
</v>
      </c>
      <c r="F93" s="26" t="str">
        <f>'Ingest Template'!H93</f>
        <v/>
      </c>
      <c r="G93" s="21"/>
      <c r="H93" s="29"/>
      <c r="I93" s="21"/>
      <c r="J93" s="29" t="str">
        <f t="array" ref="J93">iF('Ingest Template'!A93="Standard","Pristine Brand",INDEX(DropDown!$M$2:$M$392,MATCH('Ingest Template'!E93,DropDown!$J$2:$J$392,0)))</f>
        <v>#N/A</v>
      </c>
      <c r="K93" s="21" t="str">
        <f>iF('Ingest Template'!A93="Standard",'Ingest Template'!K93&amp;CHAR(10)&amp;'Ingest Template'!L93,"Competitive View")</f>
        <v>Competitive View</v>
      </c>
      <c r="L93" s="29" t="s">
        <v>146</v>
      </c>
      <c r="M93" s="37" t="str">
        <f>'Ingest Template'!D93</f>
        <v/>
      </c>
      <c r="N93" s="21"/>
      <c r="O93" s="21"/>
      <c r="P93" s="21"/>
      <c r="Q93" s="21"/>
      <c r="R93" s="21" t="str">
        <f>'Ingest Template'!E93</f>
        <v/>
      </c>
      <c r="S93" s="29" t="s">
        <v>153</v>
      </c>
      <c r="T93" s="21" t="str">
        <f>'Ingest Template'!T93</f>
        <v/>
      </c>
      <c r="U93" s="21" t="str">
        <f>'Ingest Template'!S93</f>
        <v/>
      </c>
      <c r="V93" s="21" t="str">
        <f>LOWER(SUBSTITUTE(SUBSTITUTE(SUBSTITUTE(SUBSTITUTE(SUBSTITUTE('Ingest Template'!U93,"https:",""),"www.",""),"/",""),"?hl=en",""),"instagram.com",""))</f>
        <v/>
      </c>
      <c r="W93" s="41" t="str">
        <f t="array" ref="W93">IF('Ingest Template'!V93="",(INDEX(DropDown!$L$2:$L$392,MATCH('Ingest Template'!E93,DropDown!$J$2:$J$392,0))&amp;"|"&amp;'Ingest Template'!B93),(INDEX(DropDown!$L$2:$L$392,MATCH('Ingest Template'!E93,DropDown!$J$2:$J$392,0))&amp;"|"&amp;'Ingest Template'!B93)&amp;CHAR(10)&amp;'Ingest Template'!V93)</f>
        <v>#N/A</v>
      </c>
      <c r="X93" s="41" t="str">
        <f>'Ingest Template'!W93</f>
        <v/>
      </c>
      <c r="Y93" s="21" t="str">
        <f>SUBSTITUTE(SUBSTITUTE(SUBSTITUTE('Ingest Template'!X93,"http:",""),"https:",""),"/","")</f>
        <v/>
      </c>
      <c r="Z93" s="21" t="str">
        <f t="array" ref="Z93">IF('Ingest Template'!A93="Standard",(IF(ISBLANK('Ingest Template'!AA93),"", 'Ingest Template'!AA93&amp;"|DAR")),(IF(ISBLANK('Ingest Template'!AA93),"", 'Ingest Template'!AA93&amp;"|Film Ops")))</f>
        <v/>
      </c>
      <c r="AA93" s="21"/>
      <c r="AB93" s="21" t="str">
        <f>'Ingest Template'!M93</f>
        <v/>
      </c>
      <c r="AC93" s="21" t="str">
        <f>'Ingest Template'!Y93</f>
        <v/>
      </c>
      <c r="AD93" s="21" t="str">
        <f>'Ingest Template'!C93</f>
        <v/>
      </c>
      <c r="AE93" s="21" t="str">
        <f>'Ingest Template'!Z93</f>
        <v/>
      </c>
      <c r="AF93" s="29"/>
      <c r="AG93" s="21" t="str">
        <f t="array" ref="AG93">IF('Ingest Template'!A93="Standard",(CONCATENATE(IF(ISBLANK('Ingest Template'!O93),"", 'Ingest Template'!O93&amp;"|DAR"),CHAR(10), IF(ISBLANK('Ingest Template'!P93),"", 'Ingest Template'!P93&amp;"|DAR"),CHAR(10), IF(ISBLANK('Ingest Template'!Q93),"", 'Ingest Template'!Q93&amp;"|DAR"))),(CONCATENATE(IF(ISBLANK('Ingest Template'!O93),"", 'Ingest Template'!O93&amp;"|Operations - Core Title"),CHAR(10), IF(ISBLANK('Ingest Template'!P93),"", 'Ingest Template'!P93&amp;"|Operations - Core Title"),CHAR(10), IF(ISBLANK('Ingest Template'!Q93),"", 'Ingest Template'!Q93&amp;"|Operations - Core Title"))))</f>
        <v>#|Operations - Core Title
#|Operations - Core Title
</v>
      </c>
      <c r="AH93" s="21"/>
      <c r="AI93" s="21"/>
      <c r="AJ93" s="53" t="str">
        <f>if('Ingest Template'!A93="Standard",'Ingest Template'!N93&amp; "|DAR|DAR|2021-01-01",'Ingest Template'!N93&amp; "|Operations - Core Title|Operations - Core Title")</f>
        <v>#N/A</v>
      </c>
      <c r="AK93" s="53" t="str">
        <f>if('Ingest Template'!A93="Standard",'Ingest Template'!R93&amp; "|2021-01-01",'Ingest Template'!R93)</f>
        <v>#N/A</v>
      </c>
      <c r="AL93" s="21"/>
      <c r="AM93" s="21"/>
    </row>
    <row r="94">
      <c r="A94" s="21"/>
      <c r="B94" s="21" t="str">
        <f>'Ingest Template'!B94&amp;IF('Ingest Template'!A94 = "Standard", " - DAR","")</f>
        <v/>
      </c>
      <c r="C94" s="26" t="s">
        <v>109</v>
      </c>
      <c r="D94" s="29" t="str">
        <f t="array" ref="D94">CONCATENATE(INDEX(DropDown!$H$2:$H$10,MATCH(1,COUNTIF('Ingest Template'!F94,"*"&amp;DropDown!$H$2:$H$10&amp;"*"),0)),CHAR(10),'Ingest Template'!G94)</f>
        <v>#N/A</v>
      </c>
      <c r="E94" s="21" t="str">
        <f>CONCATENATE('Ingest Template'!H94,CHAR(10),'Ingest Template'!I94,CHAR(10),'Ingest Template'!J94)</f>
        <v>
</v>
      </c>
      <c r="F94" s="26" t="str">
        <f>'Ingest Template'!H94</f>
        <v/>
      </c>
      <c r="G94" s="21"/>
      <c r="H94" s="29"/>
      <c r="I94" s="21"/>
      <c r="J94" s="29" t="str">
        <f t="array" ref="J94">iF('Ingest Template'!A94="Standard","Pristine Brand",INDEX(DropDown!$M$2:$M$392,MATCH('Ingest Template'!E94,DropDown!$J$2:$J$392,0)))</f>
        <v>#N/A</v>
      </c>
      <c r="K94" s="21" t="str">
        <f>iF('Ingest Template'!A94="Standard",'Ingest Template'!K94&amp;CHAR(10)&amp;'Ingest Template'!L94,"Competitive View")</f>
        <v>Competitive View</v>
      </c>
      <c r="L94" s="29" t="s">
        <v>146</v>
      </c>
      <c r="M94" s="37" t="str">
        <f>'Ingest Template'!D94</f>
        <v/>
      </c>
      <c r="N94" s="21"/>
      <c r="O94" s="21"/>
      <c r="P94" s="21"/>
      <c r="Q94" s="21"/>
      <c r="R94" s="21" t="str">
        <f>'Ingest Template'!E94</f>
        <v/>
      </c>
      <c r="S94" s="29" t="s">
        <v>153</v>
      </c>
      <c r="T94" s="21" t="str">
        <f>'Ingest Template'!T94</f>
        <v/>
      </c>
      <c r="U94" s="21" t="str">
        <f>'Ingest Template'!S94</f>
        <v/>
      </c>
      <c r="V94" s="21" t="str">
        <f>LOWER(SUBSTITUTE(SUBSTITUTE(SUBSTITUTE(SUBSTITUTE(SUBSTITUTE('Ingest Template'!U94,"https:",""),"www.",""),"/",""),"?hl=en",""),"instagram.com",""))</f>
        <v/>
      </c>
      <c r="W94" s="41" t="str">
        <f t="array" ref="W94">IF('Ingest Template'!V94="",(INDEX(DropDown!$L$2:$L$392,MATCH('Ingest Template'!E94,DropDown!$J$2:$J$392,0))&amp;"|"&amp;'Ingest Template'!B94),(INDEX(DropDown!$L$2:$L$392,MATCH('Ingest Template'!E94,DropDown!$J$2:$J$392,0))&amp;"|"&amp;'Ingest Template'!B94)&amp;CHAR(10)&amp;'Ingest Template'!V94)</f>
        <v>#N/A</v>
      </c>
      <c r="X94" s="41" t="str">
        <f>'Ingest Template'!W94</f>
        <v/>
      </c>
      <c r="Y94" s="21" t="str">
        <f>SUBSTITUTE(SUBSTITUTE(SUBSTITUTE('Ingest Template'!X94,"http:",""),"https:",""),"/","")</f>
        <v/>
      </c>
      <c r="Z94" s="21" t="str">
        <f t="array" ref="Z94">IF('Ingest Template'!A94="Standard",(IF(ISBLANK('Ingest Template'!AA94),"", 'Ingest Template'!AA94&amp;"|DAR")),(IF(ISBLANK('Ingest Template'!AA94),"", 'Ingest Template'!AA94&amp;"|Film Ops")))</f>
        <v/>
      </c>
      <c r="AA94" s="21"/>
      <c r="AB94" s="21" t="str">
        <f>'Ingest Template'!M94</f>
        <v/>
      </c>
      <c r="AC94" s="21" t="str">
        <f>'Ingest Template'!Y94</f>
        <v/>
      </c>
      <c r="AD94" s="21" t="str">
        <f>'Ingest Template'!C94</f>
        <v/>
      </c>
      <c r="AE94" s="21" t="str">
        <f>'Ingest Template'!Z94</f>
        <v/>
      </c>
      <c r="AF94" s="29"/>
      <c r="AG94" s="21" t="str">
        <f t="array" ref="AG94">IF('Ingest Template'!A94="Standard",(CONCATENATE(IF(ISBLANK('Ingest Template'!O94),"", 'Ingest Template'!O94&amp;"|DAR"),CHAR(10), IF(ISBLANK('Ingest Template'!P94),"", 'Ingest Template'!P94&amp;"|DAR"),CHAR(10), IF(ISBLANK('Ingest Template'!Q94),"", 'Ingest Template'!Q94&amp;"|DAR"))),(CONCATENATE(IF(ISBLANK('Ingest Template'!O94),"", 'Ingest Template'!O94&amp;"|Operations - Core Title"),CHAR(10), IF(ISBLANK('Ingest Template'!P94),"", 'Ingest Template'!P94&amp;"|Operations - Core Title"),CHAR(10), IF(ISBLANK('Ingest Template'!Q94),"", 'Ingest Template'!Q94&amp;"|Operations - Core Title"))))</f>
        <v>#|Operations - Core Title
#|Operations - Core Title
</v>
      </c>
      <c r="AH94" s="21"/>
      <c r="AI94" s="21"/>
      <c r="AJ94" s="53" t="str">
        <f>if('Ingest Template'!A94="Standard",'Ingest Template'!N94&amp; "|DAR|DAR|2021-01-01",'Ingest Template'!N94&amp; "|Operations - Core Title|Operations - Core Title")</f>
        <v>#N/A</v>
      </c>
      <c r="AK94" s="53" t="str">
        <f>if('Ingest Template'!A94="Standard",'Ingest Template'!R94&amp; "|2021-01-01",'Ingest Template'!R94)</f>
        <v>#N/A</v>
      </c>
      <c r="AL94" s="21"/>
      <c r="AM94" s="21"/>
    </row>
    <row r="95">
      <c r="A95" s="21"/>
      <c r="B95" s="21" t="str">
        <f>'Ingest Template'!B95&amp;IF('Ingest Template'!A95 = "Standard", " - DAR","")</f>
        <v/>
      </c>
      <c r="C95" s="26" t="s">
        <v>109</v>
      </c>
      <c r="D95" s="29" t="str">
        <f t="array" ref="D95">CONCATENATE(INDEX(DropDown!$H$2:$H$10,MATCH(1,COUNTIF('Ingest Template'!F95,"*"&amp;DropDown!$H$2:$H$10&amp;"*"),0)),CHAR(10),'Ingest Template'!G95)</f>
        <v>#N/A</v>
      </c>
      <c r="E95" s="21" t="str">
        <f>CONCATENATE('Ingest Template'!H95,CHAR(10),'Ingest Template'!I95,CHAR(10),'Ingest Template'!J95)</f>
        <v>
</v>
      </c>
      <c r="F95" s="26" t="str">
        <f>'Ingest Template'!H95</f>
        <v/>
      </c>
      <c r="G95" s="21"/>
      <c r="H95" s="29"/>
      <c r="I95" s="21"/>
      <c r="J95" s="29" t="str">
        <f t="array" ref="J95">iF('Ingest Template'!A95="Standard","Pristine Brand",INDEX(DropDown!$M$2:$M$392,MATCH('Ingest Template'!E95,DropDown!$J$2:$J$392,0)))</f>
        <v>#N/A</v>
      </c>
      <c r="K95" s="21" t="str">
        <f>iF('Ingest Template'!A95="Standard",'Ingest Template'!K95&amp;CHAR(10)&amp;'Ingest Template'!L95,"Competitive View")</f>
        <v>Competitive View</v>
      </c>
      <c r="L95" s="29" t="s">
        <v>146</v>
      </c>
      <c r="M95" s="37" t="str">
        <f>'Ingest Template'!D95</f>
        <v/>
      </c>
      <c r="N95" s="21"/>
      <c r="O95" s="21"/>
      <c r="P95" s="21"/>
      <c r="Q95" s="21"/>
      <c r="R95" s="21" t="str">
        <f>'Ingest Template'!E95</f>
        <v/>
      </c>
      <c r="S95" s="29" t="s">
        <v>153</v>
      </c>
      <c r="T95" s="21" t="str">
        <f>'Ingest Template'!T95</f>
        <v/>
      </c>
      <c r="U95" s="21" t="str">
        <f>'Ingest Template'!S95</f>
        <v/>
      </c>
      <c r="V95" s="21" t="str">
        <f>LOWER(SUBSTITUTE(SUBSTITUTE(SUBSTITUTE(SUBSTITUTE(SUBSTITUTE('Ingest Template'!U95,"https:",""),"www.",""),"/",""),"?hl=en",""),"instagram.com",""))</f>
        <v/>
      </c>
      <c r="W95" s="41" t="str">
        <f t="array" ref="W95">IF('Ingest Template'!V95="",(INDEX(DropDown!$L$2:$L$392,MATCH('Ingest Template'!E95,DropDown!$J$2:$J$392,0))&amp;"|"&amp;'Ingest Template'!B95),(INDEX(DropDown!$L$2:$L$392,MATCH('Ingest Template'!E95,DropDown!$J$2:$J$392,0))&amp;"|"&amp;'Ingest Template'!B95)&amp;CHAR(10)&amp;'Ingest Template'!V95)</f>
        <v>#N/A</v>
      </c>
      <c r="X95" s="41" t="str">
        <f>'Ingest Template'!W95</f>
        <v/>
      </c>
      <c r="Y95" s="21" t="str">
        <f>SUBSTITUTE(SUBSTITUTE(SUBSTITUTE('Ingest Template'!X95,"http:",""),"https:",""),"/","")</f>
        <v/>
      </c>
      <c r="Z95" s="21" t="str">
        <f t="array" ref="Z95">IF('Ingest Template'!A95="Standard",(IF(ISBLANK('Ingest Template'!AA95),"", 'Ingest Template'!AA95&amp;"|DAR")),(IF(ISBLANK('Ingest Template'!AA95),"", 'Ingest Template'!AA95&amp;"|Film Ops")))</f>
        <v/>
      </c>
      <c r="AA95" s="21"/>
      <c r="AB95" s="21" t="str">
        <f>'Ingest Template'!M95</f>
        <v/>
      </c>
      <c r="AC95" s="21" t="str">
        <f>'Ingest Template'!Y95</f>
        <v/>
      </c>
      <c r="AD95" s="21" t="str">
        <f>'Ingest Template'!C95</f>
        <v/>
      </c>
      <c r="AE95" s="21" t="str">
        <f>'Ingest Template'!Z95</f>
        <v/>
      </c>
      <c r="AF95" s="29"/>
      <c r="AG95" s="21" t="str">
        <f t="array" ref="AG95">IF('Ingest Template'!A95="Standard",(CONCATENATE(IF(ISBLANK('Ingest Template'!O95),"", 'Ingest Template'!O95&amp;"|DAR"),CHAR(10), IF(ISBLANK('Ingest Template'!P95),"", 'Ingest Template'!P95&amp;"|DAR"),CHAR(10), IF(ISBLANK('Ingest Template'!Q95),"", 'Ingest Template'!Q95&amp;"|DAR"))),(CONCATENATE(IF(ISBLANK('Ingest Template'!O95),"", 'Ingest Template'!O95&amp;"|Operations - Core Title"),CHAR(10), IF(ISBLANK('Ingest Template'!P95),"", 'Ingest Template'!P95&amp;"|Operations - Core Title"),CHAR(10), IF(ISBLANK('Ingest Template'!Q95),"", 'Ingest Template'!Q95&amp;"|Operations - Core Title"))))</f>
        <v>#|Operations - Core Title
#|Operations - Core Title
</v>
      </c>
      <c r="AH95" s="21"/>
      <c r="AI95" s="21"/>
      <c r="AJ95" s="53" t="str">
        <f>if('Ingest Template'!A95="Standard",'Ingest Template'!N95&amp; "|DAR|DAR|2021-01-01",'Ingest Template'!N95&amp; "|Operations - Core Title|Operations - Core Title")</f>
        <v>#N/A</v>
      </c>
      <c r="AK95" s="53" t="str">
        <f>if('Ingest Template'!A95="Standard",'Ingest Template'!R95&amp; "|2021-01-01",'Ingest Template'!R95)</f>
        <v>#N/A</v>
      </c>
      <c r="AL95" s="21"/>
      <c r="AM95" s="21"/>
    </row>
    <row r="96">
      <c r="A96" s="21"/>
      <c r="B96" s="21" t="str">
        <f>'Ingest Template'!B96&amp;IF('Ingest Template'!A96 = "Standard", " - DAR","")</f>
        <v/>
      </c>
      <c r="C96" s="26" t="s">
        <v>109</v>
      </c>
      <c r="D96" s="29" t="str">
        <f t="array" ref="D96">CONCATENATE(INDEX(DropDown!$H$2:$H$10,MATCH(1,COUNTIF('Ingest Template'!F96,"*"&amp;DropDown!$H$2:$H$10&amp;"*"),0)),CHAR(10),'Ingest Template'!G96)</f>
        <v>#N/A</v>
      </c>
      <c r="E96" s="21" t="str">
        <f>CONCATENATE('Ingest Template'!H96,CHAR(10),'Ingest Template'!I96,CHAR(10),'Ingest Template'!J96)</f>
        <v>
</v>
      </c>
      <c r="F96" s="26" t="str">
        <f>'Ingest Template'!H96</f>
        <v/>
      </c>
      <c r="G96" s="21"/>
      <c r="H96" s="29"/>
      <c r="I96" s="21"/>
      <c r="J96" s="29" t="str">
        <f t="array" ref="J96">iF('Ingest Template'!A96="Standard","Pristine Brand",INDEX(DropDown!$M$2:$M$392,MATCH('Ingest Template'!E96,DropDown!$J$2:$J$392,0)))</f>
        <v>#N/A</v>
      </c>
      <c r="K96" s="21" t="str">
        <f>iF('Ingest Template'!A96="Standard",'Ingest Template'!K96&amp;CHAR(10)&amp;'Ingest Template'!L96,"Competitive View")</f>
        <v>Competitive View</v>
      </c>
      <c r="L96" s="29" t="s">
        <v>146</v>
      </c>
      <c r="M96" s="37" t="str">
        <f>'Ingest Template'!D96</f>
        <v/>
      </c>
      <c r="N96" s="21"/>
      <c r="O96" s="21"/>
      <c r="P96" s="21"/>
      <c r="Q96" s="21"/>
      <c r="R96" s="21" t="str">
        <f>'Ingest Template'!E96</f>
        <v/>
      </c>
      <c r="S96" s="29" t="s">
        <v>153</v>
      </c>
      <c r="T96" s="21" t="str">
        <f>'Ingest Template'!T96</f>
        <v/>
      </c>
      <c r="U96" s="21" t="str">
        <f>'Ingest Template'!S96</f>
        <v/>
      </c>
      <c r="V96" s="21" t="str">
        <f>LOWER(SUBSTITUTE(SUBSTITUTE(SUBSTITUTE(SUBSTITUTE(SUBSTITUTE('Ingest Template'!U96,"https:",""),"www.",""),"/",""),"?hl=en",""),"instagram.com",""))</f>
        <v/>
      </c>
      <c r="W96" s="41" t="str">
        <f t="array" ref="W96">IF('Ingest Template'!V96="",(INDEX(DropDown!$L$2:$L$392,MATCH('Ingest Template'!E96,DropDown!$J$2:$J$392,0))&amp;"|"&amp;'Ingest Template'!B96),(INDEX(DropDown!$L$2:$L$392,MATCH('Ingest Template'!E96,DropDown!$J$2:$J$392,0))&amp;"|"&amp;'Ingest Template'!B96)&amp;CHAR(10)&amp;'Ingest Template'!V96)</f>
        <v>#N/A</v>
      </c>
      <c r="X96" s="41" t="str">
        <f>'Ingest Template'!W96</f>
        <v/>
      </c>
      <c r="Y96" s="21" t="str">
        <f>SUBSTITUTE(SUBSTITUTE(SUBSTITUTE('Ingest Template'!X96,"http:",""),"https:",""),"/","")</f>
        <v/>
      </c>
      <c r="Z96" s="21" t="str">
        <f t="array" ref="Z96">IF('Ingest Template'!A96="Standard",(IF(ISBLANK('Ingest Template'!AA96),"", 'Ingest Template'!AA96&amp;"|DAR")),(IF(ISBLANK('Ingest Template'!AA96),"", 'Ingest Template'!AA96&amp;"|Film Ops")))</f>
        <v/>
      </c>
      <c r="AA96" s="21"/>
      <c r="AB96" s="21" t="str">
        <f>'Ingest Template'!M96</f>
        <v/>
      </c>
      <c r="AC96" s="21" t="str">
        <f>'Ingest Template'!Y96</f>
        <v/>
      </c>
      <c r="AD96" s="21" t="str">
        <f>'Ingest Template'!C96</f>
        <v/>
      </c>
      <c r="AE96" s="21" t="str">
        <f>'Ingest Template'!Z96</f>
        <v/>
      </c>
      <c r="AF96" s="29"/>
      <c r="AG96" s="21" t="str">
        <f t="array" ref="AG96">IF('Ingest Template'!A96="Standard",(CONCATENATE(IF(ISBLANK('Ingest Template'!O96),"", 'Ingest Template'!O96&amp;"|DAR"),CHAR(10), IF(ISBLANK('Ingest Template'!P96),"", 'Ingest Template'!P96&amp;"|DAR"),CHAR(10), IF(ISBLANK('Ingest Template'!Q96),"", 'Ingest Template'!Q96&amp;"|DAR"))),(CONCATENATE(IF(ISBLANK('Ingest Template'!O96),"", 'Ingest Template'!O96&amp;"|Operations - Core Title"),CHAR(10), IF(ISBLANK('Ingest Template'!P96),"", 'Ingest Template'!P96&amp;"|Operations - Core Title"),CHAR(10), IF(ISBLANK('Ingest Template'!Q96),"", 'Ingest Template'!Q96&amp;"|Operations - Core Title"))))</f>
        <v>#|Operations - Core Title
#|Operations - Core Title
</v>
      </c>
      <c r="AH96" s="21"/>
      <c r="AI96" s="21"/>
      <c r="AJ96" s="53" t="str">
        <f>if('Ingest Template'!A96="Standard",'Ingest Template'!N96&amp; "|DAR|DAR|2021-01-01",'Ingest Template'!N96&amp; "|Operations - Core Title|Operations - Core Title")</f>
        <v>#N/A</v>
      </c>
      <c r="AK96" s="53" t="str">
        <f>if('Ingest Template'!A96="Standard",'Ingest Template'!R96&amp; "|2021-01-01",'Ingest Template'!R96)</f>
        <v>#N/A</v>
      </c>
      <c r="AL96" s="21"/>
      <c r="AM96" s="21"/>
    </row>
    <row r="97">
      <c r="A97" s="21"/>
      <c r="B97" s="21" t="str">
        <f>'Ingest Template'!B97&amp;IF('Ingest Template'!A97 = "Standard", " - DAR","")</f>
        <v/>
      </c>
      <c r="C97" s="26" t="s">
        <v>109</v>
      </c>
      <c r="D97" s="29" t="str">
        <f t="array" ref="D97">CONCATENATE(INDEX(DropDown!$H$2:$H$10,MATCH(1,COUNTIF('Ingest Template'!F97,"*"&amp;DropDown!$H$2:$H$10&amp;"*"),0)),CHAR(10),'Ingest Template'!G97)</f>
        <v>#N/A</v>
      </c>
      <c r="E97" s="21" t="str">
        <f>CONCATENATE('Ingest Template'!H97,CHAR(10),'Ingest Template'!I97,CHAR(10),'Ingest Template'!J97)</f>
        <v>
</v>
      </c>
      <c r="F97" s="26" t="str">
        <f>'Ingest Template'!H97</f>
        <v/>
      </c>
      <c r="G97" s="21"/>
      <c r="H97" s="29"/>
      <c r="I97" s="21"/>
      <c r="J97" s="29" t="str">
        <f t="array" ref="J97">iF('Ingest Template'!A97="Standard","Pristine Brand",INDEX(DropDown!$M$2:$M$392,MATCH('Ingest Template'!E97,DropDown!$J$2:$J$392,0)))</f>
        <v>#N/A</v>
      </c>
      <c r="K97" s="21" t="str">
        <f>iF('Ingest Template'!A97="Standard",'Ingest Template'!K97&amp;CHAR(10)&amp;'Ingest Template'!L97,"Competitive View")</f>
        <v>Competitive View</v>
      </c>
      <c r="L97" s="29" t="s">
        <v>146</v>
      </c>
      <c r="M97" s="37" t="str">
        <f>'Ingest Template'!D97</f>
        <v/>
      </c>
      <c r="N97" s="21"/>
      <c r="O97" s="21"/>
      <c r="P97" s="21"/>
      <c r="Q97" s="21"/>
      <c r="R97" s="21" t="str">
        <f>'Ingest Template'!E97</f>
        <v/>
      </c>
      <c r="S97" s="29" t="s">
        <v>153</v>
      </c>
      <c r="T97" s="21" t="str">
        <f>'Ingest Template'!T97</f>
        <v/>
      </c>
      <c r="U97" s="21" t="str">
        <f>'Ingest Template'!S97</f>
        <v/>
      </c>
      <c r="V97" s="21" t="str">
        <f>LOWER(SUBSTITUTE(SUBSTITUTE(SUBSTITUTE(SUBSTITUTE(SUBSTITUTE('Ingest Template'!U97,"https:",""),"www.",""),"/",""),"?hl=en",""),"instagram.com",""))</f>
        <v/>
      </c>
      <c r="W97" s="41" t="str">
        <f t="array" ref="W97">IF('Ingest Template'!V97="",(INDEX(DropDown!$L$2:$L$392,MATCH('Ingest Template'!E97,DropDown!$J$2:$J$392,0))&amp;"|"&amp;'Ingest Template'!B97),(INDEX(DropDown!$L$2:$L$392,MATCH('Ingest Template'!E97,DropDown!$J$2:$J$392,0))&amp;"|"&amp;'Ingest Template'!B97)&amp;CHAR(10)&amp;'Ingest Template'!V97)</f>
        <v>#N/A</v>
      </c>
      <c r="X97" s="41" t="str">
        <f>'Ingest Template'!W97</f>
        <v/>
      </c>
      <c r="Y97" s="21" t="str">
        <f>SUBSTITUTE(SUBSTITUTE(SUBSTITUTE('Ingest Template'!X97,"http:",""),"https:",""),"/","")</f>
        <v/>
      </c>
      <c r="Z97" s="21" t="str">
        <f t="array" ref="Z97">IF('Ingest Template'!A97="Standard",(IF(ISBLANK('Ingest Template'!AA97),"", 'Ingest Template'!AA97&amp;"|DAR")),(IF(ISBLANK('Ingest Template'!AA97),"", 'Ingest Template'!AA97&amp;"|Film Ops")))</f>
        <v/>
      </c>
      <c r="AA97" s="21"/>
      <c r="AB97" s="21" t="str">
        <f>'Ingest Template'!M97</f>
        <v/>
      </c>
      <c r="AC97" s="21" t="str">
        <f>'Ingest Template'!Y97</f>
        <v/>
      </c>
      <c r="AD97" s="21" t="str">
        <f>'Ingest Template'!C97</f>
        <v/>
      </c>
      <c r="AE97" s="21" t="str">
        <f>'Ingest Template'!Z97</f>
        <v/>
      </c>
      <c r="AF97" s="29"/>
      <c r="AG97" s="21" t="str">
        <f t="array" ref="AG97">IF('Ingest Template'!A97="Standard",(CONCATENATE(IF(ISBLANK('Ingest Template'!O97),"", 'Ingest Template'!O97&amp;"|DAR"),CHAR(10), IF(ISBLANK('Ingest Template'!P97),"", 'Ingest Template'!P97&amp;"|DAR"),CHAR(10), IF(ISBLANK('Ingest Template'!Q97),"", 'Ingest Template'!Q97&amp;"|DAR"))),(CONCATENATE(IF(ISBLANK('Ingest Template'!O97),"", 'Ingest Template'!O97&amp;"|Operations - Core Title"),CHAR(10), IF(ISBLANK('Ingest Template'!P97),"", 'Ingest Template'!P97&amp;"|Operations - Core Title"),CHAR(10), IF(ISBLANK('Ingest Template'!Q97),"", 'Ingest Template'!Q97&amp;"|Operations - Core Title"))))</f>
        <v>#|Operations - Core Title
#|Operations - Core Title
</v>
      </c>
      <c r="AH97" s="21"/>
      <c r="AI97" s="21"/>
      <c r="AJ97" s="53" t="str">
        <f>if('Ingest Template'!A97="Standard",'Ingest Template'!N97&amp; "|DAR|DAR|2021-01-01",'Ingest Template'!N97&amp; "|Operations - Core Title|Operations - Core Title")</f>
        <v>#N/A</v>
      </c>
      <c r="AK97" s="53" t="str">
        <f>if('Ingest Template'!A97="Standard",'Ingest Template'!R97&amp; "|2021-01-01",'Ingest Template'!R97)</f>
        <v>#N/A</v>
      </c>
      <c r="AL97" s="21"/>
      <c r="AM97" s="21"/>
    </row>
    <row r="98">
      <c r="A98" s="21"/>
      <c r="B98" s="21" t="str">
        <f>'Ingest Template'!B98&amp;IF('Ingest Template'!A98 = "Standard", " - DAR","")</f>
        <v/>
      </c>
      <c r="C98" s="26" t="s">
        <v>109</v>
      </c>
      <c r="D98" s="29" t="str">
        <f t="array" ref="D98">CONCATENATE(INDEX(DropDown!$H$2:$H$10,MATCH(1,COUNTIF('Ingest Template'!F98,"*"&amp;DropDown!$H$2:$H$10&amp;"*"),0)),CHAR(10),'Ingest Template'!G98)</f>
        <v>#N/A</v>
      </c>
      <c r="E98" s="21" t="str">
        <f>CONCATENATE('Ingest Template'!H98,CHAR(10),'Ingest Template'!I98,CHAR(10),'Ingest Template'!J98)</f>
        <v>
</v>
      </c>
      <c r="F98" s="26" t="str">
        <f>'Ingest Template'!H98</f>
        <v/>
      </c>
      <c r="G98" s="21"/>
      <c r="H98" s="29"/>
      <c r="I98" s="21"/>
      <c r="J98" s="29" t="str">
        <f t="array" ref="J98">iF('Ingest Template'!A98="Standard","Pristine Brand",INDEX(DropDown!$M$2:$M$392,MATCH('Ingest Template'!E98,DropDown!$J$2:$J$392,0)))</f>
        <v>#N/A</v>
      </c>
      <c r="K98" s="21" t="str">
        <f>iF('Ingest Template'!A98="Standard",'Ingest Template'!K98&amp;CHAR(10)&amp;'Ingest Template'!L98,"Competitive View")</f>
        <v>Competitive View</v>
      </c>
      <c r="L98" s="29" t="s">
        <v>146</v>
      </c>
      <c r="M98" s="37" t="str">
        <f>'Ingest Template'!D98</f>
        <v/>
      </c>
      <c r="N98" s="21"/>
      <c r="O98" s="21"/>
      <c r="P98" s="21"/>
      <c r="Q98" s="21"/>
      <c r="R98" s="21" t="str">
        <f>'Ingest Template'!E98</f>
        <v/>
      </c>
      <c r="S98" s="29" t="s">
        <v>153</v>
      </c>
      <c r="T98" s="21" t="str">
        <f>'Ingest Template'!T98</f>
        <v/>
      </c>
      <c r="U98" s="21" t="str">
        <f>'Ingest Template'!S98</f>
        <v/>
      </c>
      <c r="V98" s="21" t="str">
        <f>LOWER(SUBSTITUTE(SUBSTITUTE(SUBSTITUTE(SUBSTITUTE(SUBSTITUTE('Ingest Template'!U98,"https:",""),"www.",""),"/",""),"?hl=en",""),"instagram.com",""))</f>
        <v/>
      </c>
      <c r="W98" s="41" t="str">
        <f t="array" ref="W98">IF('Ingest Template'!V98="",(INDEX(DropDown!$L$2:$L$392,MATCH('Ingest Template'!E98,DropDown!$J$2:$J$392,0))&amp;"|"&amp;'Ingest Template'!B98),(INDEX(DropDown!$L$2:$L$392,MATCH('Ingest Template'!E98,DropDown!$J$2:$J$392,0))&amp;"|"&amp;'Ingest Template'!B98)&amp;CHAR(10)&amp;'Ingest Template'!V98)</f>
        <v>#N/A</v>
      </c>
      <c r="X98" s="41" t="str">
        <f>'Ingest Template'!W98</f>
        <v/>
      </c>
      <c r="Y98" s="21" t="str">
        <f>SUBSTITUTE(SUBSTITUTE(SUBSTITUTE('Ingest Template'!X98,"http:",""),"https:",""),"/","")</f>
        <v/>
      </c>
      <c r="Z98" s="21" t="str">
        <f t="array" ref="Z98">IF('Ingest Template'!A98="Standard",(IF(ISBLANK('Ingest Template'!AA98),"", 'Ingest Template'!AA98&amp;"|DAR")),(IF(ISBLANK('Ingest Template'!AA98),"", 'Ingest Template'!AA98&amp;"|Film Ops")))</f>
        <v/>
      </c>
      <c r="AA98" s="21"/>
      <c r="AB98" s="21" t="str">
        <f>'Ingest Template'!M98</f>
        <v/>
      </c>
      <c r="AC98" s="21" t="str">
        <f>'Ingest Template'!Y98</f>
        <v/>
      </c>
      <c r="AD98" s="21" t="str">
        <f>'Ingest Template'!C98</f>
        <v/>
      </c>
      <c r="AE98" s="21" t="str">
        <f>'Ingest Template'!Z98</f>
        <v/>
      </c>
      <c r="AF98" s="29"/>
      <c r="AG98" s="21" t="str">
        <f t="array" ref="AG98">IF('Ingest Template'!A98="Standard",(CONCATENATE(IF(ISBLANK('Ingest Template'!O98),"", 'Ingest Template'!O98&amp;"|DAR"),CHAR(10), IF(ISBLANK('Ingest Template'!P98),"", 'Ingest Template'!P98&amp;"|DAR"),CHAR(10), IF(ISBLANK('Ingest Template'!Q98),"", 'Ingest Template'!Q98&amp;"|DAR"))),(CONCATENATE(IF(ISBLANK('Ingest Template'!O98),"", 'Ingest Template'!O98&amp;"|Operations - Core Title"),CHAR(10), IF(ISBLANK('Ingest Template'!P98),"", 'Ingest Template'!P98&amp;"|Operations - Core Title"),CHAR(10), IF(ISBLANK('Ingest Template'!Q98),"", 'Ingest Template'!Q98&amp;"|Operations - Core Title"))))</f>
        <v>#|Operations - Core Title
#|Operations - Core Title
</v>
      </c>
      <c r="AH98" s="21"/>
      <c r="AI98" s="21"/>
      <c r="AJ98" s="53" t="str">
        <f>if('Ingest Template'!A98="Standard",'Ingest Template'!N98&amp; "|DAR|DAR|2021-01-01",'Ingest Template'!N98&amp; "|Operations - Core Title|Operations - Core Title")</f>
        <v>#N/A</v>
      </c>
      <c r="AK98" s="53" t="str">
        <f>if('Ingest Template'!A98="Standard",'Ingest Template'!R98&amp; "|2021-01-01",'Ingest Template'!R98)</f>
        <v>#N/A</v>
      </c>
      <c r="AL98" s="21"/>
      <c r="AM98" s="21"/>
    </row>
    <row r="99">
      <c r="A99" s="21"/>
      <c r="B99" s="21" t="str">
        <f>'Ingest Template'!B99&amp;IF('Ingest Template'!A99 = "Standard", " - DAR","")</f>
        <v/>
      </c>
      <c r="C99" s="26" t="s">
        <v>109</v>
      </c>
      <c r="D99" s="29" t="str">
        <f t="array" ref="D99">CONCATENATE(INDEX(DropDown!$H$2:$H$10,MATCH(1,COUNTIF('Ingest Template'!F99,"*"&amp;DropDown!$H$2:$H$10&amp;"*"),0)),CHAR(10),'Ingest Template'!G99)</f>
        <v>#N/A</v>
      </c>
      <c r="E99" s="21" t="str">
        <f>CONCATENATE('Ingest Template'!H99,CHAR(10),'Ingest Template'!I99,CHAR(10),'Ingest Template'!J99)</f>
        <v>
</v>
      </c>
      <c r="F99" s="26" t="str">
        <f>'Ingest Template'!H99</f>
        <v/>
      </c>
      <c r="G99" s="21"/>
      <c r="H99" s="29"/>
      <c r="I99" s="21"/>
      <c r="J99" s="29" t="str">
        <f t="array" ref="J99">iF('Ingest Template'!A99="Standard","Pristine Brand",INDEX(DropDown!$M$2:$M$392,MATCH('Ingest Template'!E99,DropDown!$J$2:$J$392,0)))</f>
        <v>#N/A</v>
      </c>
      <c r="K99" s="21" t="str">
        <f>iF('Ingest Template'!A99="Standard",'Ingest Template'!K99&amp;CHAR(10)&amp;'Ingest Template'!L99,"Competitive View")</f>
        <v>Competitive View</v>
      </c>
      <c r="L99" s="29" t="s">
        <v>146</v>
      </c>
      <c r="M99" s="37" t="str">
        <f>'Ingest Template'!D99</f>
        <v/>
      </c>
      <c r="N99" s="21"/>
      <c r="O99" s="21"/>
      <c r="P99" s="21"/>
      <c r="Q99" s="21"/>
      <c r="R99" s="21" t="str">
        <f>'Ingest Template'!E99</f>
        <v/>
      </c>
      <c r="S99" s="29" t="s">
        <v>153</v>
      </c>
      <c r="T99" s="21" t="str">
        <f>'Ingest Template'!T99</f>
        <v/>
      </c>
      <c r="U99" s="21" t="str">
        <f>'Ingest Template'!S99</f>
        <v/>
      </c>
      <c r="V99" s="21" t="str">
        <f>LOWER(SUBSTITUTE(SUBSTITUTE(SUBSTITUTE(SUBSTITUTE(SUBSTITUTE('Ingest Template'!U99,"https:",""),"www.",""),"/",""),"?hl=en",""),"instagram.com",""))</f>
        <v/>
      </c>
      <c r="W99" s="41" t="str">
        <f t="array" ref="W99">IF('Ingest Template'!V99="",(INDEX(DropDown!$L$2:$L$392,MATCH('Ingest Template'!E99,DropDown!$J$2:$J$392,0))&amp;"|"&amp;'Ingest Template'!B99),(INDEX(DropDown!$L$2:$L$392,MATCH('Ingest Template'!E99,DropDown!$J$2:$J$392,0))&amp;"|"&amp;'Ingest Template'!B99)&amp;CHAR(10)&amp;'Ingest Template'!V99)</f>
        <v>#N/A</v>
      </c>
      <c r="X99" s="41" t="str">
        <f>'Ingest Template'!W99</f>
        <v/>
      </c>
      <c r="Y99" s="21" t="str">
        <f>SUBSTITUTE(SUBSTITUTE(SUBSTITUTE('Ingest Template'!X99,"http:",""),"https:",""),"/","")</f>
        <v/>
      </c>
      <c r="Z99" s="21" t="str">
        <f t="array" ref="Z99">IF('Ingest Template'!A99="Standard",(IF(ISBLANK('Ingest Template'!AA99),"", 'Ingest Template'!AA99&amp;"|DAR")),(IF(ISBLANK('Ingest Template'!AA99),"", 'Ingest Template'!AA99&amp;"|Film Ops")))</f>
        <v/>
      </c>
      <c r="AA99" s="21"/>
      <c r="AB99" s="21" t="str">
        <f>'Ingest Template'!M99</f>
        <v/>
      </c>
      <c r="AC99" s="21" t="str">
        <f>'Ingest Template'!Y99</f>
        <v/>
      </c>
      <c r="AD99" s="21" t="str">
        <f>'Ingest Template'!C99</f>
        <v/>
      </c>
      <c r="AE99" s="21" t="str">
        <f>'Ingest Template'!Z99</f>
        <v/>
      </c>
      <c r="AF99" s="29"/>
      <c r="AG99" s="21" t="str">
        <f t="array" ref="AG99">IF('Ingest Template'!A99="Standard",(CONCATENATE(IF(ISBLANK('Ingest Template'!O99),"", 'Ingest Template'!O99&amp;"|DAR"),CHAR(10), IF(ISBLANK('Ingest Template'!P99),"", 'Ingest Template'!P99&amp;"|DAR"),CHAR(10), IF(ISBLANK('Ingest Template'!Q99),"", 'Ingest Template'!Q99&amp;"|DAR"))),(CONCATENATE(IF(ISBLANK('Ingest Template'!O99),"", 'Ingest Template'!O99&amp;"|Operations - Core Title"),CHAR(10), IF(ISBLANK('Ingest Template'!P99),"", 'Ingest Template'!P99&amp;"|Operations - Core Title"),CHAR(10), IF(ISBLANK('Ingest Template'!Q99),"", 'Ingest Template'!Q99&amp;"|Operations - Core Title"))))</f>
        <v>#|Operations - Core Title
#|Operations - Core Title
</v>
      </c>
      <c r="AH99" s="21"/>
      <c r="AI99" s="21"/>
      <c r="AJ99" s="53" t="str">
        <f>if('Ingest Template'!A99="Standard",'Ingest Template'!N99&amp; "|DAR|DAR|2021-01-01",'Ingest Template'!N99&amp; "|Operations - Core Title|Operations - Core Title")</f>
        <v>#N/A</v>
      </c>
      <c r="AK99" s="53" t="str">
        <f>if('Ingest Template'!A99="Standard",'Ingest Template'!R99&amp; "|2021-01-01",'Ingest Template'!R99)</f>
        <v>#N/A</v>
      </c>
      <c r="AL99" s="21"/>
      <c r="AM99" s="21"/>
    </row>
    <row r="100">
      <c r="A100" s="21"/>
      <c r="B100" s="21" t="str">
        <f>'Ingest Template'!B100&amp;IF('Ingest Template'!A100 = "Standard", " - DAR","")</f>
        <v/>
      </c>
      <c r="C100" s="26" t="s">
        <v>109</v>
      </c>
      <c r="D100" s="29" t="str">
        <f t="array" ref="D100">CONCATENATE(INDEX(DropDown!$H$2:$H$10,MATCH(1,COUNTIF('Ingest Template'!F100,"*"&amp;DropDown!$H$2:$H$10&amp;"*"),0)),CHAR(10),'Ingest Template'!G100)</f>
        <v>#N/A</v>
      </c>
      <c r="E100" s="21" t="str">
        <f>CONCATENATE('Ingest Template'!H100,CHAR(10),'Ingest Template'!I100,CHAR(10),'Ingest Template'!J100)</f>
        <v>
</v>
      </c>
      <c r="F100" s="26" t="str">
        <f>'Ingest Template'!H100</f>
        <v/>
      </c>
      <c r="G100" s="21"/>
      <c r="H100" s="29"/>
      <c r="I100" s="21"/>
      <c r="J100" s="29" t="str">
        <f t="array" ref="J100">iF('Ingest Template'!A100="Standard","Pristine Brand",INDEX(DropDown!$M$2:$M$392,MATCH('Ingest Template'!E100,DropDown!$J$2:$J$392,0)))</f>
        <v>#N/A</v>
      </c>
      <c r="K100" s="21" t="str">
        <f>iF('Ingest Template'!A100="Standard",'Ingest Template'!K100&amp;CHAR(10)&amp;'Ingest Template'!L100,"Competitive View")</f>
        <v>Competitive View</v>
      </c>
      <c r="L100" s="29" t="s">
        <v>146</v>
      </c>
      <c r="M100" s="37" t="str">
        <f>'Ingest Template'!D100</f>
        <v/>
      </c>
      <c r="N100" s="21"/>
      <c r="O100" s="21"/>
      <c r="P100" s="21"/>
      <c r="Q100" s="21"/>
      <c r="R100" s="21" t="str">
        <f>'Ingest Template'!E100</f>
        <v/>
      </c>
      <c r="S100" s="29" t="s">
        <v>153</v>
      </c>
      <c r="T100" s="21" t="str">
        <f>'Ingest Template'!T100</f>
        <v/>
      </c>
      <c r="U100" s="21" t="str">
        <f>'Ingest Template'!S100</f>
        <v/>
      </c>
      <c r="V100" s="21" t="str">
        <f>LOWER(SUBSTITUTE(SUBSTITUTE(SUBSTITUTE(SUBSTITUTE(SUBSTITUTE('Ingest Template'!U100,"https:",""),"www.",""),"/",""),"?hl=en",""),"instagram.com",""))</f>
        <v/>
      </c>
      <c r="W100" s="41" t="str">
        <f t="array" ref="W100">IF('Ingest Template'!V100="",(INDEX(DropDown!$L$2:$L$392,MATCH('Ingest Template'!E100,DropDown!$J$2:$J$392,0))&amp;"|"&amp;'Ingest Template'!B100),(INDEX(DropDown!$L$2:$L$392,MATCH('Ingest Template'!E100,DropDown!$J$2:$J$392,0))&amp;"|"&amp;'Ingest Template'!B100)&amp;CHAR(10)&amp;'Ingest Template'!V100)</f>
        <v>#N/A</v>
      </c>
      <c r="X100" s="41" t="str">
        <f>'Ingest Template'!W100</f>
        <v/>
      </c>
      <c r="Y100" s="21" t="str">
        <f>SUBSTITUTE(SUBSTITUTE(SUBSTITUTE('Ingest Template'!X100,"http:",""),"https:",""),"/","")</f>
        <v/>
      </c>
      <c r="Z100" s="21" t="str">
        <f t="array" ref="Z100">IF('Ingest Template'!A100="Standard",(IF(ISBLANK('Ingest Template'!AA100),"", 'Ingest Template'!AA100&amp;"|DAR")),(IF(ISBLANK('Ingest Template'!AA100),"", 'Ingest Template'!AA100&amp;"|Film Ops")))</f>
        <v/>
      </c>
      <c r="AA100" s="21"/>
      <c r="AB100" s="21" t="str">
        <f>'Ingest Template'!M100</f>
        <v/>
      </c>
      <c r="AC100" s="21" t="str">
        <f>'Ingest Template'!Y100</f>
        <v/>
      </c>
      <c r="AD100" s="21" t="str">
        <f>'Ingest Template'!C100</f>
        <v/>
      </c>
      <c r="AE100" s="21" t="str">
        <f>'Ingest Template'!Z100</f>
        <v/>
      </c>
      <c r="AF100" s="29"/>
      <c r="AG100" s="21" t="str">
        <f t="array" ref="AG100">IF('Ingest Template'!A100="Standard",(CONCATENATE(IF(ISBLANK('Ingest Template'!O100),"", 'Ingest Template'!O100&amp;"|DAR"),CHAR(10), IF(ISBLANK('Ingest Template'!P100),"", 'Ingest Template'!P100&amp;"|DAR"),CHAR(10), IF(ISBLANK('Ingest Template'!Q100),"", 'Ingest Template'!Q100&amp;"|DAR"))),(CONCATENATE(IF(ISBLANK('Ingest Template'!O100),"", 'Ingest Template'!O100&amp;"|Operations - Core Title"),CHAR(10), IF(ISBLANK('Ingest Template'!P100),"", 'Ingest Template'!P100&amp;"|Operations - Core Title"),CHAR(10), IF(ISBLANK('Ingest Template'!Q100),"", 'Ingest Template'!Q100&amp;"|Operations - Core Title"))))</f>
        <v>#|Operations - Core Title
#|Operations - Core Title
</v>
      </c>
      <c r="AH100" s="21"/>
      <c r="AI100" s="21"/>
      <c r="AJ100" s="53" t="str">
        <f>if('Ingest Template'!A100="Standard",'Ingest Template'!N100&amp; "|DAR|DAR|2021-01-01",'Ingest Template'!N100&amp; "|Operations - Core Title|Operations - Core Title")</f>
        <v>#N/A</v>
      </c>
      <c r="AK100" s="53" t="str">
        <f>if('Ingest Template'!A100="Standard",'Ingest Template'!R100&amp; "|2021-01-01",'Ingest Template'!R100)</f>
        <v>#N/A</v>
      </c>
      <c r="AL100" s="21"/>
      <c r="AM100" s="21"/>
    </row>
    <row r="101">
      <c r="A101" s="21"/>
      <c r="B101" s="21" t="str">
        <f>'Ingest Template'!B101&amp;IF('Ingest Template'!A101 = "Standard", " - DAR","")</f>
        <v/>
      </c>
      <c r="C101" s="26" t="s">
        <v>109</v>
      </c>
      <c r="D101" s="29" t="str">
        <f t="array" ref="D101">CONCATENATE(INDEX(DropDown!$H$2:$H$10,MATCH(1,COUNTIF('Ingest Template'!F101,"*"&amp;DropDown!$H$2:$H$10&amp;"*"),0)),CHAR(10),'Ingest Template'!G101)</f>
        <v>#N/A</v>
      </c>
      <c r="E101" s="21" t="str">
        <f>CONCATENATE('Ingest Template'!H101,CHAR(10),'Ingest Template'!I101,CHAR(10),'Ingest Template'!J101)</f>
        <v>
</v>
      </c>
      <c r="F101" s="26" t="str">
        <f>'Ingest Template'!H101</f>
        <v/>
      </c>
      <c r="G101" s="21"/>
      <c r="H101" s="29"/>
      <c r="I101" s="21"/>
      <c r="J101" s="29" t="str">
        <f t="array" ref="J101">iF('Ingest Template'!A101="Standard","Pristine Brand",INDEX(DropDown!$M$2:$M$392,MATCH('Ingest Template'!E101,DropDown!$J$2:$J$392,0)))</f>
        <v>#N/A</v>
      </c>
      <c r="K101" s="21" t="str">
        <f>iF('Ingest Template'!A101="Standard",'Ingest Template'!K101&amp;CHAR(10)&amp;'Ingest Template'!L101,"Competitive View")</f>
        <v>Competitive View</v>
      </c>
      <c r="L101" s="29" t="s">
        <v>146</v>
      </c>
      <c r="M101" s="37" t="str">
        <f>'Ingest Template'!D101</f>
        <v/>
      </c>
      <c r="N101" s="21"/>
      <c r="O101" s="21"/>
      <c r="P101" s="21"/>
      <c r="Q101" s="21"/>
      <c r="R101" s="21" t="str">
        <f>'Ingest Template'!E101</f>
        <v/>
      </c>
      <c r="S101" s="29" t="s">
        <v>153</v>
      </c>
      <c r="T101" s="21" t="str">
        <f>'Ingest Template'!T101</f>
        <v/>
      </c>
      <c r="U101" s="21" t="str">
        <f>'Ingest Template'!S101</f>
        <v/>
      </c>
      <c r="V101" s="21" t="str">
        <f>LOWER(SUBSTITUTE(SUBSTITUTE(SUBSTITUTE(SUBSTITUTE(SUBSTITUTE('Ingest Template'!U101,"https:",""),"www.",""),"/",""),"?hl=en",""),"instagram.com",""))</f>
        <v/>
      </c>
      <c r="W101" s="41" t="str">
        <f t="array" ref="W101">IF('Ingest Template'!V101="",(INDEX(DropDown!$L$2:$L$392,MATCH('Ingest Template'!E101,DropDown!$J$2:$J$392,0))&amp;"|"&amp;'Ingest Template'!B101),(INDEX(DropDown!$L$2:$L$392,MATCH('Ingest Template'!E101,DropDown!$J$2:$J$392,0))&amp;"|"&amp;'Ingest Template'!B101)&amp;CHAR(10)&amp;'Ingest Template'!V101)</f>
        <v>#N/A</v>
      </c>
      <c r="X101" s="41" t="str">
        <f>'Ingest Template'!W101</f>
        <v/>
      </c>
      <c r="Y101" s="21" t="str">
        <f>SUBSTITUTE(SUBSTITUTE(SUBSTITUTE('Ingest Template'!X101,"http:",""),"https:",""),"/","")</f>
        <v/>
      </c>
      <c r="Z101" s="21" t="str">
        <f t="array" ref="Z101">IF('Ingest Template'!A101="Standard",(IF(ISBLANK('Ingest Template'!AA101),"", 'Ingest Template'!AA101&amp;"|DAR")),(IF(ISBLANK('Ingest Template'!AA101),"", 'Ingest Template'!AA101&amp;"|Film Ops")))</f>
        <v/>
      </c>
      <c r="AA101" s="21"/>
      <c r="AB101" s="21" t="str">
        <f>'Ingest Template'!M101</f>
        <v/>
      </c>
      <c r="AC101" s="21" t="str">
        <f>'Ingest Template'!Y101</f>
        <v/>
      </c>
      <c r="AD101" s="21" t="str">
        <f>'Ingest Template'!C101</f>
        <v/>
      </c>
      <c r="AE101" s="21" t="str">
        <f>'Ingest Template'!Z101</f>
        <v/>
      </c>
      <c r="AF101" s="29"/>
      <c r="AG101" s="21" t="str">
        <f t="array" ref="AG101">IF('Ingest Template'!A101="Standard",(CONCATENATE(IF(ISBLANK('Ingest Template'!O101),"", 'Ingest Template'!O101&amp;"|DAR"),CHAR(10), IF(ISBLANK('Ingest Template'!P101),"", 'Ingest Template'!P101&amp;"|DAR"),CHAR(10), IF(ISBLANK('Ingest Template'!Q101),"", 'Ingest Template'!Q101&amp;"|DAR"))),(CONCATENATE(IF(ISBLANK('Ingest Template'!O101),"", 'Ingest Template'!O101&amp;"|Operations - Core Title"),CHAR(10), IF(ISBLANK('Ingest Template'!P101),"", 'Ingest Template'!P101&amp;"|Operations - Core Title"),CHAR(10), IF(ISBLANK('Ingest Template'!Q101),"", 'Ingest Template'!Q101&amp;"|Operations - Core Title"))))</f>
        <v>#|Operations - Core Title
#|Operations - Core Title
</v>
      </c>
      <c r="AH101" s="21"/>
      <c r="AI101" s="21"/>
      <c r="AJ101" s="53" t="str">
        <f>if('Ingest Template'!A101="Standard",'Ingest Template'!N101&amp; "|DAR|DAR|2021-01-01",'Ingest Template'!N101&amp; "|Operations - Core Title|Operations - Core Title")</f>
        <v>#N/A</v>
      </c>
      <c r="AK101" s="53" t="str">
        <f>if('Ingest Template'!A101="Standard",'Ingest Template'!R101&amp; "|2021-01-01",'Ingest Template'!R101)</f>
        <v>#N/A</v>
      </c>
      <c r="AL101" s="21"/>
      <c r="AM101" s="21"/>
    </row>
    <row r="102">
      <c r="A102" s="21"/>
      <c r="B102" s="21" t="str">
        <f>'Ingest Template'!B102&amp;IF('Ingest Template'!A102 = "Standard", " - DAR","")</f>
        <v/>
      </c>
      <c r="C102" s="26" t="s">
        <v>109</v>
      </c>
      <c r="D102" s="29" t="str">
        <f t="array" ref="D102">CONCATENATE(INDEX(DropDown!$H$2:$H$10,MATCH(1,COUNTIF('Ingest Template'!F102,"*"&amp;DropDown!$H$2:$H$10&amp;"*"),0)),CHAR(10),'Ingest Template'!G102)</f>
        <v>#N/A</v>
      </c>
      <c r="E102" s="21" t="str">
        <f>CONCATENATE('Ingest Template'!H102,CHAR(10),'Ingest Template'!I102,CHAR(10),'Ingest Template'!J102)</f>
        <v>
</v>
      </c>
      <c r="F102" s="26" t="str">
        <f>'Ingest Template'!H102</f>
        <v/>
      </c>
      <c r="G102" s="21"/>
      <c r="H102" s="29"/>
      <c r="I102" s="21"/>
      <c r="J102" s="29" t="str">
        <f t="array" ref="J102">iF('Ingest Template'!A102="Standard","Pristine Brand",INDEX(DropDown!$M$2:$M$392,MATCH('Ingest Template'!E102,DropDown!$J$2:$J$392,0)))</f>
        <v>#N/A</v>
      </c>
      <c r="K102" s="21" t="str">
        <f>iF('Ingest Template'!A102="Standard",'Ingest Template'!K102&amp;CHAR(10)&amp;'Ingest Template'!L102,"Competitive View")</f>
        <v>Competitive View</v>
      </c>
      <c r="L102" s="29" t="s">
        <v>146</v>
      </c>
      <c r="M102" s="37" t="str">
        <f>'Ingest Template'!D102</f>
        <v/>
      </c>
      <c r="N102" s="21"/>
      <c r="O102" s="21"/>
      <c r="P102" s="21"/>
      <c r="Q102" s="21"/>
      <c r="R102" s="21" t="str">
        <f>'Ingest Template'!E102</f>
        <v/>
      </c>
      <c r="S102" s="29" t="s">
        <v>153</v>
      </c>
      <c r="T102" s="21" t="str">
        <f>'Ingest Template'!T102</f>
        <v/>
      </c>
      <c r="U102" s="21" t="str">
        <f>'Ingest Template'!S102</f>
        <v/>
      </c>
      <c r="V102" s="21" t="str">
        <f>LOWER(SUBSTITUTE(SUBSTITUTE(SUBSTITUTE(SUBSTITUTE(SUBSTITUTE('Ingest Template'!U102,"https:",""),"www.",""),"/",""),"?hl=en",""),"instagram.com",""))</f>
        <v/>
      </c>
      <c r="W102" s="41" t="str">
        <f t="array" ref="W102">IF('Ingest Template'!V102="",(INDEX(DropDown!$L$2:$L$392,MATCH('Ingest Template'!E102,DropDown!$J$2:$J$392,0))&amp;"|"&amp;'Ingest Template'!B102),(INDEX(DropDown!$L$2:$L$392,MATCH('Ingest Template'!E102,DropDown!$J$2:$J$392,0))&amp;"|"&amp;'Ingest Template'!B102)&amp;CHAR(10)&amp;'Ingest Template'!V102)</f>
        <v>#N/A</v>
      </c>
      <c r="X102" s="41" t="str">
        <f>'Ingest Template'!W102</f>
        <v/>
      </c>
      <c r="Y102" s="21" t="str">
        <f>SUBSTITUTE(SUBSTITUTE(SUBSTITUTE('Ingest Template'!X102,"http:",""),"https:",""),"/","")</f>
        <v/>
      </c>
      <c r="Z102" s="21" t="str">
        <f t="array" ref="Z102">IF('Ingest Template'!A102="Standard",(IF(ISBLANK('Ingest Template'!AA102),"", 'Ingest Template'!AA102&amp;"|DAR")),(IF(ISBLANK('Ingest Template'!AA102),"", 'Ingest Template'!AA102&amp;"|Film Ops")))</f>
        <v/>
      </c>
      <c r="AA102" s="21"/>
      <c r="AB102" s="21" t="str">
        <f>'Ingest Template'!M102</f>
        <v/>
      </c>
      <c r="AC102" s="21" t="str">
        <f>'Ingest Template'!Y102</f>
        <v/>
      </c>
      <c r="AD102" s="21" t="str">
        <f>'Ingest Template'!C102</f>
        <v/>
      </c>
      <c r="AE102" s="21" t="str">
        <f>'Ingest Template'!Z102</f>
        <v/>
      </c>
      <c r="AF102" s="29"/>
      <c r="AG102" s="21" t="str">
        <f t="array" ref="AG102">IF('Ingest Template'!A102="Standard",(CONCATENATE(IF(ISBLANK('Ingest Template'!O102),"", 'Ingest Template'!O102&amp;"|DAR"),CHAR(10), IF(ISBLANK('Ingest Template'!P102),"", 'Ingest Template'!P102&amp;"|DAR"),CHAR(10), IF(ISBLANK('Ingest Template'!Q102),"", 'Ingest Template'!Q102&amp;"|DAR"))),(CONCATENATE(IF(ISBLANK('Ingest Template'!O102),"", 'Ingest Template'!O102&amp;"|Operations - Core Title"),CHAR(10), IF(ISBLANK('Ingest Template'!P102),"", 'Ingest Template'!P102&amp;"|Operations - Core Title"),CHAR(10), IF(ISBLANK('Ingest Template'!Q102),"", 'Ingest Template'!Q102&amp;"|Operations - Core Title"))))</f>
        <v>#|Operations - Core Title
#|Operations - Core Title
</v>
      </c>
      <c r="AH102" s="21"/>
      <c r="AI102" s="21"/>
      <c r="AJ102" s="53" t="str">
        <f>if('Ingest Template'!A102="Standard",'Ingest Template'!N102&amp; "|DAR|DAR|2021-01-01",'Ingest Template'!N102&amp; "|Operations - Core Title|Operations - Core Title")</f>
        <v>#N/A</v>
      </c>
      <c r="AK102" s="53" t="str">
        <f>if('Ingest Template'!A102="Standard",'Ingest Template'!R102&amp; "|2021-01-01",'Ingest Template'!R102)</f>
        <v>#N/A</v>
      </c>
      <c r="AL102" s="21"/>
      <c r="AM102" s="21"/>
    </row>
    <row r="103">
      <c r="A103" s="21"/>
      <c r="B103" s="21" t="str">
        <f>'Ingest Template'!B103&amp;IF('Ingest Template'!A103 = "Standard", " - DAR","")</f>
        <v/>
      </c>
      <c r="C103" s="26" t="s">
        <v>109</v>
      </c>
      <c r="D103" s="29" t="str">
        <f t="array" ref="D103">CONCATENATE(INDEX(DropDown!$H$2:$H$10,MATCH(1,COUNTIF('Ingest Template'!F103,"*"&amp;DropDown!$H$2:$H$10&amp;"*"),0)),CHAR(10),'Ingest Template'!G103)</f>
        <v>#N/A</v>
      </c>
      <c r="E103" s="21" t="str">
        <f>CONCATENATE('Ingest Template'!H103,CHAR(10),'Ingest Template'!I103,CHAR(10),'Ingest Template'!J103)</f>
        <v>
</v>
      </c>
      <c r="F103" s="26" t="str">
        <f>'Ingest Template'!H103</f>
        <v/>
      </c>
      <c r="G103" s="21"/>
      <c r="H103" s="29"/>
      <c r="I103" s="21"/>
      <c r="J103" s="29" t="str">
        <f t="array" ref="J103">iF('Ingest Template'!A103="Standard","Pristine Brand",INDEX(DropDown!$M$2:$M$392,MATCH('Ingest Template'!E103,DropDown!$J$2:$J$392,0)))</f>
        <v>#N/A</v>
      </c>
      <c r="K103" s="21" t="str">
        <f>iF('Ingest Template'!A103="Standard",'Ingest Template'!K103&amp;CHAR(10)&amp;'Ingest Template'!L103,"Competitive View")</f>
        <v>Competitive View</v>
      </c>
      <c r="L103" s="29" t="s">
        <v>146</v>
      </c>
      <c r="M103" s="37" t="str">
        <f>'Ingest Template'!D103</f>
        <v/>
      </c>
      <c r="N103" s="21"/>
      <c r="O103" s="21"/>
      <c r="P103" s="21"/>
      <c r="Q103" s="21"/>
      <c r="R103" s="21" t="str">
        <f>'Ingest Template'!E103</f>
        <v/>
      </c>
      <c r="S103" s="29" t="s">
        <v>153</v>
      </c>
      <c r="T103" s="21" t="str">
        <f>'Ingest Template'!T103</f>
        <v/>
      </c>
      <c r="U103" s="21" t="str">
        <f>'Ingest Template'!S103</f>
        <v/>
      </c>
      <c r="V103" s="21" t="str">
        <f>LOWER(SUBSTITUTE(SUBSTITUTE(SUBSTITUTE(SUBSTITUTE(SUBSTITUTE('Ingest Template'!U103,"https:",""),"www.",""),"/",""),"?hl=en",""),"instagram.com",""))</f>
        <v/>
      </c>
      <c r="W103" s="41" t="str">
        <f t="array" ref="W103">IF('Ingest Template'!V103="",(INDEX(DropDown!$L$2:$L$392,MATCH('Ingest Template'!E103,DropDown!$J$2:$J$392,0))&amp;"|"&amp;'Ingest Template'!B103),(INDEX(DropDown!$L$2:$L$392,MATCH('Ingest Template'!E103,DropDown!$J$2:$J$392,0))&amp;"|"&amp;'Ingest Template'!B103)&amp;CHAR(10)&amp;'Ingest Template'!V103)</f>
        <v>#N/A</v>
      </c>
      <c r="X103" s="41" t="str">
        <f>'Ingest Template'!W103</f>
        <v/>
      </c>
      <c r="Y103" s="21" t="str">
        <f>SUBSTITUTE(SUBSTITUTE(SUBSTITUTE('Ingest Template'!X103,"http:",""),"https:",""),"/","")</f>
        <v/>
      </c>
      <c r="Z103" s="21" t="str">
        <f t="array" ref="Z103">IF('Ingest Template'!A103="Standard",(IF(ISBLANK('Ingest Template'!AA103),"", 'Ingest Template'!AA103&amp;"|DAR")),(IF(ISBLANK('Ingest Template'!AA103),"", 'Ingest Template'!AA103&amp;"|Film Ops")))</f>
        <v/>
      </c>
      <c r="AA103" s="21"/>
      <c r="AB103" s="21" t="str">
        <f>'Ingest Template'!M103</f>
        <v/>
      </c>
      <c r="AC103" s="21" t="str">
        <f>'Ingest Template'!Y103</f>
        <v/>
      </c>
      <c r="AD103" s="21" t="str">
        <f>'Ingest Template'!C103</f>
        <v/>
      </c>
      <c r="AE103" s="21" t="str">
        <f>'Ingest Template'!Z103</f>
        <v/>
      </c>
      <c r="AF103" s="29"/>
      <c r="AG103" s="21" t="str">
        <f t="array" ref="AG103">IF('Ingest Template'!A103="Standard",(CONCATENATE(IF(ISBLANK('Ingest Template'!O103),"", 'Ingest Template'!O103&amp;"|DAR"),CHAR(10), IF(ISBLANK('Ingest Template'!P103),"", 'Ingest Template'!P103&amp;"|DAR"),CHAR(10), IF(ISBLANK('Ingest Template'!Q103),"", 'Ingest Template'!Q103&amp;"|DAR"))),(CONCATENATE(IF(ISBLANK('Ingest Template'!O103),"", 'Ingest Template'!O103&amp;"|Operations - Core Title"),CHAR(10), IF(ISBLANK('Ingest Template'!P103),"", 'Ingest Template'!P103&amp;"|Operations - Core Title"),CHAR(10), IF(ISBLANK('Ingest Template'!Q103),"", 'Ingest Template'!Q103&amp;"|Operations - Core Title"))))</f>
        <v>#|Operations - Core Title
#|Operations - Core Title
</v>
      </c>
      <c r="AH103" s="21"/>
      <c r="AI103" s="21"/>
      <c r="AJ103" s="53" t="str">
        <f>if('Ingest Template'!A103="Standard",'Ingest Template'!N103&amp; "|DAR|DAR|2021-01-01",'Ingest Template'!N103&amp; "|Operations - Core Title|Operations - Core Title")</f>
        <v>#N/A</v>
      </c>
      <c r="AK103" s="53" t="str">
        <f>if('Ingest Template'!A103="Standard",'Ingest Template'!R103&amp; "|2021-01-01",'Ingest Template'!R103)</f>
        <v>#N/A</v>
      </c>
      <c r="AL103" s="21"/>
      <c r="AM103" s="21"/>
    </row>
    <row r="104">
      <c r="A104" s="21"/>
      <c r="B104" s="21" t="str">
        <f>'Ingest Template'!B104&amp;IF('Ingest Template'!A104 = "Standard", " - DAR","")</f>
        <v/>
      </c>
      <c r="C104" s="26" t="s">
        <v>109</v>
      </c>
      <c r="D104" s="29" t="str">
        <f t="array" ref="D104">CONCATENATE(INDEX(DropDown!$H$2:$H$10,MATCH(1,COUNTIF('Ingest Template'!F104,"*"&amp;DropDown!$H$2:$H$10&amp;"*"),0)),CHAR(10),'Ingest Template'!G104)</f>
        <v>#N/A</v>
      </c>
      <c r="E104" s="21" t="str">
        <f>CONCATENATE('Ingest Template'!H104,CHAR(10),'Ingest Template'!I104,CHAR(10),'Ingest Template'!J104)</f>
        <v>
</v>
      </c>
      <c r="F104" s="26" t="str">
        <f>'Ingest Template'!H104</f>
        <v/>
      </c>
      <c r="G104" s="21"/>
      <c r="H104" s="29"/>
      <c r="I104" s="21"/>
      <c r="J104" s="29" t="str">
        <f t="array" ref="J104">iF('Ingest Template'!A104="Standard","Pristine Brand",INDEX(DropDown!$M$2:$M$392,MATCH('Ingest Template'!E104,DropDown!$J$2:$J$392,0)))</f>
        <v>#N/A</v>
      </c>
      <c r="K104" s="21" t="str">
        <f>iF('Ingest Template'!A104="Standard",'Ingest Template'!K104&amp;CHAR(10)&amp;'Ingest Template'!L104,"Competitive View")</f>
        <v>Competitive View</v>
      </c>
      <c r="L104" s="29" t="s">
        <v>146</v>
      </c>
      <c r="M104" s="37" t="str">
        <f>'Ingest Template'!D104</f>
        <v/>
      </c>
      <c r="N104" s="21"/>
      <c r="O104" s="21"/>
      <c r="P104" s="21"/>
      <c r="Q104" s="21"/>
      <c r="R104" s="21" t="str">
        <f>'Ingest Template'!E104</f>
        <v/>
      </c>
      <c r="S104" s="29" t="s">
        <v>153</v>
      </c>
      <c r="T104" s="21" t="str">
        <f>'Ingest Template'!T104</f>
        <v/>
      </c>
      <c r="U104" s="21" t="str">
        <f>'Ingest Template'!S104</f>
        <v/>
      </c>
      <c r="V104" s="21" t="str">
        <f>LOWER(SUBSTITUTE(SUBSTITUTE(SUBSTITUTE(SUBSTITUTE(SUBSTITUTE('Ingest Template'!U104,"https:",""),"www.",""),"/",""),"?hl=en",""),"instagram.com",""))</f>
        <v/>
      </c>
      <c r="W104" s="41" t="str">
        <f t="array" ref="W104">IF('Ingest Template'!V104="",(INDEX(DropDown!$L$2:$L$392,MATCH('Ingest Template'!E104,DropDown!$J$2:$J$392,0))&amp;"|"&amp;'Ingest Template'!B104),(INDEX(DropDown!$L$2:$L$392,MATCH('Ingest Template'!E104,DropDown!$J$2:$J$392,0))&amp;"|"&amp;'Ingest Template'!B104)&amp;CHAR(10)&amp;'Ingest Template'!V104)</f>
        <v>#N/A</v>
      </c>
      <c r="X104" s="41" t="str">
        <f>'Ingest Template'!W104</f>
        <v/>
      </c>
      <c r="Y104" s="21" t="str">
        <f>SUBSTITUTE(SUBSTITUTE(SUBSTITUTE('Ingest Template'!X104,"http:",""),"https:",""),"/","")</f>
        <v/>
      </c>
      <c r="Z104" s="21" t="str">
        <f t="array" ref="Z104">IF('Ingest Template'!A104="Standard",(IF(ISBLANK('Ingest Template'!AA104),"", 'Ingest Template'!AA104&amp;"|DAR")),(IF(ISBLANK('Ingest Template'!AA104),"", 'Ingest Template'!AA104&amp;"|Film Ops")))</f>
        <v/>
      </c>
      <c r="AA104" s="21"/>
      <c r="AB104" s="21" t="str">
        <f>'Ingest Template'!M104</f>
        <v/>
      </c>
      <c r="AC104" s="21" t="str">
        <f>'Ingest Template'!Y104</f>
        <v/>
      </c>
      <c r="AD104" s="21" t="str">
        <f>'Ingest Template'!C104</f>
        <v/>
      </c>
      <c r="AE104" s="21" t="str">
        <f>'Ingest Template'!Z104</f>
        <v/>
      </c>
      <c r="AF104" s="29"/>
      <c r="AG104" s="21" t="str">
        <f t="array" ref="AG104">IF('Ingest Template'!A104="Standard",(CONCATENATE(IF(ISBLANK('Ingest Template'!O104),"", 'Ingest Template'!O104&amp;"|DAR"),CHAR(10), IF(ISBLANK('Ingest Template'!P104),"", 'Ingest Template'!P104&amp;"|DAR"),CHAR(10), IF(ISBLANK('Ingest Template'!Q104),"", 'Ingest Template'!Q104&amp;"|DAR"))),(CONCATENATE(IF(ISBLANK('Ingest Template'!O104),"", 'Ingest Template'!O104&amp;"|Operations - Core Title"),CHAR(10), IF(ISBLANK('Ingest Template'!P104),"", 'Ingest Template'!P104&amp;"|Operations - Core Title"),CHAR(10), IF(ISBLANK('Ingest Template'!Q104),"", 'Ingest Template'!Q104&amp;"|Operations - Core Title"))))</f>
        <v>#|Operations - Core Title
#|Operations - Core Title
</v>
      </c>
      <c r="AH104" s="21"/>
      <c r="AI104" s="21"/>
      <c r="AJ104" s="53" t="str">
        <f>if('Ingest Template'!A104="Standard",'Ingest Template'!N104&amp; "|DAR|DAR|2021-01-01",'Ingest Template'!N104&amp; "|Operations - Core Title|Operations - Core Title")</f>
        <v>#N/A</v>
      </c>
      <c r="AK104" s="53" t="str">
        <f>if('Ingest Template'!A104="Standard",'Ingest Template'!R104&amp; "|2021-01-01",'Ingest Template'!R104)</f>
        <v>#N/A</v>
      </c>
      <c r="AL104" s="21"/>
      <c r="AM104" s="21"/>
    </row>
    <row r="105">
      <c r="A105" s="21"/>
      <c r="B105" s="21" t="str">
        <f>'Ingest Template'!B105&amp;IF('Ingest Template'!A105 = "Standard", " - DAR","")</f>
        <v/>
      </c>
      <c r="C105" s="26" t="s">
        <v>109</v>
      </c>
      <c r="D105" s="29" t="str">
        <f t="array" ref="D105">CONCATENATE(INDEX(DropDown!$H$2:$H$10,MATCH(1,COUNTIF('Ingest Template'!F105,"*"&amp;DropDown!$H$2:$H$10&amp;"*"),0)),CHAR(10),'Ingest Template'!G105)</f>
        <v>#N/A</v>
      </c>
      <c r="E105" s="21" t="str">
        <f>CONCATENATE('Ingest Template'!H105,CHAR(10),'Ingest Template'!I105,CHAR(10),'Ingest Template'!J105)</f>
        <v>
</v>
      </c>
      <c r="F105" s="26" t="str">
        <f>'Ingest Template'!H105</f>
        <v/>
      </c>
      <c r="G105" s="21"/>
      <c r="H105" s="29"/>
      <c r="I105" s="21"/>
      <c r="J105" s="29" t="str">
        <f t="array" ref="J105">iF('Ingest Template'!A105="Standard","Pristine Brand",INDEX(DropDown!$M$2:$M$392,MATCH('Ingest Template'!E105,DropDown!$J$2:$J$392,0)))</f>
        <v>#N/A</v>
      </c>
      <c r="K105" s="21" t="str">
        <f>iF('Ingest Template'!A105="Standard",'Ingest Template'!K105&amp;CHAR(10)&amp;'Ingest Template'!L105,"Competitive View")</f>
        <v>Competitive View</v>
      </c>
      <c r="L105" s="29" t="s">
        <v>146</v>
      </c>
      <c r="M105" s="37" t="str">
        <f>'Ingest Template'!D105</f>
        <v/>
      </c>
      <c r="N105" s="21"/>
      <c r="O105" s="21"/>
      <c r="P105" s="21"/>
      <c r="Q105" s="21"/>
      <c r="R105" s="21" t="str">
        <f>'Ingest Template'!E105</f>
        <v/>
      </c>
      <c r="S105" s="29" t="s">
        <v>153</v>
      </c>
      <c r="T105" s="21" t="str">
        <f>'Ingest Template'!T105</f>
        <v/>
      </c>
      <c r="U105" s="21" t="str">
        <f>'Ingest Template'!S105</f>
        <v/>
      </c>
      <c r="V105" s="21" t="str">
        <f>LOWER(SUBSTITUTE(SUBSTITUTE(SUBSTITUTE(SUBSTITUTE(SUBSTITUTE('Ingest Template'!U105,"https:",""),"www.",""),"/",""),"?hl=en",""),"instagram.com",""))</f>
        <v/>
      </c>
      <c r="W105" s="41" t="str">
        <f t="array" ref="W105">IF('Ingest Template'!V105="",(INDEX(DropDown!$L$2:$L$392,MATCH('Ingest Template'!E105,DropDown!$J$2:$J$392,0))&amp;"|"&amp;'Ingest Template'!B105),(INDEX(DropDown!$L$2:$L$392,MATCH('Ingest Template'!E105,DropDown!$J$2:$J$392,0))&amp;"|"&amp;'Ingest Template'!B105)&amp;CHAR(10)&amp;'Ingest Template'!V105)</f>
        <v>#N/A</v>
      </c>
      <c r="X105" s="41" t="str">
        <f>'Ingest Template'!W105</f>
        <v/>
      </c>
      <c r="Y105" s="21" t="str">
        <f>SUBSTITUTE(SUBSTITUTE(SUBSTITUTE('Ingest Template'!X105,"http:",""),"https:",""),"/","")</f>
        <v/>
      </c>
      <c r="Z105" s="21" t="str">
        <f t="array" ref="Z105">IF('Ingest Template'!A105="Standard",(IF(ISBLANK('Ingest Template'!AA105),"", 'Ingest Template'!AA105&amp;"|DAR")),(IF(ISBLANK('Ingest Template'!AA105),"", 'Ingest Template'!AA105&amp;"|Film Ops")))</f>
        <v/>
      </c>
      <c r="AA105" s="21"/>
      <c r="AB105" s="21" t="str">
        <f>'Ingest Template'!M105</f>
        <v/>
      </c>
      <c r="AC105" s="21" t="str">
        <f>'Ingest Template'!Y105</f>
        <v/>
      </c>
      <c r="AD105" s="21" t="str">
        <f>'Ingest Template'!C105</f>
        <v/>
      </c>
      <c r="AE105" s="21" t="str">
        <f>'Ingest Template'!Z105</f>
        <v/>
      </c>
      <c r="AF105" s="29"/>
      <c r="AG105" s="21" t="str">
        <f t="array" ref="AG105">IF('Ingest Template'!A105="Standard",(CONCATENATE(IF(ISBLANK('Ingest Template'!O105),"", 'Ingest Template'!O105&amp;"|DAR"),CHAR(10), IF(ISBLANK('Ingest Template'!P105),"", 'Ingest Template'!P105&amp;"|DAR"),CHAR(10), IF(ISBLANK('Ingest Template'!Q105),"", 'Ingest Template'!Q105&amp;"|DAR"))),(CONCATENATE(IF(ISBLANK('Ingest Template'!O105),"", 'Ingest Template'!O105&amp;"|Operations - Core Title"),CHAR(10), IF(ISBLANK('Ingest Template'!P105),"", 'Ingest Template'!P105&amp;"|Operations - Core Title"),CHAR(10), IF(ISBLANK('Ingest Template'!Q105),"", 'Ingest Template'!Q105&amp;"|Operations - Core Title"))))</f>
        <v>#|Operations - Core Title
#|Operations - Core Title
</v>
      </c>
      <c r="AH105" s="21"/>
      <c r="AI105" s="21"/>
      <c r="AJ105" s="53" t="str">
        <f>if('Ingest Template'!A105="Standard",'Ingest Template'!N105&amp; "|DAR|DAR|2021-01-01",'Ingest Template'!N105&amp; "|Operations - Core Title|Operations - Core Title")</f>
        <v>#N/A</v>
      </c>
      <c r="AK105" s="53" t="str">
        <f>if('Ingest Template'!A105="Standard",'Ingest Template'!R105&amp; "|2021-01-01",'Ingest Template'!R105)</f>
        <v>#N/A</v>
      </c>
      <c r="AL105" s="21"/>
      <c r="AM105" s="21"/>
    </row>
    <row r="106">
      <c r="A106" s="21"/>
      <c r="B106" s="21" t="str">
        <f>'Ingest Template'!B106&amp;IF('Ingest Template'!A106 = "Standard", " - DAR","")</f>
        <v/>
      </c>
      <c r="C106" s="26" t="s">
        <v>109</v>
      </c>
      <c r="D106" s="29" t="str">
        <f t="array" ref="D106">CONCATENATE(INDEX(DropDown!$H$2:$H$10,MATCH(1,COUNTIF('Ingest Template'!F106,"*"&amp;DropDown!$H$2:$H$10&amp;"*"),0)),CHAR(10),'Ingest Template'!G106)</f>
        <v>#N/A</v>
      </c>
      <c r="E106" s="21" t="str">
        <f>CONCATENATE('Ingest Template'!H106,CHAR(10),'Ingest Template'!I106,CHAR(10),'Ingest Template'!J106)</f>
        <v>
</v>
      </c>
      <c r="F106" s="26" t="str">
        <f>'Ingest Template'!H106</f>
        <v/>
      </c>
      <c r="G106" s="21"/>
      <c r="H106" s="29"/>
      <c r="I106" s="21"/>
      <c r="J106" s="29" t="str">
        <f t="array" ref="J106">iF('Ingest Template'!A106="Standard","Pristine Brand",INDEX(DropDown!$M$2:$M$392,MATCH('Ingest Template'!E106,DropDown!$J$2:$J$392,0)))</f>
        <v>#N/A</v>
      </c>
      <c r="K106" s="21" t="str">
        <f>iF('Ingest Template'!A106="Standard",'Ingest Template'!K106&amp;CHAR(10)&amp;'Ingest Template'!L106,"Competitive View")</f>
        <v>Competitive View</v>
      </c>
      <c r="L106" s="29" t="s">
        <v>146</v>
      </c>
      <c r="M106" s="37" t="str">
        <f>'Ingest Template'!D106</f>
        <v/>
      </c>
      <c r="N106" s="21"/>
      <c r="O106" s="21"/>
      <c r="P106" s="21"/>
      <c r="Q106" s="21"/>
      <c r="R106" s="21" t="str">
        <f>'Ingest Template'!E106</f>
        <v/>
      </c>
      <c r="S106" s="29" t="s">
        <v>153</v>
      </c>
      <c r="T106" s="21" t="str">
        <f>'Ingest Template'!T106</f>
        <v/>
      </c>
      <c r="U106" s="21" t="str">
        <f>'Ingest Template'!S106</f>
        <v/>
      </c>
      <c r="V106" s="21" t="str">
        <f>LOWER(SUBSTITUTE(SUBSTITUTE(SUBSTITUTE(SUBSTITUTE(SUBSTITUTE('Ingest Template'!U106,"https:",""),"www.",""),"/",""),"?hl=en",""),"instagram.com",""))</f>
        <v/>
      </c>
      <c r="W106" s="41" t="str">
        <f t="array" ref="W106">IF('Ingest Template'!V106="",(INDEX(DropDown!$L$2:$L$392,MATCH('Ingest Template'!E106,DropDown!$J$2:$J$392,0))&amp;"|"&amp;'Ingest Template'!B106),(INDEX(DropDown!$L$2:$L$392,MATCH('Ingest Template'!E106,DropDown!$J$2:$J$392,0))&amp;"|"&amp;'Ingest Template'!B106)&amp;CHAR(10)&amp;'Ingest Template'!V106)</f>
        <v>#N/A</v>
      </c>
      <c r="X106" s="41" t="str">
        <f>'Ingest Template'!W106</f>
        <v/>
      </c>
      <c r="Y106" s="21" t="str">
        <f>SUBSTITUTE(SUBSTITUTE(SUBSTITUTE('Ingest Template'!X106,"http:",""),"https:",""),"/","")</f>
        <v/>
      </c>
      <c r="Z106" s="21" t="str">
        <f t="array" ref="Z106">IF('Ingest Template'!A106="Standard",(IF(ISBLANK('Ingest Template'!AA106),"", 'Ingest Template'!AA106&amp;"|DAR")),(IF(ISBLANK('Ingest Template'!AA106),"", 'Ingest Template'!AA106&amp;"|Film Ops")))</f>
        <v/>
      </c>
      <c r="AA106" s="21"/>
      <c r="AB106" s="21" t="str">
        <f>'Ingest Template'!M106</f>
        <v/>
      </c>
      <c r="AC106" s="21" t="str">
        <f>'Ingest Template'!Y106</f>
        <v/>
      </c>
      <c r="AD106" s="21" t="str">
        <f>'Ingest Template'!C106</f>
        <v/>
      </c>
      <c r="AE106" s="21" t="str">
        <f>'Ingest Template'!Z106</f>
        <v/>
      </c>
      <c r="AF106" s="29"/>
      <c r="AG106" s="21" t="str">
        <f t="array" ref="AG106">IF('Ingest Template'!A106="Standard",(CONCATENATE(IF(ISBLANK('Ingest Template'!O106),"", 'Ingest Template'!O106&amp;"|DAR"),CHAR(10), IF(ISBLANK('Ingest Template'!P106),"", 'Ingest Template'!P106&amp;"|DAR"),CHAR(10), IF(ISBLANK('Ingest Template'!Q106),"", 'Ingest Template'!Q106&amp;"|DAR"))),(CONCATENATE(IF(ISBLANK('Ingest Template'!O106),"", 'Ingest Template'!O106&amp;"|Operations - Core Title"),CHAR(10), IF(ISBLANK('Ingest Template'!P106),"", 'Ingest Template'!P106&amp;"|Operations - Core Title"),CHAR(10), IF(ISBLANK('Ingest Template'!Q106),"", 'Ingest Template'!Q106&amp;"|Operations - Core Title"))))</f>
        <v>#|Operations - Core Title
#|Operations - Core Title
</v>
      </c>
      <c r="AH106" s="21"/>
      <c r="AI106" s="21"/>
      <c r="AJ106" s="53" t="str">
        <f>if('Ingest Template'!A106="Standard",'Ingest Template'!N106&amp; "|DAR|DAR|2021-01-01",'Ingest Template'!N106&amp; "|Operations - Core Title|Operations - Core Title")</f>
        <v>#N/A</v>
      </c>
      <c r="AK106" s="53" t="str">
        <f>if('Ingest Template'!A106="Standard",'Ingest Template'!R106&amp; "|2021-01-01",'Ingest Template'!R106)</f>
        <v>#N/A</v>
      </c>
      <c r="AL106" s="21"/>
      <c r="AM106" s="21"/>
    </row>
    <row r="107">
      <c r="A107" s="21"/>
      <c r="B107" s="21" t="str">
        <f>'Ingest Template'!B107&amp;IF('Ingest Template'!A107 = "Standard", " - DAR","")</f>
        <v/>
      </c>
      <c r="C107" s="26" t="s">
        <v>109</v>
      </c>
      <c r="D107" s="29" t="str">
        <f t="array" ref="D107">CONCATENATE(INDEX(DropDown!$H$2:$H$10,MATCH(1,COUNTIF('Ingest Template'!F107,"*"&amp;DropDown!$H$2:$H$10&amp;"*"),0)),CHAR(10),'Ingest Template'!G107)</f>
        <v>#N/A</v>
      </c>
      <c r="E107" s="21" t="str">
        <f>CONCATENATE('Ingest Template'!H107,CHAR(10),'Ingest Template'!I107,CHAR(10),'Ingest Template'!J107)</f>
        <v>
</v>
      </c>
      <c r="F107" s="26" t="str">
        <f>'Ingest Template'!H107</f>
        <v/>
      </c>
      <c r="G107" s="21"/>
      <c r="H107" s="29"/>
      <c r="I107" s="21"/>
      <c r="J107" s="29" t="str">
        <f t="array" ref="J107">iF('Ingest Template'!A107="Standard","Pristine Brand",INDEX(DropDown!$M$2:$M$392,MATCH('Ingest Template'!E107,DropDown!$J$2:$J$392,0)))</f>
        <v>#N/A</v>
      </c>
      <c r="K107" s="21" t="str">
        <f>iF('Ingest Template'!A107="Standard",'Ingest Template'!K107&amp;CHAR(10)&amp;'Ingest Template'!L107,"Competitive View")</f>
        <v>Competitive View</v>
      </c>
      <c r="L107" s="29" t="s">
        <v>146</v>
      </c>
      <c r="M107" s="37" t="str">
        <f>'Ingest Template'!D107</f>
        <v/>
      </c>
      <c r="N107" s="21"/>
      <c r="O107" s="21"/>
      <c r="P107" s="21"/>
      <c r="Q107" s="21"/>
      <c r="R107" s="21" t="str">
        <f>'Ingest Template'!E107</f>
        <v/>
      </c>
      <c r="S107" s="29" t="s">
        <v>153</v>
      </c>
      <c r="T107" s="21" t="str">
        <f>'Ingest Template'!T107</f>
        <v/>
      </c>
      <c r="U107" s="21" t="str">
        <f>'Ingest Template'!S107</f>
        <v/>
      </c>
      <c r="V107" s="21" t="str">
        <f>LOWER(SUBSTITUTE(SUBSTITUTE(SUBSTITUTE(SUBSTITUTE(SUBSTITUTE('Ingest Template'!U107,"https:",""),"www.",""),"/",""),"?hl=en",""),"instagram.com",""))</f>
        <v/>
      </c>
      <c r="W107" s="41" t="str">
        <f t="array" ref="W107">IF('Ingest Template'!V107="",(INDEX(DropDown!$L$2:$L$392,MATCH('Ingest Template'!E107,DropDown!$J$2:$J$392,0))&amp;"|"&amp;'Ingest Template'!B107),(INDEX(DropDown!$L$2:$L$392,MATCH('Ingest Template'!E107,DropDown!$J$2:$J$392,0))&amp;"|"&amp;'Ingest Template'!B107)&amp;CHAR(10)&amp;'Ingest Template'!V107)</f>
        <v>#N/A</v>
      </c>
      <c r="X107" s="41" t="str">
        <f>'Ingest Template'!W107</f>
        <v/>
      </c>
      <c r="Y107" s="21" t="str">
        <f>SUBSTITUTE(SUBSTITUTE(SUBSTITUTE('Ingest Template'!X107,"http:",""),"https:",""),"/","")</f>
        <v/>
      </c>
      <c r="Z107" s="21" t="str">
        <f t="array" ref="Z107">IF('Ingest Template'!A107="Standard",(IF(ISBLANK('Ingest Template'!AA107),"", 'Ingest Template'!AA107&amp;"|DAR")),(IF(ISBLANK('Ingest Template'!AA107),"", 'Ingest Template'!AA107&amp;"|Film Ops")))</f>
        <v/>
      </c>
      <c r="AA107" s="21"/>
      <c r="AB107" s="21" t="str">
        <f>'Ingest Template'!M107</f>
        <v/>
      </c>
      <c r="AC107" s="21" t="str">
        <f>'Ingest Template'!Y107</f>
        <v/>
      </c>
      <c r="AD107" s="21" t="str">
        <f>'Ingest Template'!C107</f>
        <v/>
      </c>
      <c r="AE107" s="21" t="str">
        <f>'Ingest Template'!Z107</f>
        <v/>
      </c>
      <c r="AF107" s="29"/>
      <c r="AG107" s="21" t="str">
        <f t="array" ref="AG107">IF('Ingest Template'!A107="Standard",(CONCATENATE(IF(ISBLANK('Ingest Template'!O107),"", 'Ingest Template'!O107&amp;"|DAR"),CHAR(10), IF(ISBLANK('Ingest Template'!P107),"", 'Ingest Template'!P107&amp;"|DAR"),CHAR(10), IF(ISBLANK('Ingest Template'!Q107),"", 'Ingest Template'!Q107&amp;"|DAR"))),(CONCATENATE(IF(ISBLANK('Ingest Template'!O107),"", 'Ingest Template'!O107&amp;"|Operations - Core Title"),CHAR(10), IF(ISBLANK('Ingest Template'!P107),"", 'Ingest Template'!P107&amp;"|Operations - Core Title"),CHAR(10), IF(ISBLANK('Ingest Template'!Q107),"", 'Ingest Template'!Q107&amp;"|Operations - Core Title"))))</f>
        <v>#|Operations - Core Title
#|Operations - Core Title
</v>
      </c>
      <c r="AH107" s="21"/>
      <c r="AI107" s="21"/>
      <c r="AJ107" s="53" t="str">
        <f>if('Ingest Template'!A107="Standard",'Ingest Template'!N107&amp; "|DAR|DAR|2021-01-01",'Ingest Template'!N107&amp; "|Operations - Core Title|Operations - Core Title")</f>
        <v>#N/A</v>
      </c>
      <c r="AK107" s="53" t="str">
        <f>if('Ingest Template'!A107="Standard",'Ingest Template'!R107&amp; "|2021-01-01",'Ingest Template'!R107)</f>
        <v>#N/A</v>
      </c>
      <c r="AL107" s="21"/>
      <c r="AM107" s="21"/>
    </row>
    <row r="108">
      <c r="A108" s="21"/>
      <c r="B108" s="21" t="str">
        <f>'Ingest Template'!B108&amp;IF('Ingest Template'!A108 = "Standard", " - DAR","")</f>
        <v/>
      </c>
      <c r="C108" s="26" t="s">
        <v>109</v>
      </c>
      <c r="D108" s="29" t="str">
        <f t="array" ref="D108">CONCATENATE(INDEX(DropDown!$H$2:$H$10,MATCH(1,COUNTIF('Ingest Template'!F108,"*"&amp;DropDown!$H$2:$H$10&amp;"*"),0)),CHAR(10),'Ingest Template'!G108)</f>
        <v>#N/A</v>
      </c>
      <c r="E108" s="21" t="str">
        <f>CONCATENATE('Ingest Template'!H108,CHAR(10),'Ingest Template'!I108,CHAR(10),'Ingest Template'!J108)</f>
        <v>
</v>
      </c>
      <c r="F108" s="26" t="str">
        <f>'Ingest Template'!H108</f>
        <v/>
      </c>
      <c r="G108" s="21"/>
      <c r="H108" s="29"/>
      <c r="I108" s="21"/>
      <c r="J108" s="29" t="str">
        <f t="array" ref="J108">iF('Ingest Template'!A108="Standard","Pristine Brand",INDEX(DropDown!$M$2:$M$392,MATCH('Ingest Template'!E108,DropDown!$J$2:$J$392,0)))</f>
        <v>#N/A</v>
      </c>
      <c r="K108" s="21" t="str">
        <f>iF('Ingest Template'!A108="Standard",'Ingest Template'!K108&amp;CHAR(10)&amp;'Ingest Template'!L108,"Competitive View")</f>
        <v>Competitive View</v>
      </c>
      <c r="L108" s="29" t="s">
        <v>146</v>
      </c>
      <c r="M108" s="37" t="str">
        <f>'Ingest Template'!D108</f>
        <v/>
      </c>
      <c r="N108" s="21"/>
      <c r="O108" s="21"/>
      <c r="P108" s="21"/>
      <c r="Q108" s="21"/>
      <c r="R108" s="21" t="str">
        <f>'Ingest Template'!E108</f>
        <v/>
      </c>
      <c r="S108" s="29" t="s">
        <v>153</v>
      </c>
      <c r="T108" s="21" t="str">
        <f>'Ingest Template'!T108</f>
        <v/>
      </c>
      <c r="U108" s="21" t="str">
        <f>'Ingest Template'!S108</f>
        <v/>
      </c>
      <c r="V108" s="21" t="str">
        <f>LOWER(SUBSTITUTE(SUBSTITUTE(SUBSTITUTE(SUBSTITUTE(SUBSTITUTE('Ingest Template'!U108,"https:",""),"www.",""),"/",""),"?hl=en",""),"instagram.com",""))</f>
        <v/>
      </c>
      <c r="W108" s="41" t="str">
        <f t="array" ref="W108">IF('Ingest Template'!V108="",(INDEX(DropDown!$L$2:$L$392,MATCH('Ingest Template'!E108,DropDown!$J$2:$J$392,0))&amp;"|"&amp;'Ingest Template'!B108),(INDEX(DropDown!$L$2:$L$392,MATCH('Ingest Template'!E108,DropDown!$J$2:$J$392,0))&amp;"|"&amp;'Ingest Template'!B108)&amp;CHAR(10)&amp;'Ingest Template'!V108)</f>
        <v>#N/A</v>
      </c>
      <c r="X108" s="41" t="str">
        <f>'Ingest Template'!W108</f>
        <v/>
      </c>
      <c r="Y108" s="21" t="str">
        <f>SUBSTITUTE(SUBSTITUTE(SUBSTITUTE('Ingest Template'!X108,"http:",""),"https:",""),"/","")</f>
        <v/>
      </c>
      <c r="Z108" s="21" t="str">
        <f t="array" ref="Z108">IF('Ingest Template'!A108="Standard",(IF(ISBLANK('Ingest Template'!AA108),"", 'Ingest Template'!AA108&amp;"|DAR")),(IF(ISBLANK('Ingest Template'!AA108),"", 'Ingest Template'!AA108&amp;"|Film Ops")))</f>
        <v/>
      </c>
      <c r="AA108" s="21"/>
      <c r="AB108" s="21" t="str">
        <f>'Ingest Template'!M108</f>
        <v/>
      </c>
      <c r="AC108" s="21" t="str">
        <f>'Ingest Template'!Y108</f>
        <v/>
      </c>
      <c r="AD108" s="21" t="str">
        <f>'Ingest Template'!C108</f>
        <v/>
      </c>
      <c r="AE108" s="21" t="str">
        <f>'Ingest Template'!Z108</f>
        <v/>
      </c>
      <c r="AF108" s="29"/>
      <c r="AG108" s="21" t="str">
        <f t="array" ref="AG108">IF('Ingest Template'!A108="Standard",(CONCATENATE(IF(ISBLANK('Ingest Template'!O108),"", 'Ingest Template'!O108&amp;"|DAR"),CHAR(10), IF(ISBLANK('Ingest Template'!P108),"", 'Ingest Template'!P108&amp;"|DAR"),CHAR(10), IF(ISBLANK('Ingest Template'!Q108),"", 'Ingest Template'!Q108&amp;"|DAR"))),(CONCATENATE(IF(ISBLANK('Ingest Template'!O108),"", 'Ingest Template'!O108&amp;"|Operations - Core Title"),CHAR(10), IF(ISBLANK('Ingest Template'!P108),"", 'Ingest Template'!P108&amp;"|Operations - Core Title"),CHAR(10), IF(ISBLANK('Ingest Template'!Q108),"", 'Ingest Template'!Q108&amp;"|Operations - Core Title"))))</f>
        <v>#|Operations - Core Title
#|Operations - Core Title
</v>
      </c>
      <c r="AH108" s="21"/>
      <c r="AI108" s="21"/>
      <c r="AJ108" s="53" t="str">
        <f>if('Ingest Template'!A108="Standard",'Ingest Template'!N108&amp; "|DAR|DAR|2021-01-01",'Ingest Template'!N108&amp; "|Operations - Core Title|Operations - Core Title")</f>
        <v>#N/A</v>
      </c>
      <c r="AK108" s="53" t="str">
        <f>if('Ingest Template'!A108="Standard",'Ingest Template'!R108&amp; "|2021-01-01",'Ingest Template'!R108)</f>
        <v>#N/A</v>
      </c>
      <c r="AL108" s="21"/>
      <c r="AM108" s="21"/>
    </row>
    <row r="109">
      <c r="A109" s="21"/>
      <c r="B109" s="21" t="str">
        <f>'Ingest Template'!B109&amp;IF('Ingest Template'!A109 = "Standard", " - DAR","")</f>
        <v/>
      </c>
      <c r="C109" s="26" t="s">
        <v>109</v>
      </c>
      <c r="D109" s="29" t="str">
        <f t="array" ref="D109">CONCATENATE(INDEX(DropDown!$H$2:$H$10,MATCH(1,COUNTIF('Ingest Template'!F109,"*"&amp;DropDown!$H$2:$H$10&amp;"*"),0)),CHAR(10),'Ingest Template'!G109)</f>
        <v>#N/A</v>
      </c>
      <c r="E109" s="21" t="str">
        <f>CONCATENATE('Ingest Template'!H109,CHAR(10),'Ingest Template'!I109,CHAR(10),'Ingest Template'!J109)</f>
        <v>
</v>
      </c>
      <c r="F109" s="26" t="str">
        <f>'Ingest Template'!H109</f>
        <v/>
      </c>
      <c r="G109" s="21"/>
      <c r="H109" s="29"/>
      <c r="I109" s="21"/>
      <c r="J109" s="29" t="str">
        <f t="array" ref="J109">iF('Ingest Template'!A109="Standard","Pristine Brand",INDEX(DropDown!$M$2:$M$392,MATCH('Ingest Template'!E109,DropDown!$J$2:$J$392,0)))</f>
        <v>#N/A</v>
      </c>
      <c r="K109" s="21" t="str">
        <f>iF('Ingest Template'!A109="Standard",'Ingest Template'!K109&amp;CHAR(10)&amp;'Ingest Template'!L109,"Competitive View")</f>
        <v>Competitive View</v>
      </c>
      <c r="L109" s="29" t="s">
        <v>146</v>
      </c>
      <c r="M109" s="37" t="str">
        <f>'Ingest Template'!D109</f>
        <v/>
      </c>
      <c r="N109" s="21"/>
      <c r="O109" s="21"/>
      <c r="P109" s="21"/>
      <c r="Q109" s="21"/>
      <c r="R109" s="21" t="str">
        <f>'Ingest Template'!E109</f>
        <v/>
      </c>
      <c r="S109" s="29" t="s">
        <v>153</v>
      </c>
      <c r="T109" s="21" t="str">
        <f>'Ingest Template'!T109</f>
        <v/>
      </c>
      <c r="U109" s="21" t="str">
        <f>'Ingest Template'!S109</f>
        <v/>
      </c>
      <c r="V109" s="21" t="str">
        <f>LOWER(SUBSTITUTE(SUBSTITUTE(SUBSTITUTE(SUBSTITUTE(SUBSTITUTE('Ingest Template'!U109,"https:",""),"www.",""),"/",""),"?hl=en",""),"instagram.com",""))</f>
        <v/>
      </c>
      <c r="W109" s="41" t="str">
        <f t="array" ref="W109">IF('Ingest Template'!V109="",(INDEX(DropDown!$L$2:$L$392,MATCH('Ingest Template'!E109,DropDown!$J$2:$J$392,0))&amp;"|"&amp;'Ingest Template'!B109),(INDEX(DropDown!$L$2:$L$392,MATCH('Ingest Template'!E109,DropDown!$J$2:$J$392,0))&amp;"|"&amp;'Ingest Template'!B109)&amp;CHAR(10)&amp;'Ingest Template'!V109)</f>
        <v>#N/A</v>
      </c>
      <c r="X109" s="41" t="str">
        <f>'Ingest Template'!W109</f>
        <v/>
      </c>
      <c r="Y109" s="21" t="str">
        <f>SUBSTITUTE(SUBSTITUTE(SUBSTITUTE('Ingest Template'!X109,"http:",""),"https:",""),"/","")</f>
        <v/>
      </c>
      <c r="Z109" s="21" t="str">
        <f t="array" ref="Z109">IF('Ingest Template'!A109="Standard",(IF(ISBLANK('Ingest Template'!AA109),"", 'Ingest Template'!AA109&amp;"|DAR")),(IF(ISBLANK('Ingest Template'!AA109),"", 'Ingest Template'!AA109&amp;"|Film Ops")))</f>
        <v/>
      </c>
      <c r="AA109" s="21"/>
      <c r="AB109" s="21" t="str">
        <f>'Ingest Template'!M109</f>
        <v/>
      </c>
      <c r="AC109" s="21" t="str">
        <f>'Ingest Template'!Y109</f>
        <v/>
      </c>
      <c r="AD109" s="21" t="str">
        <f>'Ingest Template'!C109</f>
        <v/>
      </c>
      <c r="AE109" s="21" t="str">
        <f>'Ingest Template'!Z109</f>
        <v/>
      </c>
      <c r="AF109" s="29"/>
      <c r="AG109" s="21" t="str">
        <f t="array" ref="AG109">IF('Ingest Template'!A109="Standard",(CONCATENATE(IF(ISBLANK('Ingest Template'!O109),"", 'Ingest Template'!O109&amp;"|DAR"),CHAR(10), IF(ISBLANK('Ingest Template'!P109),"", 'Ingest Template'!P109&amp;"|DAR"),CHAR(10), IF(ISBLANK('Ingest Template'!Q109),"", 'Ingest Template'!Q109&amp;"|DAR"))),(CONCATENATE(IF(ISBLANK('Ingest Template'!O109),"", 'Ingest Template'!O109&amp;"|Operations - Core Title"),CHAR(10), IF(ISBLANK('Ingest Template'!P109),"", 'Ingest Template'!P109&amp;"|Operations - Core Title"),CHAR(10), IF(ISBLANK('Ingest Template'!Q109),"", 'Ingest Template'!Q109&amp;"|Operations - Core Title"))))</f>
        <v>#|Operations - Core Title
#|Operations - Core Title
</v>
      </c>
      <c r="AH109" s="21"/>
      <c r="AI109" s="21"/>
      <c r="AJ109" s="53" t="str">
        <f>if('Ingest Template'!A109="Standard",'Ingest Template'!N109&amp; "|DAR|DAR|2021-01-01",'Ingest Template'!N109&amp; "|Operations - Core Title|Operations - Core Title")</f>
        <v>#N/A</v>
      </c>
      <c r="AK109" s="53" t="str">
        <f>if('Ingest Template'!A109="Standard",'Ingest Template'!R109&amp; "|2021-01-01",'Ingest Template'!R109)</f>
        <v>#N/A</v>
      </c>
      <c r="AL109" s="21"/>
      <c r="AM109" s="21"/>
    </row>
    <row r="110">
      <c r="A110" s="21"/>
      <c r="B110" s="21" t="str">
        <f>'Ingest Template'!B110&amp;IF('Ingest Template'!A110 = "Standard", " - DAR","")</f>
        <v/>
      </c>
      <c r="C110" s="26" t="s">
        <v>109</v>
      </c>
      <c r="D110" s="29" t="str">
        <f t="array" ref="D110">CONCATENATE(INDEX(DropDown!$H$2:$H$10,MATCH(1,COUNTIF('Ingest Template'!F110,"*"&amp;DropDown!$H$2:$H$10&amp;"*"),0)),CHAR(10),'Ingest Template'!G110)</f>
        <v>#N/A</v>
      </c>
      <c r="E110" s="21" t="str">
        <f>CONCATENATE('Ingest Template'!H110,CHAR(10),'Ingest Template'!I110,CHAR(10),'Ingest Template'!J110)</f>
        <v>
</v>
      </c>
      <c r="F110" s="26" t="str">
        <f>'Ingest Template'!H110</f>
        <v/>
      </c>
      <c r="G110" s="21"/>
      <c r="H110" s="29"/>
      <c r="I110" s="21"/>
      <c r="J110" s="29" t="str">
        <f t="array" ref="J110">iF('Ingest Template'!A110="Standard","Pristine Brand",INDEX(DropDown!$M$2:$M$392,MATCH('Ingest Template'!E110,DropDown!$J$2:$J$392,0)))</f>
        <v>#N/A</v>
      </c>
      <c r="K110" s="21" t="str">
        <f>iF('Ingest Template'!A110="Standard",'Ingest Template'!K110&amp;CHAR(10)&amp;'Ingest Template'!L110,"Competitive View")</f>
        <v>Competitive View</v>
      </c>
      <c r="L110" s="29" t="s">
        <v>146</v>
      </c>
      <c r="M110" s="37" t="str">
        <f>'Ingest Template'!D110</f>
        <v/>
      </c>
      <c r="N110" s="21"/>
      <c r="O110" s="21"/>
      <c r="P110" s="21"/>
      <c r="Q110" s="21"/>
      <c r="R110" s="21" t="str">
        <f>'Ingest Template'!E110</f>
        <v/>
      </c>
      <c r="S110" s="29" t="s">
        <v>153</v>
      </c>
      <c r="T110" s="21" t="str">
        <f>'Ingest Template'!T110</f>
        <v/>
      </c>
      <c r="U110" s="21" t="str">
        <f>'Ingest Template'!S110</f>
        <v/>
      </c>
      <c r="V110" s="21" t="str">
        <f>LOWER(SUBSTITUTE(SUBSTITUTE(SUBSTITUTE(SUBSTITUTE(SUBSTITUTE('Ingest Template'!U110,"https:",""),"www.",""),"/",""),"?hl=en",""),"instagram.com",""))</f>
        <v/>
      </c>
      <c r="W110" s="41" t="str">
        <f t="array" ref="W110">IF('Ingest Template'!V110="",(INDEX(DropDown!$L$2:$L$392,MATCH('Ingest Template'!E110,DropDown!$J$2:$J$392,0))&amp;"|"&amp;'Ingest Template'!B110),(INDEX(DropDown!$L$2:$L$392,MATCH('Ingest Template'!E110,DropDown!$J$2:$J$392,0))&amp;"|"&amp;'Ingest Template'!B110)&amp;CHAR(10)&amp;'Ingest Template'!V110)</f>
        <v>#N/A</v>
      </c>
      <c r="X110" s="41" t="str">
        <f>'Ingest Template'!W110</f>
        <v/>
      </c>
      <c r="Y110" s="21" t="str">
        <f>SUBSTITUTE(SUBSTITUTE(SUBSTITUTE('Ingest Template'!X110,"http:",""),"https:",""),"/","")</f>
        <v/>
      </c>
      <c r="Z110" s="21" t="str">
        <f t="array" ref="Z110">IF('Ingest Template'!A110="Standard",(IF(ISBLANK('Ingest Template'!AA110),"", 'Ingest Template'!AA110&amp;"|DAR")),(IF(ISBLANK('Ingest Template'!AA110),"", 'Ingest Template'!AA110&amp;"|Film Ops")))</f>
        <v/>
      </c>
      <c r="AA110" s="21"/>
      <c r="AB110" s="21" t="str">
        <f>'Ingest Template'!M110</f>
        <v/>
      </c>
      <c r="AC110" s="21" t="str">
        <f>'Ingest Template'!Y110</f>
        <v/>
      </c>
      <c r="AD110" s="21" t="str">
        <f>'Ingest Template'!C110</f>
        <v/>
      </c>
      <c r="AE110" s="21" t="str">
        <f>'Ingest Template'!Z110</f>
        <v/>
      </c>
      <c r="AF110" s="29"/>
      <c r="AG110" s="21" t="str">
        <f t="array" ref="AG110">IF('Ingest Template'!A110="Standard",(CONCATENATE(IF(ISBLANK('Ingest Template'!O110),"", 'Ingest Template'!O110&amp;"|DAR"),CHAR(10), IF(ISBLANK('Ingest Template'!P110),"", 'Ingest Template'!P110&amp;"|DAR"),CHAR(10), IF(ISBLANK('Ingest Template'!Q110),"", 'Ingest Template'!Q110&amp;"|DAR"))),(CONCATENATE(IF(ISBLANK('Ingest Template'!O110),"", 'Ingest Template'!O110&amp;"|Operations - Core Title"),CHAR(10), IF(ISBLANK('Ingest Template'!P110),"", 'Ingest Template'!P110&amp;"|Operations - Core Title"),CHAR(10), IF(ISBLANK('Ingest Template'!Q110),"", 'Ingest Template'!Q110&amp;"|Operations - Core Title"))))</f>
        <v>#|Operations - Core Title
#|Operations - Core Title
</v>
      </c>
      <c r="AH110" s="21"/>
      <c r="AI110" s="21"/>
      <c r="AJ110" s="53" t="str">
        <f>if('Ingest Template'!A110="Standard",'Ingest Template'!N110&amp; "|DAR|DAR|2021-01-01",'Ingest Template'!N110&amp; "|Operations - Core Title|Operations - Core Title")</f>
        <v>#N/A</v>
      </c>
      <c r="AK110" s="53" t="str">
        <f>if('Ingest Template'!A110="Standard",'Ingest Template'!R110&amp; "|2021-01-01",'Ingest Template'!R110)</f>
        <v>#N/A</v>
      </c>
      <c r="AL110" s="21"/>
      <c r="AM110" s="21"/>
    </row>
    <row r="111">
      <c r="A111" s="21"/>
      <c r="B111" s="21" t="str">
        <f>'Ingest Template'!B111&amp;IF('Ingest Template'!A111 = "Standard", " - DAR","")</f>
        <v/>
      </c>
      <c r="C111" s="26" t="s">
        <v>109</v>
      </c>
      <c r="D111" s="29" t="str">
        <f t="array" ref="D111">CONCATENATE(INDEX(DropDown!$H$2:$H$10,MATCH(1,COUNTIF('Ingest Template'!F111,"*"&amp;DropDown!$H$2:$H$10&amp;"*"),0)),CHAR(10),'Ingest Template'!G111)</f>
        <v>#N/A</v>
      </c>
      <c r="E111" s="21" t="str">
        <f>CONCATENATE('Ingest Template'!H111,CHAR(10),'Ingest Template'!I111,CHAR(10),'Ingest Template'!J111)</f>
        <v>
</v>
      </c>
      <c r="F111" s="26" t="str">
        <f>'Ingest Template'!H111</f>
        <v/>
      </c>
      <c r="G111" s="21"/>
      <c r="H111" s="29"/>
      <c r="I111" s="21"/>
      <c r="J111" s="29" t="str">
        <f t="array" ref="J111">iF('Ingest Template'!A111="Standard","Pristine Brand",INDEX(DropDown!$M$2:$M$392,MATCH('Ingest Template'!E111,DropDown!$J$2:$J$392,0)))</f>
        <v>#N/A</v>
      </c>
      <c r="K111" s="21" t="str">
        <f>iF('Ingest Template'!A111="Standard",'Ingest Template'!K111&amp;CHAR(10)&amp;'Ingest Template'!L111,"Competitive View")</f>
        <v>Competitive View</v>
      </c>
      <c r="L111" s="29" t="s">
        <v>146</v>
      </c>
      <c r="M111" s="37" t="str">
        <f>'Ingest Template'!D111</f>
        <v/>
      </c>
      <c r="N111" s="21"/>
      <c r="O111" s="21"/>
      <c r="P111" s="21"/>
      <c r="Q111" s="21"/>
      <c r="R111" s="21" t="str">
        <f>'Ingest Template'!E111</f>
        <v/>
      </c>
      <c r="S111" s="29" t="s">
        <v>153</v>
      </c>
      <c r="T111" s="21" t="str">
        <f>'Ingest Template'!T111</f>
        <v/>
      </c>
      <c r="U111" s="21" t="str">
        <f>'Ingest Template'!S111</f>
        <v/>
      </c>
      <c r="V111" s="21" t="str">
        <f>LOWER(SUBSTITUTE(SUBSTITUTE(SUBSTITUTE(SUBSTITUTE(SUBSTITUTE('Ingest Template'!U111,"https:",""),"www.",""),"/",""),"?hl=en",""),"instagram.com",""))</f>
        <v/>
      </c>
      <c r="W111" s="41" t="str">
        <f t="array" ref="W111">IF('Ingest Template'!V111="",(INDEX(DropDown!$L$2:$L$392,MATCH('Ingest Template'!E111,DropDown!$J$2:$J$392,0))&amp;"|"&amp;'Ingest Template'!B111),(INDEX(DropDown!$L$2:$L$392,MATCH('Ingest Template'!E111,DropDown!$J$2:$J$392,0))&amp;"|"&amp;'Ingest Template'!B111)&amp;CHAR(10)&amp;'Ingest Template'!V111)</f>
        <v>#N/A</v>
      </c>
      <c r="X111" s="41" t="str">
        <f>'Ingest Template'!W111</f>
        <v/>
      </c>
      <c r="Y111" s="21" t="str">
        <f>SUBSTITUTE(SUBSTITUTE(SUBSTITUTE('Ingest Template'!X111,"http:",""),"https:",""),"/","")</f>
        <v/>
      </c>
      <c r="Z111" s="21" t="str">
        <f t="array" ref="Z111">IF('Ingest Template'!A111="Standard",(IF(ISBLANK('Ingest Template'!AA111),"", 'Ingest Template'!AA111&amp;"|DAR")),(IF(ISBLANK('Ingest Template'!AA111),"", 'Ingest Template'!AA111&amp;"|Film Ops")))</f>
        <v/>
      </c>
      <c r="AA111" s="21"/>
      <c r="AB111" s="21" t="str">
        <f>'Ingest Template'!M111</f>
        <v/>
      </c>
      <c r="AC111" s="21" t="str">
        <f>'Ingest Template'!Y111</f>
        <v/>
      </c>
      <c r="AD111" s="21" t="str">
        <f>'Ingest Template'!C111</f>
        <v/>
      </c>
      <c r="AE111" s="21" t="str">
        <f>'Ingest Template'!Z111</f>
        <v/>
      </c>
      <c r="AF111" s="29"/>
      <c r="AG111" s="21" t="str">
        <f t="array" ref="AG111">IF('Ingest Template'!A111="Standard",(CONCATENATE(IF(ISBLANK('Ingest Template'!O111),"", 'Ingest Template'!O111&amp;"|DAR"),CHAR(10), IF(ISBLANK('Ingest Template'!P111),"", 'Ingest Template'!P111&amp;"|DAR"),CHAR(10), IF(ISBLANK('Ingest Template'!Q111),"", 'Ingest Template'!Q111&amp;"|DAR"))),(CONCATENATE(IF(ISBLANK('Ingest Template'!O111),"", 'Ingest Template'!O111&amp;"|Operations - Core Title"),CHAR(10), IF(ISBLANK('Ingest Template'!P111),"", 'Ingest Template'!P111&amp;"|Operations - Core Title"),CHAR(10), IF(ISBLANK('Ingest Template'!Q111),"", 'Ingest Template'!Q111&amp;"|Operations - Core Title"))))</f>
        <v>#|Operations - Core Title
#|Operations - Core Title
</v>
      </c>
      <c r="AH111" s="21"/>
      <c r="AI111" s="21"/>
      <c r="AJ111" s="53" t="str">
        <f>if('Ingest Template'!A111="Standard",'Ingest Template'!N111&amp; "|DAR|DAR|2021-01-01",'Ingest Template'!N111&amp; "|Operations - Core Title|Operations - Core Title")</f>
        <v>#N/A</v>
      </c>
      <c r="AK111" s="53" t="str">
        <f>if('Ingest Template'!A111="Standard",'Ingest Template'!R111&amp; "|2021-01-01",'Ingest Template'!R111)</f>
        <v>#N/A</v>
      </c>
      <c r="AL111" s="21"/>
      <c r="AM111" s="21"/>
    </row>
    <row r="112">
      <c r="A112" s="21"/>
      <c r="B112" s="21" t="str">
        <f>'Ingest Template'!B112&amp;IF('Ingest Template'!A112 = "Standard", " - DAR","")</f>
        <v/>
      </c>
      <c r="C112" s="26" t="s">
        <v>109</v>
      </c>
      <c r="D112" s="29" t="str">
        <f t="array" ref="D112">CONCATENATE(INDEX(DropDown!$H$2:$H$10,MATCH(1,COUNTIF('Ingest Template'!F112,"*"&amp;DropDown!$H$2:$H$10&amp;"*"),0)),CHAR(10),'Ingest Template'!G112)</f>
        <v>#N/A</v>
      </c>
      <c r="E112" s="21" t="str">
        <f>CONCATENATE('Ingest Template'!H112,CHAR(10),'Ingest Template'!I112,CHAR(10),'Ingest Template'!J112)</f>
        <v>
</v>
      </c>
      <c r="F112" s="26" t="str">
        <f>'Ingest Template'!H112</f>
        <v/>
      </c>
      <c r="G112" s="21"/>
      <c r="H112" s="29"/>
      <c r="I112" s="21"/>
      <c r="J112" s="29" t="str">
        <f t="array" ref="J112">iF('Ingest Template'!A112="Standard","Pristine Brand",INDEX(DropDown!$M$2:$M$392,MATCH('Ingest Template'!E112,DropDown!$J$2:$J$392,0)))</f>
        <v>#N/A</v>
      </c>
      <c r="K112" s="21" t="str">
        <f>iF('Ingest Template'!A112="Standard",'Ingest Template'!K112&amp;CHAR(10)&amp;'Ingest Template'!L112,"Competitive View")</f>
        <v>Competitive View</v>
      </c>
      <c r="L112" s="29" t="s">
        <v>146</v>
      </c>
      <c r="M112" s="37" t="str">
        <f>'Ingest Template'!D112</f>
        <v/>
      </c>
      <c r="N112" s="21"/>
      <c r="O112" s="21"/>
      <c r="P112" s="21"/>
      <c r="Q112" s="21"/>
      <c r="R112" s="21" t="str">
        <f>'Ingest Template'!E112</f>
        <v/>
      </c>
      <c r="S112" s="29" t="s">
        <v>153</v>
      </c>
      <c r="T112" s="21" t="str">
        <f>'Ingest Template'!T112</f>
        <v/>
      </c>
      <c r="U112" s="21" t="str">
        <f>'Ingest Template'!S112</f>
        <v/>
      </c>
      <c r="V112" s="21" t="str">
        <f>LOWER(SUBSTITUTE(SUBSTITUTE(SUBSTITUTE(SUBSTITUTE(SUBSTITUTE('Ingest Template'!U112,"https:",""),"www.",""),"/",""),"?hl=en",""),"instagram.com",""))</f>
        <v/>
      </c>
      <c r="W112" s="41" t="str">
        <f t="array" ref="W112">IF('Ingest Template'!V112="",(INDEX(DropDown!$L$2:$L$392,MATCH('Ingest Template'!E112,DropDown!$J$2:$J$392,0))&amp;"|"&amp;'Ingest Template'!B112),(INDEX(DropDown!$L$2:$L$392,MATCH('Ingest Template'!E112,DropDown!$J$2:$J$392,0))&amp;"|"&amp;'Ingest Template'!B112)&amp;CHAR(10)&amp;'Ingest Template'!V112)</f>
        <v>#N/A</v>
      </c>
      <c r="X112" s="41" t="str">
        <f>'Ingest Template'!W112</f>
        <v/>
      </c>
      <c r="Y112" s="21" t="str">
        <f>SUBSTITUTE(SUBSTITUTE(SUBSTITUTE('Ingest Template'!X112,"http:",""),"https:",""),"/","")</f>
        <v/>
      </c>
      <c r="Z112" s="21" t="str">
        <f t="array" ref="Z112">IF('Ingest Template'!A112="Standard",(IF(ISBLANK('Ingest Template'!AA112),"", 'Ingest Template'!AA112&amp;"|DAR")),(IF(ISBLANK('Ingest Template'!AA112),"", 'Ingest Template'!AA112&amp;"|Film Ops")))</f>
        <v/>
      </c>
      <c r="AA112" s="21"/>
      <c r="AB112" s="21" t="str">
        <f>'Ingest Template'!M112</f>
        <v/>
      </c>
      <c r="AC112" s="21" t="str">
        <f>'Ingest Template'!Y112</f>
        <v/>
      </c>
      <c r="AD112" s="21" t="str">
        <f>'Ingest Template'!C112</f>
        <v/>
      </c>
      <c r="AE112" s="21" t="str">
        <f>'Ingest Template'!Z112</f>
        <v/>
      </c>
      <c r="AF112" s="29"/>
      <c r="AG112" s="21" t="str">
        <f t="array" ref="AG112">IF('Ingest Template'!A112="Standard",(CONCATENATE(IF(ISBLANK('Ingest Template'!O112),"", 'Ingest Template'!O112&amp;"|DAR"),CHAR(10), IF(ISBLANK('Ingest Template'!P112),"", 'Ingest Template'!P112&amp;"|DAR"),CHAR(10), IF(ISBLANK('Ingest Template'!Q112),"", 'Ingest Template'!Q112&amp;"|DAR"))),(CONCATENATE(IF(ISBLANK('Ingest Template'!O112),"", 'Ingest Template'!O112&amp;"|Operations - Core Title"),CHAR(10), IF(ISBLANK('Ingest Template'!P112),"", 'Ingest Template'!P112&amp;"|Operations - Core Title"),CHAR(10), IF(ISBLANK('Ingest Template'!Q112),"", 'Ingest Template'!Q112&amp;"|Operations - Core Title"))))</f>
        <v>#|Operations - Core Title
#|Operations - Core Title
</v>
      </c>
      <c r="AH112" s="21"/>
      <c r="AI112" s="21"/>
      <c r="AJ112" s="53" t="str">
        <f>if('Ingest Template'!A112="Standard",'Ingest Template'!N112&amp; "|DAR|DAR|2021-01-01",'Ingest Template'!N112&amp; "|Operations - Core Title|Operations - Core Title")</f>
        <v>#N/A</v>
      </c>
      <c r="AK112" s="53" t="str">
        <f>if('Ingest Template'!A112="Standard",'Ingest Template'!R112&amp; "|2021-01-01",'Ingest Template'!R112)</f>
        <v>#N/A</v>
      </c>
      <c r="AL112" s="21"/>
      <c r="AM112" s="21"/>
    </row>
    <row r="113">
      <c r="A113" s="21"/>
      <c r="B113" s="21" t="str">
        <f>'Ingest Template'!B113&amp;IF('Ingest Template'!A113 = "Standard", " - DAR","")</f>
        <v/>
      </c>
      <c r="C113" s="26" t="s">
        <v>109</v>
      </c>
      <c r="D113" s="29" t="str">
        <f t="array" ref="D113">CONCATENATE(INDEX(DropDown!$H$2:$H$10,MATCH(1,COUNTIF('Ingest Template'!F113,"*"&amp;DropDown!$H$2:$H$10&amp;"*"),0)),CHAR(10),'Ingest Template'!G113)</f>
        <v>#N/A</v>
      </c>
      <c r="E113" s="21" t="str">
        <f>CONCATENATE('Ingest Template'!H113,CHAR(10),'Ingest Template'!I113,CHAR(10),'Ingest Template'!J113)</f>
        <v>
</v>
      </c>
      <c r="F113" s="26" t="str">
        <f>'Ingest Template'!H113</f>
        <v/>
      </c>
      <c r="G113" s="21"/>
      <c r="H113" s="29"/>
      <c r="I113" s="21"/>
      <c r="J113" s="29" t="str">
        <f t="array" ref="J113">iF('Ingest Template'!A113="Standard","Pristine Brand",INDEX(DropDown!$M$2:$M$392,MATCH('Ingest Template'!E113,DropDown!$J$2:$J$392,0)))</f>
        <v>#N/A</v>
      </c>
      <c r="K113" s="21" t="str">
        <f>iF('Ingest Template'!A113="Standard",'Ingest Template'!K113&amp;CHAR(10)&amp;'Ingest Template'!L113,"Competitive View")</f>
        <v>Competitive View</v>
      </c>
      <c r="L113" s="29" t="s">
        <v>146</v>
      </c>
      <c r="M113" s="37" t="str">
        <f>'Ingest Template'!D113</f>
        <v/>
      </c>
      <c r="N113" s="21"/>
      <c r="O113" s="21"/>
      <c r="P113" s="21"/>
      <c r="Q113" s="21"/>
      <c r="R113" s="21" t="str">
        <f>'Ingest Template'!E113</f>
        <v/>
      </c>
      <c r="S113" s="29" t="s">
        <v>153</v>
      </c>
      <c r="T113" s="21" t="str">
        <f>'Ingest Template'!T113</f>
        <v/>
      </c>
      <c r="U113" s="21" t="str">
        <f>'Ingest Template'!S113</f>
        <v/>
      </c>
      <c r="V113" s="21" t="str">
        <f>LOWER(SUBSTITUTE(SUBSTITUTE(SUBSTITUTE(SUBSTITUTE(SUBSTITUTE('Ingest Template'!U113,"https:",""),"www.",""),"/",""),"?hl=en",""),"instagram.com",""))</f>
        <v/>
      </c>
      <c r="W113" s="41" t="str">
        <f t="array" ref="W113">IF('Ingest Template'!V113="",(INDEX(DropDown!$L$2:$L$392,MATCH('Ingest Template'!E113,DropDown!$J$2:$J$392,0))&amp;"|"&amp;'Ingest Template'!B113),(INDEX(DropDown!$L$2:$L$392,MATCH('Ingest Template'!E113,DropDown!$J$2:$J$392,0))&amp;"|"&amp;'Ingest Template'!B113)&amp;CHAR(10)&amp;'Ingest Template'!V113)</f>
        <v>#N/A</v>
      </c>
      <c r="X113" s="41" t="str">
        <f>'Ingest Template'!W113</f>
        <v/>
      </c>
      <c r="Y113" s="21" t="str">
        <f>SUBSTITUTE(SUBSTITUTE(SUBSTITUTE('Ingest Template'!X113,"http:",""),"https:",""),"/","")</f>
        <v/>
      </c>
      <c r="Z113" s="21" t="str">
        <f t="array" ref="Z113">IF('Ingest Template'!A113="Standard",(IF(ISBLANK('Ingest Template'!AA113),"", 'Ingest Template'!AA113&amp;"|DAR")),(IF(ISBLANK('Ingest Template'!AA113),"", 'Ingest Template'!AA113&amp;"|Film Ops")))</f>
        <v/>
      </c>
      <c r="AA113" s="21"/>
      <c r="AB113" s="21" t="str">
        <f>'Ingest Template'!M113</f>
        <v/>
      </c>
      <c r="AC113" s="21" t="str">
        <f>'Ingest Template'!Y113</f>
        <v/>
      </c>
      <c r="AD113" s="21" t="str">
        <f>'Ingest Template'!C113</f>
        <v/>
      </c>
      <c r="AE113" s="21" t="str">
        <f>'Ingest Template'!Z113</f>
        <v/>
      </c>
      <c r="AF113" s="29"/>
      <c r="AG113" s="21" t="str">
        <f t="array" ref="AG113">IF('Ingest Template'!A113="Standard",(CONCATENATE(IF(ISBLANK('Ingest Template'!O113),"", 'Ingest Template'!O113&amp;"|DAR"),CHAR(10), IF(ISBLANK('Ingest Template'!P113),"", 'Ingest Template'!P113&amp;"|DAR"),CHAR(10), IF(ISBLANK('Ingest Template'!Q113),"", 'Ingest Template'!Q113&amp;"|DAR"))),(CONCATENATE(IF(ISBLANK('Ingest Template'!O113),"", 'Ingest Template'!O113&amp;"|Operations - Core Title"),CHAR(10), IF(ISBLANK('Ingest Template'!P113),"", 'Ingest Template'!P113&amp;"|Operations - Core Title"),CHAR(10), IF(ISBLANK('Ingest Template'!Q113),"", 'Ingest Template'!Q113&amp;"|Operations - Core Title"))))</f>
        <v>#|Operations - Core Title
#|Operations - Core Title
</v>
      </c>
      <c r="AH113" s="21"/>
      <c r="AI113" s="21"/>
      <c r="AJ113" s="53" t="str">
        <f>if('Ingest Template'!A113="Standard",'Ingest Template'!N113&amp; "|DAR|DAR|2021-01-01",'Ingest Template'!N113&amp; "|Operations - Core Title|Operations - Core Title")</f>
        <v>#N/A</v>
      </c>
      <c r="AK113" s="53" t="str">
        <f>if('Ingest Template'!A113="Standard",'Ingest Template'!R113&amp; "|2021-01-01",'Ingest Template'!R113)</f>
        <v>#N/A</v>
      </c>
      <c r="AL113" s="21"/>
      <c r="AM113" s="21"/>
    </row>
    <row r="114">
      <c r="A114" s="21"/>
      <c r="B114" s="21" t="str">
        <f>'Ingest Template'!B114&amp;IF('Ingest Template'!A114 = "Standard", " - DAR","")</f>
        <v/>
      </c>
      <c r="C114" s="26" t="s">
        <v>109</v>
      </c>
      <c r="D114" s="29" t="str">
        <f t="array" ref="D114">CONCATENATE(INDEX(DropDown!$H$2:$H$10,MATCH(1,COUNTIF('Ingest Template'!F114,"*"&amp;DropDown!$H$2:$H$10&amp;"*"),0)),CHAR(10),'Ingest Template'!G114)</f>
        <v>#N/A</v>
      </c>
      <c r="E114" s="21" t="str">
        <f>CONCATENATE('Ingest Template'!H114,CHAR(10),'Ingest Template'!I114,CHAR(10),'Ingest Template'!J114)</f>
        <v>
</v>
      </c>
      <c r="F114" s="26" t="str">
        <f>'Ingest Template'!H114</f>
        <v/>
      </c>
      <c r="G114" s="21"/>
      <c r="H114" s="29"/>
      <c r="I114" s="21"/>
      <c r="J114" s="29" t="str">
        <f t="array" ref="J114">iF('Ingest Template'!A114="Standard","Pristine Brand",INDEX(DropDown!$M$2:$M$392,MATCH('Ingest Template'!E114,DropDown!$J$2:$J$392,0)))</f>
        <v>#N/A</v>
      </c>
      <c r="K114" s="21" t="str">
        <f>iF('Ingest Template'!A114="Standard",'Ingest Template'!K114&amp;CHAR(10)&amp;'Ingest Template'!L114,"Competitive View")</f>
        <v>Competitive View</v>
      </c>
      <c r="L114" s="29" t="s">
        <v>146</v>
      </c>
      <c r="M114" s="37" t="str">
        <f>'Ingest Template'!D114</f>
        <v/>
      </c>
      <c r="N114" s="21"/>
      <c r="O114" s="21"/>
      <c r="P114" s="21"/>
      <c r="Q114" s="21"/>
      <c r="R114" s="21" t="str">
        <f>'Ingest Template'!E114</f>
        <v/>
      </c>
      <c r="S114" s="29" t="s">
        <v>153</v>
      </c>
      <c r="T114" s="21" t="str">
        <f>'Ingest Template'!T114</f>
        <v/>
      </c>
      <c r="U114" s="21" t="str">
        <f>'Ingest Template'!S114</f>
        <v/>
      </c>
      <c r="V114" s="21" t="str">
        <f>LOWER(SUBSTITUTE(SUBSTITUTE(SUBSTITUTE(SUBSTITUTE(SUBSTITUTE('Ingest Template'!U114,"https:",""),"www.",""),"/",""),"?hl=en",""),"instagram.com",""))</f>
        <v/>
      </c>
      <c r="W114" s="41" t="str">
        <f t="array" ref="W114">IF('Ingest Template'!V114="",(INDEX(DropDown!$L$2:$L$392,MATCH('Ingest Template'!E114,DropDown!$J$2:$J$392,0))&amp;"|"&amp;'Ingest Template'!B114),(INDEX(DropDown!$L$2:$L$392,MATCH('Ingest Template'!E114,DropDown!$J$2:$J$392,0))&amp;"|"&amp;'Ingest Template'!B114)&amp;CHAR(10)&amp;'Ingest Template'!V114)</f>
        <v>#N/A</v>
      </c>
      <c r="X114" s="41" t="str">
        <f>'Ingest Template'!W114</f>
        <v/>
      </c>
      <c r="Y114" s="21" t="str">
        <f>SUBSTITUTE(SUBSTITUTE(SUBSTITUTE('Ingest Template'!X114,"http:",""),"https:",""),"/","")</f>
        <v/>
      </c>
      <c r="Z114" s="21" t="str">
        <f t="array" ref="Z114">IF('Ingest Template'!A114="Standard",(IF(ISBLANK('Ingest Template'!AA114),"", 'Ingest Template'!AA114&amp;"|DAR")),(IF(ISBLANK('Ingest Template'!AA114),"", 'Ingest Template'!AA114&amp;"|Film Ops")))</f>
        <v/>
      </c>
      <c r="AA114" s="21"/>
      <c r="AB114" s="21" t="str">
        <f>'Ingest Template'!M114</f>
        <v/>
      </c>
      <c r="AC114" s="21" t="str">
        <f>'Ingest Template'!Y114</f>
        <v/>
      </c>
      <c r="AD114" s="21" t="str">
        <f>'Ingest Template'!C114</f>
        <v/>
      </c>
      <c r="AE114" s="21" t="str">
        <f>'Ingest Template'!Z114</f>
        <v/>
      </c>
      <c r="AF114" s="29"/>
      <c r="AG114" s="21" t="str">
        <f t="array" ref="AG114">IF('Ingest Template'!A114="Standard",(CONCATENATE(IF(ISBLANK('Ingest Template'!O114),"", 'Ingest Template'!O114&amp;"|DAR"),CHAR(10), IF(ISBLANK('Ingest Template'!P114),"", 'Ingest Template'!P114&amp;"|DAR"),CHAR(10), IF(ISBLANK('Ingest Template'!Q114),"", 'Ingest Template'!Q114&amp;"|DAR"))),(CONCATENATE(IF(ISBLANK('Ingest Template'!O114),"", 'Ingest Template'!O114&amp;"|Operations - Core Title"),CHAR(10), IF(ISBLANK('Ingest Template'!P114),"", 'Ingest Template'!P114&amp;"|Operations - Core Title"),CHAR(10), IF(ISBLANK('Ingest Template'!Q114),"", 'Ingest Template'!Q114&amp;"|Operations - Core Title"))))</f>
        <v>#|Operations - Core Title
#|Operations - Core Title
</v>
      </c>
      <c r="AH114" s="21"/>
      <c r="AI114" s="21"/>
      <c r="AJ114" s="53" t="str">
        <f>if('Ingest Template'!A114="Standard",'Ingest Template'!N114&amp; "|DAR|DAR|2021-01-01",'Ingest Template'!N114&amp; "|Operations - Core Title|Operations - Core Title")</f>
        <v>#N/A</v>
      </c>
      <c r="AK114" s="53" t="str">
        <f>if('Ingest Template'!A114="Standard",'Ingest Template'!R114&amp; "|2021-01-01",'Ingest Template'!R114)</f>
        <v>#N/A</v>
      </c>
      <c r="AL114" s="21"/>
      <c r="AM114" s="21"/>
    </row>
    <row r="115">
      <c r="A115" s="21"/>
      <c r="B115" s="21" t="str">
        <f>'Ingest Template'!B115&amp;IF('Ingest Template'!A115 = "Standard", " - DAR","")</f>
        <v/>
      </c>
      <c r="C115" s="26" t="s">
        <v>109</v>
      </c>
      <c r="D115" s="29" t="str">
        <f t="array" ref="D115">CONCATENATE(INDEX(DropDown!$H$2:$H$10,MATCH(1,COUNTIF('Ingest Template'!F115,"*"&amp;DropDown!$H$2:$H$10&amp;"*"),0)),CHAR(10),'Ingest Template'!G115)</f>
        <v>#N/A</v>
      </c>
      <c r="E115" s="21" t="str">
        <f>CONCATENATE('Ingest Template'!H115,CHAR(10),'Ingest Template'!I115,CHAR(10),'Ingest Template'!J115)</f>
        <v>
</v>
      </c>
      <c r="F115" s="26" t="str">
        <f>'Ingest Template'!H115</f>
        <v/>
      </c>
      <c r="G115" s="21"/>
      <c r="H115" s="29"/>
      <c r="I115" s="21"/>
      <c r="J115" s="29" t="str">
        <f t="array" ref="J115">iF('Ingest Template'!A115="Standard","Pristine Brand",INDEX(DropDown!$M$2:$M$392,MATCH('Ingest Template'!E115,DropDown!$J$2:$J$392,0)))</f>
        <v>#N/A</v>
      </c>
      <c r="K115" s="21" t="str">
        <f>iF('Ingest Template'!A115="Standard",'Ingest Template'!K115&amp;CHAR(10)&amp;'Ingest Template'!L115,"Competitive View")</f>
        <v>Competitive View</v>
      </c>
      <c r="L115" s="29" t="s">
        <v>146</v>
      </c>
      <c r="M115" s="37" t="str">
        <f>'Ingest Template'!D115</f>
        <v/>
      </c>
      <c r="N115" s="21"/>
      <c r="O115" s="21"/>
      <c r="P115" s="21"/>
      <c r="Q115" s="21"/>
      <c r="R115" s="21" t="str">
        <f>'Ingest Template'!E115</f>
        <v/>
      </c>
      <c r="S115" s="29" t="s">
        <v>153</v>
      </c>
      <c r="T115" s="21" t="str">
        <f>'Ingest Template'!T115</f>
        <v/>
      </c>
      <c r="U115" s="21" t="str">
        <f>'Ingest Template'!S115</f>
        <v/>
      </c>
      <c r="V115" s="21" t="str">
        <f>LOWER(SUBSTITUTE(SUBSTITUTE(SUBSTITUTE(SUBSTITUTE(SUBSTITUTE('Ingest Template'!U115,"https:",""),"www.",""),"/",""),"?hl=en",""),"instagram.com",""))</f>
        <v/>
      </c>
      <c r="W115" s="41" t="str">
        <f t="array" ref="W115">IF('Ingest Template'!V115="",(INDEX(DropDown!$L$2:$L$392,MATCH('Ingest Template'!E115,DropDown!$J$2:$J$392,0))&amp;"|"&amp;'Ingest Template'!B115),(INDEX(DropDown!$L$2:$L$392,MATCH('Ingest Template'!E115,DropDown!$J$2:$J$392,0))&amp;"|"&amp;'Ingest Template'!B115)&amp;CHAR(10)&amp;'Ingest Template'!V115)</f>
        <v>#N/A</v>
      </c>
      <c r="X115" s="41" t="str">
        <f>'Ingest Template'!W115</f>
        <v/>
      </c>
      <c r="Y115" s="21" t="str">
        <f>SUBSTITUTE(SUBSTITUTE(SUBSTITUTE('Ingest Template'!X115,"http:",""),"https:",""),"/","")</f>
        <v/>
      </c>
      <c r="Z115" s="21" t="str">
        <f t="array" ref="Z115">IF('Ingest Template'!A115="Standard",(IF(ISBLANK('Ingest Template'!AA115),"", 'Ingest Template'!AA115&amp;"|DAR")),(IF(ISBLANK('Ingest Template'!AA115),"", 'Ingest Template'!AA115&amp;"|Film Ops")))</f>
        <v/>
      </c>
      <c r="AA115" s="21"/>
      <c r="AB115" s="21" t="str">
        <f>'Ingest Template'!M115</f>
        <v/>
      </c>
      <c r="AC115" s="21" t="str">
        <f>'Ingest Template'!Y115</f>
        <v/>
      </c>
      <c r="AD115" s="21" t="str">
        <f>'Ingest Template'!C115</f>
        <v/>
      </c>
      <c r="AE115" s="21" t="str">
        <f>'Ingest Template'!Z115</f>
        <v/>
      </c>
      <c r="AF115" s="29"/>
      <c r="AG115" s="21" t="str">
        <f t="array" ref="AG115">IF('Ingest Template'!A115="Standard",(CONCATENATE(IF(ISBLANK('Ingest Template'!O115),"", 'Ingest Template'!O115&amp;"|DAR"),CHAR(10), IF(ISBLANK('Ingest Template'!P115),"", 'Ingest Template'!P115&amp;"|DAR"),CHAR(10), IF(ISBLANK('Ingest Template'!Q115),"", 'Ingest Template'!Q115&amp;"|DAR"))),(CONCATENATE(IF(ISBLANK('Ingest Template'!O115),"", 'Ingest Template'!O115&amp;"|Operations - Core Title"),CHAR(10), IF(ISBLANK('Ingest Template'!P115),"", 'Ingest Template'!P115&amp;"|Operations - Core Title"),CHAR(10), IF(ISBLANK('Ingest Template'!Q115),"", 'Ingest Template'!Q115&amp;"|Operations - Core Title"))))</f>
        <v>#|Operations - Core Title
#|Operations - Core Title
</v>
      </c>
      <c r="AH115" s="21"/>
      <c r="AI115" s="21"/>
      <c r="AJ115" s="53" t="str">
        <f>if('Ingest Template'!A115="Standard",'Ingest Template'!N115&amp; "|DAR|DAR|2021-01-01",'Ingest Template'!N115&amp; "|Operations - Core Title|Operations - Core Title")</f>
        <v>#N/A</v>
      </c>
      <c r="AK115" s="53" t="str">
        <f>if('Ingest Template'!A115="Standard",'Ingest Template'!R115&amp; "|2021-01-01",'Ingest Template'!R115)</f>
        <v>#N/A</v>
      </c>
      <c r="AL115" s="21"/>
      <c r="AM115" s="21"/>
    </row>
    <row r="116">
      <c r="A116" s="21"/>
      <c r="B116" s="21" t="str">
        <f>'Ingest Template'!B116&amp;IF('Ingest Template'!A116 = "Standard", " - DAR","")</f>
        <v/>
      </c>
      <c r="C116" s="26" t="s">
        <v>109</v>
      </c>
      <c r="D116" s="29" t="str">
        <f t="array" ref="D116">CONCATENATE(INDEX(DropDown!$H$2:$H$10,MATCH(1,COUNTIF('Ingest Template'!F116,"*"&amp;DropDown!$H$2:$H$10&amp;"*"),0)),CHAR(10),'Ingest Template'!G116)</f>
        <v>#N/A</v>
      </c>
      <c r="E116" s="21" t="str">
        <f>CONCATENATE('Ingest Template'!H116,CHAR(10),'Ingest Template'!I116,CHAR(10),'Ingest Template'!J116)</f>
        <v>
</v>
      </c>
      <c r="F116" s="26" t="str">
        <f>'Ingest Template'!H116</f>
        <v/>
      </c>
      <c r="G116" s="21"/>
      <c r="H116" s="29"/>
      <c r="I116" s="21"/>
      <c r="J116" s="29" t="str">
        <f t="array" ref="J116">iF('Ingest Template'!A116="Standard","Pristine Brand",INDEX(DropDown!$M$2:$M$392,MATCH('Ingest Template'!E116,DropDown!$J$2:$J$392,0)))</f>
        <v>#N/A</v>
      </c>
      <c r="K116" s="21" t="str">
        <f>iF('Ingest Template'!A116="Standard",'Ingest Template'!K116&amp;CHAR(10)&amp;'Ingest Template'!L116,"Competitive View")</f>
        <v>Competitive View</v>
      </c>
      <c r="L116" s="29" t="s">
        <v>146</v>
      </c>
      <c r="M116" s="37" t="str">
        <f>'Ingest Template'!D116</f>
        <v/>
      </c>
      <c r="N116" s="21"/>
      <c r="O116" s="21"/>
      <c r="P116" s="21"/>
      <c r="Q116" s="21"/>
      <c r="R116" s="21" t="str">
        <f>'Ingest Template'!E116</f>
        <v/>
      </c>
      <c r="S116" s="29" t="s">
        <v>153</v>
      </c>
      <c r="T116" s="21" t="str">
        <f>'Ingest Template'!T116</f>
        <v/>
      </c>
      <c r="U116" s="21" t="str">
        <f>'Ingest Template'!S116</f>
        <v/>
      </c>
      <c r="V116" s="21" t="str">
        <f>LOWER(SUBSTITUTE(SUBSTITUTE(SUBSTITUTE(SUBSTITUTE(SUBSTITUTE('Ingest Template'!U116,"https:",""),"www.",""),"/",""),"?hl=en",""),"instagram.com",""))</f>
        <v/>
      </c>
      <c r="W116" s="41" t="str">
        <f t="array" ref="W116">IF('Ingest Template'!V116="",(INDEX(DropDown!$L$2:$L$392,MATCH('Ingest Template'!E116,DropDown!$J$2:$J$392,0))&amp;"|"&amp;'Ingest Template'!B116),(INDEX(DropDown!$L$2:$L$392,MATCH('Ingest Template'!E116,DropDown!$J$2:$J$392,0))&amp;"|"&amp;'Ingest Template'!B116)&amp;CHAR(10)&amp;'Ingest Template'!V116)</f>
        <v>#N/A</v>
      </c>
      <c r="X116" s="41" t="str">
        <f>'Ingest Template'!W116</f>
        <v/>
      </c>
      <c r="Y116" s="21" t="str">
        <f>SUBSTITUTE(SUBSTITUTE(SUBSTITUTE('Ingest Template'!X116,"http:",""),"https:",""),"/","")</f>
        <v/>
      </c>
      <c r="Z116" s="21" t="str">
        <f t="array" ref="Z116">IF('Ingest Template'!A116="Standard",(IF(ISBLANK('Ingest Template'!AA116),"", 'Ingest Template'!AA116&amp;"|DAR")),(IF(ISBLANK('Ingest Template'!AA116),"", 'Ingest Template'!AA116&amp;"|Film Ops")))</f>
        <v/>
      </c>
      <c r="AA116" s="21"/>
      <c r="AB116" s="21" t="str">
        <f>'Ingest Template'!M116</f>
        <v/>
      </c>
      <c r="AC116" s="21" t="str">
        <f>'Ingest Template'!Y116</f>
        <v/>
      </c>
      <c r="AD116" s="21" t="str">
        <f>'Ingest Template'!C116</f>
        <v/>
      </c>
      <c r="AE116" s="21" t="str">
        <f>'Ingest Template'!Z116</f>
        <v/>
      </c>
      <c r="AF116" s="29"/>
      <c r="AG116" s="21" t="str">
        <f t="array" ref="AG116">IF('Ingest Template'!A116="Standard",(CONCATENATE(IF(ISBLANK('Ingest Template'!O116),"", 'Ingest Template'!O116&amp;"|DAR"),CHAR(10), IF(ISBLANK('Ingest Template'!P116),"", 'Ingest Template'!P116&amp;"|DAR"),CHAR(10), IF(ISBLANK('Ingest Template'!Q116),"", 'Ingest Template'!Q116&amp;"|DAR"))),(CONCATENATE(IF(ISBLANK('Ingest Template'!O116),"", 'Ingest Template'!O116&amp;"|Operations - Core Title"),CHAR(10), IF(ISBLANK('Ingest Template'!P116),"", 'Ingest Template'!P116&amp;"|Operations - Core Title"),CHAR(10), IF(ISBLANK('Ingest Template'!Q116),"", 'Ingest Template'!Q116&amp;"|Operations - Core Title"))))</f>
        <v>#|Operations - Core Title
#|Operations - Core Title
</v>
      </c>
      <c r="AH116" s="21"/>
      <c r="AI116" s="21"/>
      <c r="AJ116" s="53" t="str">
        <f>if('Ingest Template'!A116="Standard",'Ingest Template'!N116&amp; "|DAR|DAR|2021-01-01",'Ingest Template'!N116&amp; "|Operations - Core Title|Operations - Core Title")</f>
        <v>#N/A</v>
      </c>
      <c r="AK116" s="53" t="str">
        <f>if('Ingest Template'!A116="Standard",'Ingest Template'!R116&amp; "|2021-01-01",'Ingest Template'!R116)</f>
        <v>#N/A</v>
      </c>
      <c r="AL116" s="21"/>
      <c r="AM116" s="21"/>
    </row>
    <row r="117">
      <c r="A117" s="21"/>
      <c r="B117" s="21" t="str">
        <f>'Ingest Template'!B117&amp;IF('Ingest Template'!A117 = "Standard", " - DAR","")</f>
        <v/>
      </c>
      <c r="C117" s="26" t="s">
        <v>109</v>
      </c>
      <c r="D117" s="29" t="str">
        <f t="array" ref="D117">CONCATENATE(INDEX(DropDown!$H$2:$H$10,MATCH(1,COUNTIF('Ingest Template'!F117,"*"&amp;DropDown!$H$2:$H$10&amp;"*"),0)),CHAR(10),'Ingest Template'!G117)</f>
        <v>#N/A</v>
      </c>
      <c r="E117" s="21" t="str">
        <f>CONCATENATE('Ingest Template'!H117,CHAR(10),'Ingest Template'!I117,CHAR(10),'Ingest Template'!J117)</f>
        <v>
</v>
      </c>
      <c r="F117" s="26" t="str">
        <f>'Ingest Template'!H117</f>
        <v/>
      </c>
      <c r="G117" s="21"/>
      <c r="H117" s="29"/>
      <c r="I117" s="21"/>
      <c r="J117" s="29" t="str">
        <f t="array" ref="J117">iF('Ingest Template'!A117="Standard","Pristine Brand",INDEX(DropDown!$M$2:$M$392,MATCH('Ingest Template'!E117,DropDown!$J$2:$J$392,0)))</f>
        <v>#N/A</v>
      </c>
      <c r="K117" s="21" t="str">
        <f>iF('Ingest Template'!A117="Standard",'Ingest Template'!K117&amp;CHAR(10)&amp;'Ingest Template'!L117,"Competitive View")</f>
        <v>Competitive View</v>
      </c>
      <c r="L117" s="29" t="s">
        <v>146</v>
      </c>
      <c r="M117" s="37" t="str">
        <f>'Ingest Template'!D117</f>
        <v/>
      </c>
      <c r="N117" s="21"/>
      <c r="O117" s="21"/>
      <c r="P117" s="21"/>
      <c r="Q117" s="21"/>
      <c r="R117" s="21" t="str">
        <f>'Ingest Template'!E117</f>
        <v/>
      </c>
      <c r="S117" s="29" t="s">
        <v>153</v>
      </c>
      <c r="T117" s="21" t="str">
        <f>'Ingest Template'!T117</f>
        <v/>
      </c>
      <c r="U117" s="21" t="str">
        <f>'Ingest Template'!S117</f>
        <v/>
      </c>
      <c r="V117" s="21" t="str">
        <f>LOWER(SUBSTITUTE(SUBSTITUTE(SUBSTITUTE(SUBSTITUTE(SUBSTITUTE('Ingest Template'!U117,"https:",""),"www.",""),"/",""),"?hl=en",""),"instagram.com",""))</f>
        <v/>
      </c>
      <c r="W117" s="41" t="str">
        <f t="array" ref="W117">IF('Ingest Template'!V117="",(INDEX(DropDown!$L$2:$L$392,MATCH('Ingest Template'!E117,DropDown!$J$2:$J$392,0))&amp;"|"&amp;'Ingest Template'!B117),(INDEX(DropDown!$L$2:$L$392,MATCH('Ingest Template'!E117,DropDown!$J$2:$J$392,0))&amp;"|"&amp;'Ingest Template'!B117)&amp;CHAR(10)&amp;'Ingest Template'!V117)</f>
        <v>#N/A</v>
      </c>
      <c r="X117" s="41" t="str">
        <f>'Ingest Template'!W117</f>
        <v/>
      </c>
      <c r="Y117" s="21" t="str">
        <f>SUBSTITUTE(SUBSTITUTE(SUBSTITUTE('Ingest Template'!X117,"http:",""),"https:",""),"/","")</f>
        <v/>
      </c>
      <c r="Z117" s="21" t="str">
        <f t="array" ref="Z117">IF('Ingest Template'!A117="Standard",(IF(ISBLANK('Ingest Template'!AA117),"", 'Ingest Template'!AA117&amp;"|DAR")),(IF(ISBLANK('Ingest Template'!AA117),"", 'Ingest Template'!AA117&amp;"|Film Ops")))</f>
        <v/>
      </c>
      <c r="AA117" s="21"/>
      <c r="AB117" s="21" t="str">
        <f>'Ingest Template'!M117</f>
        <v/>
      </c>
      <c r="AC117" s="21" t="str">
        <f>'Ingest Template'!Y117</f>
        <v/>
      </c>
      <c r="AD117" s="21" t="str">
        <f>'Ingest Template'!C117</f>
        <v/>
      </c>
      <c r="AE117" s="21" t="str">
        <f>'Ingest Template'!Z117</f>
        <v/>
      </c>
      <c r="AF117" s="29"/>
      <c r="AG117" s="21" t="str">
        <f t="array" ref="AG117">IF('Ingest Template'!A117="Standard",(CONCATENATE(IF(ISBLANK('Ingest Template'!O117),"", 'Ingest Template'!O117&amp;"|DAR"),CHAR(10), IF(ISBLANK('Ingest Template'!P117),"", 'Ingest Template'!P117&amp;"|DAR"),CHAR(10), IF(ISBLANK('Ingest Template'!Q117),"", 'Ingest Template'!Q117&amp;"|DAR"))),(CONCATENATE(IF(ISBLANK('Ingest Template'!O117),"", 'Ingest Template'!O117&amp;"|Operations - Core Title"),CHAR(10), IF(ISBLANK('Ingest Template'!P117),"", 'Ingest Template'!P117&amp;"|Operations - Core Title"),CHAR(10), IF(ISBLANK('Ingest Template'!Q117),"", 'Ingest Template'!Q117&amp;"|Operations - Core Title"))))</f>
        <v>#|Operations - Core Title
#|Operations - Core Title
</v>
      </c>
      <c r="AH117" s="21"/>
      <c r="AI117" s="21"/>
      <c r="AJ117" s="53" t="str">
        <f>if('Ingest Template'!A117="Standard",'Ingest Template'!N117&amp; "|DAR|DAR|2021-01-01",'Ingest Template'!N117&amp; "|Operations - Core Title|Operations - Core Title")</f>
        <v>#N/A</v>
      </c>
      <c r="AK117" s="53" t="str">
        <f>if('Ingest Template'!A117="Standard",'Ingest Template'!R117&amp; "|2021-01-01",'Ingest Template'!R117)</f>
        <v>#N/A</v>
      </c>
      <c r="AL117" s="21"/>
      <c r="AM117" s="21"/>
    </row>
    <row r="118">
      <c r="A118" s="21"/>
      <c r="B118" s="21" t="str">
        <f>'Ingest Template'!B118&amp;IF('Ingest Template'!A118 = "Standard", " - DAR","")</f>
        <v/>
      </c>
      <c r="C118" s="26" t="s">
        <v>109</v>
      </c>
      <c r="D118" s="29" t="str">
        <f t="array" ref="D118">CONCATENATE(INDEX(DropDown!$H$2:$H$10,MATCH(1,COUNTIF('Ingest Template'!F118,"*"&amp;DropDown!$H$2:$H$10&amp;"*"),0)),CHAR(10),'Ingest Template'!G118)</f>
        <v>#N/A</v>
      </c>
      <c r="E118" s="21" t="str">
        <f>CONCATENATE('Ingest Template'!H118,CHAR(10),'Ingest Template'!I118,CHAR(10),'Ingest Template'!J118)</f>
        <v>
</v>
      </c>
      <c r="F118" s="26" t="str">
        <f>'Ingest Template'!H118</f>
        <v/>
      </c>
      <c r="G118" s="21"/>
      <c r="H118" s="29"/>
      <c r="I118" s="21"/>
      <c r="J118" s="29" t="str">
        <f t="array" ref="J118">iF('Ingest Template'!A118="Standard","Pristine Brand",INDEX(DropDown!$M$2:$M$392,MATCH('Ingest Template'!E118,DropDown!$J$2:$J$392,0)))</f>
        <v>#N/A</v>
      </c>
      <c r="K118" s="21" t="str">
        <f>iF('Ingest Template'!A118="Standard",'Ingest Template'!K118&amp;CHAR(10)&amp;'Ingest Template'!L118,"Competitive View")</f>
        <v>Competitive View</v>
      </c>
      <c r="L118" s="29" t="s">
        <v>146</v>
      </c>
      <c r="M118" s="37" t="str">
        <f>'Ingest Template'!D118</f>
        <v/>
      </c>
      <c r="N118" s="21"/>
      <c r="O118" s="21"/>
      <c r="P118" s="21"/>
      <c r="Q118" s="21"/>
      <c r="R118" s="21" t="str">
        <f>'Ingest Template'!E118</f>
        <v/>
      </c>
      <c r="S118" s="29" t="s">
        <v>153</v>
      </c>
      <c r="T118" s="21" t="str">
        <f>'Ingest Template'!T118</f>
        <v/>
      </c>
      <c r="U118" s="21" t="str">
        <f>'Ingest Template'!S118</f>
        <v/>
      </c>
      <c r="V118" s="21" t="str">
        <f>LOWER(SUBSTITUTE(SUBSTITUTE(SUBSTITUTE(SUBSTITUTE(SUBSTITUTE('Ingest Template'!U118,"https:",""),"www.",""),"/",""),"?hl=en",""),"instagram.com",""))</f>
        <v/>
      </c>
      <c r="W118" s="41" t="str">
        <f t="array" ref="W118">IF('Ingest Template'!V118="",(INDEX(DropDown!$L$2:$L$392,MATCH('Ingest Template'!E118,DropDown!$J$2:$J$392,0))&amp;"|"&amp;'Ingest Template'!B118),(INDEX(DropDown!$L$2:$L$392,MATCH('Ingest Template'!E118,DropDown!$J$2:$J$392,0))&amp;"|"&amp;'Ingest Template'!B118)&amp;CHAR(10)&amp;'Ingest Template'!V118)</f>
        <v>#N/A</v>
      </c>
      <c r="X118" s="41" t="str">
        <f>'Ingest Template'!W118</f>
        <v/>
      </c>
      <c r="Y118" s="21" t="str">
        <f>SUBSTITUTE(SUBSTITUTE(SUBSTITUTE('Ingest Template'!X118,"http:",""),"https:",""),"/","")</f>
        <v/>
      </c>
      <c r="Z118" s="21" t="str">
        <f t="array" ref="Z118">IF('Ingest Template'!A118="Standard",(IF(ISBLANK('Ingest Template'!AA118),"", 'Ingest Template'!AA118&amp;"|DAR")),(IF(ISBLANK('Ingest Template'!AA118),"", 'Ingest Template'!AA118&amp;"|Film Ops")))</f>
        <v/>
      </c>
      <c r="AA118" s="21"/>
      <c r="AB118" s="21" t="str">
        <f>'Ingest Template'!M118</f>
        <v/>
      </c>
      <c r="AC118" s="21" t="str">
        <f>'Ingest Template'!Y118</f>
        <v/>
      </c>
      <c r="AD118" s="21" t="str">
        <f>'Ingest Template'!C118</f>
        <v/>
      </c>
      <c r="AE118" s="21" t="str">
        <f>'Ingest Template'!Z118</f>
        <v/>
      </c>
      <c r="AF118" s="29"/>
      <c r="AG118" s="21" t="str">
        <f t="array" ref="AG118">IF('Ingest Template'!A118="Standard",(CONCATENATE(IF(ISBLANK('Ingest Template'!O118),"", 'Ingest Template'!O118&amp;"|DAR"),CHAR(10), IF(ISBLANK('Ingest Template'!P118),"", 'Ingest Template'!P118&amp;"|DAR"),CHAR(10), IF(ISBLANK('Ingest Template'!Q118),"", 'Ingest Template'!Q118&amp;"|DAR"))),(CONCATENATE(IF(ISBLANK('Ingest Template'!O118),"", 'Ingest Template'!O118&amp;"|Operations - Core Title"),CHAR(10), IF(ISBLANK('Ingest Template'!P118),"", 'Ingest Template'!P118&amp;"|Operations - Core Title"),CHAR(10), IF(ISBLANK('Ingest Template'!Q118),"", 'Ingest Template'!Q118&amp;"|Operations - Core Title"))))</f>
        <v>#|Operations - Core Title
#|Operations - Core Title
</v>
      </c>
      <c r="AH118" s="21"/>
      <c r="AI118" s="21"/>
      <c r="AJ118" s="53" t="str">
        <f>if('Ingest Template'!A118="Standard",'Ingest Template'!N118&amp; "|DAR|DAR|2021-01-01",'Ingest Template'!N118&amp; "|Operations - Core Title|Operations - Core Title")</f>
        <v>#N/A</v>
      </c>
      <c r="AK118" s="53" t="str">
        <f>if('Ingest Template'!A118="Standard",'Ingest Template'!R118&amp; "|2021-01-01",'Ingest Template'!R118)</f>
        <v>#N/A</v>
      </c>
      <c r="AL118" s="21"/>
      <c r="AM118" s="21"/>
    </row>
    <row r="119">
      <c r="A119" s="21"/>
      <c r="B119" s="21" t="str">
        <f>'Ingest Template'!B119&amp;IF('Ingest Template'!A119 = "Standard", " - DAR","")</f>
        <v/>
      </c>
      <c r="C119" s="26" t="s">
        <v>109</v>
      </c>
      <c r="D119" s="29" t="str">
        <f t="array" ref="D119">CONCATENATE(INDEX(DropDown!$H$2:$H$10,MATCH(1,COUNTIF('Ingest Template'!F119,"*"&amp;DropDown!$H$2:$H$10&amp;"*"),0)),CHAR(10),'Ingest Template'!G119)</f>
        <v>#N/A</v>
      </c>
      <c r="E119" s="21" t="str">
        <f>CONCATENATE('Ingest Template'!H119,CHAR(10),'Ingest Template'!I119,CHAR(10),'Ingest Template'!J119)</f>
        <v>
</v>
      </c>
      <c r="F119" s="26" t="str">
        <f>'Ingest Template'!H119</f>
        <v/>
      </c>
      <c r="G119" s="21"/>
      <c r="H119" s="29"/>
      <c r="I119" s="21"/>
      <c r="J119" s="29" t="str">
        <f t="array" ref="J119">iF('Ingest Template'!A119="Standard","Pristine Brand",INDEX(DropDown!$M$2:$M$392,MATCH('Ingest Template'!E119,DropDown!$J$2:$J$392,0)))</f>
        <v>#N/A</v>
      </c>
      <c r="K119" s="21" t="str">
        <f>iF('Ingest Template'!A119="Standard",'Ingest Template'!K119&amp;CHAR(10)&amp;'Ingest Template'!L119,"Competitive View")</f>
        <v>Competitive View</v>
      </c>
      <c r="L119" s="29" t="s">
        <v>146</v>
      </c>
      <c r="M119" s="37" t="str">
        <f>'Ingest Template'!D119</f>
        <v/>
      </c>
      <c r="N119" s="21"/>
      <c r="O119" s="21"/>
      <c r="P119" s="21"/>
      <c r="Q119" s="21"/>
      <c r="R119" s="21" t="str">
        <f>'Ingest Template'!E119</f>
        <v/>
      </c>
      <c r="S119" s="29" t="s">
        <v>153</v>
      </c>
      <c r="T119" s="21" t="str">
        <f>'Ingest Template'!T119</f>
        <v/>
      </c>
      <c r="U119" s="21" t="str">
        <f>'Ingest Template'!S119</f>
        <v/>
      </c>
      <c r="V119" s="21" t="str">
        <f>LOWER(SUBSTITUTE(SUBSTITUTE(SUBSTITUTE(SUBSTITUTE(SUBSTITUTE('Ingest Template'!U119,"https:",""),"www.",""),"/",""),"?hl=en",""),"instagram.com",""))</f>
        <v/>
      </c>
      <c r="W119" s="41" t="str">
        <f t="array" ref="W119">IF('Ingest Template'!V119="",(INDEX(DropDown!$L$2:$L$392,MATCH('Ingest Template'!E119,DropDown!$J$2:$J$392,0))&amp;"|"&amp;'Ingest Template'!B119),(INDEX(DropDown!$L$2:$L$392,MATCH('Ingest Template'!E119,DropDown!$J$2:$J$392,0))&amp;"|"&amp;'Ingest Template'!B119)&amp;CHAR(10)&amp;'Ingest Template'!V119)</f>
        <v>#N/A</v>
      </c>
      <c r="X119" s="41" t="str">
        <f>'Ingest Template'!W119</f>
        <v/>
      </c>
      <c r="Y119" s="21" t="str">
        <f>SUBSTITUTE(SUBSTITUTE(SUBSTITUTE('Ingest Template'!X119,"http:",""),"https:",""),"/","")</f>
        <v/>
      </c>
      <c r="Z119" s="21" t="str">
        <f t="array" ref="Z119">IF('Ingest Template'!A119="Standard",(IF(ISBLANK('Ingest Template'!AA119),"", 'Ingest Template'!AA119&amp;"|DAR")),(IF(ISBLANK('Ingest Template'!AA119),"", 'Ingest Template'!AA119&amp;"|Film Ops")))</f>
        <v/>
      </c>
      <c r="AA119" s="21"/>
      <c r="AB119" s="21" t="str">
        <f>'Ingest Template'!M119</f>
        <v/>
      </c>
      <c r="AC119" s="21" t="str">
        <f>'Ingest Template'!Y119</f>
        <v/>
      </c>
      <c r="AD119" s="21" t="str">
        <f>'Ingest Template'!C119</f>
        <v/>
      </c>
      <c r="AE119" s="21" t="str">
        <f>'Ingest Template'!Z119</f>
        <v/>
      </c>
      <c r="AF119" s="29"/>
      <c r="AG119" s="21" t="str">
        <f t="array" ref="AG119">IF('Ingest Template'!A119="Standard",(CONCATENATE(IF(ISBLANK('Ingest Template'!O119),"", 'Ingest Template'!O119&amp;"|DAR"),CHAR(10), IF(ISBLANK('Ingest Template'!P119),"", 'Ingest Template'!P119&amp;"|DAR"),CHAR(10), IF(ISBLANK('Ingest Template'!Q119),"", 'Ingest Template'!Q119&amp;"|DAR"))),(CONCATENATE(IF(ISBLANK('Ingest Template'!O119),"", 'Ingest Template'!O119&amp;"|Operations - Core Title"),CHAR(10), IF(ISBLANK('Ingest Template'!P119),"", 'Ingest Template'!P119&amp;"|Operations - Core Title"),CHAR(10), IF(ISBLANK('Ingest Template'!Q119),"", 'Ingest Template'!Q119&amp;"|Operations - Core Title"))))</f>
        <v>#|Operations - Core Title
#|Operations - Core Title
</v>
      </c>
      <c r="AH119" s="21"/>
      <c r="AI119" s="21"/>
      <c r="AJ119" s="53" t="str">
        <f>if('Ingest Template'!A119="Standard",'Ingest Template'!N119&amp; "|DAR|DAR|2021-01-01",'Ingest Template'!N119&amp; "|Operations - Core Title|Operations - Core Title")</f>
        <v>#N/A</v>
      </c>
      <c r="AK119" s="53" t="str">
        <f>if('Ingest Template'!A119="Standard",'Ingest Template'!R119&amp; "|2021-01-01",'Ingest Template'!R119)</f>
        <v>#N/A</v>
      </c>
      <c r="AL119" s="21"/>
      <c r="AM119" s="21"/>
    </row>
    <row r="120">
      <c r="A120" s="21"/>
      <c r="B120" s="21" t="str">
        <f>'Ingest Template'!B120&amp;IF('Ingest Template'!A120 = "Standard", " - DAR","")</f>
        <v/>
      </c>
      <c r="C120" s="26" t="s">
        <v>109</v>
      </c>
      <c r="D120" s="29" t="str">
        <f t="array" ref="D120">CONCATENATE(INDEX(DropDown!$H$2:$H$10,MATCH(1,COUNTIF('Ingest Template'!F120,"*"&amp;DropDown!$H$2:$H$10&amp;"*"),0)),CHAR(10),'Ingest Template'!G120)</f>
        <v>#N/A</v>
      </c>
      <c r="E120" s="21" t="str">
        <f>CONCATENATE('Ingest Template'!H120,CHAR(10),'Ingest Template'!I120,CHAR(10),'Ingest Template'!J120)</f>
        <v>
</v>
      </c>
      <c r="F120" s="26" t="str">
        <f>'Ingest Template'!H120</f>
        <v/>
      </c>
      <c r="G120" s="21"/>
      <c r="H120" s="29"/>
      <c r="I120" s="21"/>
      <c r="J120" s="29" t="str">
        <f t="array" ref="J120">iF('Ingest Template'!A120="Standard","Pristine Brand",INDEX(DropDown!$M$2:$M$392,MATCH('Ingest Template'!E120,DropDown!$J$2:$J$392,0)))</f>
        <v>#N/A</v>
      </c>
      <c r="K120" s="21" t="str">
        <f>iF('Ingest Template'!A120="Standard",'Ingest Template'!K120&amp;CHAR(10)&amp;'Ingest Template'!L120,"Competitive View")</f>
        <v>Competitive View</v>
      </c>
      <c r="L120" s="29" t="s">
        <v>146</v>
      </c>
      <c r="M120" s="37" t="str">
        <f>'Ingest Template'!D120</f>
        <v/>
      </c>
      <c r="N120" s="21"/>
      <c r="O120" s="21"/>
      <c r="P120" s="21"/>
      <c r="Q120" s="21"/>
      <c r="R120" s="21" t="str">
        <f>'Ingest Template'!E120</f>
        <v/>
      </c>
      <c r="S120" s="29" t="s">
        <v>153</v>
      </c>
      <c r="T120" s="21" t="str">
        <f>'Ingest Template'!T120</f>
        <v/>
      </c>
      <c r="U120" s="21" t="str">
        <f>'Ingest Template'!S120</f>
        <v/>
      </c>
      <c r="V120" s="21" t="str">
        <f>LOWER(SUBSTITUTE(SUBSTITUTE(SUBSTITUTE(SUBSTITUTE(SUBSTITUTE('Ingest Template'!U120,"https:",""),"www.",""),"/",""),"?hl=en",""),"instagram.com",""))</f>
        <v/>
      </c>
      <c r="W120" s="41" t="str">
        <f t="array" ref="W120">IF('Ingest Template'!V120="",(INDEX(DropDown!$L$2:$L$392,MATCH('Ingest Template'!E120,DropDown!$J$2:$J$392,0))&amp;"|"&amp;'Ingest Template'!B120),(INDEX(DropDown!$L$2:$L$392,MATCH('Ingest Template'!E120,DropDown!$J$2:$J$392,0))&amp;"|"&amp;'Ingest Template'!B120)&amp;CHAR(10)&amp;'Ingest Template'!V120)</f>
        <v>#N/A</v>
      </c>
      <c r="X120" s="41" t="str">
        <f>'Ingest Template'!W120</f>
        <v/>
      </c>
      <c r="Y120" s="21" t="str">
        <f>SUBSTITUTE(SUBSTITUTE(SUBSTITUTE('Ingest Template'!X120,"http:",""),"https:",""),"/","")</f>
        <v/>
      </c>
      <c r="Z120" s="21" t="str">
        <f t="array" ref="Z120">IF('Ingest Template'!A120="Standard",(IF(ISBLANK('Ingest Template'!AA120),"", 'Ingest Template'!AA120&amp;"|DAR")),(IF(ISBLANK('Ingest Template'!AA120),"", 'Ingest Template'!AA120&amp;"|Film Ops")))</f>
        <v/>
      </c>
      <c r="AA120" s="21"/>
      <c r="AB120" s="21" t="str">
        <f>'Ingest Template'!M120</f>
        <v/>
      </c>
      <c r="AC120" s="21" t="str">
        <f>'Ingest Template'!Y120</f>
        <v/>
      </c>
      <c r="AD120" s="21" t="str">
        <f>'Ingest Template'!C120</f>
        <v/>
      </c>
      <c r="AE120" s="21" t="str">
        <f>'Ingest Template'!Z120</f>
        <v/>
      </c>
      <c r="AF120" s="29"/>
      <c r="AG120" s="21" t="str">
        <f t="array" ref="AG120">IF('Ingest Template'!A120="Standard",(CONCATENATE(IF(ISBLANK('Ingest Template'!O120),"", 'Ingest Template'!O120&amp;"|DAR"),CHAR(10), IF(ISBLANK('Ingest Template'!P120),"", 'Ingest Template'!P120&amp;"|DAR"),CHAR(10), IF(ISBLANK('Ingest Template'!Q120),"", 'Ingest Template'!Q120&amp;"|DAR"))),(CONCATENATE(IF(ISBLANK('Ingest Template'!O120),"", 'Ingest Template'!O120&amp;"|Operations - Core Title"),CHAR(10), IF(ISBLANK('Ingest Template'!P120),"", 'Ingest Template'!P120&amp;"|Operations - Core Title"),CHAR(10), IF(ISBLANK('Ingest Template'!Q120),"", 'Ingest Template'!Q120&amp;"|Operations - Core Title"))))</f>
        <v>#|Operations - Core Title
#|Operations - Core Title
</v>
      </c>
      <c r="AH120" s="21"/>
      <c r="AI120" s="21"/>
      <c r="AJ120" s="53" t="str">
        <f>if('Ingest Template'!A120="Standard",'Ingest Template'!N120&amp; "|DAR|DAR|2021-01-01",'Ingest Template'!N120&amp; "|Operations - Core Title|Operations - Core Title")</f>
        <v>#N/A</v>
      </c>
      <c r="AK120" s="53" t="str">
        <f>if('Ingest Template'!A120="Standard",'Ingest Template'!R120&amp; "|2021-01-01",'Ingest Template'!R120)</f>
        <v>#N/A</v>
      </c>
      <c r="AL120" s="21"/>
      <c r="AM120" s="21"/>
    </row>
    <row r="121">
      <c r="A121" s="21"/>
      <c r="B121" s="21" t="str">
        <f>'Ingest Template'!B121&amp;IF('Ingest Template'!A121 = "Standard", " - DAR","")</f>
        <v/>
      </c>
      <c r="C121" s="26" t="s">
        <v>109</v>
      </c>
      <c r="D121" s="29" t="str">
        <f t="array" ref="D121">CONCATENATE(INDEX(DropDown!$H$2:$H$10,MATCH(1,COUNTIF('Ingest Template'!F121,"*"&amp;DropDown!$H$2:$H$10&amp;"*"),0)),CHAR(10),'Ingest Template'!G121)</f>
        <v>#N/A</v>
      </c>
      <c r="E121" s="21" t="str">
        <f>CONCATENATE('Ingest Template'!H121,CHAR(10),'Ingest Template'!I121,CHAR(10),'Ingest Template'!J121)</f>
        <v>
</v>
      </c>
      <c r="F121" s="26" t="str">
        <f>'Ingest Template'!H121</f>
        <v/>
      </c>
      <c r="G121" s="21"/>
      <c r="H121" s="29"/>
      <c r="I121" s="21"/>
      <c r="J121" s="29" t="str">
        <f t="array" ref="J121">iF('Ingest Template'!A121="Standard","Pristine Brand",INDEX(DropDown!$M$2:$M$392,MATCH('Ingest Template'!E121,DropDown!$J$2:$J$392,0)))</f>
        <v>#N/A</v>
      </c>
      <c r="K121" s="21" t="str">
        <f>iF('Ingest Template'!A121="Standard",'Ingest Template'!K121&amp;CHAR(10)&amp;'Ingest Template'!L121,"Competitive View")</f>
        <v>Competitive View</v>
      </c>
      <c r="L121" s="29" t="s">
        <v>146</v>
      </c>
      <c r="M121" s="37" t="str">
        <f>'Ingest Template'!D121</f>
        <v/>
      </c>
      <c r="N121" s="21"/>
      <c r="O121" s="21"/>
      <c r="P121" s="21"/>
      <c r="Q121" s="21"/>
      <c r="R121" s="21" t="str">
        <f>'Ingest Template'!E121</f>
        <v/>
      </c>
      <c r="S121" s="29" t="s">
        <v>153</v>
      </c>
      <c r="T121" s="21" t="str">
        <f>'Ingest Template'!T121</f>
        <v/>
      </c>
      <c r="U121" s="21" t="str">
        <f>'Ingest Template'!S121</f>
        <v/>
      </c>
      <c r="V121" s="21" t="str">
        <f>LOWER(SUBSTITUTE(SUBSTITUTE(SUBSTITUTE(SUBSTITUTE(SUBSTITUTE('Ingest Template'!U121,"https:",""),"www.",""),"/",""),"?hl=en",""),"instagram.com",""))</f>
        <v/>
      </c>
      <c r="W121" s="41" t="str">
        <f t="array" ref="W121">IF('Ingest Template'!V121="",(INDEX(DropDown!$L$2:$L$392,MATCH('Ingest Template'!E121,DropDown!$J$2:$J$392,0))&amp;"|"&amp;'Ingest Template'!B121),(INDEX(DropDown!$L$2:$L$392,MATCH('Ingest Template'!E121,DropDown!$J$2:$J$392,0))&amp;"|"&amp;'Ingest Template'!B121)&amp;CHAR(10)&amp;'Ingest Template'!V121)</f>
        <v>#N/A</v>
      </c>
      <c r="X121" s="41" t="str">
        <f>'Ingest Template'!W121</f>
        <v/>
      </c>
      <c r="Y121" s="21" t="str">
        <f>SUBSTITUTE(SUBSTITUTE(SUBSTITUTE('Ingest Template'!X121,"http:",""),"https:",""),"/","")</f>
        <v/>
      </c>
      <c r="Z121" s="21" t="str">
        <f t="array" ref="Z121">IF('Ingest Template'!A121="Standard",(IF(ISBLANK('Ingest Template'!AA121),"", 'Ingest Template'!AA121&amp;"|DAR")),(IF(ISBLANK('Ingest Template'!AA121),"", 'Ingest Template'!AA121&amp;"|Film Ops")))</f>
        <v/>
      </c>
      <c r="AA121" s="21"/>
      <c r="AB121" s="21" t="str">
        <f>'Ingest Template'!M121</f>
        <v/>
      </c>
      <c r="AC121" s="21" t="str">
        <f>'Ingest Template'!Y121</f>
        <v/>
      </c>
      <c r="AD121" s="21" t="str">
        <f>'Ingest Template'!C121</f>
        <v/>
      </c>
      <c r="AE121" s="21" t="str">
        <f>'Ingest Template'!Z121</f>
        <v/>
      </c>
      <c r="AF121" s="29"/>
      <c r="AG121" s="21" t="str">
        <f t="array" ref="AG121">IF('Ingest Template'!A121="Standard",(CONCATENATE(IF(ISBLANK('Ingest Template'!O121),"", 'Ingest Template'!O121&amp;"|DAR"),CHAR(10), IF(ISBLANK('Ingest Template'!P121),"", 'Ingest Template'!P121&amp;"|DAR"),CHAR(10), IF(ISBLANK('Ingest Template'!Q121),"", 'Ingest Template'!Q121&amp;"|DAR"))),(CONCATENATE(IF(ISBLANK('Ingest Template'!O121),"", 'Ingest Template'!O121&amp;"|Operations - Core Title"),CHAR(10), IF(ISBLANK('Ingest Template'!P121),"", 'Ingest Template'!P121&amp;"|Operations - Core Title"),CHAR(10), IF(ISBLANK('Ingest Template'!Q121),"", 'Ingest Template'!Q121&amp;"|Operations - Core Title"))))</f>
        <v>#|Operations - Core Title
#|Operations - Core Title
</v>
      </c>
      <c r="AH121" s="21"/>
      <c r="AI121" s="21"/>
      <c r="AJ121" s="53" t="str">
        <f>if('Ingest Template'!A121="Standard",'Ingest Template'!N121&amp; "|DAR|DAR|2021-01-01",'Ingest Template'!N121&amp; "|Operations - Core Title|Operations - Core Title")</f>
        <v>#N/A</v>
      </c>
      <c r="AK121" s="53" t="str">
        <f>if('Ingest Template'!A121="Standard",'Ingest Template'!R121&amp; "|2021-01-01",'Ingest Template'!R121)</f>
        <v>#N/A</v>
      </c>
      <c r="AL121" s="21"/>
      <c r="AM121" s="21"/>
    </row>
    <row r="122">
      <c r="A122" s="21"/>
      <c r="B122" s="21" t="str">
        <f>'Ingest Template'!B122&amp;IF('Ingest Template'!A122 = "Standard", " - DAR","")</f>
        <v/>
      </c>
      <c r="C122" s="26" t="s">
        <v>109</v>
      </c>
      <c r="D122" s="29" t="str">
        <f t="array" ref="D122">CONCATENATE(INDEX(DropDown!$H$2:$H$10,MATCH(1,COUNTIF('Ingest Template'!F122,"*"&amp;DropDown!$H$2:$H$10&amp;"*"),0)),CHAR(10),'Ingest Template'!G122)</f>
        <v>#N/A</v>
      </c>
      <c r="E122" s="21" t="str">
        <f>CONCATENATE('Ingest Template'!H122,CHAR(10),'Ingest Template'!I122,CHAR(10),'Ingest Template'!J122)</f>
        <v>
</v>
      </c>
      <c r="F122" s="26" t="str">
        <f>'Ingest Template'!H122</f>
        <v/>
      </c>
      <c r="G122" s="21"/>
      <c r="H122" s="29"/>
      <c r="I122" s="21"/>
      <c r="J122" s="29" t="str">
        <f t="array" ref="J122">iF('Ingest Template'!A122="Standard","Pristine Brand",INDEX(DropDown!$M$2:$M$392,MATCH('Ingest Template'!E122,DropDown!$J$2:$J$392,0)))</f>
        <v>#N/A</v>
      </c>
      <c r="K122" s="21" t="str">
        <f>iF('Ingest Template'!A122="Standard",'Ingest Template'!K122&amp;CHAR(10)&amp;'Ingest Template'!L122,"Competitive View")</f>
        <v>Competitive View</v>
      </c>
      <c r="L122" s="29" t="s">
        <v>146</v>
      </c>
      <c r="M122" s="37" t="str">
        <f>'Ingest Template'!D122</f>
        <v/>
      </c>
      <c r="N122" s="21"/>
      <c r="O122" s="21"/>
      <c r="P122" s="21"/>
      <c r="Q122" s="21"/>
      <c r="R122" s="21" t="str">
        <f>'Ingest Template'!E122</f>
        <v/>
      </c>
      <c r="S122" s="29" t="s">
        <v>153</v>
      </c>
      <c r="T122" s="21" t="str">
        <f>'Ingest Template'!T122</f>
        <v/>
      </c>
      <c r="U122" s="21" t="str">
        <f>'Ingest Template'!S122</f>
        <v/>
      </c>
      <c r="V122" s="21" t="str">
        <f>LOWER(SUBSTITUTE(SUBSTITUTE(SUBSTITUTE(SUBSTITUTE(SUBSTITUTE('Ingest Template'!U122,"https:",""),"www.",""),"/",""),"?hl=en",""),"instagram.com",""))</f>
        <v/>
      </c>
      <c r="W122" s="41" t="str">
        <f t="array" ref="W122">IF('Ingest Template'!V122="",(INDEX(DropDown!$L$2:$L$392,MATCH('Ingest Template'!E122,DropDown!$J$2:$J$392,0))&amp;"|"&amp;'Ingest Template'!B122),(INDEX(DropDown!$L$2:$L$392,MATCH('Ingest Template'!E122,DropDown!$J$2:$J$392,0))&amp;"|"&amp;'Ingest Template'!B122)&amp;CHAR(10)&amp;'Ingest Template'!V122)</f>
        <v>#N/A</v>
      </c>
      <c r="X122" s="41" t="str">
        <f>'Ingest Template'!W122</f>
        <v/>
      </c>
      <c r="Y122" s="21" t="str">
        <f>SUBSTITUTE(SUBSTITUTE(SUBSTITUTE('Ingest Template'!X122,"http:",""),"https:",""),"/","")</f>
        <v/>
      </c>
      <c r="Z122" s="21" t="str">
        <f t="array" ref="Z122">IF('Ingest Template'!A122="Standard",(IF(ISBLANK('Ingest Template'!AA122),"", 'Ingest Template'!AA122&amp;"|DAR")),(IF(ISBLANK('Ingest Template'!AA122),"", 'Ingest Template'!AA122&amp;"|Film Ops")))</f>
        <v/>
      </c>
      <c r="AA122" s="21"/>
      <c r="AB122" s="21" t="str">
        <f>'Ingest Template'!M122</f>
        <v/>
      </c>
      <c r="AC122" s="21" t="str">
        <f>'Ingest Template'!Y122</f>
        <v/>
      </c>
      <c r="AD122" s="21" t="str">
        <f>'Ingest Template'!C122</f>
        <v/>
      </c>
      <c r="AE122" s="21" t="str">
        <f>'Ingest Template'!Z122</f>
        <v/>
      </c>
      <c r="AF122" s="29"/>
      <c r="AG122" s="21" t="str">
        <f t="array" ref="AG122">IF('Ingest Template'!A122="Standard",(CONCATENATE(IF(ISBLANK('Ingest Template'!O122),"", 'Ingest Template'!O122&amp;"|DAR"),CHAR(10), IF(ISBLANK('Ingest Template'!P122),"", 'Ingest Template'!P122&amp;"|DAR"),CHAR(10), IF(ISBLANK('Ingest Template'!Q122),"", 'Ingest Template'!Q122&amp;"|DAR"))),(CONCATENATE(IF(ISBLANK('Ingest Template'!O122),"", 'Ingest Template'!O122&amp;"|Operations - Core Title"),CHAR(10), IF(ISBLANK('Ingest Template'!P122),"", 'Ingest Template'!P122&amp;"|Operations - Core Title"),CHAR(10), IF(ISBLANK('Ingest Template'!Q122),"", 'Ingest Template'!Q122&amp;"|Operations - Core Title"))))</f>
        <v>#|Operations - Core Title
#|Operations - Core Title
</v>
      </c>
      <c r="AH122" s="21"/>
      <c r="AI122" s="21"/>
      <c r="AJ122" s="53" t="str">
        <f>if('Ingest Template'!A122="Standard",'Ingest Template'!N122&amp; "|DAR|DAR|2021-01-01",'Ingest Template'!N122&amp; "|Operations - Core Title|Operations - Core Title")</f>
        <v>#N/A</v>
      </c>
      <c r="AK122" s="53" t="str">
        <f>if('Ingest Template'!A122="Standard",'Ingest Template'!R122&amp; "|2021-01-01",'Ingest Template'!R122)</f>
        <v>#N/A</v>
      </c>
      <c r="AL122" s="21"/>
      <c r="AM122" s="21"/>
    </row>
    <row r="123">
      <c r="A123" s="21"/>
      <c r="B123" s="21" t="str">
        <f>'Ingest Template'!B123&amp;IF('Ingest Template'!A123 = "Standard", " - DAR","")</f>
        <v/>
      </c>
      <c r="C123" s="26" t="s">
        <v>109</v>
      </c>
      <c r="D123" s="29" t="str">
        <f t="array" ref="D123">CONCATENATE(INDEX(DropDown!$H$2:$H$10,MATCH(1,COUNTIF('Ingest Template'!F123,"*"&amp;DropDown!$H$2:$H$10&amp;"*"),0)),CHAR(10),'Ingest Template'!G123)</f>
        <v>#N/A</v>
      </c>
      <c r="E123" s="21" t="str">
        <f>CONCATENATE('Ingest Template'!H123,CHAR(10),'Ingest Template'!I123,CHAR(10),'Ingest Template'!J123)</f>
        <v>
</v>
      </c>
      <c r="F123" s="26" t="str">
        <f>'Ingest Template'!H123</f>
        <v/>
      </c>
      <c r="G123" s="21"/>
      <c r="H123" s="29"/>
      <c r="I123" s="21"/>
      <c r="J123" s="29" t="str">
        <f t="array" ref="J123">iF('Ingest Template'!A123="Standard","Pristine Brand",INDEX(DropDown!$M$2:$M$392,MATCH('Ingest Template'!E123,DropDown!$J$2:$J$392,0)))</f>
        <v>#N/A</v>
      </c>
      <c r="K123" s="21" t="str">
        <f>iF('Ingest Template'!A123="Standard",'Ingest Template'!K123&amp;CHAR(10)&amp;'Ingest Template'!L123,"Competitive View")</f>
        <v>Competitive View</v>
      </c>
      <c r="L123" s="29" t="s">
        <v>146</v>
      </c>
      <c r="M123" s="37" t="str">
        <f>'Ingest Template'!D123</f>
        <v/>
      </c>
      <c r="N123" s="21"/>
      <c r="O123" s="21"/>
      <c r="P123" s="21"/>
      <c r="Q123" s="21"/>
      <c r="R123" s="21" t="str">
        <f>'Ingest Template'!E123</f>
        <v/>
      </c>
      <c r="S123" s="29" t="s">
        <v>153</v>
      </c>
      <c r="T123" s="21" t="str">
        <f>'Ingest Template'!T123</f>
        <v/>
      </c>
      <c r="U123" s="21" t="str">
        <f>'Ingest Template'!S123</f>
        <v/>
      </c>
      <c r="V123" s="21" t="str">
        <f>LOWER(SUBSTITUTE(SUBSTITUTE(SUBSTITUTE(SUBSTITUTE(SUBSTITUTE('Ingest Template'!U123,"https:",""),"www.",""),"/",""),"?hl=en",""),"instagram.com",""))</f>
        <v/>
      </c>
      <c r="W123" s="41" t="str">
        <f t="array" ref="W123">IF('Ingest Template'!V123="",(INDEX(DropDown!$L$2:$L$392,MATCH('Ingest Template'!E123,DropDown!$J$2:$J$392,0))&amp;"|"&amp;'Ingest Template'!B123),(INDEX(DropDown!$L$2:$L$392,MATCH('Ingest Template'!E123,DropDown!$J$2:$J$392,0))&amp;"|"&amp;'Ingest Template'!B123)&amp;CHAR(10)&amp;'Ingest Template'!V123)</f>
        <v>#N/A</v>
      </c>
      <c r="X123" s="41" t="str">
        <f>'Ingest Template'!W123</f>
        <v/>
      </c>
      <c r="Y123" s="21" t="str">
        <f>SUBSTITUTE(SUBSTITUTE(SUBSTITUTE('Ingest Template'!X123,"http:",""),"https:",""),"/","")</f>
        <v/>
      </c>
      <c r="Z123" s="21" t="str">
        <f t="array" ref="Z123">IF('Ingest Template'!A123="Standard",(IF(ISBLANK('Ingest Template'!AA123),"", 'Ingest Template'!AA123&amp;"|DAR")),(IF(ISBLANK('Ingest Template'!AA123),"", 'Ingest Template'!AA123&amp;"|Film Ops")))</f>
        <v/>
      </c>
      <c r="AA123" s="21"/>
      <c r="AB123" s="21" t="str">
        <f>'Ingest Template'!M123</f>
        <v/>
      </c>
      <c r="AC123" s="21" t="str">
        <f>'Ingest Template'!Y123</f>
        <v/>
      </c>
      <c r="AD123" s="21" t="str">
        <f>'Ingest Template'!C123</f>
        <v/>
      </c>
      <c r="AE123" s="21" t="str">
        <f>'Ingest Template'!Z123</f>
        <v/>
      </c>
      <c r="AF123" s="29"/>
      <c r="AG123" s="21" t="str">
        <f t="array" ref="AG123">IF('Ingest Template'!A123="Standard",(CONCATENATE(IF(ISBLANK('Ingest Template'!O123),"", 'Ingest Template'!O123&amp;"|DAR"),CHAR(10), IF(ISBLANK('Ingest Template'!P123),"", 'Ingest Template'!P123&amp;"|DAR"),CHAR(10), IF(ISBLANK('Ingest Template'!Q123),"", 'Ingest Template'!Q123&amp;"|DAR"))),(CONCATENATE(IF(ISBLANK('Ingest Template'!O123),"", 'Ingest Template'!O123&amp;"|Operations - Core Title"),CHAR(10), IF(ISBLANK('Ingest Template'!P123),"", 'Ingest Template'!P123&amp;"|Operations - Core Title"),CHAR(10), IF(ISBLANK('Ingest Template'!Q123),"", 'Ingest Template'!Q123&amp;"|Operations - Core Title"))))</f>
        <v>#|Operations - Core Title
#|Operations - Core Title
</v>
      </c>
      <c r="AH123" s="21"/>
      <c r="AI123" s="21"/>
      <c r="AJ123" s="53" t="str">
        <f>if('Ingest Template'!A123="Standard",'Ingest Template'!N123&amp; "|DAR|DAR|2021-01-01",'Ingest Template'!N123&amp; "|Operations - Core Title|Operations - Core Title")</f>
        <v>#N/A</v>
      </c>
      <c r="AK123" s="53" t="str">
        <f>if('Ingest Template'!A123="Standard",'Ingest Template'!R123&amp; "|2021-01-01",'Ingest Template'!R123)</f>
        <v>#N/A</v>
      </c>
      <c r="AL123" s="21"/>
      <c r="AM123" s="21"/>
    </row>
    <row r="124">
      <c r="A124" s="21"/>
      <c r="B124" s="21" t="str">
        <f>'Ingest Template'!B124&amp;IF('Ingest Template'!A124 = "Standard", " - DAR","")</f>
        <v/>
      </c>
      <c r="C124" s="26" t="s">
        <v>109</v>
      </c>
      <c r="D124" s="29" t="str">
        <f t="array" ref="D124">CONCATENATE(INDEX(DropDown!$H$2:$H$10,MATCH(1,COUNTIF('Ingest Template'!F124,"*"&amp;DropDown!$H$2:$H$10&amp;"*"),0)),CHAR(10),'Ingest Template'!G124)</f>
        <v>#N/A</v>
      </c>
      <c r="E124" s="21" t="str">
        <f>CONCATENATE('Ingest Template'!H124,CHAR(10),'Ingest Template'!I124,CHAR(10),'Ingest Template'!J124)</f>
        <v>
</v>
      </c>
      <c r="F124" s="26" t="str">
        <f>'Ingest Template'!H124</f>
        <v/>
      </c>
      <c r="G124" s="21"/>
      <c r="H124" s="29"/>
      <c r="I124" s="21"/>
      <c r="J124" s="29" t="str">
        <f t="array" ref="J124">iF('Ingest Template'!A124="Standard","Pristine Brand",INDEX(DropDown!$M$2:$M$392,MATCH('Ingest Template'!E124,DropDown!$J$2:$J$392,0)))</f>
        <v>#N/A</v>
      </c>
      <c r="K124" s="21" t="str">
        <f>iF('Ingest Template'!A124="Standard",'Ingest Template'!K124&amp;CHAR(10)&amp;'Ingest Template'!L124,"Competitive View")</f>
        <v>Competitive View</v>
      </c>
      <c r="L124" s="29" t="s">
        <v>146</v>
      </c>
      <c r="M124" s="37" t="str">
        <f>'Ingest Template'!D124</f>
        <v/>
      </c>
      <c r="N124" s="21"/>
      <c r="O124" s="21"/>
      <c r="P124" s="21"/>
      <c r="Q124" s="21"/>
      <c r="R124" s="21" t="str">
        <f>'Ingest Template'!E124</f>
        <v/>
      </c>
      <c r="S124" s="29" t="s">
        <v>153</v>
      </c>
      <c r="T124" s="21" t="str">
        <f>'Ingest Template'!T124</f>
        <v/>
      </c>
      <c r="U124" s="21" t="str">
        <f>'Ingest Template'!S124</f>
        <v/>
      </c>
      <c r="V124" s="21" t="str">
        <f>LOWER(SUBSTITUTE(SUBSTITUTE(SUBSTITUTE(SUBSTITUTE(SUBSTITUTE('Ingest Template'!U124,"https:",""),"www.",""),"/",""),"?hl=en",""),"instagram.com",""))</f>
        <v/>
      </c>
      <c r="W124" s="41" t="str">
        <f t="array" ref="W124">IF('Ingest Template'!V124="",(INDEX(DropDown!$L$2:$L$392,MATCH('Ingest Template'!E124,DropDown!$J$2:$J$392,0))&amp;"|"&amp;'Ingest Template'!B124),(INDEX(DropDown!$L$2:$L$392,MATCH('Ingest Template'!E124,DropDown!$J$2:$J$392,0))&amp;"|"&amp;'Ingest Template'!B124)&amp;CHAR(10)&amp;'Ingest Template'!V124)</f>
        <v>#N/A</v>
      </c>
      <c r="X124" s="41" t="str">
        <f>'Ingest Template'!W124</f>
        <v/>
      </c>
      <c r="Y124" s="21" t="str">
        <f>SUBSTITUTE(SUBSTITUTE(SUBSTITUTE('Ingest Template'!X124,"http:",""),"https:",""),"/","")</f>
        <v/>
      </c>
      <c r="Z124" s="21" t="str">
        <f t="array" ref="Z124">IF('Ingest Template'!A124="Standard",(IF(ISBLANK('Ingest Template'!AA124),"", 'Ingest Template'!AA124&amp;"|DAR")),(IF(ISBLANK('Ingest Template'!AA124),"", 'Ingest Template'!AA124&amp;"|Film Ops")))</f>
        <v/>
      </c>
      <c r="AA124" s="21"/>
      <c r="AB124" s="21" t="str">
        <f>'Ingest Template'!M124</f>
        <v/>
      </c>
      <c r="AC124" s="21" t="str">
        <f>'Ingest Template'!Y124</f>
        <v/>
      </c>
      <c r="AD124" s="21" t="str">
        <f>'Ingest Template'!C124</f>
        <v/>
      </c>
      <c r="AE124" s="21" t="str">
        <f>'Ingest Template'!Z124</f>
        <v/>
      </c>
      <c r="AF124" s="29"/>
      <c r="AG124" s="21" t="str">
        <f t="array" ref="AG124">IF('Ingest Template'!A124="Standard",(CONCATENATE(IF(ISBLANK('Ingest Template'!O124),"", 'Ingest Template'!O124&amp;"|DAR"),CHAR(10), IF(ISBLANK('Ingest Template'!P124),"", 'Ingest Template'!P124&amp;"|DAR"),CHAR(10), IF(ISBLANK('Ingest Template'!Q124),"", 'Ingest Template'!Q124&amp;"|DAR"))),(CONCATENATE(IF(ISBLANK('Ingest Template'!O124),"", 'Ingest Template'!O124&amp;"|Operations - Core Title"),CHAR(10), IF(ISBLANK('Ingest Template'!P124),"", 'Ingest Template'!P124&amp;"|Operations - Core Title"),CHAR(10), IF(ISBLANK('Ingest Template'!Q124),"", 'Ingest Template'!Q124&amp;"|Operations - Core Title"))))</f>
        <v>#|Operations - Core Title
#|Operations - Core Title
</v>
      </c>
      <c r="AH124" s="21"/>
      <c r="AI124" s="21"/>
      <c r="AJ124" s="53" t="str">
        <f>if('Ingest Template'!A124="Standard",'Ingest Template'!N124&amp; "|DAR|DAR|2021-01-01",'Ingest Template'!N124&amp; "|Operations - Core Title|Operations - Core Title")</f>
        <v>#N/A</v>
      </c>
      <c r="AK124" s="53" t="str">
        <f>if('Ingest Template'!A124="Standard",'Ingest Template'!R124&amp; "|2021-01-01",'Ingest Template'!R124)</f>
        <v>#N/A</v>
      </c>
      <c r="AL124" s="21"/>
      <c r="AM124" s="21"/>
    </row>
    <row r="125">
      <c r="A125" s="21"/>
      <c r="B125" s="21" t="str">
        <f>'Ingest Template'!B125&amp;IF('Ingest Template'!A125 = "Standard", " - DAR","")</f>
        <v/>
      </c>
      <c r="C125" s="26" t="s">
        <v>109</v>
      </c>
      <c r="D125" s="29" t="str">
        <f t="array" ref="D125">CONCATENATE(INDEX(DropDown!$H$2:$H$10,MATCH(1,COUNTIF('Ingest Template'!F125,"*"&amp;DropDown!$H$2:$H$10&amp;"*"),0)),CHAR(10),'Ingest Template'!G125)</f>
        <v>#N/A</v>
      </c>
      <c r="E125" s="21" t="str">
        <f>CONCATENATE('Ingest Template'!H125,CHAR(10),'Ingest Template'!I125,CHAR(10),'Ingest Template'!J125)</f>
        <v>
</v>
      </c>
      <c r="F125" s="26" t="str">
        <f>'Ingest Template'!H125</f>
        <v/>
      </c>
      <c r="G125" s="21"/>
      <c r="H125" s="29"/>
      <c r="I125" s="21"/>
      <c r="J125" s="29" t="str">
        <f t="array" ref="J125">iF('Ingest Template'!A125="Standard","Pristine Brand",INDEX(DropDown!$M$2:$M$392,MATCH('Ingest Template'!E125,DropDown!$J$2:$J$392,0)))</f>
        <v>#N/A</v>
      </c>
      <c r="K125" s="21" t="str">
        <f>iF('Ingest Template'!A125="Standard",'Ingest Template'!K125&amp;CHAR(10)&amp;'Ingest Template'!L125,"Competitive View")</f>
        <v>Competitive View</v>
      </c>
      <c r="L125" s="29" t="s">
        <v>146</v>
      </c>
      <c r="M125" s="37" t="str">
        <f>'Ingest Template'!D125</f>
        <v/>
      </c>
      <c r="N125" s="21"/>
      <c r="O125" s="21"/>
      <c r="P125" s="21"/>
      <c r="Q125" s="21"/>
      <c r="R125" s="21" t="str">
        <f>'Ingest Template'!E125</f>
        <v/>
      </c>
      <c r="S125" s="29" t="s">
        <v>153</v>
      </c>
      <c r="T125" s="21" t="str">
        <f>'Ingest Template'!T125</f>
        <v/>
      </c>
      <c r="U125" s="21" t="str">
        <f>'Ingest Template'!S125</f>
        <v/>
      </c>
      <c r="V125" s="21" t="str">
        <f>LOWER(SUBSTITUTE(SUBSTITUTE(SUBSTITUTE(SUBSTITUTE(SUBSTITUTE('Ingest Template'!U125,"https:",""),"www.",""),"/",""),"?hl=en",""),"instagram.com",""))</f>
        <v/>
      </c>
      <c r="W125" s="41" t="str">
        <f t="array" ref="W125">IF('Ingest Template'!V125="",(INDEX(DropDown!$L$2:$L$392,MATCH('Ingest Template'!E125,DropDown!$J$2:$J$392,0))&amp;"|"&amp;'Ingest Template'!B125),(INDEX(DropDown!$L$2:$L$392,MATCH('Ingest Template'!E125,DropDown!$J$2:$J$392,0))&amp;"|"&amp;'Ingest Template'!B125)&amp;CHAR(10)&amp;'Ingest Template'!V125)</f>
        <v>#N/A</v>
      </c>
      <c r="X125" s="41" t="str">
        <f>'Ingest Template'!W125</f>
        <v/>
      </c>
      <c r="Y125" s="21" t="str">
        <f>SUBSTITUTE(SUBSTITUTE(SUBSTITUTE('Ingest Template'!X125,"http:",""),"https:",""),"/","")</f>
        <v/>
      </c>
      <c r="Z125" s="21" t="str">
        <f t="array" ref="Z125">IF('Ingest Template'!A125="Standard",(IF(ISBLANK('Ingest Template'!AA125),"", 'Ingest Template'!AA125&amp;"|DAR")),(IF(ISBLANK('Ingest Template'!AA125),"", 'Ingest Template'!AA125&amp;"|Film Ops")))</f>
        <v/>
      </c>
      <c r="AA125" s="21"/>
      <c r="AB125" s="21" t="str">
        <f>'Ingest Template'!M125</f>
        <v/>
      </c>
      <c r="AC125" s="21" t="str">
        <f>'Ingest Template'!Y125</f>
        <v/>
      </c>
      <c r="AD125" s="21" t="str">
        <f>'Ingest Template'!C125</f>
        <v/>
      </c>
      <c r="AE125" s="21" t="str">
        <f>'Ingest Template'!Z125</f>
        <v/>
      </c>
      <c r="AF125" s="29"/>
      <c r="AG125" s="21" t="str">
        <f t="array" ref="AG125">IF('Ingest Template'!A125="Standard",(CONCATENATE(IF(ISBLANK('Ingest Template'!O125),"", 'Ingest Template'!O125&amp;"|DAR"),CHAR(10), IF(ISBLANK('Ingest Template'!P125),"", 'Ingest Template'!P125&amp;"|DAR"),CHAR(10), IF(ISBLANK('Ingest Template'!Q125),"", 'Ingest Template'!Q125&amp;"|DAR"))),(CONCATENATE(IF(ISBLANK('Ingest Template'!O125),"", 'Ingest Template'!O125&amp;"|Operations - Core Title"),CHAR(10), IF(ISBLANK('Ingest Template'!P125),"", 'Ingest Template'!P125&amp;"|Operations - Core Title"),CHAR(10), IF(ISBLANK('Ingest Template'!Q125),"", 'Ingest Template'!Q125&amp;"|Operations - Core Title"))))</f>
        <v>#|Operations - Core Title
#|Operations - Core Title
</v>
      </c>
      <c r="AH125" s="21"/>
      <c r="AI125" s="21"/>
      <c r="AJ125" s="53" t="str">
        <f>if('Ingest Template'!A125="Standard",'Ingest Template'!N125&amp; "|DAR|DAR|2021-01-01",'Ingest Template'!N125&amp; "|Operations - Core Title|Operations - Core Title")</f>
        <v>#N/A</v>
      </c>
      <c r="AK125" s="53" t="str">
        <f>if('Ingest Template'!A125="Standard",'Ingest Template'!R125&amp; "|2021-01-01",'Ingest Template'!R125)</f>
        <v>#N/A</v>
      </c>
      <c r="AL125" s="21"/>
      <c r="AM125" s="21"/>
    </row>
    <row r="126">
      <c r="A126" s="21"/>
      <c r="B126" s="21" t="str">
        <f>'Ingest Template'!B126&amp;IF('Ingest Template'!A126 = "Standard", " - DAR","")</f>
        <v/>
      </c>
      <c r="C126" s="26" t="s">
        <v>109</v>
      </c>
      <c r="D126" s="29" t="str">
        <f t="array" ref="D126">CONCATENATE(INDEX(DropDown!$H$2:$H$10,MATCH(1,COUNTIF('Ingest Template'!F126,"*"&amp;DropDown!$H$2:$H$10&amp;"*"),0)),CHAR(10),'Ingest Template'!G126)</f>
        <v>#N/A</v>
      </c>
      <c r="E126" s="21" t="str">
        <f>CONCATENATE('Ingest Template'!H126,CHAR(10),'Ingest Template'!I126,CHAR(10),'Ingest Template'!J126)</f>
        <v>
</v>
      </c>
      <c r="F126" s="26" t="str">
        <f>'Ingest Template'!H126</f>
        <v/>
      </c>
      <c r="G126" s="21"/>
      <c r="H126" s="29"/>
      <c r="I126" s="21"/>
      <c r="J126" s="29" t="str">
        <f t="array" ref="J126">iF('Ingest Template'!A126="Standard","Pristine Brand",INDEX(DropDown!$M$2:$M$392,MATCH('Ingest Template'!E126,DropDown!$J$2:$J$392,0)))</f>
        <v>#N/A</v>
      </c>
      <c r="K126" s="21" t="str">
        <f>iF('Ingest Template'!A126="Standard",'Ingest Template'!K126&amp;CHAR(10)&amp;'Ingest Template'!L126,"Competitive View")</f>
        <v>Competitive View</v>
      </c>
      <c r="L126" s="29" t="s">
        <v>146</v>
      </c>
      <c r="M126" s="37" t="str">
        <f>'Ingest Template'!D126</f>
        <v/>
      </c>
      <c r="N126" s="21"/>
      <c r="O126" s="21"/>
      <c r="P126" s="21"/>
      <c r="Q126" s="21"/>
      <c r="R126" s="21" t="str">
        <f>'Ingest Template'!E126</f>
        <v/>
      </c>
      <c r="S126" s="29" t="s">
        <v>153</v>
      </c>
      <c r="T126" s="21" t="str">
        <f>'Ingest Template'!T126</f>
        <v/>
      </c>
      <c r="U126" s="21" t="str">
        <f>'Ingest Template'!S126</f>
        <v/>
      </c>
      <c r="V126" s="21" t="str">
        <f>LOWER(SUBSTITUTE(SUBSTITUTE(SUBSTITUTE(SUBSTITUTE(SUBSTITUTE('Ingest Template'!U126,"https:",""),"www.",""),"/",""),"?hl=en",""),"instagram.com",""))</f>
        <v/>
      </c>
      <c r="W126" s="41" t="str">
        <f t="array" ref="W126">IF('Ingest Template'!V126="",(INDEX(DropDown!$L$2:$L$392,MATCH('Ingest Template'!E126,DropDown!$J$2:$J$392,0))&amp;"|"&amp;'Ingest Template'!B126),(INDEX(DropDown!$L$2:$L$392,MATCH('Ingest Template'!E126,DropDown!$J$2:$J$392,0))&amp;"|"&amp;'Ingest Template'!B126)&amp;CHAR(10)&amp;'Ingest Template'!V126)</f>
        <v>#N/A</v>
      </c>
      <c r="X126" s="41" t="str">
        <f>'Ingest Template'!W126</f>
        <v/>
      </c>
      <c r="Y126" s="21" t="str">
        <f>SUBSTITUTE(SUBSTITUTE(SUBSTITUTE('Ingest Template'!X126,"http:",""),"https:",""),"/","")</f>
        <v/>
      </c>
      <c r="Z126" s="21" t="str">
        <f t="array" ref="Z126">IF('Ingest Template'!A126="Standard",(IF(ISBLANK('Ingest Template'!AA126),"", 'Ingest Template'!AA126&amp;"|DAR")),(IF(ISBLANK('Ingest Template'!AA126),"", 'Ingest Template'!AA126&amp;"|Film Ops")))</f>
        <v/>
      </c>
      <c r="AA126" s="21"/>
      <c r="AB126" s="21" t="str">
        <f>'Ingest Template'!M126</f>
        <v/>
      </c>
      <c r="AC126" s="21" t="str">
        <f>'Ingest Template'!Y126</f>
        <v/>
      </c>
      <c r="AD126" s="21" t="str">
        <f>'Ingest Template'!C126</f>
        <v/>
      </c>
      <c r="AE126" s="21" t="str">
        <f>'Ingest Template'!Z126</f>
        <v/>
      </c>
      <c r="AF126" s="29"/>
      <c r="AG126" s="21" t="str">
        <f t="array" ref="AG126">IF('Ingest Template'!A126="Standard",(CONCATENATE(IF(ISBLANK('Ingest Template'!O126),"", 'Ingest Template'!O126&amp;"|DAR"),CHAR(10), IF(ISBLANK('Ingest Template'!P126),"", 'Ingest Template'!P126&amp;"|DAR"),CHAR(10), IF(ISBLANK('Ingest Template'!Q126),"", 'Ingest Template'!Q126&amp;"|DAR"))),(CONCATENATE(IF(ISBLANK('Ingest Template'!O126),"", 'Ingest Template'!O126&amp;"|Operations - Core Title"),CHAR(10), IF(ISBLANK('Ingest Template'!P126),"", 'Ingest Template'!P126&amp;"|Operations - Core Title"),CHAR(10), IF(ISBLANK('Ingest Template'!Q126),"", 'Ingest Template'!Q126&amp;"|Operations - Core Title"))))</f>
        <v>#|Operations - Core Title
#|Operations - Core Title
</v>
      </c>
      <c r="AH126" s="21"/>
      <c r="AI126" s="21"/>
      <c r="AJ126" s="53" t="str">
        <f>if('Ingest Template'!A126="Standard",'Ingest Template'!N126&amp; "|DAR|DAR|2021-01-01",'Ingest Template'!N126&amp; "|Operations - Core Title|Operations - Core Title")</f>
        <v>#N/A</v>
      </c>
      <c r="AK126" s="53" t="str">
        <f>if('Ingest Template'!A126="Standard",'Ingest Template'!R126&amp; "|2021-01-01",'Ingest Template'!R126)</f>
        <v>#N/A</v>
      </c>
      <c r="AL126" s="21"/>
      <c r="AM126" s="21"/>
    </row>
    <row r="127">
      <c r="A127" s="21"/>
      <c r="B127" s="21" t="str">
        <f>'Ingest Template'!B127&amp;IF('Ingest Template'!A127 = "Standard", " - DAR","")</f>
        <v/>
      </c>
      <c r="C127" s="26" t="s">
        <v>109</v>
      </c>
      <c r="D127" s="29" t="str">
        <f t="array" ref="D127">CONCATENATE(INDEX(DropDown!$H$2:$H$10,MATCH(1,COUNTIF('Ingest Template'!F127,"*"&amp;DropDown!$H$2:$H$10&amp;"*"),0)),CHAR(10),'Ingest Template'!G127)</f>
        <v>#N/A</v>
      </c>
      <c r="E127" s="21" t="str">
        <f>CONCATENATE('Ingest Template'!H127,CHAR(10),'Ingest Template'!I127,CHAR(10),'Ingest Template'!J127)</f>
        <v>
</v>
      </c>
      <c r="F127" s="26" t="str">
        <f>'Ingest Template'!H127</f>
        <v/>
      </c>
      <c r="G127" s="21"/>
      <c r="H127" s="29"/>
      <c r="I127" s="21"/>
      <c r="J127" s="29" t="str">
        <f t="array" ref="J127">iF('Ingest Template'!A127="Standard","Pristine Brand",INDEX(DropDown!$M$2:$M$392,MATCH('Ingest Template'!E127,DropDown!$J$2:$J$392,0)))</f>
        <v>#N/A</v>
      </c>
      <c r="K127" s="21" t="str">
        <f>iF('Ingest Template'!A127="Standard",'Ingest Template'!K127&amp;CHAR(10)&amp;'Ingest Template'!L127,"Competitive View")</f>
        <v>Competitive View</v>
      </c>
      <c r="L127" s="29" t="s">
        <v>146</v>
      </c>
      <c r="M127" s="37" t="str">
        <f>'Ingest Template'!D127</f>
        <v/>
      </c>
      <c r="N127" s="21"/>
      <c r="O127" s="21"/>
      <c r="P127" s="21"/>
      <c r="Q127" s="21"/>
      <c r="R127" s="21" t="str">
        <f>'Ingest Template'!E127</f>
        <v/>
      </c>
      <c r="S127" s="29" t="s">
        <v>153</v>
      </c>
      <c r="T127" s="21" t="str">
        <f>'Ingest Template'!T127</f>
        <v/>
      </c>
      <c r="U127" s="21" t="str">
        <f>'Ingest Template'!S127</f>
        <v/>
      </c>
      <c r="V127" s="21" t="str">
        <f>LOWER(SUBSTITUTE(SUBSTITUTE(SUBSTITUTE(SUBSTITUTE(SUBSTITUTE('Ingest Template'!U127,"https:",""),"www.",""),"/",""),"?hl=en",""),"instagram.com",""))</f>
        <v/>
      </c>
      <c r="W127" s="41" t="str">
        <f t="array" ref="W127">IF('Ingest Template'!V127="",(INDEX(DropDown!$L$2:$L$392,MATCH('Ingest Template'!E127,DropDown!$J$2:$J$392,0))&amp;"|"&amp;'Ingest Template'!B127),(INDEX(DropDown!$L$2:$L$392,MATCH('Ingest Template'!E127,DropDown!$J$2:$J$392,0))&amp;"|"&amp;'Ingest Template'!B127)&amp;CHAR(10)&amp;'Ingest Template'!V127)</f>
        <v>#N/A</v>
      </c>
      <c r="X127" s="41" t="str">
        <f>'Ingest Template'!W127</f>
        <v/>
      </c>
      <c r="Y127" s="21" t="str">
        <f>SUBSTITUTE(SUBSTITUTE(SUBSTITUTE('Ingest Template'!X127,"http:",""),"https:",""),"/","")</f>
        <v/>
      </c>
      <c r="Z127" s="21" t="str">
        <f t="array" ref="Z127">IF('Ingest Template'!A127="Standard",(IF(ISBLANK('Ingest Template'!AA127),"", 'Ingest Template'!AA127&amp;"|DAR")),(IF(ISBLANK('Ingest Template'!AA127),"", 'Ingest Template'!AA127&amp;"|Film Ops")))</f>
        <v/>
      </c>
      <c r="AA127" s="21"/>
      <c r="AB127" s="21" t="str">
        <f>'Ingest Template'!M127</f>
        <v/>
      </c>
      <c r="AC127" s="21" t="str">
        <f>'Ingest Template'!Y127</f>
        <v/>
      </c>
      <c r="AD127" s="21" t="str">
        <f>'Ingest Template'!C127</f>
        <v/>
      </c>
      <c r="AE127" s="21" t="str">
        <f>'Ingest Template'!Z127</f>
        <v/>
      </c>
      <c r="AF127" s="29"/>
      <c r="AG127" s="21" t="str">
        <f t="array" ref="AG127">IF('Ingest Template'!A127="Standard",(CONCATENATE(IF(ISBLANK('Ingest Template'!O127),"", 'Ingest Template'!O127&amp;"|DAR"),CHAR(10), IF(ISBLANK('Ingest Template'!P127),"", 'Ingest Template'!P127&amp;"|DAR"),CHAR(10), IF(ISBLANK('Ingest Template'!Q127),"", 'Ingest Template'!Q127&amp;"|DAR"))),(CONCATENATE(IF(ISBLANK('Ingest Template'!O127),"", 'Ingest Template'!O127&amp;"|Operations - Core Title"),CHAR(10), IF(ISBLANK('Ingest Template'!P127),"", 'Ingest Template'!P127&amp;"|Operations - Core Title"),CHAR(10), IF(ISBLANK('Ingest Template'!Q127),"", 'Ingest Template'!Q127&amp;"|Operations - Core Title"))))</f>
        <v>#|Operations - Core Title
#|Operations - Core Title
</v>
      </c>
      <c r="AH127" s="21"/>
      <c r="AI127" s="21"/>
      <c r="AJ127" s="53" t="str">
        <f>if('Ingest Template'!A127="Standard",'Ingest Template'!N127&amp; "|DAR|DAR|2021-01-01",'Ingest Template'!N127&amp; "|Operations - Core Title|Operations - Core Title")</f>
        <v>#N/A</v>
      </c>
      <c r="AK127" s="53" t="str">
        <f>if('Ingest Template'!A127="Standard",'Ingest Template'!R127&amp; "|2021-01-01",'Ingest Template'!R127)</f>
        <v>#N/A</v>
      </c>
      <c r="AL127" s="21"/>
      <c r="AM127" s="21"/>
    </row>
    <row r="128">
      <c r="A128" s="21"/>
      <c r="B128" s="21" t="str">
        <f>'Ingest Template'!B128&amp;IF('Ingest Template'!A128 = "Standard", " - DAR","")</f>
        <v/>
      </c>
      <c r="C128" s="26" t="s">
        <v>109</v>
      </c>
      <c r="D128" s="29" t="str">
        <f t="array" ref="D128">CONCATENATE(INDEX(DropDown!$H$2:$H$10,MATCH(1,COUNTIF('Ingest Template'!F128,"*"&amp;DropDown!$H$2:$H$10&amp;"*"),0)),CHAR(10),'Ingest Template'!G128)</f>
        <v>#N/A</v>
      </c>
      <c r="E128" s="21" t="str">
        <f>CONCATENATE('Ingest Template'!H128,CHAR(10),'Ingest Template'!I128,CHAR(10),'Ingest Template'!J128)</f>
        <v>
</v>
      </c>
      <c r="F128" s="26" t="str">
        <f>'Ingest Template'!H128</f>
        <v/>
      </c>
      <c r="G128" s="21"/>
      <c r="H128" s="29"/>
      <c r="I128" s="21"/>
      <c r="J128" s="29" t="str">
        <f t="array" ref="J128">iF('Ingest Template'!A128="Standard","Pristine Brand",INDEX(DropDown!$M$2:$M$392,MATCH('Ingest Template'!E128,DropDown!$J$2:$J$392,0)))</f>
        <v>#N/A</v>
      </c>
      <c r="K128" s="21" t="str">
        <f>iF('Ingest Template'!A128="Standard",'Ingest Template'!K128&amp;CHAR(10)&amp;'Ingest Template'!L128,"Competitive View")</f>
        <v>Competitive View</v>
      </c>
      <c r="L128" s="29" t="s">
        <v>146</v>
      </c>
      <c r="M128" s="37" t="str">
        <f>'Ingest Template'!D128</f>
        <v/>
      </c>
      <c r="N128" s="21"/>
      <c r="O128" s="21"/>
      <c r="P128" s="21"/>
      <c r="Q128" s="21"/>
      <c r="R128" s="21" t="str">
        <f>'Ingest Template'!E128</f>
        <v/>
      </c>
      <c r="S128" s="29" t="s">
        <v>153</v>
      </c>
      <c r="T128" s="21" t="str">
        <f>'Ingest Template'!T128</f>
        <v/>
      </c>
      <c r="U128" s="21" t="str">
        <f>'Ingest Template'!S128</f>
        <v/>
      </c>
      <c r="V128" s="21" t="str">
        <f>LOWER(SUBSTITUTE(SUBSTITUTE(SUBSTITUTE(SUBSTITUTE(SUBSTITUTE('Ingest Template'!U128,"https:",""),"www.",""),"/",""),"?hl=en",""),"instagram.com",""))</f>
        <v/>
      </c>
      <c r="W128" s="41" t="str">
        <f t="array" ref="W128">IF('Ingest Template'!V128="",(INDEX(DropDown!$L$2:$L$392,MATCH('Ingest Template'!E128,DropDown!$J$2:$J$392,0))&amp;"|"&amp;'Ingest Template'!B128),(INDEX(DropDown!$L$2:$L$392,MATCH('Ingest Template'!E128,DropDown!$J$2:$J$392,0))&amp;"|"&amp;'Ingest Template'!B128)&amp;CHAR(10)&amp;'Ingest Template'!V128)</f>
        <v>#N/A</v>
      </c>
      <c r="X128" s="41" t="str">
        <f>'Ingest Template'!W128</f>
        <v/>
      </c>
      <c r="Y128" s="21" t="str">
        <f>SUBSTITUTE(SUBSTITUTE(SUBSTITUTE('Ingest Template'!X128,"http:",""),"https:",""),"/","")</f>
        <v/>
      </c>
      <c r="Z128" s="21" t="str">
        <f t="array" ref="Z128">IF('Ingest Template'!A128="Standard",(IF(ISBLANK('Ingest Template'!AA128),"", 'Ingest Template'!AA128&amp;"|DAR")),(IF(ISBLANK('Ingest Template'!AA128),"", 'Ingest Template'!AA128&amp;"|Film Ops")))</f>
        <v/>
      </c>
      <c r="AA128" s="21"/>
      <c r="AB128" s="21" t="str">
        <f>'Ingest Template'!M128</f>
        <v/>
      </c>
      <c r="AC128" s="21" t="str">
        <f>'Ingest Template'!Y128</f>
        <v/>
      </c>
      <c r="AD128" s="21" t="str">
        <f>'Ingest Template'!C128</f>
        <v/>
      </c>
      <c r="AE128" s="21" t="str">
        <f>'Ingest Template'!Z128</f>
        <v/>
      </c>
      <c r="AF128" s="29"/>
      <c r="AG128" s="21" t="str">
        <f t="array" ref="AG128">IF('Ingest Template'!A128="Standard",(CONCATENATE(IF(ISBLANK('Ingest Template'!O128),"", 'Ingest Template'!O128&amp;"|DAR"),CHAR(10), IF(ISBLANK('Ingest Template'!P128),"", 'Ingest Template'!P128&amp;"|DAR"),CHAR(10), IF(ISBLANK('Ingest Template'!Q128),"", 'Ingest Template'!Q128&amp;"|DAR"))),(CONCATENATE(IF(ISBLANK('Ingest Template'!O128),"", 'Ingest Template'!O128&amp;"|Operations - Core Title"),CHAR(10), IF(ISBLANK('Ingest Template'!P128),"", 'Ingest Template'!P128&amp;"|Operations - Core Title"),CHAR(10), IF(ISBLANK('Ingest Template'!Q128),"", 'Ingest Template'!Q128&amp;"|Operations - Core Title"))))</f>
        <v>#|Operations - Core Title
#|Operations - Core Title
</v>
      </c>
      <c r="AH128" s="21"/>
      <c r="AI128" s="21"/>
      <c r="AJ128" s="53" t="str">
        <f>if('Ingest Template'!A128="Standard",'Ingest Template'!N128&amp; "|DAR|DAR|2021-01-01",'Ingest Template'!N128&amp; "|Operations - Core Title|Operations - Core Title")</f>
        <v>#N/A</v>
      </c>
      <c r="AK128" s="53" t="str">
        <f>if('Ingest Template'!A128="Standard",'Ingest Template'!R128&amp; "|2021-01-01",'Ingest Template'!R128)</f>
        <v>#N/A</v>
      </c>
      <c r="AL128" s="21"/>
      <c r="AM128" s="21"/>
    </row>
    <row r="129">
      <c r="A129" s="21"/>
      <c r="B129" s="21" t="str">
        <f>'Ingest Template'!B129&amp;IF('Ingest Template'!A129 = "Standard", " - DAR","")</f>
        <v/>
      </c>
      <c r="C129" s="26" t="s">
        <v>109</v>
      </c>
      <c r="D129" s="29" t="str">
        <f t="array" ref="D129">CONCATENATE(INDEX(DropDown!$H$2:$H$10,MATCH(1,COUNTIF('Ingest Template'!F129,"*"&amp;DropDown!$H$2:$H$10&amp;"*"),0)),CHAR(10),'Ingest Template'!G129)</f>
        <v>#N/A</v>
      </c>
      <c r="E129" s="21" t="str">
        <f>CONCATENATE('Ingest Template'!H129,CHAR(10),'Ingest Template'!I129,CHAR(10),'Ingest Template'!J129)</f>
        <v>
</v>
      </c>
      <c r="F129" s="26" t="str">
        <f>'Ingest Template'!H129</f>
        <v/>
      </c>
      <c r="G129" s="21"/>
      <c r="H129" s="29"/>
      <c r="I129" s="21"/>
      <c r="J129" s="29" t="str">
        <f t="array" ref="J129">iF('Ingest Template'!A129="Standard","Pristine Brand",INDEX(DropDown!$M$2:$M$392,MATCH('Ingest Template'!E129,DropDown!$J$2:$J$392,0)))</f>
        <v>#N/A</v>
      </c>
      <c r="K129" s="21" t="str">
        <f>iF('Ingest Template'!A129="Standard",'Ingest Template'!K129&amp;CHAR(10)&amp;'Ingest Template'!L129,"Competitive View")</f>
        <v>Competitive View</v>
      </c>
      <c r="L129" s="29" t="s">
        <v>146</v>
      </c>
      <c r="M129" s="37" t="str">
        <f>'Ingest Template'!D129</f>
        <v/>
      </c>
      <c r="N129" s="21"/>
      <c r="O129" s="21"/>
      <c r="P129" s="21"/>
      <c r="Q129" s="21"/>
      <c r="R129" s="21" t="str">
        <f>'Ingest Template'!E129</f>
        <v/>
      </c>
      <c r="S129" s="29" t="s">
        <v>153</v>
      </c>
      <c r="T129" s="21" t="str">
        <f>'Ingest Template'!T129</f>
        <v/>
      </c>
      <c r="U129" s="21" t="str">
        <f>'Ingest Template'!S129</f>
        <v/>
      </c>
      <c r="V129" s="21" t="str">
        <f>LOWER(SUBSTITUTE(SUBSTITUTE(SUBSTITUTE(SUBSTITUTE(SUBSTITUTE('Ingest Template'!U129,"https:",""),"www.",""),"/",""),"?hl=en",""),"instagram.com",""))</f>
        <v/>
      </c>
      <c r="W129" s="41" t="str">
        <f t="array" ref="W129">IF('Ingest Template'!V129="",(INDEX(DropDown!$L$2:$L$392,MATCH('Ingest Template'!E129,DropDown!$J$2:$J$392,0))&amp;"|"&amp;'Ingest Template'!B129),(INDEX(DropDown!$L$2:$L$392,MATCH('Ingest Template'!E129,DropDown!$J$2:$J$392,0))&amp;"|"&amp;'Ingest Template'!B129)&amp;CHAR(10)&amp;'Ingest Template'!V129)</f>
        <v>#N/A</v>
      </c>
      <c r="X129" s="41" t="str">
        <f>'Ingest Template'!W129</f>
        <v/>
      </c>
      <c r="Y129" s="21" t="str">
        <f>SUBSTITUTE(SUBSTITUTE(SUBSTITUTE('Ingest Template'!X129,"http:",""),"https:",""),"/","")</f>
        <v/>
      </c>
      <c r="Z129" s="21" t="str">
        <f t="array" ref="Z129">IF('Ingest Template'!A129="Standard",(IF(ISBLANK('Ingest Template'!AA129),"", 'Ingest Template'!AA129&amp;"|DAR")),(IF(ISBLANK('Ingest Template'!AA129),"", 'Ingest Template'!AA129&amp;"|Film Ops")))</f>
        <v/>
      </c>
      <c r="AA129" s="21"/>
      <c r="AB129" s="21" t="str">
        <f>'Ingest Template'!M129</f>
        <v/>
      </c>
      <c r="AC129" s="21" t="str">
        <f>'Ingest Template'!Y129</f>
        <v/>
      </c>
      <c r="AD129" s="21" t="str">
        <f>'Ingest Template'!C129</f>
        <v/>
      </c>
      <c r="AE129" s="21" t="str">
        <f>'Ingest Template'!Z129</f>
        <v/>
      </c>
      <c r="AF129" s="29"/>
      <c r="AG129" s="21" t="str">
        <f t="array" ref="AG129">IF('Ingest Template'!A129="Standard",(CONCATENATE(IF(ISBLANK('Ingest Template'!O129),"", 'Ingest Template'!O129&amp;"|DAR"),CHAR(10), IF(ISBLANK('Ingest Template'!P129),"", 'Ingest Template'!P129&amp;"|DAR"),CHAR(10), IF(ISBLANK('Ingest Template'!Q129),"", 'Ingest Template'!Q129&amp;"|DAR"))),(CONCATENATE(IF(ISBLANK('Ingest Template'!O129),"", 'Ingest Template'!O129&amp;"|Operations - Core Title"),CHAR(10), IF(ISBLANK('Ingest Template'!P129),"", 'Ingest Template'!P129&amp;"|Operations - Core Title"),CHAR(10), IF(ISBLANK('Ingest Template'!Q129),"", 'Ingest Template'!Q129&amp;"|Operations - Core Title"))))</f>
        <v>#|Operations - Core Title
#|Operations - Core Title
</v>
      </c>
      <c r="AH129" s="21"/>
      <c r="AI129" s="21"/>
      <c r="AJ129" s="53" t="str">
        <f>if('Ingest Template'!A129="Standard",'Ingest Template'!N129&amp; "|DAR|DAR|2021-01-01",'Ingest Template'!N129&amp; "|Operations - Core Title|Operations - Core Title")</f>
        <v>#N/A</v>
      </c>
      <c r="AK129" s="53" t="str">
        <f>if('Ingest Template'!A129="Standard",'Ingest Template'!R129&amp; "|2021-01-01",'Ingest Template'!R129)</f>
        <v>#N/A</v>
      </c>
      <c r="AL129" s="21"/>
      <c r="AM129" s="21"/>
    </row>
    <row r="130">
      <c r="A130" s="21"/>
      <c r="B130" s="21" t="str">
        <f>'Ingest Template'!B130&amp;IF('Ingest Template'!A130 = "Standard", " - DAR","")</f>
        <v/>
      </c>
      <c r="C130" s="26" t="s">
        <v>109</v>
      </c>
      <c r="D130" s="29" t="str">
        <f t="array" ref="D130">CONCATENATE(INDEX(DropDown!$H$2:$H$10,MATCH(1,COUNTIF('Ingest Template'!F130,"*"&amp;DropDown!$H$2:$H$10&amp;"*"),0)),CHAR(10),'Ingest Template'!G130)</f>
        <v>#N/A</v>
      </c>
      <c r="E130" s="21" t="str">
        <f>CONCATENATE('Ingest Template'!H130,CHAR(10),'Ingest Template'!I130,CHAR(10),'Ingest Template'!J130)</f>
        <v>
</v>
      </c>
      <c r="F130" s="26" t="str">
        <f>'Ingest Template'!H130</f>
        <v/>
      </c>
      <c r="G130" s="21"/>
      <c r="H130" s="29"/>
      <c r="I130" s="21"/>
      <c r="J130" s="29" t="str">
        <f t="array" ref="J130">iF('Ingest Template'!A130="Standard","Pristine Brand",INDEX(DropDown!$M$2:$M$392,MATCH('Ingest Template'!E130,DropDown!$J$2:$J$392,0)))</f>
        <v>#N/A</v>
      </c>
      <c r="K130" s="21" t="str">
        <f>iF('Ingest Template'!A130="Standard",'Ingest Template'!K130&amp;CHAR(10)&amp;'Ingest Template'!L130,"Competitive View")</f>
        <v>Competitive View</v>
      </c>
      <c r="L130" s="29" t="s">
        <v>146</v>
      </c>
      <c r="M130" s="37" t="str">
        <f>'Ingest Template'!D130</f>
        <v/>
      </c>
      <c r="N130" s="21"/>
      <c r="O130" s="21"/>
      <c r="P130" s="21"/>
      <c r="Q130" s="21"/>
      <c r="R130" s="21" t="str">
        <f>'Ingest Template'!E130</f>
        <v/>
      </c>
      <c r="S130" s="29" t="s">
        <v>153</v>
      </c>
      <c r="T130" s="21" t="str">
        <f>'Ingest Template'!T130</f>
        <v/>
      </c>
      <c r="U130" s="21" t="str">
        <f>'Ingest Template'!S130</f>
        <v/>
      </c>
      <c r="V130" s="21" t="str">
        <f>LOWER(SUBSTITUTE(SUBSTITUTE(SUBSTITUTE(SUBSTITUTE(SUBSTITUTE('Ingest Template'!U130,"https:",""),"www.",""),"/",""),"?hl=en",""),"instagram.com",""))</f>
        <v/>
      </c>
      <c r="W130" s="41" t="str">
        <f t="array" ref="W130">IF('Ingest Template'!V130="",(INDEX(DropDown!$L$2:$L$392,MATCH('Ingest Template'!E130,DropDown!$J$2:$J$392,0))&amp;"|"&amp;'Ingest Template'!B130),(INDEX(DropDown!$L$2:$L$392,MATCH('Ingest Template'!E130,DropDown!$J$2:$J$392,0))&amp;"|"&amp;'Ingest Template'!B130)&amp;CHAR(10)&amp;'Ingest Template'!V130)</f>
        <v>#N/A</v>
      </c>
      <c r="X130" s="41" t="str">
        <f>'Ingest Template'!W130</f>
        <v/>
      </c>
      <c r="Y130" s="21" t="str">
        <f>SUBSTITUTE(SUBSTITUTE(SUBSTITUTE('Ingest Template'!X130,"http:",""),"https:",""),"/","")</f>
        <v/>
      </c>
      <c r="Z130" s="21" t="str">
        <f t="array" ref="Z130">IF('Ingest Template'!A130="Standard",(IF(ISBLANK('Ingest Template'!AA130),"", 'Ingest Template'!AA130&amp;"|DAR")),(IF(ISBLANK('Ingest Template'!AA130),"", 'Ingest Template'!AA130&amp;"|Film Ops")))</f>
        <v/>
      </c>
      <c r="AA130" s="21"/>
      <c r="AB130" s="21" t="str">
        <f>'Ingest Template'!M130</f>
        <v/>
      </c>
      <c r="AC130" s="21" t="str">
        <f>'Ingest Template'!Y130</f>
        <v/>
      </c>
      <c r="AD130" s="21" t="str">
        <f>'Ingest Template'!C130</f>
        <v/>
      </c>
      <c r="AE130" s="21" t="str">
        <f>'Ingest Template'!Z130</f>
        <v/>
      </c>
      <c r="AF130" s="29"/>
      <c r="AG130" s="21" t="str">
        <f t="array" ref="AG130">IF('Ingest Template'!A130="Standard",(CONCATENATE(IF(ISBLANK('Ingest Template'!O130),"", 'Ingest Template'!O130&amp;"|DAR"),CHAR(10), IF(ISBLANK('Ingest Template'!P130),"", 'Ingest Template'!P130&amp;"|DAR"),CHAR(10), IF(ISBLANK('Ingest Template'!Q130),"", 'Ingest Template'!Q130&amp;"|DAR"))),(CONCATENATE(IF(ISBLANK('Ingest Template'!O130),"", 'Ingest Template'!O130&amp;"|Operations - Core Title"),CHAR(10), IF(ISBLANK('Ingest Template'!P130),"", 'Ingest Template'!P130&amp;"|Operations - Core Title"),CHAR(10), IF(ISBLANK('Ingest Template'!Q130),"", 'Ingest Template'!Q130&amp;"|Operations - Core Title"))))</f>
        <v>#|Operations - Core Title
#|Operations - Core Title
</v>
      </c>
      <c r="AH130" s="21"/>
      <c r="AI130" s="21"/>
      <c r="AJ130" s="53" t="str">
        <f>if('Ingest Template'!A130="Standard",'Ingest Template'!N130&amp; "|DAR|DAR|2021-01-01",'Ingest Template'!N130&amp; "|Operations - Core Title|Operations - Core Title")</f>
        <v>#N/A</v>
      </c>
      <c r="AK130" s="53" t="str">
        <f>if('Ingest Template'!A130="Standard",'Ingest Template'!R130&amp; "|2021-01-01",'Ingest Template'!R130)</f>
        <v>#N/A</v>
      </c>
      <c r="AL130" s="21"/>
      <c r="AM130" s="21"/>
    </row>
    <row r="131">
      <c r="A131" s="21"/>
      <c r="B131" s="21" t="str">
        <f>'Ingest Template'!B131&amp;IF('Ingest Template'!A131 = "Standard", " - DAR","")</f>
        <v/>
      </c>
      <c r="C131" s="26" t="s">
        <v>109</v>
      </c>
      <c r="D131" s="29" t="str">
        <f t="array" ref="D131">CONCATENATE(INDEX(DropDown!$H$2:$H$10,MATCH(1,COUNTIF('Ingest Template'!F131,"*"&amp;DropDown!$H$2:$H$10&amp;"*"),0)),CHAR(10),'Ingest Template'!G131)</f>
        <v>#N/A</v>
      </c>
      <c r="E131" s="21" t="str">
        <f>CONCATENATE('Ingest Template'!H131,CHAR(10),'Ingest Template'!I131,CHAR(10),'Ingest Template'!J131)</f>
        <v>
</v>
      </c>
      <c r="F131" s="26" t="str">
        <f>'Ingest Template'!H131</f>
        <v/>
      </c>
      <c r="G131" s="21"/>
      <c r="H131" s="29"/>
      <c r="I131" s="21"/>
      <c r="J131" s="29" t="str">
        <f t="array" ref="J131">iF('Ingest Template'!A131="Standard","Pristine Brand",INDEX(DropDown!$M$2:$M$392,MATCH('Ingest Template'!E131,DropDown!$J$2:$J$392,0)))</f>
        <v>#N/A</v>
      </c>
      <c r="K131" s="21" t="str">
        <f>iF('Ingest Template'!A131="Standard",'Ingest Template'!K131&amp;CHAR(10)&amp;'Ingest Template'!L131,"Competitive View")</f>
        <v>Competitive View</v>
      </c>
      <c r="L131" s="29" t="s">
        <v>146</v>
      </c>
      <c r="M131" s="37" t="str">
        <f>'Ingest Template'!D131</f>
        <v/>
      </c>
      <c r="N131" s="21"/>
      <c r="O131" s="21"/>
      <c r="P131" s="21"/>
      <c r="Q131" s="21"/>
      <c r="R131" s="21" t="str">
        <f>'Ingest Template'!E131</f>
        <v/>
      </c>
      <c r="S131" s="29" t="s">
        <v>153</v>
      </c>
      <c r="T131" s="21" t="str">
        <f>'Ingest Template'!T131</f>
        <v/>
      </c>
      <c r="U131" s="21" t="str">
        <f>'Ingest Template'!S131</f>
        <v/>
      </c>
      <c r="V131" s="21" t="str">
        <f>LOWER(SUBSTITUTE(SUBSTITUTE(SUBSTITUTE(SUBSTITUTE(SUBSTITUTE('Ingest Template'!U131,"https:",""),"www.",""),"/",""),"?hl=en",""),"instagram.com",""))</f>
        <v/>
      </c>
      <c r="W131" s="41" t="str">
        <f t="array" ref="W131">IF('Ingest Template'!V131="",(INDEX(DropDown!$L$2:$L$392,MATCH('Ingest Template'!E131,DropDown!$J$2:$J$392,0))&amp;"|"&amp;'Ingest Template'!B131),(INDEX(DropDown!$L$2:$L$392,MATCH('Ingest Template'!E131,DropDown!$J$2:$J$392,0))&amp;"|"&amp;'Ingest Template'!B131)&amp;CHAR(10)&amp;'Ingest Template'!V131)</f>
        <v>#N/A</v>
      </c>
      <c r="X131" s="41" t="str">
        <f>'Ingest Template'!W131</f>
        <v/>
      </c>
      <c r="Y131" s="21" t="str">
        <f>SUBSTITUTE(SUBSTITUTE(SUBSTITUTE('Ingest Template'!X131,"http:",""),"https:",""),"/","")</f>
        <v/>
      </c>
      <c r="Z131" s="21" t="str">
        <f t="array" ref="Z131">IF('Ingest Template'!A131="Standard",(IF(ISBLANK('Ingest Template'!AA131),"", 'Ingest Template'!AA131&amp;"|DAR")),(IF(ISBLANK('Ingest Template'!AA131),"", 'Ingest Template'!AA131&amp;"|Film Ops")))</f>
        <v/>
      </c>
      <c r="AA131" s="21"/>
      <c r="AB131" s="21" t="str">
        <f>'Ingest Template'!M131</f>
        <v/>
      </c>
      <c r="AC131" s="21" t="str">
        <f>'Ingest Template'!Y131</f>
        <v/>
      </c>
      <c r="AD131" s="21" t="str">
        <f>'Ingest Template'!C131</f>
        <v/>
      </c>
      <c r="AE131" s="21" t="str">
        <f>'Ingest Template'!Z131</f>
        <v/>
      </c>
      <c r="AF131" s="29"/>
      <c r="AG131" s="21" t="str">
        <f t="array" ref="AG131">IF('Ingest Template'!A131="Standard",(CONCATENATE(IF(ISBLANK('Ingest Template'!O131),"", 'Ingest Template'!O131&amp;"|DAR"),CHAR(10), IF(ISBLANK('Ingest Template'!P131),"", 'Ingest Template'!P131&amp;"|DAR"),CHAR(10), IF(ISBLANK('Ingest Template'!Q131),"", 'Ingest Template'!Q131&amp;"|DAR"))),(CONCATENATE(IF(ISBLANK('Ingest Template'!O131),"", 'Ingest Template'!O131&amp;"|Operations - Core Title"),CHAR(10), IF(ISBLANK('Ingest Template'!P131),"", 'Ingest Template'!P131&amp;"|Operations - Core Title"),CHAR(10), IF(ISBLANK('Ingest Template'!Q131),"", 'Ingest Template'!Q131&amp;"|Operations - Core Title"))))</f>
        <v>#|Operations - Core Title
#|Operations - Core Title
</v>
      </c>
      <c r="AH131" s="21"/>
      <c r="AI131" s="21"/>
      <c r="AJ131" s="53" t="str">
        <f>if('Ingest Template'!A131="Standard",'Ingest Template'!N131&amp; "|DAR|DAR|2021-01-01",'Ingest Template'!N131&amp; "|Operations - Core Title|Operations - Core Title")</f>
        <v>#N/A</v>
      </c>
      <c r="AK131" s="53" t="str">
        <f>if('Ingest Template'!A131="Standard",'Ingest Template'!R131&amp; "|2021-01-01",'Ingest Template'!R131)</f>
        <v>#N/A</v>
      </c>
      <c r="AL131" s="21"/>
      <c r="AM131" s="21"/>
    </row>
    <row r="132">
      <c r="A132" s="21"/>
      <c r="B132" s="21" t="str">
        <f>'Ingest Template'!B132&amp;IF('Ingest Template'!A132 = "Standard", " - DAR","")</f>
        <v/>
      </c>
      <c r="C132" s="26" t="s">
        <v>109</v>
      </c>
      <c r="D132" s="29" t="str">
        <f t="array" ref="D132">CONCATENATE(INDEX(DropDown!$H$2:$H$10,MATCH(1,COUNTIF('Ingest Template'!F132,"*"&amp;DropDown!$H$2:$H$10&amp;"*"),0)),CHAR(10),'Ingest Template'!G132)</f>
        <v>#N/A</v>
      </c>
      <c r="E132" s="21" t="str">
        <f>CONCATENATE('Ingest Template'!H132,CHAR(10),'Ingest Template'!I132,CHAR(10),'Ingest Template'!J132)</f>
        <v>
</v>
      </c>
      <c r="F132" s="26" t="str">
        <f>'Ingest Template'!H132</f>
        <v/>
      </c>
      <c r="G132" s="21"/>
      <c r="H132" s="29"/>
      <c r="I132" s="21"/>
      <c r="J132" s="29" t="str">
        <f t="array" ref="J132">iF('Ingest Template'!A132="Standard","Pristine Brand",INDEX(DropDown!$M$2:$M$392,MATCH('Ingest Template'!E132,DropDown!$J$2:$J$392,0)))</f>
        <v>#N/A</v>
      </c>
      <c r="K132" s="21" t="str">
        <f>iF('Ingest Template'!A132="Standard",'Ingest Template'!K132&amp;CHAR(10)&amp;'Ingest Template'!L132,"Competitive View")</f>
        <v>Competitive View</v>
      </c>
      <c r="L132" s="29" t="s">
        <v>146</v>
      </c>
      <c r="M132" s="37" t="str">
        <f>'Ingest Template'!D132</f>
        <v/>
      </c>
      <c r="N132" s="21"/>
      <c r="O132" s="21"/>
      <c r="P132" s="21"/>
      <c r="Q132" s="21"/>
      <c r="R132" s="21" t="str">
        <f>'Ingest Template'!E132</f>
        <v/>
      </c>
      <c r="S132" s="29" t="s">
        <v>153</v>
      </c>
      <c r="T132" s="21" t="str">
        <f>'Ingest Template'!T132</f>
        <v/>
      </c>
      <c r="U132" s="21" t="str">
        <f>'Ingest Template'!S132</f>
        <v/>
      </c>
      <c r="V132" s="21" t="str">
        <f>LOWER(SUBSTITUTE(SUBSTITUTE(SUBSTITUTE(SUBSTITUTE(SUBSTITUTE('Ingest Template'!U132,"https:",""),"www.",""),"/",""),"?hl=en",""),"instagram.com",""))</f>
        <v/>
      </c>
      <c r="W132" s="41" t="str">
        <f t="array" ref="W132">IF('Ingest Template'!V132="",(INDEX(DropDown!$L$2:$L$392,MATCH('Ingest Template'!E132,DropDown!$J$2:$J$392,0))&amp;"|"&amp;'Ingest Template'!B132),(INDEX(DropDown!$L$2:$L$392,MATCH('Ingest Template'!E132,DropDown!$J$2:$J$392,0))&amp;"|"&amp;'Ingest Template'!B132)&amp;CHAR(10)&amp;'Ingest Template'!V132)</f>
        <v>#N/A</v>
      </c>
      <c r="X132" s="41" t="str">
        <f>'Ingest Template'!W132</f>
        <v/>
      </c>
      <c r="Y132" s="21" t="str">
        <f>SUBSTITUTE(SUBSTITUTE(SUBSTITUTE('Ingest Template'!X132,"http:",""),"https:",""),"/","")</f>
        <v/>
      </c>
      <c r="Z132" s="21" t="str">
        <f t="array" ref="Z132">IF('Ingest Template'!A132="Standard",(IF(ISBLANK('Ingest Template'!AA132),"", 'Ingest Template'!AA132&amp;"|DAR")),(IF(ISBLANK('Ingest Template'!AA132),"", 'Ingest Template'!AA132&amp;"|Film Ops")))</f>
        <v/>
      </c>
      <c r="AA132" s="21"/>
      <c r="AB132" s="21" t="str">
        <f>'Ingest Template'!M132</f>
        <v/>
      </c>
      <c r="AC132" s="21" t="str">
        <f>'Ingest Template'!Y132</f>
        <v/>
      </c>
      <c r="AD132" s="21" t="str">
        <f>'Ingest Template'!C132</f>
        <v/>
      </c>
      <c r="AE132" s="21" t="str">
        <f>'Ingest Template'!Z132</f>
        <v/>
      </c>
      <c r="AF132" s="29"/>
      <c r="AG132" s="21" t="str">
        <f t="array" ref="AG132">IF('Ingest Template'!A132="Standard",(CONCATENATE(IF(ISBLANK('Ingest Template'!O132),"", 'Ingest Template'!O132&amp;"|DAR"),CHAR(10), IF(ISBLANK('Ingest Template'!P132),"", 'Ingest Template'!P132&amp;"|DAR"),CHAR(10), IF(ISBLANK('Ingest Template'!Q132),"", 'Ingest Template'!Q132&amp;"|DAR"))),(CONCATENATE(IF(ISBLANK('Ingest Template'!O132),"", 'Ingest Template'!O132&amp;"|Operations - Core Title"),CHAR(10), IF(ISBLANK('Ingest Template'!P132),"", 'Ingest Template'!P132&amp;"|Operations - Core Title"),CHAR(10), IF(ISBLANK('Ingest Template'!Q132),"", 'Ingest Template'!Q132&amp;"|Operations - Core Title"))))</f>
        <v>#|Operations - Core Title
#|Operations - Core Title
</v>
      </c>
      <c r="AH132" s="21"/>
      <c r="AI132" s="21"/>
      <c r="AJ132" s="53" t="str">
        <f>if('Ingest Template'!A132="Standard",'Ingest Template'!N132&amp; "|DAR|DAR|2021-01-01",'Ingest Template'!N132&amp; "|Operations - Core Title|Operations - Core Title")</f>
        <v>#N/A</v>
      </c>
      <c r="AK132" s="53" t="str">
        <f>if('Ingest Template'!A132="Standard",'Ingest Template'!R132&amp; "|2021-01-01",'Ingest Template'!R132)</f>
        <v>#N/A</v>
      </c>
      <c r="AL132" s="21"/>
      <c r="AM132" s="21"/>
    </row>
    <row r="133">
      <c r="A133" s="21"/>
      <c r="B133" s="21" t="str">
        <f>'Ingest Template'!B133&amp;IF('Ingest Template'!A133 = "Standard", " - DAR","")</f>
        <v/>
      </c>
      <c r="C133" s="26" t="s">
        <v>109</v>
      </c>
      <c r="D133" s="29" t="str">
        <f t="array" ref="D133">CONCATENATE(INDEX(DropDown!$H$2:$H$10,MATCH(1,COUNTIF('Ingest Template'!F133,"*"&amp;DropDown!$H$2:$H$10&amp;"*"),0)),CHAR(10),'Ingest Template'!G133)</f>
        <v>#N/A</v>
      </c>
      <c r="E133" s="21" t="str">
        <f>CONCATENATE('Ingest Template'!H133,CHAR(10),'Ingest Template'!I133,CHAR(10),'Ingest Template'!J133)</f>
        <v>
</v>
      </c>
      <c r="F133" s="26" t="str">
        <f>'Ingest Template'!H133</f>
        <v/>
      </c>
      <c r="G133" s="21"/>
      <c r="H133" s="29"/>
      <c r="I133" s="21"/>
      <c r="J133" s="29" t="str">
        <f t="array" ref="J133">iF('Ingest Template'!A133="Standard","Pristine Brand",INDEX(DropDown!$M$2:$M$392,MATCH('Ingest Template'!E133,DropDown!$J$2:$J$392,0)))</f>
        <v>#N/A</v>
      </c>
      <c r="K133" s="21" t="str">
        <f>iF('Ingest Template'!A133="Standard",'Ingest Template'!K133&amp;CHAR(10)&amp;'Ingest Template'!L133,"Competitive View")</f>
        <v>Competitive View</v>
      </c>
      <c r="L133" s="29" t="s">
        <v>146</v>
      </c>
      <c r="M133" s="37" t="str">
        <f>'Ingest Template'!D133</f>
        <v/>
      </c>
      <c r="N133" s="21"/>
      <c r="O133" s="21"/>
      <c r="P133" s="21"/>
      <c r="Q133" s="21"/>
      <c r="R133" s="21" t="str">
        <f>'Ingest Template'!E133</f>
        <v/>
      </c>
      <c r="S133" s="29" t="s">
        <v>153</v>
      </c>
      <c r="T133" s="21" t="str">
        <f>'Ingest Template'!T133</f>
        <v/>
      </c>
      <c r="U133" s="21" t="str">
        <f>'Ingest Template'!S133</f>
        <v/>
      </c>
      <c r="V133" s="21" t="str">
        <f>LOWER(SUBSTITUTE(SUBSTITUTE(SUBSTITUTE(SUBSTITUTE(SUBSTITUTE('Ingest Template'!U133,"https:",""),"www.",""),"/",""),"?hl=en",""),"instagram.com",""))</f>
        <v/>
      </c>
      <c r="W133" s="41" t="str">
        <f t="array" ref="W133">IF('Ingest Template'!V133="",(INDEX(DropDown!$L$2:$L$392,MATCH('Ingest Template'!E133,DropDown!$J$2:$J$392,0))&amp;"|"&amp;'Ingest Template'!B133),(INDEX(DropDown!$L$2:$L$392,MATCH('Ingest Template'!E133,DropDown!$J$2:$J$392,0))&amp;"|"&amp;'Ingest Template'!B133)&amp;CHAR(10)&amp;'Ingest Template'!V133)</f>
        <v>#N/A</v>
      </c>
      <c r="X133" s="41" t="str">
        <f>'Ingest Template'!W133</f>
        <v/>
      </c>
      <c r="Y133" s="21" t="str">
        <f>SUBSTITUTE(SUBSTITUTE(SUBSTITUTE('Ingest Template'!X133,"http:",""),"https:",""),"/","")</f>
        <v/>
      </c>
      <c r="Z133" s="21" t="str">
        <f t="array" ref="Z133">IF('Ingest Template'!A133="Standard",(IF(ISBLANK('Ingest Template'!AA133),"", 'Ingest Template'!AA133&amp;"|DAR")),(IF(ISBLANK('Ingest Template'!AA133),"", 'Ingest Template'!AA133&amp;"|Film Ops")))</f>
        <v/>
      </c>
      <c r="AA133" s="21"/>
      <c r="AB133" s="21" t="str">
        <f>'Ingest Template'!M133</f>
        <v/>
      </c>
      <c r="AC133" s="21" t="str">
        <f>'Ingest Template'!Y133</f>
        <v/>
      </c>
      <c r="AD133" s="21" t="str">
        <f>'Ingest Template'!C133</f>
        <v/>
      </c>
      <c r="AE133" s="21" t="str">
        <f>'Ingest Template'!Z133</f>
        <v/>
      </c>
      <c r="AF133" s="29"/>
      <c r="AG133" s="21" t="str">
        <f t="array" ref="AG133">IF('Ingest Template'!A133="Standard",(CONCATENATE(IF(ISBLANK('Ingest Template'!O133),"", 'Ingest Template'!O133&amp;"|DAR"),CHAR(10), IF(ISBLANK('Ingest Template'!P133),"", 'Ingest Template'!P133&amp;"|DAR"),CHAR(10), IF(ISBLANK('Ingest Template'!Q133),"", 'Ingest Template'!Q133&amp;"|DAR"))),(CONCATENATE(IF(ISBLANK('Ingest Template'!O133),"", 'Ingest Template'!O133&amp;"|Operations - Core Title"),CHAR(10), IF(ISBLANK('Ingest Template'!P133),"", 'Ingest Template'!P133&amp;"|Operations - Core Title"),CHAR(10), IF(ISBLANK('Ingest Template'!Q133),"", 'Ingest Template'!Q133&amp;"|Operations - Core Title"))))</f>
        <v>#|Operations - Core Title
#|Operations - Core Title
</v>
      </c>
      <c r="AH133" s="21"/>
      <c r="AI133" s="21"/>
      <c r="AJ133" s="53" t="str">
        <f>if('Ingest Template'!A133="Standard",'Ingest Template'!N133&amp; "|DAR|DAR|2021-01-01",'Ingest Template'!N133&amp; "|Operations - Core Title|Operations - Core Title")</f>
        <v>#N/A</v>
      </c>
      <c r="AK133" s="53" t="str">
        <f>if('Ingest Template'!A133="Standard",'Ingest Template'!R133&amp; "|2021-01-01",'Ingest Template'!R133)</f>
        <v>#N/A</v>
      </c>
      <c r="AL133" s="21"/>
      <c r="AM133" s="21"/>
    </row>
    <row r="134">
      <c r="A134" s="21"/>
      <c r="B134" s="21" t="str">
        <f>'Ingest Template'!B134&amp;IF('Ingest Template'!A134 = "Standard", " - DAR","")</f>
        <v/>
      </c>
      <c r="C134" s="26" t="s">
        <v>109</v>
      </c>
      <c r="D134" s="29" t="str">
        <f t="array" ref="D134">CONCATENATE(INDEX(DropDown!$H$2:$H$10,MATCH(1,COUNTIF('Ingest Template'!F134,"*"&amp;DropDown!$H$2:$H$10&amp;"*"),0)),CHAR(10),'Ingest Template'!G134)</f>
        <v>#N/A</v>
      </c>
      <c r="E134" s="21" t="str">
        <f>CONCATENATE('Ingest Template'!H134,CHAR(10),'Ingest Template'!I134,CHAR(10),'Ingest Template'!J134)</f>
        <v>
</v>
      </c>
      <c r="F134" s="26" t="str">
        <f>'Ingest Template'!H134</f>
        <v/>
      </c>
      <c r="G134" s="21"/>
      <c r="H134" s="29"/>
      <c r="I134" s="21"/>
      <c r="J134" s="29" t="str">
        <f t="array" ref="J134">iF('Ingest Template'!A134="Standard","Pristine Brand",INDEX(DropDown!$M$2:$M$392,MATCH('Ingest Template'!E134,DropDown!$J$2:$J$392,0)))</f>
        <v>#N/A</v>
      </c>
      <c r="K134" s="21" t="str">
        <f>iF('Ingest Template'!A134="Standard",'Ingest Template'!K134&amp;CHAR(10)&amp;'Ingest Template'!L134,"Competitive View")</f>
        <v>Competitive View</v>
      </c>
      <c r="L134" s="29" t="s">
        <v>146</v>
      </c>
      <c r="M134" s="37" t="str">
        <f>'Ingest Template'!D134</f>
        <v/>
      </c>
      <c r="N134" s="21"/>
      <c r="O134" s="21"/>
      <c r="P134" s="21"/>
      <c r="Q134" s="21"/>
      <c r="R134" s="21" t="str">
        <f>'Ingest Template'!E134</f>
        <v/>
      </c>
      <c r="S134" s="29" t="s">
        <v>153</v>
      </c>
      <c r="T134" s="21" t="str">
        <f>'Ingest Template'!T134</f>
        <v/>
      </c>
      <c r="U134" s="21" t="str">
        <f>'Ingest Template'!S134</f>
        <v/>
      </c>
      <c r="V134" s="21" t="str">
        <f>LOWER(SUBSTITUTE(SUBSTITUTE(SUBSTITUTE(SUBSTITUTE(SUBSTITUTE('Ingest Template'!U134,"https:",""),"www.",""),"/",""),"?hl=en",""),"instagram.com",""))</f>
        <v/>
      </c>
      <c r="W134" s="41" t="str">
        <f t="array" ref="W134">IF('Ingest Template'!V134="",(INDEX(DropDown!$L$2:$L$392,MATCH('Ingest Template'!E134,DropDown!$J$2:$J$392,0))&amp;"|"&amp;'Ingest Template'!B134),(INDEX(DropDown!$L$2:$L$392,MATCH('Ingest Template'!E134,DropDown!$J$2:$J$392,0))&amp;"|"&amp;'Ingest Template'!B134)&amp;CHAR(10)&amp;'Ingest Template'!V134)</f>
        <v>#N/A</v>
      </c>
      <c r="X134" s="41" t="str">
        <f>'Ingest Template'!W134</f>
        <v/>
      </c>
      <c r="Y134" s="21" t="str">
        <f>SUBSTITUTE(SUBSTITUTE(SUBSTITUTE('Ingest Template'!X134,"http:",""),"https:",""),"/","")</f>
        <v/>
      </c>
      <c r="Z134" s="21" t="str">
        <f t="array" ref="Z134">IF('Ingest Template'!A134="Standard",(IF(ISBLANK('Ingest Template'!AA134),"", 'Ingest Template'!AA134&amp;"|DAR")),(IF(ISBLANK('Ingest Template'!AA134),"", 'Ingest Template'!AA134&amp;"|Film Ops")))</f>
        <v/>
      </c>
      <c r="AA134" s="21"/>
      <c r="AB134" s="21" t="str">
        <f>'Ingest Template'!M134</f>
        <v/>
      </c>
      <c r="AC134" s="21" t="str">
        <f>'Ingest Template'!Y134</f>
        <v/>
      </c>
      <c r="AD134" s="21" t="str">
        <f>'Ingest Template'!C134</f>
        <v/>
      </c>
      <c r="AE134" s="21" t="str">
        <f>'Ingest Template'!Z134</f>
        <v/>
      </c>
      <c r="AF134" s="29"/>
      <c r="AG134" s="21" t="str">
        <f t="array" ref="AG134">IF('Ingest Template'!A134="Standard",(CONCATENATE(IF(ISBLANK('Ingest Template'!O134),"", 'Ingest Template'!O134&amp;"|DAR"),CHAR(10), IF(ISBLANK('Ingest Template'!P134),"", 'Ingest Template'!P134&amp;"|DAR"),CHAR(10), IF(ISBLANK('Ingest Template'!Q134),"", 'Ingest Template'!Q134&amp;"|DAR"))),(CONCATENATE(IF(ISBLANK('Ingest Template'!O134),"", 'Ingest Template'!O134&amp;"|Operations - Core Title"),CHAR(10), IF(ISBLANK('Ingest Template'!P134),"", 'Ingest Template'!P134&amp;"|Operations - Core Title"),CHAR(10), IF(ISBLANK('Ingest Template'!Q134),"", 'Ingest Template'!Q134&amp;"|Operations - Core Title"))))</f>
        <v>#|Operations - Core Title
#|Operations - Core Title
</v>
      </c>
      <c r="AH134" s="21"/>
      <c r="AI134" s="21"/>
      <c r="AJ134" s="53" t="str">
        <f>if('Ingest Template'!A134="Standard",'Ingest Template'!N134&amp; "|DAR|DAR|2021-01-01",'Ingest Template'!N134&amp; "|Operations - Core Title|Operations - Core Title")</f>
        <v>#N/A</v>
      </c>
      <c r="AK134" s="53" t="str">
        <f>if('Ingest Template'!A134="Standard",'Ingest Template'!R134&amp; "|2021-01-01",'Ingest Template'!R134)</f>
        <v>#N/A</v>
      </c>
      <c r="AL134" s="21"/>
      <c r="AM134" s="21"/>
    </row>
    <row r="135">
      <c r="A135" s="21"/>
      <c r="B135" s="21" t="str">
        <f>'Ingest Template'!B135&amp;IF('Ingest Template'!A135 = "Standard", " - DAR","")</f>
        <v/>
      </c>
      <c r="C135" s="26" t="s">
        <v>109</v>
      </c>
      <c r="D135" s="29" t="str">
        <f t="array" ref="D135">CONCATENATE(INDEX(DropDown!$H$2:$H$10,MATCH(1,COUNTIF('Ingest Template'!F135,"*"&amp;DropDown!$H$2:$H$10&amp;"*"),0)),CHAR(10),'Ingest Template'!G135)</f>
        <v>#N/A</v>
      </c>
      <c r="E135" s="21" t="str">
        <f>CONCATENATE('Ingest Template'!H135,CHAR(10),'Ingest Template'!I135,CHAR(10),'Ingest Template'!J135)</f>
        <v>
</v>
      </c>
      <c r="F135" s="26" t="str">
        <f>'Ingest Template'!H135</f>
        <v/>
      </c>
      <c r="G135" s="21"/>
      <c r="H135" s="29"/>
      <c r="I135" s="21"/>
      <c r="J135" s="29" t="str">
        <f t="array" ref="J135">iF('Ingest Template'!A135="Standard","Pristine Brand",INDEX(DropDown!$M$2:$M$392,MATCH('Ingest Template'!E135,DropDown!$J$2:$J$392,0)))</f>
        <v>#N/A</v>
      </c>
      <c r="K135" s="21" t="str">
        <f>iF('Ingest Template'!A135="Standard",'Ingest Template'!K135&amp;CHAR(10)&amp;'Ingest Template'!L135,"Competitive View")</f>
        <v>Competitive View</v>
      </c>
      <c r="L135" s="29" t="s">
        <v>146</v>
      </c>
      <c r="M135" s="37" t="str">
        <f>'Ingest Template'!D135</f>
        <v/>
      </c>
      <c r="N135" s="21"/>
      <c r="O135" s="21"/>
      <c r="P135" s="21"/>
      <c r="Q135" s="21"/>
      <c r="R135" s="21" t="str">
        <f>'Ingest Template'!E135</f>
        <v/>
      </c>
      <c r="S135" s="29" t="s">
        <v>153</v>
      </c>
      <c r="T135" s="21" t="str">
        <f>'Ingest Template'!T135</f>
        <v/>
      </c>
      <c r="U135" s="21" t="str">
        <f>'Ingest Template'!S135</f>
        <v/>
      </c>
      <c r="V135" s="21" t="str">
        <f>LOWER(SUBSTITUTE(SUBSTITUTE(SUBSTITUTE(SUBSTITUTE(SUBSTITUTE('Ingest Template'!U135,"https:",""),"www.",""),"/",""),"?hl=en",""),"instagram.com",""))</f>
        <v/>
      </c>
      <c r="W135" s="41" t="str">
        <f t="array" ref="W135">IF('Ingest Template'!V135="",(INDEX(DropDown!$L$2:$L$392,MATCH('Ingest Template'!E135,DropDown!$J$2:$J$392,0))&amp;"|"&amp;'Ingest Template'!B135),(INDEX(DropDown!$L$2:$L$392,MATCH('Ingest Template'!E135,DropDown!$J$2:$J$392,0))&amp;"|"&amp;'Ingest Template'!B135)&amp;CHAR(10)&amp;'Ingest Template'!V135)</f>
        <v>#N/A</v>
      </c>
      <c r="X135" s="41" t="str">
        <f>'Ingest Template'!W135</f>
        <v/>
      </c>
      <c r="Y135" s="21" t="str">
        <f>SUBSTITUTE(SUBSTITUTE(SUBSTITUTE('Ingest Template'!X135,"http:",""),"https:",""),"/","")</f>
        <v/>
      </c>
      <c r="Z135" s="21" t="str">
        <f t="array" ref="Z135">IF('Ingest Template'!A135="Standard",(IF(ISBLANK('Ingest Template'!AA135),"", 'Ingest Template'!AA135&amp;"|DAR")),(IF(ISBLANK('Ingest Template'!AA135),"", 'Ingest Template'!AA135&amp;"|Film Ops")))</f>
        <v/>
      </c>
      <c r="AA135" s="21"/>
      <c r="AB135" s="21" t="str">
        <f>'Ingest Template'!M135</f>
        <v/>
      </c>
      <c r="AC135" s="21" t="str">
        <f>'Ingest Template'!Y135</f>
        <v/>
      </c>
      <c r="AD135" s="21" t="str">
        <f>'Ingest Template'!C135</f>
        <v/>
      </c>
      <c r="AE135" s="21" t="str">
        <f>'Ingest Template'!Z135</f>
        <v/>
      </c>
      <c r="AF135" s="29"/>
      <c r="AG135" s="21" t="str">
        <f t="array" ref="AG135">IF('Ingest Template'!A135="Standard",(CONCATENATE(IF(ISBLANK('Ingest Template'!O135),"", 'Ingest Template'!O135&amp;"|DAR"),CHAR(10), IF(ISBLANK('Ingest Template'!P135),"", 'Ingest Template'!P135&amp;"|DAR"),CHAR(10), IF(ISBLANK('Ingest Template'!Q135),"", 'Ingest Template'!Q135&amp;"|DAR"))),(CONCATENATE(IF(ISBLANK('Ingest Template'!O135),"", 'Ingest Template'!O135&amp;"|Operations - Core Title"),CHAR(10), IF(ISBLANK('Ingest Template'!P135),"", 'Ingest Template'!P135&amp;"|Operations - Core Title"),CHAR(10), IF(ISBLANK('Ingest Template'!Q135),"", 'Ingest Template'!Q135&amp;"|Operations - Core Title"))))</f>
        <v>#|Operations - Core Title
#|Operations - Core Title
</v>
      </c>
      <c r="AH135" s="21"/>
      <c r="AI135" s="21"/>
      <c r="AJ135" s="53" t="str">
        <f>if('Ingest Template'!A135="Standard",'Ingest Template'!N135&amp; "|DAR|DAR|2021-01-01",'Ingest Template'!N135&amp; "|Operations - Core Title|Operations - Core Title")</f>
        <v>#N/A</v>
      </c>
      <c r="AK135" s="53" t="str">
        <f>if('Ingest Template'!A135="Standard",'Ingest Template'!R135&amp; "|2021-01-01",'Ingest Template'!R135)</f>
        <v>#N/A</v>
      </c>
      <c r="AL135" s="21"/>
      <c r="AM135" s="21"/>
    </row>
    <row r="136">
      <c r="A136" s="21"/>
      <c r="B136" s="21" t="str">
        <f>'Ingest Template'!B136&amp;IF('Ingest Template'!A136 = "Standard", " - DAR","")</f>
        <v/>
      </c>
      <c r="C136" s="26" t="s">
        <v>109</v>
      </c>
      <c r="D136" s="29" t="str">
        <f t="array" ref="D136">CONCATENATE(INDEX(DropDown!$H$2:$H$10,MATCH(1,COUNTIF('Ingest Template'!F136,"*"&amp;DropDown!$H$2:$H$10&amp;"*"),0)),CHAR(10),'Ingest Template'!G136)</f>
        <v>#N/A</v>
      </c>
      <c r="E136" s="21" t="str">
        <f>CONCATENATE('Ingest Template'!H136,CHAR(10),'Ingest Template'!I136,CHAR(10),'Ingest Template'!J136)</f>
        <v>
</v>
      </c>
      <c r="F136" s="26" t="str">
        <f>'Ingest Template'!H136</f>
        <v/>
      </c>
      <c r="G136" s="21"/>
      <c r="H136" s="29"/>
      <c r="I136" s="21"/>
      <c r="J136" s="29" t="str">
        <f t="array" ref="J136">iF('Ingest Template'!A136="Standard","Pristine Brand",INDEX(DropDown!$M$2:$M$392,MATCH('Ingest Template'!E136,DropDown!$J$2:$J$392,0)))</f>
        <v>#N/A</v>
      </c>
      <c r="K136" s="21" t="str">
        <f>iF('Ingest Template'!A136="Standard",'Ingest Template'!K136&amp;CHAR(10)&amp;'Ingest Template'!L136,"Competitive View")</f>
        <v>Competitive View</v>
      </c>
      <c r="L136" s="29" t="s">
        <v>146</v>
      </c>
      <c r="M136" s="37" t="str">
        <f>'Ingest Template'!D136</f>
        <v/>
      </c>
      <c r="N136" s="21"/>
      <c r="O136" s="21"/>
      <c r="P136" s="21"/>
      <c r="Q136" s="21"/>
      <c r="R136" s="21" t="str">
        <f>'Ingest Template'!E136</f>
        <v/>
      </c>
      <c r="S136" s="29" t="s">
        <v>153</v>
      </c>
      <c r="T136" s="21" t="str">
        <f>'Ingest Template'!T136</f>
        <v/>
      </c>
      <c r="U136" s="21" t="str">
        <f>'Ingest Template'!S136</f>
        <v/>
      </c>
      <c r="V136" s="21" t="str">
        <f>LOWER(SUBSTITUTE(SUBSTITUTE(SUBSTITUTE(SUBSTITUTE(SUBSTITUTE('Ingest Template'!U136,"https:",""),"www.",""),"/",""),"?hl=en",""),"instagram.com",""))</f>
        <v/>
      </c>
      <c r="W136" s="41" t="str">
        <f t="array" ref="W136">IF('Ingest Template'!V136="",(INDEX(DropDown!$L$2:$L$392,MATCH('Ingest Template'!E136,DropDown!$J$2:$J$392,0))&amp;"|"&amp;'Ingest Template'!B136),(INDEX(DropDown!$L$2:$L$392,MATCH('Ingest Template'!E136,DropDown!$J$2:$J$392,0))&amp;"|"&amp;'Ingest Template'!B136)&amp;CHAR(10)&amp;'Ingest Template'!V136)</f>
        <v>#N/A</v>
      </c>
      <c r="X136" s="41" t="str">
        <f>'Ingest Template'!W136</f>
        <v/>
      </c>
      <c r="Y136" s="21" t="str">
        <f>SUBSTITUTE(SUBSTITUTE(SUBSTITUTE('Ingest Template'!X136,"http:",""),"https:",""),"/","")</f>
        <v/>
      </c>
      <c r="Z136" s="21" t="str">
        <f t="array" ref="Z136">IF('Ingest Template'!A136="Standard",(IF(ISBLANK('Ingest Template'!AA136),"", 'Ingest Template'!AA136&amp;"|DAR")),(IF(ISBLANK('Ingest Template'!AA136),"", 'Ingest Template'!AA136&amp;"|Film Ops")))</f>
        <v/>
      </c>
      <c r="AA136" s="21"/>
      <c r="AB136" s="21" t="str">
        <f>'Ingest Template'!M136</f>
        <v/>
      </c>
      <c r="AC136" s="21" t="str">
        <f>'Ingest Template'!Y136</f>
        <v/>
      </c>
      <c r="AD136" s="21" t="str">
        <f>'Ingest Template'!C136</f>
        <v/>
      </c>
      <c r="AE136" s="21" t="str">
        <f>'Ingest Template'!Z136</f>
        <v/>
      </c>
      <c r="AF136" s="29"/>
      <c r="AG136" s="21" t="str">
        <f t="array" ref="AG136">IF('Ingest Template'!A136="Standard",(CONCATENATE(IF(ISBLANK('Ingest Template'!O136),"", 'Ingest Template'!O136&amp;"|DAR"),CHAR(10), IF(ISBLANK('Ingest Template'!P136),"", 'Ingest Template'!P136&amp;"|DAR"),CHAR(10), IF(ISBLANK('Ingest Template'!Q136),"", 'Ingest Template'!Q136&amp;"|DAR"))),(CONCATENATE(IF(ISBLANK('Ingest Template'!O136),"", 'Ingest Template'!O136&amp;"|Operations - Core Title"),CHAR(10), IF(ISBLANK('Ingest Template'!P136),"", 'Ingest Template'!P136&amp;"|Operations - Core Title"),CHAR(10), IF(ISBLANK('Ingest Template'!Q136),"", 'Ingest Template'!Q136&amp;"|Operations - Core Title"))))</f>
        <v>#|Operations - Core Title
#|Operations - Core Title
</v>
      </c>
      <c r="AH136" s="21"/>
      <c r="AI136" s="21"/>
      <c r="AJ136" s="53" t="str">
        <f>if('Ingest Template'!A136="Standard",'Ingest Template'!N136&amp; "|DAR|DAR|2021-01-01",'Ingest Template'!N136&amp; "|Operations - Core Title|Operations - Core Title")</f>
        <v>#N/A</v>
      </c>
      <c r="AK136" s="53" t="str">
        <f>if('Ingest Template'!A136="Standard",'Ingest Template'!R136&amp; "|2021-01-01",'Ingest Template'!R136)</f>
        <v>#N/A</v>
      </c>
      <c r="AL136" s="21"/>
      <c r="AM136" s="21"/>
    </row>
    <row r="137">
      <c r="A137" s="21"/>
      <c r="B137" s="21" t="str">
        <f>'Ingest Template'!B137&amp;IF('Ingest Template'!A137 = "Standard", " - DAR","")</f>
        <v/>
      </c>
      <c r="C137" s="26" t="s">
        <v>109</v>
      </c>
      <c r="D137" s="29" t="str">
        <f t="array" ref="D137">CONCATENATE(INDEX(DropDown!$H$2:$H$10,MATCH(1,COUNTIF('Ingest Template'!F137,"*"&amp;DropDown!$H$2:$H$10&amp;"*"),0)),CHAR(10),'Ingest Template'!G137)</f>
        <v>#N/A</v>
      </c>
      <c r="E137" s="21" t="str">
        <f>CONCATENATE('Ingest Template'!H137,CHAR(10),'Ingest Template'!I137,CHAR(10),'Ingest Template'!J137)</f>
        <v>
</v>
      </c>
      <c r="F137" s="26" t="str">
        <f>'Ingest Template'!H137</f>
        <v/>
      </c>
      <c r="G137" s="21"/>
      <c r="H137" s="29"/>
      <c r="I137" s="21"/>
      <c r="J137" s="29" t="str">
        <f t="array" ref="J137">iF('Ingest Template'!A137="Standard","Pristine Brand",INDEX(DropDown!$M$2:$M$392,MATCH('Ingest Template'!E137,DropDown!$J$2:$J$392,0)))</f>
        <v>#N/A</v>
      </c>
      <c r="K137" s="21" t="str">
        <f>iF('Ingest Template'!A137="Standard",'Ingest Template'!K137&amp;CHAR(10)&amp;'Ingest Template'!L137,"Competitive View")</f>
        <v>Competitive View</v>
      </c>
      <c r="L137" s="29" t="s">
        <v>146</v>
      </c>
      <c r="M137" s="37" t="str">
        <f>'Ingest Template'!D137</f>
        <v/>
      </c>
      <c r="N137" s="21"/>
      <c r="O137" s="21"/>
      <c r="P137" s="21"/>
      <c r="Q137" s="21"/>
      <c r="R137" s="21" t="str">
        <f>'Ingest Template'!E137</f>
        <v/>
      </c>
      <c r="S137" s="29" t="s">
        <v>153</v>
      </c>
      <c r="T137" s="21" t="str">
        <f>'Ingest Template'!T137</f>
        <v/>
      </c>
      <c r="U137" s="21" t="str">
        <f>'Ingest Template'!S137</f>
        <v/>
      </c>
      <c r="V137" s="21" t="str">
        <f>LOWER(SUBSTITUTE(SUBSTITUTE(SUBSTITUTE(SUBSTITUTE(SUBSTITUTE('Ingest Template'!U137,"https:",""),"www.",""),"/",""),"?hl=en",""),"instagram.com",""))</f>
        <v/>
      </c>
      <c r="W137" s="41" t="str">
        <f t="array" ref="W137">IF('Ingest Template'!V137="",(INDEX(DropDown!$L$2:$L$392,MATCH('Ingest Template'!E137,DropDown!$J$2:$J$392,0))&amp;"|"&amp;'Ingest Template'!B137),(INDEX(DropDown!$L$2:$L$392,MATCH('Ingest Template'!E137,DropDown!$J$2:$J$392,0))&amp;"|"&amp;'Ingest Template'!B137)&amp;CHAR(10)&amp;'Ingest Template'!V137)</f>
        <v>#N/A</v>
      </c>
      <c r="X137" s="41" t="str">
        <f>'Ingest Template'!W137</f>
        <v/>
      </c>
      <c r="Y137" s="21" t="str">
        <f>SUBSTITUTE(SUBSTITUTE(SUBSTITUTE('Ingest Template'!X137,"http:",""),"https:",""),"/","")</f>
        <v/>
      </c>
      <c r="Z137" s="21" t="str">
        <f t="array" ref="Z137">IF('Ingest Template'!A137="Standard",(IF(ISBLANK('Ingest Template'!AA137),"", 'Ingest Template'!AA137&amp;"|DAR")),(IF(ISBLANK('Ingest Template'!AA137),"", 'Ingest Template'!AA137&amp;"|Film Ops")))</f>
        <v/>
      </c>
      <c r="AA137" s="21"/>
      <c r="AB137" s="21" t="str">
        <f>'Ingest Template'!M137</f>
        <v/>
      </c>
      <c r="AC137" s="21" t="str">
        <f>'Ingest Template'!Y137</f>
        <v/>
      </c>
      <c r="AD137" s="21" t="str">
        <f>'Ingest Template'!C137</f>
        <v/>
      </c>
      <c r="AE137" s="21" t="str">
        <f>'Ingest Template'!Z137</f>
        <v/>
      </c>
      <c r="AF137" s="29"/>
      <c r="AG137" s="21" t="str">
        <f t="array" ref="AG137">IF('Ingest Template'!A137="Standard",(CONCATENATE(IF(ISBLANK('Ingest Template'!O137),"", 'Ingest Template'!O137&amp;"|DAR"),CHAR(10), IF(ISBLANK('Ingest Template'!P137),"", 'Ingest Template'!P137&amp;"|DAR"),CHAR(10), IF(ISBLANK('Ingest Template'!Q137),"", 'Ingest Template'!Q137&amp;"|DAR"))),(CONCATENATE(IF(ISBLANK('Ingest Template'!O137),"", 'Ingest Template'!O137&amp;"|Operations - Core Title"),CHAR(10), IF(ISBLANK('Ingest Template'!P137),"", 'Ingest Template'!P137&amp;"|Operations - Core Title"),CHAR(10), IF(ISBLANK('Ingest Template'!Q137),"", 'Ingest Template'!Q137&amp;"|Operations - Core Title"))))</f>
        <v>#|Operations - Core Title
#|Operations - Core Title
</v>
      </c>
      <c r="AH137" s="21"/>
      <c r="AI137" s="21"/>
      <c r="AJ137" s="53" t="str">
        <f>if('Ingest Template'!A137="Standard",'Ingest Template'!N137&amp; "|DAR|DAR|2021-01-01",'Ingest Template'!N137&amp; "|Operations - Core Title|Operations - Core Title")</f>
        <v>#N/A</v>
      </c>
      <c r="AK137" s="53" t="str">
        <f>if('Ingest Template'!A137="Standard",'Ingest Template'!R137&amp; "|2021-01-01",'Ingest Template'!R137)</f>
        <v>#N/A</v>
      </c>
      <c r="AL137" s="21"/>
      <c r="AM137" s="21"/>
    </row>
    <row r="138">
      <c r="A138" s="21"/>
      <c r="B138" s="21" t="str">
        <f>'Ingest Template'!B138&amp;IF('Ingest Template'!A138 = "Standard", " - DAR","")</f>
        <v/>
      </c>
      <c r="C138" s="26" t="s">
        <v>109</v>
      </c>
      <c r="D138" s="29" t="str">
        <f t="array" ref="D138">CONCATENATE(INDEX(DropDown!$H$2:$H$10,MATCH(1,COUNTIF('Ingest Template'!F138,"*"&amp;DropDown!$H$2:$H$10&amp;"*"),0)),CHAR(10),'Ingest Template'!G138)</f>
        <v>#N/A</v>
      </c>
      <c r="E138" s="21" t="str">
        <f>CONCATENATE('Ingest Template'!H138,CHAR(10),'Ingest Template'!I138,CHAR(10),'Ingest Template'!J138)</f>
        <v>
</v>
      </c>
      <c r="F138" s="26" t="str">
        <f>'Ingest Template'!H138</f>
        <v/>
      </c>
      <c r="G138" s="21"/>
      <c r="H138" s="29"/>
      <c r="I138" s="21"/>
      <c r="J138" s="29" t="str">
        <f t="array" ref="J138">iF('Ingest Template'!A138="Standard","Pristine Brand",INDEX(DropDown!$M$2:$M$392,MATCH('Ingest Template'!E138,DropDown!$J$2:$J$392,0)))</f>
        <v>#N/A</v>
      </c>
      <c r="K138" s="21" t="str">
        <f>iF('Ingest Template'!A138="Standard",'Ingest Template'!K138&amp;CHAR(10)&amp;'Ingest Template'!L138,"Competitive View")</f>
        <v>Competitive View</v>
      </c>
      <c r="L138" s="29" t="s">
        <v>146</v>
      </c>
      <c r="M138" s="37" t="str">
        <f>'Ingest Template'!D138</f>
        <v/>
      </c>
      <c r="N138" s="21"/>
      <c r="O138" s="21"/>
      <c r="P138" s="21"/>
      <c r="Q138" s="21"/>
      <c r="R138" s="21" t="str">
        <f>'Ingest Template'!E138</f>
        <v/>
      </c>
      <c r="S138" s="29" t="s">
        <v>153</v>
      </c>
      <c r="T138" s="21" t="str">
        <f>'Ingest Template'!T138</f>
        <v/>
      </c>
      <c r="U138" s="21" t="str">
        <f>'Ingest Template'!S138</f>
        <v/>
      </c>
      <c r="V138" s="21" t="str">
        <f>LOWER(SUBSTITUTE(SUBSTITUTE(SUBSTITUTE(SUBSTITUTE(SUBSTITUTE('Ingest Template'!U138,"https:",""),"www.",""),"/",""),"?hl=en",""),"instagram.com",""))</f>
        <v/>
      </c>
      <c r="W138" s="41" t="str">
        <f t="array" ref="W138">IF('Ingest Template'!V138="",(INDEX(DropDown!$L$2:$L$392,MATCH('Ingest Template'!E138,DropDown!$J$2:$J$392,0))&amp;"|"&amp;'Ingest Template'!B138),(INDEX(DropDown!$L$2:$L$392,MATCH('Ingest Template'!E138,DropDown!$J$2:$J$392,0))&amp;"|"&amp;'Ingest Template'!B138)&amp;CHAR(10)&amp;'Ingest Template'!V138)</f>
        <v>#N/A</v>
      </c>
      <c r="X138" s="41" t="str">
        <f>'Ingest Template'!W138</f>
        <v/>
      </c>
      <c r="Y138" s="21" t="str">
        <f>SUBSTITUTE(SUBSTITUTE(SUBSTITUTE('Ingest Template'!X138,"http:",""),"https:",""),"/","")</f>
        <v/>
      </c>
      <c r="Z138" s="21" t="str">
        <f t="array" ref="Z138">IF('Ingest Template'!A138="Standard",(IF(ISBLANK('Ingest Template'!AA138),"", 'Ingest Template'!AA138&amp;"|DAR")),(IF(ISBLANK('Ingest Template'!AA138),"", 'Ingest Template'!AA138&amp;"|Film Ops")))</f>
        <v/>
      </c>
      <c r="AA138" s="21"/>
      <c r="AB138" s="21" t="str">
        <f>'Ingest Template'!M138</f>
        <v/>
      </c>
      <c r="AC138" s="21" t="str">
        <f>'Ingest Template'!Y138</f>
        <v/>
      </c>
      <c r="AD138" s="21" t="str">
        <f>'Ingest Template'!C138</f>
        <v/>
      </c>
      <c r="AE138" s="21" t="str">
        <f>'Ingest Template'!Z138</f>
        <v/>
      </c>
      <c r="AF138" s="29"/>
      <c r="AG138" s="21" t="str">
        <f t="array" ref="AG138">IF('Ingest Template'!A138="Standard",(CONCATENATE(IF(ISBLANK('Ingest Template'!O138),"", 'Ingest Template'!O138&amp;"|DAR"),CHAR(10), IF(ISBLANK('Ingest Template'!P138),"", 'Ingest Template'!P138&amp;"|DAR"),CHAR(10), IF(ISBLANK('Ingest Template'!Q138),"", 'Ingest Template'!Q138&amp;"|DAR"))),(CONCATENATE(IF(ISBLANK('Ingest Template'!O138),"", 'Ingest Template'!O138&amp;"|Operations - Core Title"),CHAR(10), IF(ISBLANK('Ingest Template'!P138),"", 'Ingest Template'!P138&amp;"|Operations - Core Title"),CHAR(10), IF(ISBLANK('Ingest Template'!Q138),"", 'Ingest Template'!Q138&amp;"|Operations - Core Title"))))</f>
        <v>#|Operations - Core Title
#|Operations - Core Title
</v>
      </c>
      <c r="AH138" s="21"/>
      <c r="AI138" s="21"/>
      <c r="AJ138" s="53" t="str">
        <f>if('Ingest Template'!A138="Standard",'Ingest Template'!N138&amp; "|DAR|DAR|2021-01-01",'Ingest Template'!N138&amp; "|Operations - Core Title|Operations - Core Title")</f>
        <v>#N/A</v>
      </c>
      <c r="AK138" s="53" t="str">
        <f>if('Ingest Template'!A138="Standard",'Ingest Template'!R138&amp; "|2021-01-01",'Ingest Template'!R138)</f>
        <v>#N/A</v>
      </c>
      <c r="AL138" s="21"/>
      <c r="AM138" s="21"/>
    </row>
    <row r="139">
      <c r="A139" s="21"/>
      <c r="B139" s="21" t="str">
        <f>'Ingest Template'!B139&amp;IF('Ingest Template'!A139 = "Standard", " - DAR","")</f>
        <v/>
      </c>
      <c r="C139" s="26" t="s">
        <v>109</v>
      </c>
      <c r="D139" s="29" t="str">
        <f t="array" ref="D139">CONCATENATE(INDEX(DropDown!$H$2:$H$10,MATCH(1,COUNTIF('Ingest Template'!F139,"*"&amp;DropDown!$H$2:$H$10&amp;"*"),0)),CHAR(10),'Ingest Template'!G139)</f>
        <v>#N/A</v>
      </c>
      <c r="E139" s="21" t="str">
        <f>CONCATENATE('Ingest Template'!H139,CHAR(10),'Ingest Template'!I139,CHAR(10),'Ingest Template'!J139)</f>
        <v>
</v>
      </c>
      <c r="F139" s="26" t="str">
        <f>'Ingest Template'!H139</f>
        <v/>
      </c>
      <c r="G139" s="21"/>
      <c r="H139" s="29"/>
      <c r="I139" s="21"/>
      <c r="J139" s="29" t="str">
        <f t="array" ref="J139">iF('Ingest Template'!A139="Standard","Pristine Brand",INDEX(DropDown!$M$2:$M$392,MATCH('Ingest Template'!E139,DropDown!$J$2:$J$392,0)))</f>
        <v>#N/A</v>
      </c>
      <c r="K139" s="21" t="str">
        <f>iF('Ingest Template'!A139="Standard",'Ingest Template'!K139&amp;CHAR(10)&amp;'Ingest Template'!L139,"Competitive View")</f>
        <v>Competitive View</v>
      </c>
      <c r="L139" s="29" t="s">
        <v>146</v>
      </c>
      <c r="M139" s="37" t="str">
        <f>'Ingest Template'!D139</f>
        <v/>
      </c>
      <c r="N139" s="21"/>
      <c r="O139" s="21"/>
      <c r="P139" s="21"/>
      <c r="Q139" s="21"/>
      <c r="R139" s="21" t="str">
        <f>'Ingest Template'!E139</f>
        <v/>
      </c>
      <c r="S139" s="29" t="s">
        <v>153</v>
      </c>
      <c r="T139" s="21" t="str">
        <f>'Ingest Template'!T139</f>
        <v/>
      </c>
      <c r="U139" s="21" t="str">
        <f>'Ingest Template'!S139</f>
        <v/>
      </c>
      <c r="V139" s="21" t="str">
        <f>LOWER(SUBSTITUTE(SUBSTITUTE(SUBSTITUTE(SUBSTITUTE(SUBSTITUTE('Ingest Template'!U139,"https:",""),"www.",""),"/",""),"?hl=en",""),"instagram.com",""))</f>
        <v/>
      </c>
      <c r="W139" s="41" t="str">
        <f t="array" ref="W139">IF('Ingest Template'!V139="",(INDEX(DropDown!$L$2:$L$392,MATCH('Ingest Template'!E139,DropDown!$J$2:$J$392,0))&amp;"|"&amp;'Ingest Template'!B139),(INDEX(DropDown!$L$2:$L$392,MATCH('Ingest Template'!E139,DropDown!$J$2:$J$392,0))&amp;"|"&amp;'Ingest Template'!B139)&amp;CHAR(10)&amp;'Ingest Template'!V139)</f>
        <v>#N/A</v>
      </c>
      <c r="X139" s="41" t="str">
        <f>'Ingest Template'!W139</f>
        <v/>
      </c>
      <c r="Y139" s="21" t="str">
        <f>SUBSTITUTE(SUBSTITUTE(SUBSTITUTE('Ingest Template'!X139,"http:",""),"https:",""),"/","")</f>
        <v/>
      </c>
      <c r="Z139" s="21" t="str">
        <f t="array" ref="Z139">IF('Ingest Template'!A139="Standard",(IF(ISBLANK('Ingest Template'!AA139),"", 'Ingest Template'!AA139&amp;"|DAR")),(IF(ISBLANK('Ingest Template'!AA139),"", 'Ingest Template'!AA139&amp;"|Film Ops")))</f>
        <v/>
      </c>
      <c r="AA139" s="21"/>
      <c r="AB139" s="21" t="str">
        <f>'Ingest Template'!M139</f>
        <v/>
      </c>
      <c r="AC139" s="21" t="str">
        <f>'Ingest Template'!Y139</f>
        <v/>
      </c>
      <c r="AD139" s="21" t="str">
        <f>'Ingest Template'!C139</f>
        <v/>
      </c>
      <c r="AE139" s="21" t="str">
        <f>'Ingest Template'!Z139</f>
        <v/>
      </c>
      <c r="AF139" s="29"/>
      <c r="AG139" s="21" t="str">
        <f t="array" ref="AG139">IF('Ingest Template'!A139="Standard",(CONCATENATE(IF(ISBLANK('Ingest Template'!O139),"", 'Ingest Template'!O139&amp;"|DAR"),CHAR(10), IF(ISBLANK('Ingest Template'!P139),"", 'Ingest Template'!P139&amp;"|DAR"),CHAR(10), IF(ISBLANK('Ingest Template'!Q139),"", 'Ingest Template'!Q139&amp;"|DAR"))),(CONCATENATE(IF(ISBLANK('Ingest Template'!O139),"", 'Ingest Template'!O139&amp;"|Operations - Core Title"),CHAR(10), IF(ISBLANK('Ingest Template'!P139),"", 'Ingest Template'!P139&amp;"|Operations - Core Title"),CHAR(10), IF(ISBLANK('Ingest Template'!Q139),"", 'Ingest Template'!Q139&amp;"|Operations - Core Title"))))</f>
        <v>#|Operations - Core Title
#|Operations - Core Title
</v>
      </c>
      <c r="AH139" s="21"/>
      <c r="AI139" s="21"/>
      <c r="AJ139" s="53" t="str">
        <f>if('Ingest Template'!A139="Standard",'Ingest Template'!N139&amp; "|DAR|DAR|2021-01-01",'Ingest Template'!N139&amp; "|Operations - Core Title|Operations - Core Title")</f>
        <v>#N/A</v>
      </c>
      <c r="AK139" s="53" t="str">
        <f>if('Ingest Template'!A139="Standard",'Ingest Template'!R139&amp; "|2021-01-01",'Ingest Template'!R139)</f>
        <v>#N/A</v>
      </c>
      <c r="AL139" s="21"/>
      <c r="AM139" s="21"/>
    </row>
    <row r="140">
      <c r="A140" s="21"/>
      <c r="B140" s="21" t="str">
        <f>'Ingest Template'!B140&amp;IF('Ingest Template'!A140 = "Standard", " - DAR","")</f>
        <v/>
      </c>
      <c r="C140" s="26" t="s">
        <v>109</v>
      </c>
      <c r="D140" s="29" t="str">
        <f t="array" ref="D140">CONCATENATE(INDEX(DropDown!$H$2:$H$10,MATCH(1,COUNTIF('Ingest Template'!F140,"*"&amp;DropDown!$H$2:$H$10&amp;"*"),0)),CHAR(10),'Ingest Template'!G140)</f>
        <v>#N/A</v>
      </c>
      <c r="E140" s="21" t="str">
        <f>CONCATENATE('Ingest Template'!H140,CHAR(10),'Ingest Template'!I140,CHAR(10),'Ingest Template'!J140)</f>
        <v>
</v>
      </c>
      <c r="F140" s="26" t="str">
        <f>'Ingest Template'!H140</f>
        <v/>
      </c>
      <c r="G140" s="21"/>
      <c r="H140" s="29"/>
      <c r="I140" s="21"/>
      <c r="J140" s="29" t="str">
        <f t="array" ref="J140">iF('Ingest Template'!A140="Standard","Pristine Brand",INDEX(DropDown!$M$2:$M$392,MATCH('Ingest Template'!E140,DropDown!$J$2:$J$392,0)))</f>
        <v>#N/A</v>
      </c>
      <c r="K140" s="21" t="str">
        <f>iF('Ingest Template'!A140="Standard",'Ingest Template'!K140&amp;CHAR(10)&amp;'Ingest Template'!L140,"Competitive View")</f>
        <v>Competitive View</v>
      </c>
      <c r="L140" s="29" t="s">
        <v>146</v>
      </c>
      <c r="M140" s="37" t="str">
        <f>'Ingest Template'!D140</f>
        <v/>
      </c>
      <c r="N140" s="21"/>
      <c r="O140" s="21"/>
      <c r="P140" s="21"/>
      <c r="Q140" s="21"/>
      <c r="R140" s="21" t="str">
        <f>'Ingest Template'!E140</f>
        <v/>
      </c>
      <c r="S140" s="29" t="s">
        <v>153</v>
      </c>
      <c r="T140" s="21" t="str">
        <f>'Ingest Template'!T140</f>
        <v/>
      </c>
      <c r="U140" s="21" t="str">
        <f>'Ingest Template'!S140</f>
        <v/>
      </c>
      <c r="V140" s="21" t="str">
        <f>LOWER(SUBSTITUTE(SUBSTITUTE(SUBSTITUTE(SUBSTITUTE(SUBSTITUTE('Ingest Template'!U140,"https:",""),"www.",""),"/",""),"?hl=en",""),"instagram.com",""))</f>
        <v/>
      </c>
      <c r="W140" s="41" t="str">
        <f t="array" ref="W140">IF('Ingest Template'!V140="",(INDEX(DropDown!$L$2:$L$392,MATCH('Ingest Template'!E140,DropDown!$J$2:$J$392,0))&amp;"|"&amp;'Ingest Template'!B140),(INDEX(DropDown!$L$2:$L$392,MATCH('Ingest Template'!E140,DropDown!$J$2:$J$392,0))&amp;"|"&amp;'Ingest Template'!B140)&amp;CHAR(10)&amp;'Ingest Template'!V140)</f>
        <v>#N/A</v>
      </c>
      <c r="X140" s="41" t="str">
        <f>'Ingest Template'!W140</f>
        <v/>
      </c>
      <c r="Y140" s="21" t="str">
        <f>SUBSTITUTE(SUBSTITUTE(SUBSTITUTE('Ingest Template'!X140,"http:",""),"https:",""),"/","")</f>
        <v/>
      </c>
      <c r="Z140" s="21" t="str">
        <f t="array" ref="Z140">IF('Ingest Template'!A140="Standard",(IF(ISBLANK('Ingest Template'!AA140),"", 'Ingest Template'!AA140&amp;"|DAR")),(IF(ISBLANK('Ingest Template'!AA140),"", 'Ingest Template'!AA140&amp;"|Film Ops")))</f>
        <v/>
      </c>
      <c r="AA140" s="21"/>
      <c r="AB140" s="21" t="str">
        <f>'Ingest Template'!M140</f>
        <v/>
      </c>
      <c r="AC140" s="21" t="str">
        <f>'Ingest Template'!Y140</f>
        <v/>
      </c>
      <c r="AD140" s="21" t="str">
        <f>'Ingest Template'!C140</f>
        <v/>
      </c>
      <c r="AE140" s="21" t="str">
        <f>'Ingest Template'!Z140</f>
        <v/>
      </c>
      <c r="AF140" s="29"/>
      <c r="AG140" s="21" t="str">
        <f t="array" ref="AG140">IF('Ingest Template'!A140="Standard",(CONCATENATE(IF(ISBLANK('Ingest Template'!O140),"", 'Ingest Template'!O140&amp;"|DAR"),CHAR(10), IF(ISBLANK('Ingest Template'!P140),"", 'Ingest Template'!P140&amp;"|DAR"),CHAR(10), IF(ISBLANK('Ingest Template'!Q140),"", 'Ingest Template'!Q140&amp;"|DAR"))),(CONCATENATE(IF(ISBLANK('Ingest Template'!O140),"", 'Ingest Template'!O140&amp;"|Operations - Core Title"),CHAR(10), IF(ISBLANK('Ingest Template'!P140),"", 'Ingest Template'!P140&amp;"|Operations - Core Title"),CHAR(10), IF(ISBLANK('Ingest Template'!Q140),"", 'Ingest Template'!Q140&amp;"|Operations - Core Title"))))</f>
        <v>#|Operations - Core Title
#|Operations - Core Title
</v>
      </c>
      <c r="AH140" s="21"/>
      <c r="AI140" s="21"/>
      <c r="AJ140" s="53" t="str">
        <f>if('Ingest Template'!A140="Standard",'Ingest Template'!N140&amp; "|DAR|DAR|2021-01-01",'Ingest Template'!N140&amp; "|Operations - Core Title|Operations - Core Title")</f>
        <v>#N/A</v>
      </c>
      <c r="AK140" s="53" t="str">
        <f>if('Ingest Template'!A140="Standard",'Ingest Template'!R140&amp; "|2021-01-01",'Ingest Template'!R140)</f>
        <v>#N/A</v>
      </c>
      <c r="AL140" s="21"/>
      <c r="AM140" s="21"/>
    </row>
    <row r="141">
      <c r="A141" s="21"/>
      <c r="B141" s="21" t="str">
        <f>'Ingest Template'!B141&amp;IF('Ingest Template'!A141 = "Standard", " - DAR","")</f>
        <v/>
      </c>
      <c r="C141" s="26" t="s">
        <v>109</v>
      </c>
      <c r="D141" s="29" t="str">
        <f t="array" ref="D141">CONCATENATE(INDEX(DropDown!$H$2:$H$10,MATCH(1,COUNTIF('Ingest Template'!F141,"*"&amp;DropDown!$H$2:$H$10&amp;"*"),0)),CHAR(10),'Ingest Template'!G141)</f>
        <v>#N/A</v>
      </c>
      <c r="E141" s="21" t="str">
        <f>CONCATENATE('Ingest Template'!H141,CHAR(10),'Ingest Template'!I141,CHAR(10),'Ingest Template'!J141)</f>
        <v>
</v>
      </c>
      <c r="F141" s="26" t="str">
        <f>'Ingest Template'!H141</f>
        <v/>
      </c>
      <c r="G141" s="21"/>
      <c r="H141" s="29"/>
      <c r="I141" s="21"/>
      <c r="J141" s="29" t="str">
        <f t="array" ref="J141">iF('Ingest Template'!A141="Standard","Pristine Brand",INDEX(DropDown!$M$2:$M$392,MATCH('Ingest Template'!E141,DropDown!$J$2:$J$392,0)))</f>
        <v>#N/A</v>
      </c>
      <c r="K141" s="21" t="str">
        <f>iF('Ingest Template'!A141="Standard",'Ingest Template'!K141&amp;CHAR(10)&amp;'Ingest Template'!L141,"Competitive View")</f>
        <v>Competitive View</v>
      </c>
      <c r="L141" s="29" t="s">
        <v>146</v>
      </c>
      <c r="M141" s="37" t="str">
        <f>'Ingest Template'!D141</f>
        <v/>
      </c>
      <c r="N141" s="21"/>
      <c r="O141" s="21"/>
      <c r="P141" s="21"/>
      <c r="Q141" s="21"/>
      <c r="R141" s="21" t="str">
        <f>'Ingest Template'!E141</f>
        <v/>
      </c>
      <c r="S141" s="29" t="s">
        <v>153</v>
      </c>
      <c r="T141" s="21" t="str">
        <f>'Ingest Template'!T141</f>
        <v/>
      </c>
      <c r="U141" s="21" t="str">
        <f>'Ingest Template'!S141</f>
        <v/>
      </c>
      <c r="V141" s="21" t="str">
        <f>LOWER(SUBSTITUTE(SUBSTITUTE(SUBSTITUTE(SUBSTITUTE(SUBSTITUTE('Ingest Template'!U141,"https:",""),"www.",""),"/",""),"?hl=en",""),"instagram.com",""))</f>
        <v/>
      </c>
      <c r="W141" s="41" t="str">
        <f t="array" ref="W141">IF('Ingest Template'!V141="",(INDEX(DropDown!$L$2:$L$392,MATCH('Ingest Template'!E141,DropDown!$J$2:$J$392,0))&amp;"|"&amp;'Ingest Template'!B141),(INDEX(DropDown!$L$2:$L$392,MATCH('Ingest Template'!E141,DropDown!$J$2:$J$392,0))&amp;"|"&amp;'Ingest Template'!B141)&amp;CHAR(10)&amp;'Ingest Template'!V141)</f>
        <v>#N/A</v>
      </c>
      <c r="X141" s="41" t="str">
        <f>'Ingest Template'!W141</f>
        <v/>
      </c>
      <c r="Y141" s="21" t="str">
        <f>SUBSTITUTE(SUBSTITUTE(SUBSTITUTE('Ingest Template'!X141,"http:",""),"https:",""),"/","")</f>
        <v/>
      </c>
      <c r="Z141" s="21" t="str">
        <f t="array" ref="Z141">IF('Ingest Template'!A141="Standard",(IF(ISBLANK('Ingest Template'!AA141),"", 'Ingest Template'!AA141&amp;"|DAR")),(IF(ISBLANK('Ingest Template'!AA141),"", 'Ingest Template'!AA141&amp;"|Film Ops")))</f>
        <v/>
      </c>
      <c r="AA141" s="21"/>
      <c r="AB141" s="21" t="str">
        <f>'Ingest Template'!M141</f>
        <v/>
      </c>
      <c r="AC141" s="21" t="str">
        <f>'Ingest Template'!Y141</f>
        <v/>
      </c>
      <c r="AD141" s="21" t="str">
        <f>'Ingest Template'!C141</f>
        <v/>
      </c>
      <c r="AE141" s="21" t="str">
        <f>'Ingest Template'!Z141</f>
        <v/>
      </c>
      <c r="AF141" s="29"/>
      <c r="AG141" s="21" t="str">
        <f t="array" ref="AG141">IF('Ingest Template'!A141="Standard",(CONCATENATE(IF(ISBLANK('Ingest Template'!O141),"", 'Ingest Template'!O141&amp;"|DAR"),CHAR(10), IF(ISBLANK('Ingest Template'!P141),"", 'Ingest Template'!P141&amp;"|DAR"),CHAR(10), IF(ISBLANK('Ingest Template'!Q141),"", 'Ingest Template'!Q141&amp;"|DAR"))),(CONCATENATE(IF(ISBLANK('Ingest Template'!O141),"", 'Ingest Template'!O141&amp;"|Operations - Core Title"),CHAR(10), IF(ISBLANK('Ingest Template'!P141),"", 'Ingest Template'!P141&amp;"|Operations - Core Title"),CHAR(10), IF(ISBLANK('Ingest Template'!Q141),"", 'Ingest Template'!Q141&amp;"|Operations - Core Title"))))</f>
        <v>#|Operations - Core Title
#|Operations - Core Title
</v>
      </c>
      <c r="AH141" s="21"/>
      <c r="AI141" s="21"/>
      <c r="AJ141" s="53" t="str">
        <f>if('Ingest Template'!A141="Standard",'Ingest Template'!N141&amp; "|DAR|DAR|2021-01-01",'Ingest Template'!N141&amp; "|Operations - Core Title|Operations - Core Title")</f>
        <v>#N/A</v>
      </c>
      <c r="AK141" s="53" t="str">
        <f>if('Ingest Template'!A141="Standard",'Ingest Template'!R141&amp; "|2021-01-01",'Ingest Template'!R141)</f>
        <v>#N/A</v>
      </c>
      <c r="AL141" s="21"/>
      <c r="AM141" s="21"/>
    </row>
    <row r="142">
      <c r="A142" s="21"/>
      <c r="B142" s="21" t="str">
        <f>'Ingest Template'!B142&amp;IF('Ingest Template'!A142 = "Standard", " - DAR","")</f>
        <v/>
      </c>
      <c r="C142" s="26" t="s">
        <v>109</v>
      </c>
      <c r="D142" s="29" t="str">
        <f t="array" ref="D142">CONCATENATE(INDEX(DropDown!$H$2:$H$10,MATCH(1,COUNTIF('Ingest Template'!F142,"*"&amp;DropDown!$H$2:$H$10&amp;"*"),0)),CHAR(10),'Ingest Template'!G142)</f>
        <v>#N/A</v>
      </c>
      <c r="E142" s="21" t="str">
        <f>CONCATENATE('Ingest Template'!H142,CHAR(10),'Ingest Template'!I142,CHAR(10),'Ingest Template'!J142)</f>
        <v>
</v>
      </c>
      <c r="F142" s="26" t="str">
        <f>'Ingest Template'!H142</f>
        <v/>
      </c>
      <c r="G142" s="21"/>
      <c r="H142" s="29"/>
      <c r="I142" s="21"/>
      <c r="J142" s="29" t="str">
        <f t="array" ref="J142">iF('Ingest Template'!A142="Standard","Pristine Brand",INDEX(DropDown!$M$2:$M$392,MATCH('Ingest Template'!E142,DropDown!$J$2:$J$392,0)))</f>
        <v>#N/A</v>
      </c>
      <c r="K142" s="21" t="str">
        <f>iF('Ingest Template'!A142="Standard",'Ingest Template'!K142&amp;CHAR(10)&amp;'Ingest Template'!L142,"Competitive View")</f>
        <v>Competitive View</v>
      </c>
      <c r="L142" s="29" t="s">
        <v>146</v>
      </c>
      <c r="M142" s="37" t="str">
        <f>'Ingest Template'!D142</f>
        <v/>
      </c>
      <c r="N142" s="21"/>
      <c r="O142" s="21"/>
      <c r="P142" s="21"/>
      <c r="Q142" s="21"/>
      <c r="R142" s="21" t="str">
        <f>'Ingest Template'!E142</f>
        <v/>
      </c>
      <c r="S142" s="29" t="s">
        <v>153</v>
      </c>
      <c r="T142" s="21" t="str">
        <f>'Ingest Template'!T142</f>
        <v/>
      </c>
      <c r="U142" s="21" t="str">
        <f>'Ingest Template'!S142</f>
        <v/>
      </c>
      <c r="V142" s="21" t="str">
        <f>LOWER(SUBSTITUTE(SUBSTITUTE(SUBSTITUTE(SUBSTITUTE(SUBSTITUTE('Ingest Template'!U142,"https:",""),"www.",""),"/",""),"?hl=en",""),"instagram.com",""))</f>
        <v/>
      </c>
      <c r="W142" s="41" t="str">
        <f t="array" ref="W142">IF('Ingest Template'!V142="",(INDEX(DropDown!$L$2:$L$392,MATCH('Ingest Template'!E142,DropDown!$J$2:$J$392,0))&amp;"|"&amp;'Ingest Template'!B142),(INDEX(DropDown!$L$2:$L$392,MATCH('Ingest Template'!E142,DropDown!$J$2:$J$392,0))&amp;"|"&amp;'Ingest Template'!B142)&amp;CHAR(10)&amp;'Ingest Template'!V142)</f>
        <v>#N/A</v>
      </c>
      <c r="X142" s="41" t="str">
        <f>'Ingest Template'!W142</f>
        <v/>
      </c>
      <c r="Y142" s="21" t="str">
        <f>SUBSTITUTE(SUBSTITUTE(SUBSTITUTE('Ingest Template'!X142,"http:",""),"https:",""),"/","")</f>
        <v/>
      </c>
      <c r="Z142" s="21" t="str">
        <f t="array" ref="Z142">IF('Ingest Template'!A142="Standard",(IF(ISBLANK('Ingest Template'!AA142),"", 'Ingest Template'!AA142&amp;"|DAR")),(IF(ISBLANK('Ingest Template'!AA142),"", 'Ingest Template'!AA142&amp;"|Film Ops")))</f>
        <v/>
      </c>
      <c r="AA142" s="21"/>
      <c r="AB142" s="21" t="str">
        <f>'Ingest Template'!M142</f>
        <v/>
      </c>
      <c r="AC142" s="21" t="str">
        <f>'Ingest Template'!Y142</f>
        <v/>
      </c>
      <c r="AD142" s="21" t="str">
        <f>'Ingest Template'!C142</f>
        <v/>
      </c>
      <c r="AE142" s="21" t="str">
        <f>'Ingest Template'!Z142</f>
        <v/>
      </c>
      <c r="AF142" s="29"/>
      <c r="AG142" s="21" t="str">
        <f t="array" ref="AG142">IF('Ingest Template'!A142="Standard",(CONCATENATE(IF(ISBLANK('Ingest Template'!O142),"", 'Ingest Template'!O142&amp;"|DAR"),CHAR(10), IF(ISBLANK('Ingest Template'!P142),"", 'Ingest Template'!P142&amp;"|DAR"),CHAR(10), IF(ISBLANK('Ingest Template'!Q142),"", 'Ingest Template'!Q142&amp;"|DAR"))),(CONCATENATE(IF(ISBLANK('Ingest Template'!O142),"", 'Ingest Template'!O142&amp;"|Operations - Core Title"),CHAR(10), IF(ISBLANK('Ingest Template'!P142),"", 'Ingest Template'!P142&amp;"|Operations - Core Title"),CHAR(10), IF(ISBLANK('Ingest Template'!Q142),"", 'Ingest Template'!Q142&amp;"|Operations - Core Title"))))</f>
        <v>#|Operations - Core Title
#|Operations - Core Title
</v>
      </c>
      <c r="AH142" s="21"/>
      <c r="AI142" s="21"/>
      <c r="AJ142" s="53" t="str">
        <f>if('Ingest Template'!A142="Standard",'Ingest Template'!N142&amp; "|DAR|DAR|2021-01-01",'Ingest Template'!N142&amp; "|Operations - Core Title|Operations - Core Title")</f>
        <v>#N/A</v>
      </c>
      <c r="AK142" s="53" t="str">
        <f>if('Ingest Template'!A142="Standard",'Ingest Template'!R142&amp; "|2021-01-01",'Ingest Template'!R142)</f>
        <v>#N/A</v>
      </c>
      <c r="AL142" s="21"/>
      <c r="AM142" s="21"/>
    </row>
    <row r="143">
      <c r="A143" s="21"/>
      <c r="B143" s="21" t="str">
        <f>'Ingest Template'!B143&amp;IF('Ingest Template'!A143 = "Standard", " - DAR","")</f>
        <v/>
      </c>
      <c r="C143" s="26" t="s">
        <v>109</v>
      </c>
      <c r="D143" s="29" t="str">
        <f t="array" ref="D143">CONCATENATE(INDEX(DropDown!$H$2:$H$10,MATCH(1,COUNTIF('Ingest Template'!F143,"*"&amp;DropDown!$H$2:$H$10&amp;"*"),0)),CHAR(10),'Ingest Template'!G143)</f>
        <v>#N/A</v>
      </c>
      <c r="E143" s="21" t="str">
        <f>CONCATENATE('Ingest Template'!H143,CHAR(10),'Ingest Template'!I143,CHAR(10),'Ingest Template'!J143)</f>
        <v>
</v>
      </c>
      <c r="F143" s="26" t="str">
        <f>'Ingest Template'!H143</f>
        <v/>
      </c>
      <c r="G143" s="21"/>
      <c r="H143" s="29"/>
      <c r="I143" s="21"/>
      <c r="J143" s="29" t="str">
        <f t="array" ref="J143">iF('Ingest Template'!A143="Standard","Pristine Brand",INDEX(DropDown!$M$2:$M$392,MATCH('Ingest Template'!E143,DropDown!$J$2:$J$392,0)))</f>
        <v>#N/A</v>
      </c>
      <c r="K143" s="21" t="str">
        <f>iF('Ingest Template'!A143="Standard",'Ingest Template'!K143&amp;CHAR(10)&amp;'Ingest Template'!L143,"Competitive View")</f>
        <v>Competitive View</v>
      </c>
      <c r="L143" s="29" t="s">
        <v>146</v>
      </c>
      <c r="M143" s="37" t="str">
        <f>'Ingest Template'!D143</f>
        <v/>
      </c>
      <c r="N143" s="21"/>
      <c r="O143" s="21"/>
      <c r="P143" s="21"/>
      <c r="Q143" s="21"/>
      <c r="R143" s="21" t="str">
        <f>'Ingest Template'!E143</f>
        <v/>
      </c>
      <c r="S143" s="29" t="s">
        <v>153</v>
      </c>
      <c r="T143" s="21" t="str">
        <f>'Ingest Template'!T143</f>
        <v/>
      </c>
      <c r="U143" s="21" t="str">
        <f>'Ingest Template'!S143</f>
        <v/>
      </c>
      <c r="V143" s="21" t="str">
        <f>LOWER(SUBSTITUTE(SUBSTITUTE(SUBSTITUTE(SUBSTITUTE(SUBSTITUTE('Ingest Template'!U143,"https:",""),"www.",""),"/",""),"?hl=en",""),"instagram.com",""))</f>
        <v/>
      </c>
      <c r="W143" s="41" t="str">
        <f t="array" ref="W143">IF('Ingest Template'!V143="",(INDEX(DropDown!$L$2:$L$392,MATCH('Ingest Template'!E143,DropDown!$J$2:$J$392,0))&amp;"|"&amp;'Ingest Template'!B143),(INDEX(DropDown!$L$2:$L$392,MATCH('Ingest Template'!E143,DropDown!$J$2:$J$392,0))&amp;"|"&amp;'Ingest Template'!B143)&amp;CHAR(10)&amp;'Ingest Template'!V143)</f>
        <v>#N/A</v>
      </c>
      <c r="X143" s="41" t="str">
        <f>'Ingest Template'!W143</f>
        <v/>
      </c>
      <c r="Y143" s="21" t="str">
        <f>SUBSTITUTE(SUBSTITUTE(SUBSTITUTE('Ingest Template'!X143,"http:",""),"https:",""),"/","")</f>
        <v/>
      </c>
      <c r="Z143" s="21" t="str">
        <f t="array" ref="Z143">IF('Ingest Template'!A143="Standard",(IF(ISBLANK('Ingest Template'!AA143),"", 'Ingest Template'!AA143&amp;"|DAR")),(IF(ISBLANK('Ingest Template'!AA143),"", 'Ingest Template'!AA143&amp;"|Film Ops")))</f>
        <v/>
      </c>
      <c r="AA143" s="21"/>
      <c r="AB143" s="21" t="str">
        <f>'Ingest Template'!M143</f>
        <v/>
      </c>
      <c r="AC143" s="21" t="str">
        <f>'Ingest Template'!Y143</f>
        <v/>
      </c>
      <c r="AD143" s="21" t="str">
        <f>'Ingest Template'!C143</f>
        <v/>
      </c>
      <c r="AE143" s="21" t="str">
        <f>'Ingest Template'!Z143</f>
        <v/>
      </c>
      <c r="AF143" s="29"/>
      <c r="AG143" s="21" t="str">
        <f t="array" ref="AG143">IF('Ingest Template'!A143="Standard",(CONCATENATE(IF(ISBLANK('Ingest Template'!O143),"", 'Ingest Template'!O143&amp;"|DAR"),CHAR(10), IF(ISBLANK('Ingest Template'!P143),"", 'Ingest Template'!P143&amp;"|DAR"),CHAR(10), IF(ISBLANK('Ingest Template'!Q143),"", 'Ingest Template'!Q143&amp;"|DAR"))),(CONCATENATE(IF(ISBLANK('Ingest Template'!O143),"", 'Ingest Template'!O143&amp;"|Operations - Core Title"),CHAR(10), IF(ISBLANK('Ingest Template'!P143),"", 'Ingest Template'!P143&amp;"|Operations - Core Title"),CHAR(10), IF(ISBLANK('Ingest Template'!Q143),"", 'Ingest Template'!Q143&amp;"|Operations - Core Title"))))</f>
        <v>#|Operations - Core Title
#|Operations - Core Title
</v>
      </c>
      <c r="AH143" s="21"/>
      <c r="AI143" s="21"/>
      <c r="AJ143" s="53" t="str">
        <f>if('Ingest Template'!A143="Standard",'Ingest Template'!N143&amp; "|DAR|DAR|2021-01-01",'Ingest Template'!N143&amp; "|Operations - Core Title|Operations - Core Title")</f>
        <v>#N/A</v>
      </c>
      <c r="AK143" s="53" t="str">
        <f>if('Ingest Template'!A143="Standard",'Ingest Template'!R143&amp; "|2021-01-01",'Ingest Template'!R143)</f>
        <v>#N/A</v>
      </c>
      <c r="AL143" s="21"/>
      <c r="AM143" s="21"/>
    </row>
    <row r="144">
      <c r="A144" s="21"/>
      <c r="B144" s="21" t="str">
        <f>'Ingest Template'!B144&amp;IF('Ingest Template'!A144 = "Standard", " - DAR","")</f>
        <v/>
      </c>
      <c r="C144" s="26" t="s">
        <v>109</v>
      </c>
      <c r="D144" s="29" t="str">
        <f t="array" ref="D144">CONCATENATE(INDEX(DropDown!$H$2:$H$10,MATCH(1,COUNTIF('Ingest Template'!F144,"*"&amp;DropDown!$H$2:$H$10&amp;"*"),0)),CHAR(10),'Ingest Template'!G144)</f>
        <v>#N/A</v>
      </c>
      <c r="E144" s="21" t="str">
        <f>CONCATENATE('Ingest Template'!H144,CHAR(10),'Ingest Template'!I144,CHAR(10),'Ingest Template'!J144)</f>
        <v>
</v>
      </c>
      <c r="F144" s="26" t="str">
        <f>'Ingest Template'!H144</f>
        <v/>
      </c>
      <c r="G144" s="21"/>
      <c r="H144" s="29"/>
      <c r="I144" s="21"/>
      <c r="J144" s="29" t="str">
        <f t="array" ref="J144">iF('Ingest Template'!A144="Standard","Pristine Brand",INDEX(DropDown!$M$2:$M$392,MATCH('Ingest Template'!E144,DropDown!$J$2:$J$392,0)))</f>
        <v>#N/A</v>
      </c>
      <c r="K144" s="21" t="str">
        <f>iF('Ingest Template'!A144="Standard",'Ingest Template'!K144&amp;CHAR(10)&amp;'Ingest Template'!L144,"Competitive View")</f>
        <v>Competitive View</v>
      </c>
      <c r="L144" s="29" t="s">
        <v>146</v>
      </c>
      <c r="M144" s="37" t="str">
        <f>'Ingest Template'!D144</f>
        <v/>
      </c>
      <c r="N144" s="21"/>
      <c r="O144" s="21"/>
      <c r="P144" s="21"/>
      <c r="Q144" s="21"/>
      <c r="R144" s="21" t="str">
        <f>'Ingest Template'!E144</f>
        <v/>
      </c>
      <c r="S144" s="29" t="s">
        <v>153</v>
      </c>
      <c r="T144" s="21" t="str">
        <f>'Ingest Template'!T144</f>
        <v/>
      </c>
      <c r="U144" s="21" t="str">
        <f>'Ingest Template'!S144</f>
        <v/>
      </c>
      <c r="V144" s="21" t="str">
        <f>LOWER(SUBSTITUTE(SUBSTITUTE(SUBSTITUTE(SUBSTITUTE(SUBSTITUTE('Ingest Template'!U144,"https:",""),"www.",""),"/",""),"?hl=en",""),"instagram.com",""))</f>
        <v/>
      </c>
      <c r="W144" s="41" t="str">
        <f t="array" ref="W144">IF('Ingest Template'!V144="",(INDEX(DropDown!$L$2:$L$392,MATCH('Ingest Template'!E144,DropDown!$J$2:$J$392,0))&amp;"|"&amp;'Ingest Template'!B144),(INDEX(DropDown!$L$2:$L$392,MATCH('Ingest Template'!E144,DropDown!$J$2:$J$392,0))&amp;"|"&amp;'Ingest Template'!B144)&amp;CHAR(10)&amp;'Ingest Template'!V144)</f>
        <v>#N/A</v>
      </c>
      <c r="X144" s="41" t="str">
        <f>'Ingest Template'!W144</f>
        <v/>
      </c>
      <c r="Y144" s="21" t="str">
        <f>SUBSTITUTE(SUBSTITUTE(SUBSTITUTE('Ingest Template'!X144,"http:",""),"https:",""),"/","")</f>
        <v/>
      </c>
      <c r="Z144" s="21" t="str">
        <f t="array" ref="Z144">IF('Ingest Template'!A144="Standard",(IF(ISBLANK('Ingest Template'!AA144),"", 'Ingest Template'!AA144&amp;"|DAR")),(IF(ISBLANK('Ingest Template'!AA144),"", 'Ingest Template'!AA144&amp;"|Film Ops")))</f>
        <v/>
      </c>
      <c r="AA144" s="21"/>
      <c r="AB144" s="21" t="str">
        <f>'Ingest Template'!M144</f>
        <v/>
      </c>
      <c r="AC144" s="21" t="str">
        <f>'Ingest Template'!Y144</f>
        <v/>
      </c>
      <c r="AD144" s="21" t="str">
        <f>'Ingest Template'!C144</f>
        <v/>
      </c>
      <c r="AE144" s="21" t="str">
        <f>'Ingest Template'!Z144</f>
        <v/>
      </c>
      <c r="AF144" s="29"/>
      <c r="AG144" s="21" t="str">
        <f t="array" ref="AG144">IF('Ingest Template'!A144="Standard",(CONCATENATE(IF(ISBLANK('Ingest Template'!O144),"", 'Ingest Template'!O144&amp;"|DAR"),CHAR(10), IF(ISBLANK('Ingest Template'!P144),"", 'Ingest Template'!P144&amp;"|DAR"),CHAR(10), IF(ISBLANK('Ingest Template'!Q144),"", 'Ingest Template'!Q144&amp;"|DAR"))),(CONCATENATE(IF(ISBLANK('Ingest Template'!O144),"", 'Ingest Template'!O144&amp;"|Operations - Core Title"),CHAR(10), IF(ISBLANK('Ingest Template'!P144),"", 'Ingest Template'!P144&amp;"|Operations - Core Title"),CHAR(10), IF(ISBLANK('Ingest Template'!Q144),"", 'Ingest Template'!Q144&amp;"|Operations - Core Title"))))</f>
        <v>#|Operations - Core Title
#|Operations - Core Title
</v>
      </c>
      <c r="AH144" s="21"/>
      <c r="AI144" s="21"/>
      <c r="AJ144" s="53" t="str">
        <f>if('Ingest Template'!A144="Standard",'Ingest Template'!N144&amp; "|DAR|DAR|2021-01-01",'Ingest Template'!N144&amp; "|Operations - Core Title|Operations - Core Title")</f>
        <v>#N/A</v>
      </c>
      <c r="AK144" s="53" t="str">
        <f>if('Ingest Template'!A144="Standard",'Ingest Template'!R144&amp; "|2021-01-01",'Ingest Template'!R144)</f>
        <v>#N/A</v>
      </c>
      <c r="AL144" s="21"/>
      <c r="AM144" s="21"/>
    </row>
    <row r="145">
      <c r="A145" s="21"/>
      <c r="B145" s="21" t="str">
        <f>'Ingest Template'!B145&amp;IF('Ingest Template'!A145 = "Standard", " - DAR","")</f>
        <v/>
      </c>
      <c r="C145" s="26" t="s">
        <v>109</v>
      </c>
      <c r="D145" s="29" t="str">
        <f t="array" ref="D145">CONCATENATE(INDEX(DropDown!$H$2:$H$10,MATCH(1,COUNTIF('Ingest Template'!F145,"*"&amp;DropDown!$H$2:$H$10&amp;"*"),0)),CHAR(10),'Ingest Template'!G145)</f>
        <v>#N/A</v>
      </c>
      <c r="E145" s="21" t="str">
        <f>CONCATENATE('Ingest Template'!H145,CHAR(10),'Ingest Template'!I145,CHAR(10),'Ingest Template'!J145)</f>
        <v>
</v>
      </c>
      <c r="F145" s="26" t="str">
        <f>'Ingest Template'!H145</f>
        <v/>
      </c>
      <c r="G145" s="21"/>
      <c r="H145" s="29"/>
      <c r="I145" s="21"/>
      <c r="J145" s="29" t="str">
        <f t="array" ref="J145">iF('Ingest Template'!A145="Standard","Pristine Brand",INDEX(DropDown!$M$2:$M$392,MATCH('Ingest Template'!E145,DropDown!$J$2:$J$392,0)))</f>
        <v>#N/A</v>
      </c>
      <c r="K145" s="21" t="str">
        <f>iF('Ingest Template'!A145="Standard",'Ingest Template'!K145&amp;CHAR(10)&amp;'Ingest Template'!L145,"Competitive View")</f>
        <v>Competitive View</v>
      </c>
      <c r="L145" s="29" t="s">
        <v>146</v>
      </c>
      <c r="M145" s="37" t="str">
        <f>'Ingest Template'!D145</f>
        <v/>
      </c>
      <c r="N145" s="21"/>
      <c r="O145" s="21"/>
      <c r="P145" s="21"/>
      <c r="Q145" s="21"/>
      <c r="R145" s="21" t="str">
        <f>'Ingest Template'!E145</f>
        <v/>
      </c>
      <c r="S145" s="29" t="s">
        <v>153</v>
      </c>
      <c r="T145" s="21" t="str">
        <f>'Ingest Template'!T145</f>
        <v/>
      </c>
      <c r="U145" s="21" t="str">
        <f>'Ingest Template'!S145</f>
        <v/>
      </c>
      <c r="V145" s="21" t="str">
        <f>LOWER(SUBSTITUTE(SUBSTITUTE(SUBSTITUTE(SUBSTITUTE(SUBSTITUTE('Ingest Template'!U145,"https:",""),"www.",""),"/",""),"?hl=en",""),"instagram.com",""))</f>
        <v/>
      </c>
      <c r="W145" s="41" t="str">
        <f t="array" ref="W145">IF('Ingest Template'!V145="",(INDEX(DropDown!$L$2:$L$392,MATCH('Ingest Template'!E145,DropDown!$J$2:$J$392,0))&amp;"|"&amp;'Ingest Template'!B145),(INDEX(DropDown!$L$2:$L$392,MATCH('Ingest Template'!E145,DropDown!$J$2:$J$392,0))&amp;"|"&amp;'Ingest Template'!B145)&amp;CHAR(10)&amp;'Ingest Template'!V145)</f>
        <v>#N/A</v>
      </c>
      <c r="X145" s="41" t="str">
        <f>'Ingest Template'!W145</f>
        <v/>
      </c>
      <c r="Y145" s="21" t="str">
        <f>SUBSTITUTE(SUBSTITUTE(SUBSTITUTE('Ingest Template'!X145,"http:",""),"https:",""),"/","")</f>
        <v/>
      </c>
      <c r="Z145" s="21" t="str">
        <f t="array" ref="Z145">IF('Ingest Template'!A145="Standard",(IF(ISBLANK('Ingest Template'!AA145),"", 'Ingest Template'!AA145&amp;"|DAR")),(IF(ISBLANK('Ingest Template'!AA145),"", 'Ingest Template'!AA145&amp;"|Film Ops")))</f>
        <v/>
      </c>
      <c r="AA145" s="21"/>
      <c r="AB145" s="21" t="str">
        <f>'Ingest Template'!M145</f>
        <v/>
      </c>
      <c r="AC145" s="21" t="str">
        <f>'Ingest Template'!Y145</f>
        <v/>
      </c>
      <c r="AD145" s="21" t="str">
        <f>'Ingest Template'!C145</f>
        <v/>
      </c>
      <c r="AE145" s="21" t="str">
        <f>'Ingest Template'!Z145</f>
        <v/>
      </c>
      <c r="AF145" s="29"/>
      <c r="AG145" s="21" t="str">
        <f t="array" ref="AG145">IF('Ingest Template'!A145="Standard",(CONCATENATE(IF(ISBLANK('Ingest Template'!O145),"", 'Ingest Template'!O145&amp;"|DAR"),CHAR(10), IF(ISBLANK('Ingest Template'!P145),"", 'Ingest Template'!P145&amp;"|DAR"),CHAR(10), IF(ISBLANK('Ingest Template'!Q145),"", 'Ingest Template'!Q145&amp;"|DAR"))),(CONCATENATE(IF(ISBLANK('Ingest Template'!O145),"", 'Ingest Template'!O145&amp;"|Operations - Core Title"),CHAR(10), IF(ISBLANK('Ingest Template'!P145),"", 'Ingest Template'!P145&amp;"|Operations - Core Title"),CHAR(10), IF(ISBLANK('Ingest Template'!Q145),"", 'Ingest Template'!Q145&amp;"|Operations - Core Title"))))</f>
        <v>#|Operations - Core Title
#|Operations - Core Title
</v>
      </c>
      <c r="AH145" s="21"/>
      <c r="AI145" s="21"/>
      <c r="AJ145" s="53" t="str">
        <f>if('Ingest Template'!A145="Standard",'Ingest Template'!N145&amp; "|DAR|DAR|2021-01-01",'Ingest Template'!N145&amp; "|Operations - Core Title|Operations - Core Title")</f>
        <v>#N/A</v>
      </c>
      <c r="AK145" s="53" t="str">
        <f>if('Ingest Template'!A145="Standard",'Ingest Template'!R145&amp; "|2021-01-01",'Ingest Template'!R145)</f>
        <v>#N/A</v>
      </c>
      <c r="AL145" s="21"/>
      <c r="AM145" s="21"/>
    </row>
    <row r="146">
      <c r="A146" s="21"/>
      <c r="B146" s="21" t="str">
        <f>'Ingest Template'!B146&amp;IF('Ingest Template'!A146 = "Standard", " - DAR","")</f>
        <v/>
      </c>
      <c r="C146" s="26" t="s">
        <v>109</v>
      </c>
      <c r="D146" s="29" t="str">
        <f t="array" ref="D146">CONCATENATE(INDEX(DropDown!$H$2:$H$10,MATCH(1,COUNTIF('Ingest Template'!F146,"*"&amp;DropDown!$H$2:$H$10&amp;"*"),0)),CHAR(10),'Ingest Template'!G146)</f>
        <v>#N/A</v>
      </c>
      <c r="E146" s="21" t="str">
        <f>CONCATENATE('Ingest Template'!H146,CHAR(10),'Ingest Template'!I146,CHAR(10),'Ingest Template'!J146)</f>
        <v>
</v>
      </c>
      <c r="F146" s="26" t="str">
        <f>'Ingest Template'!H146</f>
        <v/>
      </c>
      <c r="G146" s="21"/>
      <c r="H146" s="29"/>
      <c r="I146" s="21"/>
      <c r="J146" s="29" t="str">
        <f t="array" ref="J146">iF('Ingest Template'!A146="Standard","Pristine Brand",INDEX(DropDown!$M$2:$M$392,MATCH('Ingest Template'!E146,DropDown!$J$2:$J$392,0)))</f>
        <v>#N/A</v>
      </c>
      <c r="K146" s="21" t="str">
        <f>iF('Ingest Template'!A146="Standard",'Ingest Template'!K146&amp;CHAR(10)&amp;'Ingest Template'!L146,"Competitive View")</f>
        <v>Competitive View</v>
      </c>
      <c r="L146" s="29" t="s">
        <v>146</v>
      </c>
      <c r="M146" s="37" t="str">
        <f>'Ingest Template'!D146</f>
        <v/>
      </c>
      <c r="N146" s="21"/>
      <c r="O146" s="21"/>
      <c r="P146" s="21"/>
      <c r="Q146" s="21"/>
      <c r="R146" s="21" t="str">
        <f>'Ingest Template'!E146</f>
        <v/>
      </c>
      <c r="S146" s="29" t="s">
        <v>153</v>
      </c>
      <c r="T146" s="21" t="str">
        <f>'Ingest Template'!T146</f>
        <v/>
      </c>
      <c r="U146" s="21" t="str">
        <f>'Ingest Template'!S146</f>
        <v/>
      </c>
      <c r="V146" s="21" t="str">
        <f>LOWER(SUBSTITUTE(SUBSTITUTE(SUBSTITUTE(SUBSTITUTE(SUBSTITUTE('Ingest Template'!U146,"https:",""),"www.",""),"/",""),"?hl=en",""),"instagram.com",""))</f>
        <v/>
      </c>
      <c r="W146" s="41" t="str">
        <f t="array" ref="W146">IF('Ingest Template'!V146="",(INDEX(DropDown!$L$2:$L$392,MATCH('Ingest Template'!E146,DropDown!$J$2:$J$392,0))&amp;"|"&amp;'Ingest Template'!B146),(INDEX(DropDown!$L$2:$L$392,MATCH('Ingest Template'!E146,DropDown!$J$2:$J$392,0))&amp;"|"&amp;'Ingest Template'!B146)&amp;CHAR(10)&amp;'Ingest Template'!V146)</f>
        <v>#N/A</v>
      </c>
      <c r="X146" s="41" t="str">
        <f>'Ingest Template'!W146</f>
        <v/>
      </c>
      <c r="Y146" s="21" t="str">
        <f>SUBSTITUTE(SUBSTITUTE(SUBSTITUTE('Ingest Template'!X146,"http:",""),"https:",""),"/","")</f>
        <v/>
      </c>
      <c r="Z146" s="21" t="str">
        <f t="array" ref="Z146">IF('Ingest Template'!A146="Standard",(IF(ISBLANK('Ingest Template'!AA146),"", 'Ingest Template'!AA146&amp;"|DAR")),(IF(ISBLANK('Ingest Template'!AA146),"", 'Ingest Template'!AA146&amp;"|Film Ops")))</f>
        <v/>
      </c>
      <c r="AA146" s="21"/>
      <c r="AB146" s="21" t="str">
        <f>'Ingest Template'!M146</f>
        <v/>
      </c>
      <c r="AC146" s="21" t="str">
        <f>'Ingest Template'!Y146</f>
        <v/>
      </c>
      <c r="AD146" s="21" t="str">
        <f>'Ingest Template'!C146</f>
        <v/>
      </c>
      <c r="AE146" s="21" t="str">
        <f>'Ingest Template'!Z146</f>
        <v/>
      </c>
      <c r="AF146" s="29"/>
      <c r="AG146" s="21" t="str">
        <f t="array" ref="AG146">IF('Ingest Template'!A146="Standard",(CONCATENATE(IF(ISBLANK('Ingest Template'!O146),"", 'Ingest Template'!O146&amp;"|DAR"),CHAR(10), IF(ISBLANK('Ingest Template'!P146),"", 'Ingest Template'!P146&amp;"|DAR"),CHAR(10), IF(ISBLANK('Ingest Template'!Q146),"", 'Ingest Template'!Q146&amp;"|DAR"))),(CONCATENATE(IF(ISBLANK('Ingest Template'!O146),"", 'Ingest Template'!O146&amp;"|Operations - Core Title"),CHAR(10), IF(ISBLANK('Ingest Template'!P146),"", 'Ingest Template'!P146&amp;"|Operations - Core Title"),CHAR(10), IF(ISBLANK('Ingest Template'!Q146),"", 'Ingest Template'!Q146&amp;"|Operations - Core Title"))))</f>
        <v>#|Operations - Core Title
#|Operations - Core Title
</v>
      </c>
      <c r="AH146" s="21"/>
      <c r="AI146" s="21"/>
      <c r="AJ146" s="53" t="str">
        <f>if('Ingest Template'!A146="Standard",'Ingest Template'!N146&amp; "|DAR|DAR|2021-01-01",'Ingest Template'!N146&amp; "|Operations - Core Title|Operations - Core Title")</f>
        <v>#N/A</v>
      </c>
      <c r="AK146" s="53" t="str">
        <f>if('Ingest Template'!A146="Standard",'Ingest Template'!R146&amp; "|2021-01-01",'Ingest Template'!R146)</f>
        <v>#N/A</v>
      </c>
      <c r="AL146" s="21"/>
      <c r="AM146" s="21"/>
    </row>
    <row r="147">
      <c r="A147" s="21"/>
      <c r="B147" s="21" t="str">
        <f>'Ingest Template'!B147&amp;IF('Ingest Template'!A147 = "Standard", " - DAR","")</f>
        <v/>
      </c>
      <c r="C147" s="26" t="s">
        <v>109</v>
      </c>
      <c r="D147" s="29" t="str">
        <f t="array" ref="D147">CONCATENATE(INDEX(DropDown!$H$2:$H$10,MATCH(1,COUNTIF('Ingest Template'!F147,"*"&amp;DropDown!$H$2:$H$10&amp;"*"),0)),CHAR(10),'Ingest Template'!G147)</f>
        <v>#N/A</v>
      </c>
      <c r="E147" s="21" t="str">
        <f>CONCATENATE('Ingest Template'!H147,CHAR(10),'Ingest Template'!I147,CHAR(10),'Ingest Template'!J147)</f>
        <v>
</v>
      </c>
      <c r="F147" s="26" t="str">
        <f>'Ingest Template'!H147</f>
        <v/>
      </c>
      <c r="G147" s="21"/>
      <c r="H147" s="29"/>
      <c r="I147" s="21"/>
      <c r="J147" s="29" t="str">
        <f t="array" ref="J147">iF('Ingest Template'!A147="Standard","Pristine Brand",INDEX(DropDown!$M$2:$M$392,MATCH('Ingest Template'!E147,DropDown!$J$2:$J$392,0)))</f>
        <v>#N/A</v>
      </c>
      <c r="K147" s="21" t="str">
        <f>iF('Ingest Template'!A147="Standard",'Ingest Template'!K147&amp;CHAR(10)&amp;'Ingest Template'!L147,"Competitive View")</f>
        <v>Competitive View</v>
      </c>
      <c r="L147" s="29" t="s">
        <v>146</v>
      </c>
      <c r="M147" s="37" t="str">
        <f>'Ingest Template'!D147</f>
        <v/>
      </c>
      <c r="N147" s="21"/>
      <c r="O147" s="21"/>
      <c r="P147" s="21"/>
      <c r="Q147" s="21"/>
      <c r="R147" s="21" t="str">
        <f>'Ingest Template'!E147</f>
        <v/>
      </c>
      <c r="S147" s="29" t="s">
        <v>153</v>
      </c>
      <c r="T147" s="21" t="str">
        <f>'Ingest Template'!T147</f>
        <v/>
      </c>
      <c r="U147" s="21" t="str">
        <f>'Ingest Template'!S147</f>
        <v/>
      </c>
      <c r="V147" s="21" t="str">
        <f>LOWER(SUBSTITUTE(SUBSTITUTE(SUBSTITUTE(SUBSTITUTE(SUBSTITUTE('Ingest Template'!U147,"https:",""),"www.",""),"/",""),"?hl=en",""),"instagram.com",""))</f>
        <v/>
      </c>
      <c r="W147" s="41" t="str">
        <f t="array" ref="W147">IF('Ingest Template'!V147="",(INDEX(DropDown!$L$2:$L$392,MATCH('Ingest Template'!E147,DropDown!$J$2:$J$392,0))&amp;"|"&amp;'Ingest Template'!B147),(INDEX(DropDown!$L$2:$L$392,MATCH('Ingest Template'!E147,DropDown!$J$2:$J$392,0))&amp;"|"&amp;'Ingest Template'!B147)&amp;CHAR(10)&amp;'Ingest Template'!V147)</f>
        <v>#N/A</v>
      </c>
      <c r="X147" s="41" t="str">
        <f>'Ingest Template'!W147</f>
        <v/>
      </c>
      <c r="Y147" s="21" t="str">
        <f>SUBSTITUTE(SUBSTITUTE(SUBSTITUTE('Ingest Template'!X147,"http:",""),"https:",""),"/","")</f>
        <v/>
      </c>
      <c r="Z147" s="21" t="str">
        <f t="array" ref="Z147">IF('Ingest Template'!A147="Standard",(IF(ISBLANK('Ingest Template'!AA147),"", 'Ingest Template'!AA147&amp;"|DAR")),(IF(ISBLANK('Ingest Template'!AA147),"", 'Ingest Template'!AA147&amp;"|Film Ops")))</f>
        <v/>
      </c>
      <c r="AA147" s="21"/>
      <c r="AB147" s="21" t="str">
        <f>'Ingest Template'!M147</f>
        <v/>
      </c>
      <c r="AC147" s="21" t="str">
        <f>'Ingest Template'!Y147</f>
        <v/>
      </c>
      <c r="AD147" s="21" t="str">
        <f>'Ingest Template'!C147</f>
        <v/>
      </c>
      <c r="AE147" s="21" t="str">
        <f>'Ingest Template'!Z147</f>
        <v/>
      </c>
      <c r="AF147" s="29"/>
      <c r="AG147" s="21" t="str">
        <f t="array" ref="AG147">IF('Ingest Template'!A147="Standard",(CONCATENATE(IF(ISBLANK('Ingest Template'!O147),"", 'Ingest Template'!O147&amp;"|DAR"),CHAR(10), IF(ISBLANK('Ingest Template'!P147),"", 'Ingest Template'!P147&amp;"|DAR"),CHAR(10), IF(ISBLANK('Ingest Template'!Q147),"", 'Ingest Template'!Q147&amp;"|DAR"))),(CONCATENATE(IF(ISBLANK('Ingest Template'!O147),"", 'Ingest Template'!O147&amp;"|Operations - Core Title"),CHAR(10), IF(ISBLANK('Ingest Template'!P147),"", 'Ingest Template'!P147&amp;"|Operations - Core Title"),CHAR(10), IF(ISBLANK('Ingest Template'!Q147),"", 'Ingest Template'!Q147&amp;"|Operations - Core Title"))))</f>
        <v>#|Operations - Core Title
#|Operations - Core Title
</v>
      </c>
      <c r="AH147" s="21"/>
      <c r="AI147" s="21"/>
      <c r="AJ147" s="53" t="str">
        <f>if('Ingest Template'!A147="Standard",'Ingest Template'!N147&amp; "|DAR|DAR|2021-01-01",'Ingest Template'!N147&amp; "|Operations - Core Title|Operations - Core Title")</f>
        <v>#N/A</v>
      </c>
      <c r="AK147" s="53" t="str">
        <f>if('Ingest Template'!A147="Standard",'Ingest Template'!R147&amp; "|2021-01-01",'Ingest Template'!R147)</f>
        <v>#N/A</v>
      </c>
      <c r="AL147" s="21"/>
      <c r="AM147" s="21"/>
    </row>
    <row r="148">
      <c r="A148" s="21"/>
      <c r="B148" s="21" t="str">
        <f>'Ingest Template'!B148&amp;IF('Ingest Template'!A148 = "Standard", " - DAR","")</f>
        <v/>
      </c>
      <c r="C148" s="26" t="s">
        <v>109</v>
      </c>
      <c r="D148" s="29" t="str">
        <f t="array" ref="D148">CONCATENATE(INDEX(DropDown!$H$2:$H$10,MATCH(1,COUNTIF('Ingest Template'!F148,"*"&amp;DropDown!$H$2:$H$10&amp;"*"),0)),CHAR(10),'Ingest Template'!G148)</f>
        <v>#N/A</v>
      </c>
      <c r="E148" s="21" t="str">
        <f>CONCATENATE('Ingest Template'!H148,CHAR(10),'Ingest Template'!I148,CHAR(10),'Ingest Template'!J148)</f>
        <v>
</v>
      </c>
      <c r="F148" s="26" t="str">
        <f>'Ingest Template'!H148</f>
        <v/>
      </c>
      <c r="G148" s="21"/>
      <c r="H148" s="29"/>
      <c r="I148" s="21"/>
      <c r="J148" s="29" t="str">
        <f t="array" ref="J148">iF('Ingest Template'!A148="Standard","Pristine Brand",INDEX(DropDown!$M$2:$M$392,MATCH('Ingest Template'!E148,DropDown!$J$2:$J$392,0)))</f>
        <v>#N/A</v>
      </c>
      <c r="K148" s="21" t="str">
        <f>iF('Ingest Template'!A148="Standard",'Ingest Template'!K148&amp;CHAR(10)&amp;'Ingest Template'!L148,"Competitive View")</f>
        <v>Competitive View</v>
      </c>
      <c r="L148" s="29" t="s">
        <v>146</v>
      </c>
      <c r="M148" s="37" t="str">
        <f>'Ingest Template'!D148</f>
        <v/>
      </c>
      <c r="N148" s="21"/>
      <c r="O148" s="21"/>
      <c r="P148" s="21"/>
      <c r="Q148" s="21"/>
      <c r="R148" s="21" t="str">
        <f>'Ingest Template'!E148</f>
        <v/>
      </c>
      <c r="S148" s="29" t="s">
        <v>153</v>
      </c>
      <c r="T148" s="21" t="str">
        <f>'Ingest Template'!T148</f>
        <v/>
      </c>
      <c r="U148" s="21" t="str">
        <f>'Ingest Template'!S148</f>
        <v/>
      </c>
      <c r="V148" s="21" t="str">
        <f>LOWER(SUBSTITUTE(SUBSTITUTE(SUBSTITUTE(SUBSTITUTE(SUBSTITUTE('Ingest Template'!U148,"https:",""),"www.",""),"/",""),"?hl=en",""),"instagram.com",""))</f>
        <v/>
      </c>
      <c r="W148" s="41" t="str">
        <f t="array" ref="W148">IF('Ingest Template'!V148="",(INDEX(DropDown!$L$2:$L$392,MATCH('Ingest Template'!E148,DropDown!$J$2:$J$392,0))&amp;"|"&amp;'Ingest Template'!B148),(INDEX(DropDown!$L$2:$L$392,MATCH('Ingest Template'!E148,DropDown!$J$2:$J$392,0))&amp;"|"&amp;'Ingest Template'!B148)&amp;CHAR(10)&amp;'Ingest Template'!V148)</f>
        <v>#N/A</v>
      </c>
      <c r="X148" s="41" t="str">
        <f>'Ingest Template'!W148</f>
        <v/>
      </c>
      <c r="Y148" s="21" t="str">
        <f>SUBSTITUTE(SUBSTITUTE(SUBSTITUTE('Ingest Template'!X148,"http:",""),"https:",""),"/","")</f>
        <v/>
      </c>
      <c r="Z148" s="21" t="str">
        <f t="array" ref="Z148">IF('Ingest Template'!A148="Standard",(IF(ISBLANK('Ingest Template'!AA148),"", 'Ingest Template'!AA148&amp;"|DAR")),(IF(ISBLANK('Ingest Template'!AA148),"", 'Ingest Template'!AA148&amp;"|Film Ops")))</f>
        <v/>
      </c>
      <c r="AA148" s="21"/>
      <c r="AB148" s="21" t="str">
        <f>'Ingest Template'!M148</f>
        <v/>
      </c>
      <c r="AC148" s="21" t="str">
        <f>'Ingest Template'!Y148</f>
        <v/>
      </c>
      <c r="AD148" s="21" t="str">
        <f>'Ingest Template'!C148</f>
        <v/>
      </c>
      <c r="AE148" s="21" t="str">
        <f>'Ingest Template'!Z148</f>
        <v/>
      </c>
      <c r="AF148" s="29"/>
      <c r="AG148" s="21" t="str">
        <f t="array" ref="AG148">IF('Ingest Template'!A148="Standard",(CONCATENATE(IF(ISBLANK('Ingest Template'!O148),"", 'Ingest Template'!O148&amp;"|DAR"),CHAR(10), IF(ISBLANK('Ingest Template'!P148),"", 'Ingest Template'!P148&amp;"|DAR"),CHAR(10), IF(ISBLANK('Ingest Template'!Q148),"", 'Ingest Template'!Q148&amp;"|DAR"))),(CONCATENATE(IF(ISBLANK('Ingest Template'!O148),"", 'Ingest Template'!O148&amp;"|Operations - Core Title"),CHAR(10), IF(ISBLANK('Ingest Template'!P148),"", 'Ingest Template'!P148&amp;"|Operations - Core Title"),CHAR(10), IF(ISBLANK('Ingest Template'!Q148),"", 'Ingest Template'!Q148&amp;"|Operations - Core Title"))))</f>
        <v>#|Operations - Core Title
#|Operations - Core Title
</v>
      </c>
      <c r="AH148" s="21"/>
      <c r="AI148" s="21"/>
      <c r="AJ148" s="53" t="str">
        <f>if('Ingest Template'!A148="Standard",'Ingest Template'!N148&amp; "|DAR|DAR|2021-01-01",'Ingest Template'!N148&amp; "|Operations - Core Title|Operations - Core Title")</f>
        <v>#N/A</v>
      </c>
      <c r="AK148" s="53" t="str">
        <f>if('Ingest Template'!A148="Standard",'Ingest Template'!R148&amp; "|2021-01-01",'Ingest Template'!R148)</f>
        <v>#N/A</v>
      </c>
      <c r="AL148" s="21"/>
      <c r="AM148" s="21"/>
    </row>
    <row r="149">
      <c r="A149" s="21"/>
      <c r="B149" s="21" t="str">
        <f>'Ingest Template'!B149&amp;IF('Ingest Template'!A149 = "Standard", " - DAR","")</f>
        <v/>
      </c>
      <c r="C149" s="26" t="s">
        <v>109</v>
      </c>
      <c r="D149" s="29" t="str">
        <f t="array" ref="D149">CONCATENATE(INDEX(DropDown!$H$2:$H$10,MATCH(1,COUNTIF('Ingest Template'!F149,"*"&amp;DropDown!$H$2:$H$10&amp;"*"),0)),CHAR(10),'Ingest Template'!G149)</f>
        <v>#N/A</v>
      </c>
      <c r="E149" s="21" t="str">
        <f>CONCATENATE('Ingest Template'!H149,CHAR(10),'Ingest Template'!I149,CHAR(10),'Ingest Template'!J149)</f>
        <v>
</v>
      </c>
      <c r="F149" s="26" t="str">
        <f>'Ingest Template'!H149</f>
        <v/>
      </c>
      <c r="G149" s="21"/>
      <c r="H149" s="29"/>
      <c r="I149" s="21"/>
      <c r="J149" s="29" t="str">
        <f t="array" ref="J149">iF('Ingest Template'!A149="Standard","Pristine Brand",INDEX(DropDown!$M$2:$M$392,MATCH('Ingest Template'!E149,DropDown!$J$2:$J$392,0)))</f>
        <v>#N/A</v>
      </c>
      <c r="K149" s="21" t="str">
        <f>iF('Ingest Template'!A149="Standard",'Ingest Template'!K149&amp;CHAR(10)&amp;'Ingest Template'!L149,"Competitive View")</f>
        <v>Competitive View</v>
      </c>
      <c r="L149" s="29" t="s">
        <v>146</v>
      </c>
      <c r="M149" s="37" t="str">
        <f>'Ingest Template'!D149</f>
        <v/>
      </c>
      <c r="N149" s="21"/>
      <c r="O149" s="21"/>
      <c r="P149" s="21"/>
      <c r="Q149" s="21"/>
      <c r="R149" s="21" t="str">
        <f>'Ingest Template'!E149</f>
        <v/>
      </c>
      <c r="S149" s="29" t="s">
        <v>153</v>
      </c>
      <c r="T149" s="21" t="str">
        <f>'Ingest Template'!T149</f>
        <v/>
      </c>
      <c r="U149" s="21" t="str">
        <f>'Ingest Template'!S149</f>
        <v/>
      </c>
      <c r="V149" s="21" t="str">
        <f>LOWER(SUBSTITUTE(SUBSTITUTE(SUBSTITUTE(SUBSTITUTE(SUBSTITUTE('Ingest Template'!U149,"https:",""),"www.",""),"/",""),"?hl=en",""),"instagram.com",""))</f>
        <v/>
      </c>
      <c r="W149" s="41" t="str">
        <f t="array" ref="W149">IF('Ingest Template'!V149="",(INDEX(DropDown!$L$2:$L$392,MATCH('Ingest Template'!E149,DropDown!$J$2:$J$392,0))&amp;"|"&amp;'Ingest Template'!B149),(INDEX(DropDown!$L$2:$L$392,MATCH('Ingest Template'!E149,DropDown!$J$2:$J$392,0))&amp;"|"&amp;'Ingest Template'!B149)&amp;CHAR(10)&amp;'Ingest Template'!V149)</f>
        <v>#N/A</v>
      </c>
      <c r="X149" s="41" t="str">
        <f>'Ingest Template'!W149</f>
        <v/>
      </c>
      <c r="Y149" s="21" t="str">
        <f>SUBSTITUTE(SUBSTITUTE(SUBSTITUTE('Ingest Template'!X149,"http:",""),"https:",""),"/","")</f>
        <v/>
      </c>
      <c r="Z149" s="21" t="str">
        <f t="array" ref="Z149">IF('Ingest Template'!A149="Standard",(IF(ISBLANK('Ingest Template'!AA149),"", 'Ingest Template'!AA149&amp;"|DAR")),(IF(ISBLANK('Ingest Template'!AA149),"", 'Ingest Template'!AA149&amp;"|Film Ops")))</f>
        <v/>
      </c>
      <c r="AA149" s="21"/>
      <c r="AB149" s="21" t="str">
        <f>'Ingest Template'!M149</f>
        <v/>
      </c>
      <c r="AC149" s="21" t="str">
        <f>'Ingest Template'!Y149</f>
        <v/>
      </c>
      <c r="AD149" s="21" t="str">
        <f>'Ingest Template'!C149</f>
        <v/>
      </c>
      <c r="AE149" s="21" t="str">
        <f>'Ingest Template'!Z149</f>
        <v/>
      </c>
      <c r="AF149" s="29"/>
      <c r="AG149" s="21" t="str">
        <f t="array" ref="AG149">IF('Ingest Template'!A149="Standard",(CONCATENATE(IF(ISBLANK('Ingest Template'!O149),"", 'Ingest Template'!O149&amp;"|DAR"),CHAR(10), IF(ISBLANK('Ingest Template'!P149),"", 'Ingest Template'!P149&amp;"|DAR"),CHAR(10), IF(ISBLANK('Ingest Template'!Q149),"", 'Ingest Template'!Q149&amp;"|DAR"))),(CONCATENATE(IF(ISBLANK('Ingest Template'!O149),"", 'Ingest Template'!O149&amp;"|Operations - Core Title"),CHAR(10), IF(ISBLANK('Ingest Template'!P149),"", 'Ingest Template'!P149&amp;"|Operations - Core Title"),CHAR(10), IF(ISBLANK('Ingest Template'!Q149),"", 'Ingest Template'!Q149&amp;"|Operations - Core Title"))))</f>
        <v>#|Operations - Core Title
#|Operations - Core Title
</v>
      </c>
      <c r="AH149" s="21"/>
      <c r="AI149" s="21"/>
      <c r="AJ149" s="53" t="str">
        <f>if('Ingest Template'!A149="Standard",'Ingest Template'!N149&amp; "|DAR|DAR|2021-01-01",'Ingest Template'!N149&amp; "|Operations - Core Title|Operations - Core Title")</f>
        <v>#N/A</v>
      </c>
      <c r="AK149" s="53" t="str">
        <f>if('Ingest Template'!A149="Standard",'Ingest Template'!R149&amp; "|2021-01-01",'Ingest Template'!R149)</f>
        <v>#N/A</v>
      </c>
      <c r="AL149" s="21"/>
      <c r="AM149" s="21"/>
    </row>
    <row r="150">
      <c r="A150" s="21"/>
      <c r="B150" s="21" t="str">
        <f>'Ingest Template'!B150&amp;IF('Ingest Template'!A150 = "Standard", " - DAR","")</f>
        <v/>
      </c>
      <c r="C150" s="26" t="s">
        <v>109</v>
      </c>
      <c r="D150" s="29" t="str">
        <f t="array" ref="D150">CONCATENATE(INDEX(DropDown!$H$2:$H$10,MATCH(1,COUNTIF('Ingest Template'!F150,"*"&amp;DropDown!$H$2:$H$10&amp;"*"),0)),CHAR(10),'Ingest Template'!G150)</f>
        <v>#N/A</v>
      </c>
      <c r="E150" s="21" t="str">
        <f>CONCATENATE('Ingest Template'!H150,CHAR(10),'Ingest Template'!I150,CHAR(10),'Ingest Template'!J150)</f>
        <v>
</v>
      </c>
      <c r="F150" s="26" t="str">
        <f>'Ingest Template'!H150</f>
        <v/>
      </c>
      <c r="G150" s="21"/>
      <c r="H150" s="29"/>
      <c r="I150" s="21"/>
      <c r="J150" s="29" t="str">
        <f t="array" ref="J150">iF('Ingest Template'!A150="Standard","Pristine Brand",INDEX(DropDown!$M$2:$M$392,MATCH('Ingest Template'!E150,DropDown!$J$2:$J$392,0)))</f>
        <v>#N/A</v>
      </c>
      <c r="K150" s="21" t="str">
        <f>iF('Ingest Template'!A150="Standard",'Ingest Template'!K150&amp;CHAR(10)&amp;'Ingest Template'!L150,"Competitive View")</f>
        <v>Competitive View</v>
      </c>
      <c r="L150" s="29" t="s">
        <v>146</v>
      </c>
      <c r="M150" s="37" t="str">
        <f>'Ingest Template'!D150</f>
        <v/>
      </c>
      <c r="N150" s="21"/>
      <c r="O150" s="21"/>
      <c r="P150" s="21"/>
      <c r="Q150" s="21"/>
      <c r="R150" s="21" t="str">
        <f>'Ingest Template'!E150</f>
        <v/>
      </c>
      <c r="S150" s="29" t="s">
        <v>153</v>
      </c>
      <c r="T150" s="21" t="str">
        <f>'Ingest Template'!T150</f>
        <v/>
      </c>
      <c r="U150" s="21" t="str">
        <f>'Ingest Template'!S150</f>
        <v/>
      </c>
      <c r="V150" s="21" t="str">
        <f>LOWER(SUBSTITUTE(SUBSTITUTE(SUBSTITUTE(SUBSTITUTE(SUBSTITUTE('Ingest Template'!U150,"https:",""),"www.",""),"/",""),"?hl=en",""),"instagram.com",""))</f>
        <v/>
      </c>
      <c r="W150" s="41" t="str">
        <f t="array" ref="W150">IF('Ingest Template'!V150="",(INDEX(DropDown!$L$2:$L$392,MATCH('Ingest Template'!E150,DropDown!$J$2:$J$392,0))&amp;"|"&amp;'Ingest Template'!B150),(INDEX(DropDown!$L$2:$L$392,MATCH('Ingest Template'!E150,DropDown!$J$2:$J$392,0))&amp;"|"&amp;'Ingest Template'!B150)&amp;CHAR(10)&amp;'Ingest Template'!V150)</f>
        <v>#N/A</v>
      </c>
      <c r="X150" s="41" t="str">
        <f>'Ingest Template'!W150</f>
        <v/>
      </c>
      <c r="Y150" s="21" t="str">
        <f>SUBSTITUTE(SUBSTITUTE(SUBSTITUTE('Ingest Template'!X150,"http:",""),"https:",""),"/","")</f>
        <v/>
      </c>
      <c r="Z150" s="21" t="str">
        <f t="array" ref="Z150">IF('Ingest Template'!A150="Standard",(IF(ISBLANK('Ingest Template'!AA150),"", 'Ingest Template'!AA150&amp;"|DAR")),(IF(ISBLANK('Ingest Template'!AA150),"", 'Ingest Template'!AA150&amp;"|Film Ops")))</f>
        <v/>
      </c>
      <c r="AA150" s="21"/>
      <c r="AB150" s="21" t="str">
        <f>'Ingest Template'!M150</f>
        <v/>
      </c>
      <c r="AC150" s="21" t="str">
        <f>'Ingest Template'!Y150</f>
        <v/>
      </c>
      <c r="AD150" s="21" t="str">
        <f>'Ingest Template'!C150</f>
        <v/>
      </c>
      <c r="AE150" s="21" t="str">
        <f>'Ingest Template'!Z150</f>
        <v/>
      </c>
      <c r="AF150" s="29"/>
      <c r="AG150" s="21" t="str">
        <f t="array" ref="AG150">IF('Ingest Template'!A150="Standard",(CONCATENATE(IF(ISBLANK('Ingest Template'!O150),"", 'Ingest Template'!O150&amp;"|DAR"),CHAR(10), IF(ISBLANK('Ingest Template'!P150),"", 'Ingest Template'!P150&amp;"|DAR"),CHAR(10), IF(ISBLANK('Ingest Template'!Q150),"", 'Ingest Template'!Q150&amp;"|DAR"))),(CONCATENATE(IF(ISBLANK('Ingest Template'!O150),"", 'Ingest Template'!O150&amp;"|Operations - Core Title"),CHAR(10), IF(ISBLANK('Ingest Template'!P150),"", 'Ingest Template'!P150&amp;"|Operations - Core Title"),CHAR(10), IF(ISBLANK('Ingest Template'!Q150),"", 'Ingest Template'!Q150&amp;"|Operations - Core Title"))))</f>
        <v>#|Operations - Core Title
#|Operations - Core Title
</v>
      </c>
      <c r="AH150" s="21"/>
      <c r="AI150" s="21"/>
      <c r="AJ150" s="53" t="str">
        <f>if('Ingest Template'!A150="Standard",'Ingest Template'!N150&amp; "|DAR|DAR|2021-01-01",'Ingest Template'!N150&amp; "|Operations - Core Title|Operations - Core Title")</f>
        <v>#N/A</v>
      </c>
      <c r="AK150" s="53" t="str">
        <f>if('Ingest Template'!A150="Standard",'Ingest Template'!R150&amp; "|2021-01-01",'Ingest Template'!R150)</f>
        <v>#N/A</v>
      </c>
      <c r="AL150" s="21"/>
      <c r="AM150" s="21"/>
    </row>
    <row r="151">
      <c r="A151" s="21"/>
      <c r="B151" s="21" t="str">
        <f>'Ingest Template'!B151&amp;IF('Ingest Template'!A151 = "Standard", " - DAR","")</f>
        <v/>
      </c>
      <c r="C151" s="26" t="s">
        <v>109</v>
      </c>
      <c r="D151" s="29" t="str">
        <f t="array" ref="D151">CONCATENATE(INDEX(DropDown!$H$2:$H$10,MATCH(1,COUNTIF('Ingest Template'!F151,"*"&amp;DropDown!$H$2:$H$10&amp;"*"),0)),CHAR(10),'Ingest Template'!G151)</f>
        <v>#N/A</v>
      </c>
      <c r="E151" s="21" t="str">
        <f>CONCATENATE('Ingest Template'!H151,CHAR(10),'Ingest Template'!I151,CHAR(10),'Ingest Template'!J151)</f>
        <v>
</v>
      </c>
      <c r="F151" s="26" t="str">
        <f>'Ingest Template'!H151</f>
        <v/>
      </c>
      <c r="G151" s="21"/>
      <c r="H151" s="29"/>
      <c r="I151" s="21"/>
      <c r="J151" s="29" t="str">
        <f t="array" ref="J151">iF('Ingest Template'!A151="Standard","Pristine Brand",INDEX(DropDown!$M$2:$M$392,MATCH('Ingest Template'!E151,DropDown!$J$2:$J$392,0)))</f>
        <v>#N/A</v>
      </c>
      <c r="K151" s="21" t="str">
        <f>iF('Ingest Template'!A151="Standard",'Ingest Template'!K151&amp;CHAR(10)&amp;'Ingest Template'!L151,"Competitive View")</f>
        <v>Competitive View</v>
      </c>
      <c r="L151" s="29" t="s">
        <v>146</v>
      </c>
      <c r="M151" s="37" t="str">
        <f>'Ingest Template'!D151</f>
        <v/>
      </c>
      <c r="N151" s="21"/>
      <c r="O151" s="21"/>
      <c r="P151" s="21"/>
      <c r="Q151" s="21"/>
      <c r="R151" s="21" t="str">
        <f>'Ingest Template'!E151</f>
        <v/>
      </c>
      <c r="S151" s="29" t="s">
        <v>153</v>
      </c>
      <c r="T151" s="21" t="str">
        <f>'Ingest Template'!T151</f>
        <v/>
      </c>
      <c r="U151" s="21" t="str">
        <f>'Ingest Template'!S151</f>
        <v/>
      </c>
      <c r="V151" s="21" t="str">
        <f>LOWER(SUBSTITUTE(SUBSTITUTE(SUBSTITUTE(SUBSTITUTE(SUBSTITUTE('Ingest Template'!U151,"https:",""),"www.",""),"/",""),"?hl=en",""),"instagram.com",""))</f>
        <v/>
      </c>
      <c r="W151" s="41" t="str">
        <f t="array" ref="W151">IF('Ingest Template'!V151="",(INDEX(DropDown!$L$2:$L$392,MATCH('Ingest Template'!E151,DropDown!$J$2:$J$392,0))&amp;"|"&amp;'Ingest Template'!B151),(INDEX(DropDown!$L$2:$L$392,MATCH('Ingest Template'!E151,DropDown!$J$2:$J$392,0))&amp;"|"&amp;'Ingest Template'!B151)&amp;CHAR(10)&amp;'Ingest Template'!V151)</f>
        <v>#N/A</v>
      </c>
      <c r="X151" s="41" t="str">
        <f>'Ingest Template'!W151</f>
        <v/>
      </c>
      <c r="Y151" s="21" t="str">
        <f>SUBSTITUTE(SUBSTITUTE(SUBSTITUTE('Ingest Template'!X151,"http:",""),"https:",""),"/","")</f>
        <v/>
      </c>
      <c r="Z151" s="21" t="str">
        <f t="array" ref="Z151">IF('Ingest Template'!A151="Standard",(IF(ISBLANK('Ingest Template'!AA151),"", 'Ingest Template'!AA151&amp;"|DAR")),(IF(ISBLANK('Ingest Template'!AA151),"", 'Ingest Template'!AA151&amp;"|Film Ops")))</f>
        <v/>
      </c>
      <c r="AA151" s="21"/>
      <c r="AB151" s="21" t="str">
        <f>'Ingest Template'!M151</f>
        <v/>
      </c>
      <c r="AC151" s="21" t="str">
        <f>'Ingest Template'!Y151</f>
        <v/>
      </c>
      <c r="AD151" s="21" t="str">
        <f>'Ingest Template'!C151</f>
        <v/>
      </c>
      <c r="AE151" s="21" t="str">
        <f>'Ingest Template'!Z151</f>
        <v/>
      </c>
      <c r="AF151" s="29"/>
      <c r="AG151" s="21" t="str">
        <f t="array" ref="AG151">IF('Ingest Template'!A151="Standard",(CONCATENATE(IF(ISBLANK('Ingest Template'!O151),"", 'Ingest Template'!O151&amp;"|DAR"),CHAR(10), IF(ISBLANK('Ingest Template'!P151),"", 'Ingest Template'!P151&amp;"|DAR"),CHAR(10), IF(ISBLANK('Ingest Template'!Q151),"", 'Ingest Template'!Q151&amp;"|DAR"))),(CONCATENATE(IF(ISBLANK('Ingest Template'!O151),"", 'Ingest Template'!O151&amp;"|Operations - Core Title"),CHAR(10), IF(ISBLANK('Ingest Template'!P151),"", 'Ingest Template'!P151&amp;"|Operations - Core Title"),CHAR(10), IF(ISBLANK('Ingest Template'!Q151),"", 'Ingest Template'!Q151&amp;"|Operations - Core Title"))))</f>
        <v>#|Operations - Core Title
#|Operations - Core Title
</v>
      </c>
      <c r="AH151" s="21"/>
      <c r="AI151" s="21"/>
      <c r="AJ151" s="53" t="str">
        <f>if('Ingest Template'!A151="Standard",'Ingest Template'!N151&amp; "|DAR|DAR|2021-01-01",'Ingest Template'!N151&amp; "|Operations - Core Title|Operations - Core Title")</f>
        <v>#N/A</v>
      </c>
      <c r="AK151" s="53" t="str">
        <f>if('Ingest Template'!A151="Standard",'Ingest Template'!R151&amp; "|2021-01-01",'Ingest Template'!R151)</f>
        <v>#N/A</v>
      </c>
      <c r="AL151" s="21"/>
      <c r="AM151" s="21"/>
    </row>
    <row r="152">
      <c r="A152" s="21"/>
      <c r="B152" s="21" t="str">
        <f>'Ingest Template'!B152&amp;IF('Ingest Template'!A152 = "Standard", " - DAR","")</f>
        <v/>
      </c>
      <c r="C152" s="26" t="s">
        <v>109</v>
      </c>
      <c r="D152" s="29" t="str">
        <f t="array" ref="D152">CONCATENATE(INDEX(DropDown!$H$2:$H$10,MATCH(1,COUNTIF('Ingest Template'!F152,"*"&amp;DropDown!$H$2:$H$10&amp;"*"),0)),CHAR(10),'Ingest Template'!G152)</f>
        <v>#N/A</v>
      </c>
      <c r="E152" s="21" t="str">
        <f>CONCATENATE('Ingest Template'!H152,CHAR(10),'Ingest Template'!I152,CHAR(10),'Ingest Template'!J152)</f>
        <v>
</v>
      </c>
      <c r="F152" s="26" t="str">
        <f>'Ingest Template'!H152</f>
        <v/>
      </c>
      <c r="G152" s="21"/>
      <c r="H152" s="29"/>
      <c r="I152" s="21"/>
      <c r="J152" s="29" t="str">
        <f t="array" ref="J152">iF('Ingest Template'!A152="Standard","Pristine Brand",INDEX(DropDown!$M$2:$M$392,MATCH('Ingest Template'!E152,DropDown!$J$2:$J$392,0)))</f>
        <v>#N/A</v>
      </c>
      <c r="K152" s="21" t="str">
        <f>iF('Ingest Template'!A152="Standard",'Ingest Template'!K152&amp;CHAR(10)&amp;'Ingest Template'!L152,"Competitive View")</f>
        <v>Competitive View</v>
      </c>
      <c r="L152" s="29" t="s">
        <v>146</v>
      </c>
      <c r="M152" s="37" t="str">
        <f>'Ingest Template'!D152</f>
        <v/>
      </c>
      <c r="N152" s="21"/>
      <c r="O152" s="21"/>
      <c r="P152" s="21"/>
      <c r="Q152" s="21"/>
      <c r="R152" s="21" t="str">
        <f>'Ingest Template'!E152</f>
        <v/>
      </c>
      <c r="S152" s="29" t="s">
        <v>153</v>
      </c>
      <c r="T152" s="21" t="str">
        <f>'Ingest Template'!T152</f>
        <v/>
      </c>
      <c r="U152" s="21" t="str">
        <f>'Ingest Template'!S152</f>
        <v/>
      </c>
      <c r="V152" s="21" t="str">
        <f>LOWER(SUBSTITUTE(SUBSTITUTE(SUBSTITUTE(SUBSTITUTE(SUBSTITUTE('Ingest Template'!U152,"https:",""),"www.",""),"/",""),"?hl=en",""),"instagram.com",""))</f>
        <v/>
      </c>
      <c r="W152" s="41" t="str">
        <f t="array" ref="W152">IF('Ingest Template'!V152="",(INDEX(DropDown!$L$2:$L$392,MATCH('Ingest Template'!E152,DropDown!$J$2:$J$392,0))&amp;"|"&amp;'Ingest Template'!B152),(INDEX(DropDown!$L$2:$L$392,MATCH('Ingest Template'!E152,DropDown!$J$2:$J$392,0))&amp;"|"&amp;'Ingest Template'!B152)&amp;CHAR(10)&amp;'Ingest Template'!V152)</f>
        <v>#N/A</v>
      </c>
      <c r="X152" s="41" t="str">
        <f>'Ingest Template'!W152</f>
        <v/>
      </c>
      <c r="Y152" s="21" t="str">
        <f>SUBSTITUTE(SUBSTITUTE(SUBSTITUTE('Ingest Template'!X152,"http:",""),"https:",""),"/","")</f>
        <v/>
      </c>
      <c r="Z152" s="21" t="str">
        <f t="array" ref="Z152">IF('Ingest Template'!A152="Standard",(IF(ISBLANK('Ingest Template'!AA152),"", 'Ingest Template'!AA152&amp;"|DAR")),(IF(ISBLANK('Ingest Template'!AA152),"", 'Ingest Template'!AA152&amp;"|Film Ops")))</f>
        <v/>
      </c>
      <c r="AA152" s="21"/>
      <c r="AB152" s="21" t="str">
        <f>'Ingest Template'!M152</f>
        <v/>
      </c>
      <c r="AC152" s="21" t="str">
        <f>'Ingest Template'!Y152</f>
        <v/>
      </c>
      <c r="AD152" s="21" t="str">
        <f>'Ingest Template'!C152</f>
        <v/>
      </c>
      <c r="AE152" s="21" t="str">
        <f>'Ingest Template'!Z152</f>
        <v/>
      </c>
      <c r="AF152" s="29"/>
      <c r="AG152" s="21" t="str">
        <f t="array" ref="AG152">IF('Ingest Template'!A152="Standard",(CONCATENATE(IF(ISBLANK('Ingest Template'!O152),"", 'Ingest Template'!O152&amp;"|DAR"),CHAR(10), IF(ISBLANK('Ingest Template'!P152),"", 'Ingest Template'!P152&amp;"|DAR"),CHAR(10), IF(ISBLANK('Ingest Template'!Q152),"", 'Ingest Template'!Q152&amp;"|DAR"))),(CONCATENATE(IF(ISBLANK('Ingest Template'!O152),"", 'Ingest Template'!O152&amp;"|Operations - Core Title"),CHAR(10), IF(ISBLANK('Ingest Template'!P152),"", 'Ingest Template'!P152&amp;"|Operations - Core Title"),CHAR(10), IF(ISBLANK('Ingest Template'!Q152),"", 'Ingest Template'!Q152&amp;"|Operations - Core Title"))))</f>
        <v>#|Operations - Core Title
#|Operations - Core Title
</v>
      </c>
      <c r="AH152" s="21"/>
      <c r="AI152" s="21"/>
      <c r="AJ152" s="53" t="str">
        <f>if('Ingest Template'!A152="Standard",'Ingest Template'!N152&amp; "|DAR|DAR|2021-01-01",'Ingest Template'!N152&amp; "|Operations - Core Title|Operations - Core Title")</f>
        <v>#N/A</v>
      </c>
      <c r="AK152" s="53" t="str">
        <f>if('Ingest Template'!A152="Standard",'Ingest Template'!R152&amp; "|2021-01-01",'Ingest Template'!R152)</f>
        <v>#N/A</v>
      </c>
      <c r="AL152" s="21"/>
      <c r="AM152" s="21"/>
    </row>
    <row r="153">
      <c r="A153" s="21"/>
      <c r="B153" s="21" t="str">
        <f>'Ingest Template'!B153&amp;IF('Ingest Template'!A153 = "Standard", " - DAR","")</f>
        <v/>
      </c>
      <c r="C153" s="26" t="s">
        <v>109</v>
      </c>
      <c r="D153" s="29" t="str">
        <f t="array" ref="D153">CONCATENATE(INDEX(DropDown!$H$2:$H$10,MATCH(1,COUNTIF('Ingest Template'!F153,"*"&amp;DropDown!$H$2:$H$10&amp;"*"),0)),CHAR(10),'Ingest Template'!G153)</f>
        <v>#N/A</v>
      </c>
      <c r="E153" s="21" t="str">
        <f>CONCATENATE('Ingest Template'!H153,CHAR(10),'Ingest Template'!I153,CHAR(10),'Ingest Template'!J153)</f>
        <v>
</v>
      </c>
      <c r="F153" s="26" t="str">
        <f>'Ingest Template'!H153</f>
        <v/>
      </c>
      <c r="G153" s="21"/>
      <c r="H153" s="29"/>
      <c r="I153" s="21"/>
      <c r="J153" s="29" t="str">
        <f t="array" ref="J153">iF('Ingest Template'!A153="Standard","Pristine Brand",INDEX(DropDown!$M$2:$M$392,MATCH('Ingest Template'!E153,DropDown!$J$2:$J$392,0)))</f>
        <v>#N/A</v>
      </c>
      <c r="K153" s="21" t="str">
        <f>iF('Ingest Template'!A153="Standard",'Ingest Template'!K153&amp;CHAR(10)&amp;'Ingest Template'!L153,"Competitive View")</f>
        <v>Competitive View</v>
      </c>
      <c r="L153" s="29" t="s">
        <v>146</v>
      </c>
      <c r="M153" s="37" t="str">
        <f>'Ingest Template'!D153</f>
        <v/>
      </c>
      <c r="N153" s="21"/>
      <c r="O153" s="21"/>
      <c r="P153" s="21"/>
      <c r="Q153" s="21"/>
      <c r="R153" s="21" t="str">
        <f>'Ingest Template'!E153</f>
        <v/>
      </c>
      <c r="S153" s="29" t="s">
        <v>153</v>
      </c>
      <c r="T153" s="21" t="str">
        <f>'Ingest Template'!T153</f>
        <v/>
      </c>
      <c r="U153" s="21" t="str">
        <f>'Ingest Template'!S153</f>
        <v/>
      </c>
      <c r="V153" s="21" t="str">
        <f>LOWER(SUBSTITUTE(SUBSTITUTE(SUBSTITUTE(SUBSTITUTE(SUBSTITUTE('Ingest Template'!U153,"https:",""),"www.",""),"/",""),"?hl=en",""),"instagram.com",""))</f>
        <v/>
      </c>
      <c r="W153" s="41" t="str">
        <f t="array" ref="W153">IF('Ingest Template'!V153="",(INDEX(DropDown!$L$2:$L$392,MATCH('Ingest Template'!E153,DropDown!$J$2:$J$392,0))&amp;"|"&amp;'Ingest Template'!B153),(INDEX(DropDown!$L$2:$L$392,MATCH('Ingest Template'!E153,DropDown!$J$2:$J$392,0))&amp;"|"&amp;'Ingest Template'!B153)&amp;CHAR(10)&amp;'Ingest Template'!V153)</f>
        <v>#N/A</v>
      </c>
      <c r="X153" s="41" t="str">
        <f>'Ingest Template'!W153</f>
        <v/>
      </c>
      <c r="Y153" s="21" t="str">
        <f>SUBSTITUTE(SUBSTITUTE(SUBSTITUTE('Ingest Template'!X153,"http:",""),"https:",""),"/","")</f>
        <v/>
      </c>
      <c r="Z153" s="21" t="str">
        <f t="array" ref="Z153">IF('Ingest Template'!A153="Standard",(IF(ISBLANK('Ingest Template'!AA153),"", 'Ingest Template'!AA153&amp;"|DAR")),(IF(ISBLANK('Ingest Template'!AA153),"", 'Ingest Template'!AA153&amp;"|Film Ops")))</f>
        <v/>
      </c>
      <c r="AA153" s="21"/>
      <c r="AB153" s="21" t="str">
        <f>'Ingest Template'!M153</f>
        <v/>
      </c>
      <c r="AC153" s="21" t="str">
        <f>'Ingest Template'!Y153</f>
        <v/>
      </c>
      <c r="AD153" s="21" t="str">
        <f>'Ingest Template'!C153</f>
        <v/>
      </c>
      <c r="AE153" s="21" t="str">
        <f>'Ingest Template'!Z153</f>
        <v/>
      </c>
      <c r="AF153" s="29"/>
      <c r="AG153" s="21" t="str">
        <f t="array" ref="AG153">IF('Ingest Template'!A153="Standard",(CONCATENATE(IF(ISBLANK('Ingest Template'!O153),"", 'Ingest Template'!O153&amp;"|DAR"),CHAR(10), IF(ISBLANK('Ingest Template'!P153),"", 'Ingest Template'!P153&amp;"|DAR"),CHAR(10), IF(ISBLANK('Ingest Template'!Q153),"", 'Ingest Template'!Q153&amp;"|DAR"))),(CONCATENATE(IF(ISBLANK('Ingest Template'!O153),"", 'Ingest Template'!O153&amp;"|Operations - Core Title"),CHAR(10), IF(ISBLANK('Ingest Template'!P153),"", 'Ingest Template'!P153&amp;"|Operations - Core Title"),CHAR(10), IF(ISBLANK('Ingest Template'!Q153),"", 'Ingest Template'!Q153&amp;"|Operations - Core Title"))))</f>
        <v>#|Operations - Core Title
#|Operations - Core Title
</v>
      </c>
      <c r="AH153" s="21"/>
      <c r="AI153" s="21"/>
      <c r="AJ153" s="53" t="str">
        <f>if('Ingest Template'!A153="Standard",'Ingest Template'!N153&amp; "|DAR|DAR|2021-01-01",'Ingest Template'!N153&amp; "|Operations - Core Title|Operations - Core Title")</f>
        <v>#N/A</v>
      </c>
      <c r="AK153" s="53" t="str">
        <f>if('Ingest Template'!A153="Standard",'Ingest Template'!R153&amp; "|2021-01-01",'Ingest Template'!R153)</f>
        <v>#N/A</v>
      </c>
      <c r="AL153" s="21"/>
      <c r="AM153" s="21"/>
    </row>
    <row r="154">
      <c r="A154" s="21"/>
      <c r="B154" s="21" t="str">
        <f>'Ingest Template'!B154&amp;IF('Ingest Template'!A154 = "Standard", " - DAR","")</f>
        <v/>
      </c>
      <c r="C154" s="26" t="s">
        <v>109</v>
      </c>
      <c r="D154" s="29" t="str">
        <f t="array" ref="D154">CONCATENATE(INDEX(DropDown!$H$2:$H$10,MATCH(1,COUNTIF('Ingest Template'!F154,"*"&amp;DropDown!$H$2:$H$10&amp;"*"),0)),CHAR(10),'Ingest Template'!G154)</f>
        <v>#N/A</v>
      </c>
      <c r="E154" s="21" t="str">
        <f>CONCATENATE('Ingest Template'!H154,CHAR(10),'Ingest Template'!I154,CHAR(10),'Ingest Template'!J154)</f>
        <v>
</v>
      </c>
      <c r="F154" s="26" t="str">
        <f>'Ingest Template'!H154</f>
        <v/>
      </c>
      <c r="G154" s="21"/>
      <c r="H154" s="29"/>
      <c r="I154" s="21"/>
      <c r="J154" s="29" t="str">
        <f t="array" ref="J154">iF('Ingest Template'!A154="Standard","Pristine Brand",INDEX(DropDown!$M$2:$M$392,MATCH('Ingest Template'!E154,DropDown!$J$2:$J$392,0)))</f>
        <v>#N/A</v>
      </c>
      <c r="K154" s="21" t="str">
        <f>iF('Ingest Template'!A154="Standard",'Ingest Template'!K154&amp;CHAR(10)&amp;'Ingest Template'!L154,"Competitive View")</f>
        <v>Competitive View</v>
      </c>
      <c r="L154" s="29" t="s">
        <v>146</v>
      </c>
      <c r="M154" s="37" t="str">
        <f>'Ingest Template'!D154</f>
        <v/>
      </c>
      <c r="N154" s="21"/>
      <c r="O154" s="21"/>
      <c r="P154" s="21"/>
      <c r="Q154" s="21"/>
      <c r="R154" s="21" t="str">
        <f>'Ingest Template'!E154</f>
        <v/>
      </c>
      <c r="S154" s="29" t="s">
        <v>153</v>
      </c>
      <c r="T154" s="21" t="str">
        <f>'Ingest Template'!T154</f>
        <v/>
      </c>
      <c r="U154" s="21" t="str">
        <f>'Ingest Template'!S154</f>
        <v/>
      </c>
      <c r="V154" s="21" t="str">
        <f>LOWER(SUBSTITUTE(SUBSTITUTE(SUBSTITUTE(SUBSTITUTE(SUBSTITUTE('Ingest Template'!U154,"https:",""),"www.",""),"/",""),"?hl=en",""),"instagram.com",""))</f>
        <v/>
      </c>
      <c r="W154" s="41" t="str">
        <f t="array" ref="W154">IF('Ingest Template'!V154="",(INDEX(DropDown!$L$2:$L$392,MATCH('Ingest Template'!E154,DropDown!$J$2:$J$392,0))&amp;"|"&amp;'Ingest Template'!B154),(INDEX(DropDown!$L$2:$L$392,MATCH('Ingest Template'!E154,DropDown!$J$2:$J$392,0))&amp;"|"&amp;'Ingest Template'!B154)&amp;CHAR(10)&amp;'Ingest Template'!V154)</f>
        <v>#N/A</v>
      </c>
      <c r="X154" s="41" t="str">
        <f>'Ingest Template'!W154</f>
        <v/>
      </c>
      <c r="Y154" s="21" t="str">
        <f>SUBSTITUTE(SUBSTITUTE(SUBSTITUTE('Ingest Template'!X154,"http:",""),"https:",""),"/","")</f>
        <v/>
      </c>
      <c r="Z154" s="21" t="str">
        <f t="array" ref="Z154">IF('Ingest Template'!A154="Standard",(IF(ISBLANK('Ingest Template'!AA154),"", 'Ingest Template'!AA154&amp;"|DAR")),(IF(ISBLANK('Ingest Template'!AA154),"", 'Ingest Template'!AA154&amp;"|Film Ops")))</f>
        <v/>
      </c>
      <c r="AA154" s="21"/>
      <c r="AB154" s="21" t="str">
        <f>'Ingest Template'!M154</f>
        <v/>
      </c>
      <c r="AC154" s="21" t="str">
        <f>'Ingest Template'!Y154</f>
        <v/>
      </c>
      <c r="AD154" s="21" t="str">
        <f>'Ingest Template'!C154</f>
        <v/>
      </c>
      <c r="AE154" s="21" t="str">
        <f>'Ingest Template'!Z154</f>
        <v/>
      </c>
      <c r="AF154" s="29"/>
      <c r="AG154" s="21" t="str">
        <f t="array" ref="AG154">IF('Ingest Template'!A154="Standard",(CONCATENATE(IF(ISBLANK('Ingest Template'!O154),"", 'Ingest Template'!O154&amp;"|DAR"),CHAR(10), IF(ISBLANK('Ingest Template'!P154),"", 'Ingest Template'!P154&amp;"|DAR"),CHAR(10), IF(ISBLANK('Ingest Template'!Q154),"", 'Ingest Template'!Q154&amp;"|DAR"))),(CONCATENATE(IF(ISBLANK('Ingest Template'!O154),"", 'Ingest Template'!O154&amp;"|Operations - Core Title"),CHAR(10), IF(ISBLANK('Ingest Template'!P154),"", 'Ingest Template'!P154&amp;"|Operations - Core Title"),CHAR(10), IF(ISBLANK('Ingest Template'!Q154),"", 'Ingest Template'!Q154&amp;"|Operations - Core Title"))))</f>
        <v>#|Operations - Core Title
#|Operations - Core Title
</v>
      </c>
      <c r="AH154" s="21"/>
      <c r="AI154" s="21"/>
      <c r="AJ154" s="53" t="str">
        <f>if('Ingest Template'!A154="Standard",'Ingest Template'!N154&amp; "|DAR|DAR|2021-01-01",'Ingest Template'!N154&amp; "|Operations - Core Title|Operations - Core Title")</f>
        <v>#N/A</v>
      </c>
      <c r="AK154" s="53" t="str">
        <f>if('Ingest Template'!A154="Standard",'Ingest Template'!R154&amp; "|2021-01-01",'Ingest Template'!R154)</f>
        <v>#N/A</v>
      </c>
      <c r="AL154" s="21"/>
      <c r="AM154" s="21"/>
    </row>
    <row r="155">
      <c r="A155" s="21"/>
      <c r="B155" s="21" t="str">
        <f>'Ingest Template'!B155&amp;IF('Ingest Template'!A155 = "Standard", " - DAR","")</f>
        <v/>
      </c>
      <c r="C155" s="26" t="s">
        <v>109</v>
      </c>
      <c r="D155" s="29" t="str">
        <f t="array" ref="D155">CONCATENATE(INDEX(DropDown!$H$2:$H$10,MATCH(1,COUNTIF('Ingest Template'!F155,"*"&amp;DropDown!$H$2:$H$10&amp;"*"),0)),CHAR(10),'Ingest Template'!G155)</f>
        <v>#N/A</v>
      </c>
      <c r="E155" s="21" t="str">
        <f>CONCATENATE('Ingest Template'!H155,CHAR(10),'Ingest Template'!I155,CHAR(10),'Ingest Template'!J155)</f>
        <v>
</v>
      </c>
      <c r="F155" s="26" t="str">
        <f>'Ingest Template'!H155</f>
        <v/>
      </c>
      <c r="G155" s="21"/>
      <c r="H155" s="29"/>
      <c r="I155" s="21"/>
      <c r="J155" s="29" t="str">
        <f t="array" ref="J155">iF('Ingest Template'!A155="Standard","Pristine Brand",INDEX(DropDown!$M$2:$M$392,MATCH('Ingest Template'!E155,DropDown!$J$2:$J$392,0)))</f>
        <v>#N/A</v>
      </c>
      <c r="K155" s="21" t="str">
        <f>iF('Ingest Template'!A155="Standard",'Ingest Template'!K155&amp;CHAR(10)&amp;'Ingest Template'!L155,"Competitive View")</f>
        <v>Competitive View</v>
      </c>
      <c r="L155" s="29" t="s">
        <v>146</v>
      </c>
      <c r="M155" s="37" t="str">
        <f>'Ingest Template'!D155</f>
        <v/>
      </c>
      <c r="N155" s="21"/>
      <c r="O155" s="21"/>
      <c r="P155" s="21"/>
      <c r="Q155" s="21"/>
      <c r="R155" s="21" t="str">
        <f>'Ingest Template'!E155</f>
        <v/>
      </c>
      <c r="S155" s="29" t="s">
        <v>153</v>
      </c>
      <c r="T155" s="21" t="str">
        <f>'Ingest Template'!T155</f>
        <v/>
      </c>
      <c r="U155" s="21" t="str">
        <f>'Ingest Template'!S155</f>
        <v/>
      </c>
      <c r="V155" s="21" t="str">
        <f>LOWER(SUBSTITUTE(SUBSTITUTE(SUBSTITUTE(SUBSTITUTE(SUBSTITUTE('Ingest Template'!U155,"https:",""),"www.",""),"/",""),"?hl=en",""),"instagram.com",""))</f>
        <v/>
      </c>
      <c r="W155" s="41" t="str">
        <f t="array" ref="W155">IF('Ingest Template'!V155="",(INDEX(DropDown!$L$2:$L$392,MATCH('Ingest Template'!E155,DropDown!$J$2:$J$392,0))&amp;"|"&amp;'Ingest Template'!B155),(INDEX(DropDown!$L$2:$L$392,MATCH('Ingest Template'!E155,DropDown!$J$2:$J$392,0))&amp;"|"&amp;'Ingest Template'!B155)&amp;CHAR(10)&amp;'Ingest Template'!V155)</f>
        <v>#N/A</v>
      </c>
      <c r="X155" s="41" t="str">
        <f>'Ingest Template'!W155</f>
        <v/>
      </c>
      <c r="Y155" s="21" t="str">
        <f>SUBSTITUTE(SUBSTITUTE(SUBSTITUTE('Ingest Template'!X155,"http:",""),"https:",""),"/","")</f>
        <v/>
      </c>
      <c r="Z155" s="21" t="str">
        <f t="array" ref="Z155">IF('Ingest Template'!A155="Standard",(IF(ISBLANK('Ingest Template'!AA155),"", 'Ingest Template'!AA155&amp;"|DAR")),(IF(ISBLANK('Ingest Template'!AA155),"", 'Ingest Template'!AA155&amp;"|Film Ops")))</f>
        <v/>
      </c>
      <c r="AA155" s="21"/>
      <c r="AB155" s="21" t="str">
        <f>'Ingest Template'!M155</f>
        <v/>
      </c>
      <c r="AC155" s="21" t="str">
        <f>'Ingest Template'!Y155</f>
        <v/>
      </c>
      <c r="AD155" s="21" t="str">
        <f>'Ingest Template'!C155</f>
        <v/>
      </c>
      <c r="AE155" s="21" t="str">
        <f>'Ingest Template'!Z155</f>
        <v/>
      </c>
      <c r="AF155" s="29"/>
      <c r="AG155" s="21" t="str">
        <f t="array" ref="AG155">IF('Ingest Template'!A155="Standard",(CONCATENATE(IF(ISBLANK('Ingest Template'!O155),"", 'Ingest Template'!O155&amp;"|DAR"),CHAR(10), IF(ISBLANK('Ingest Template'!P155),"", 'Ingest Template'!P155&amp;"|DAR"),CHAR(10), IF(ISBLANK('Ingest Template'!Q155),"", 'Ingest Template'!Q155&amp;"|DAR"))),(CONCATENATE(IF(ISBLANK('Ingest Template'!O155),"", 'Ingest Template'!O155&amp;"|Operations - Core Title"),CHAR(10), IF(ISBLANK('Ingest Template'!P155),"", 'Ingest Template'!P155&amp;"|Operations - Core Title"),CHAR(10), IF(ISBLANK('Ingest Template'!Q155),"", 'Ingest Template'!Q155&amp;"|Operations - Core Title"))))</f>
        <v>#|Operations - Core Title
#|Operations - Core Title
</v>
      </c>
      <c r="AH155" s="21"/>
      <c r="AI155" s="21"/>
      <c r="AJ155" s="53" t="str">
        <f>if('Ingest Template'!A155="Standard",'Ingest Template'!N155&amp; "|DAR|DAR|2021-01-01",'Ingest Template'!N155&amp; "|Operations - Core Title|Operations - Core Title")</f>
        <v>#N/A</v>
      </c>
      <c r="AK155" s="53" t="str">
        <f>if('Ingest Template'!A155="Standard",'Ingest Template'!R155&amp; "|2021-01-01",'Ingest Template'!R155)</f>
        <v>#N/A</v>
      </c>
      <c r="AL155" s="21"/>
      <c r="AM155" s="21"/>
    </row>
    <row r="156">
      <c r="A156" s="21"/>
      <c r="B156" s="21" t="str">
        <f>'Ingest Template'!B156&amp;IF('Ingest Template'!A156 = "Standard", " - DAR","")</f>
        <v/>
      </c>
      <c r="C156" s="26" t="s">
        <v>109</v>
      </c>
      <c r="D156" s="29" t="str">
        <f t="array" ref="D156">CONCATENATE(INDEX(DropDown!$H$2:$H$10,MATCH(1,COUNTIF('Ingest Template'!F156,"*"&amp;DropDown!$H$2:$H$10&amp;"*"),0)),CHAR(10),'Ingest Template'!G156)</f>
        <v>#N/A</v>
      </c>
      <c r="E156" s="21" t="str">
        <f>CONCATENATE('Ingest Template'!H156,CHAR(10),'Ingest Template'!I156,CHAR(10),'Ingest Template'!J156)</f>
        <v>
</v>
      </c>
      <c r="F156" s="26" t="str">
        <f>'Ingest Template'!H156</f>
        <v/>
      </c>
      <c r="G156" s="21"/>
      <c r="H156" s="29"/>
      <c r="I156" s="21"/>
      <c r="J156" s="29" t="str">
        <f t="array" ref="J156">iF('Ingest Template'!A156="Standard","Pristine Brand",INDEX(DropDown!$M$2:$M$392,MATCH('Ingest Template'!E156,DropDown!$J$2:$J$392,0)))</f>
        <v>#N/A</v>
      </c>
      <c r="K156" s="21" t="str">
        <f>iF('Ingest Template'!A156="Standard",'Ingest Template'!K156&amp;CHAR(10)&amp;'Ingest Template'!L156,"Competitive View")</f>
        <v>Competitive View</v>
      </c>
      <c r="L156" s="29" t="s">
        <v>146</v>
      </c>
      <c r="M156" s="37" t="str">
        <f>'Ingest Template'!D156</f>
        <v/>
      </c>
      <c r="N156" s="21"/>
      <c r="O156" s="21"/>
      <c r="P156" s="21"/>
      <c r="Q156" s="21"/>
      <c r="R156" s="21" t="str">
        <f>'Ingest Template'!E156</f>
        <v/>
      </c>
      <c r="S156" s="29" t="s">
        <v>153</v>
      </c>
      <c r="T156" s="21" t="str">
        <f>'Ingest Template'!T156</f>
        <v/>
      </c>
      <c r="U156" s="21" t="str">
        <f>'Ingest Template'!S156</f>
        <v/>
      </c>
      <c r="V156" s="21" t="str">
        <f>LOWER(SUBSTITUTE(SUBSTITUTE(SUBSTITUTE(SUBSTITUTE(SUBSTITUTE('Ingest Template'!U156,"https:",""),"www.",""),"/",""),"?hl=en",""),"instagram.com",""))</f>
        <v/>
      </c>
      <c r="W156" s="41" t="str">
        <f t="array" ref="W156">IF('Ingest Template'!V156="",(INDEX(DropDown!$L$2:$L$392,MATCH('Ingest Template'!E156,DropDown!$J$2:$J$392,0))&amp;"|"&amp;'Ingest Template'!B156),(INDEX(DropDown!$L$2:$L$392,MATCH('Ingest Template'!E156,DropDown!$J$2:$J$392,0))&amp;"|"&amp;'Ingest Template'!B156)&amp;CHAR(10)&amp;'Ingest Template'!V156)</f>
        <v>#N/A</v>
      </c>
      <c r="X156" s="41" t="str">
        <f>'Ingest Template'!W156</f>
        <v/>
      </c>
      <c r="Y156" s="21" t="str">
        <f>SUBSTITUTE(SUBSTITUTE(SUBSTITUTE('Ingest Template'!X156,"http:",""),"https:",""),"/","")</f>
        <v/>
      </c>
      <c r="Z156" s="21" t="str">
        <f t="array" ref="Z156">IF('Ingest Template'!A156="Standard",(IF(ISBLANK('Ingest Template'!AA156),"", 'Ingest Template'!AA156&amp;"|DAR")),(IF(ISBLANK('Ingest Template'!AA156),"", 'Ingest Template'!AA156&amp;"|Film Ops")))</f>
        <v/>
      </c>
      <c r="AA156" s="21"/>
      <c r="AB156" s="21" t="str">
        <f>'Ingest Template'!M156</f>
        <v/>
      </c>
      <c r="AC156" s="21" t="str">
        <f>'Ingest Template'!Y156</f>
        <v/>
      </c>
      <c r="AD156" s="21" t="str">
        <f>'Ingest Template'!C156</f>
        <v/>
      </c>
      <c r="AE156" s="21" t="str">
        <f>'Ingest Template'!Z156</f>
        <v/>
      </c>
      <c r="AF156" s="29"/>
      <c r="AG156" s="21" t="str">
        <f t="array" ref="AG156">IF('Ingest Template'!A156="Standard",(CONCATENATE(IF(ISBLANK('Ingest Template'!O156),"", 'Ingest Template'!O156&amp;"|DAR"),CHAR(10), IF(ISBLANK('Ingest Template'!P156),"", 'Ingest Template'!P156&amp;"|DAR"),CHAR(10), IF(ISBLANK('Ingest Template'!Q156),"", 'Ingest Template'!Q156&amp;"|DAR"))),(CONCATENATE(IF(ISBLANK('Ingest Template'!O156),"", 'Ingest Template'!O156&amp;"|Operations - Core Title"),CHAR(10), IF(ISBLANK('Ingest Template'!P156),"", 'Ingest Template'!P156&amp;"|Operations - Core Title"),CHAR(10), IF(ISBLANK('Ingest Template'!Q156),"", 'Ingest Template'!Q156&amp;"|Operations - Core Title"))))</f>
        <v>#|Operations - Core Title
#|Operations - Core Title
</v>
      </c>
      <c r="AH156" s="21"/>
      <c r="AI156" s="21"/>
      <c r="AJ156" s="53" t="str">
        <f>if('Ingest Template'!A156="Standard",'Ingest Template'!N156&amp; "|DAR|DAR|2021-01-01",'Ingest Template'!N156&amp; "|Operations - Core Title|Operations - Core Title")</f>
        <v>#N/A</v>
      </c>
      <c r="AK156" s="53" t="str">
        <f>if('Ingest Template'!A156="Standard",'Ingest Template'!R156&amp; "|2021-01-01",'Ingest Template'!R156)</f>
        <v>#N/A</v>
      </c>
      <c r="AL156" s="21"/>
      <c r="AM156" s="21"/>
    </row>
    <row r="157">
      <c r="A157" s="21"/>
      <c r="B157" s="21" t="str">
        <f>'Ingest Template'!B157&amp;IF('Ingest Template'!A157 = "Standard", " - DAR","")</f>
        <v/>
      </c>
      <c r="C157" s="26" t="s">
        <v>109</v>
      </c>
      <c r="D157" s="29" t="str">
        <f t="array" ref="D157">CONCATENATE(INDEX(DropDown!$H$2:$H$10,MATCH(1,COUNTIF('Ingest Template'!F157,"*"&amp;DropDown!$H$2:$H$10&amp;"*"),0)),CHAR(10),'Ingest Template'!G157)</f>
        <v>#N/A</v>
      </c>
      <c r="E157" s="21" t="str">
        <f>CONCATENATE('Ingest Template'!H157,CHAR(10),'Ingest Template'!I157,CHAR(10),'Ingest Template'!J157)</f>
        <v>
</v>
      </c>
      <c r="F157" s="26" t="str">
        <f>'Ingest Template'!H157</f>
        <v/>
      </c>
      <c r="G157" s="21"/>
      <c r="H157" s="29"/>
      <c r="I157" s="21"/>
      <c r="J157" s="29" t="str">
        <f t="array" ref="J157">iF('Ingest Template'!A157="Standard","Pristine Brand",INDEX(DropDown!$M$2:$M$392,MATCH('Ingest Template'!E157,DropDown!$J$2:$J$392,0)))</f>
        <v>#N/A</v>
      </c>
      <c r="K157" s="21" t="str">
        <f>iF('Ingest Template'!A157="Standard",'Ingest Template'!K157&amp;CHAR(10)&amp;'Ingest Template'!L157,"Competitive View")</f>
        <v>Competitive View</v>
      </c>
      <c r="L157" s="29" t="s">
        <v>146</v>
      </c>
      <c r="M157" s="37" t="str">
        <f>'Ingest Template'!D157</f>
        <v/>
      </c>
      <c r="N157" s="21"/>
      <c r="O157" s="21"/>
      <c r="P157" s="21"/>
      <c r="Q157" s="21"/>
      <c r="R157" s="21" t="str">
        <f>'Ingest Template'!E157</f>
        <v/>
      </c>
      <c r="S157" s="29" t="s">
        <v>153</v>
      </c>
      <c r="T157" s="21" t="str">
        <f>'Ingest Template'!T157</f>
        <v/>
      </c>
      <c r="U157" s="21" t="str">
        <f>'Ingest Template'!S157</f>
        <v/>
      </c>
      <c r="V157" s="21" t="str">
        <f>LOWER(SUBSTITUTE(SUBSTITUTE(SUBSTITUTE(SUBSTITUTE(SUBSTITUTE('Ingest Template'!U157,"https:",""),"www.",""),"/",""),"?hl=en",""),"instagram.com",""))</f>
        <v/>
      </c>
      <c r="W157" s="41" t="str">
        <f t="array" ref="W157">IF('Ingest Template'!V157="",(INDEX(DropDown!$L$2:$L$392,MATCH('Ingest Template'!E157,DropDown!$J$2:$J$392,0))&amp;"|"&amp;'Ingest Template'!B157),(INDEX(DropDown!$L$2:$L$392,MATCH('Ingest Template'!E157,DropDown!$J$2:$J$392,0))&amp;"|"&amp;'Ingest Template'!B157)&amp;CHAR(10)&amp;'Ingest Template'!V157)</f>
        <v>#N/A</v>
      </c>
      <c r="X157" s="41" t="str">
        <f>'Ingest Template'!W157</f>
        <v/>
      </c>
      <c r="Y157" s="21" t="str">
        <f>SUBSTITUTE(SUBSTITUTE(SUBSTITUTE('Ingest Template'!X157,"http:",""),"https:",""),"/","")</f>
        <v/>
      </c>
      <c r="Z157" s="21" t="str">
        <f t="array" ref="Z157">IF('Ingest Template'!A157="Standard",(IF(ISBLANK('Ingest Template'!AA157),"", 'Ingest Template'!AA157&amp;"|DAR")),(IF(ISBLANK('Ingest Template'!AA157),"", 'Ingest Template'!AA157&amp;"|Film Ops")))</f>
        <v/>
      </c>
      <c r="AA157" s="21"/>
      <c r="AB157" s="21" t="str">
        <f>'Ingest Template'!M157</f>
        <v/>
      </c>
      <c r="AC157" s="21" t="str">
        <f>'Ingest Template'!Y157</f>
        <v/>
      </c>
      <c r="AD157" s="21" t="str">
        <f>'Ingest Template'!C157</f>
        <v/>
      </c>
      <c r="AE157" s="21" t="str">
        <f>'Ingest Template'!Z157</f>
        <v/>
      </c>
      <c r="AF157" s="29"/>
      <c r="AG157" s="21" t="str">
        <f t="array" ref="AG157">IF('Ingest Template'!A157="Standard",(CONCATENATE(IF(ISBLANK('Ingest Template'!O157),"", 'Ingest Template'!O157&amp;"|DAR"),CHAR(10), IF(ISBLANK('Ingest Template'!P157),"", 'Ingest Template'!P157&amp;"|DAR"),CHAR(10), IF(ISBLANK('Ingest Template'!Q157),"", 'Ingest Template'!Q157&amp;"|DAR"))),(CONCATENATE(IF(ISBLANK('Ingest Template'!O157),"", 'Ingest Template'!O157&amp;"|Operations - Core Title"),CHAR(10), IF(ISBLANK('Ingest Template'!P157),"", 'Ingest Template'!P157&amp;"|Operations - Core Title"),CHAR(10), IF(ISBLANK('Ingest Template'!Q157),"", 'Ingest Template'!Q157&amp;"|Operations - Core Title"))))</f>
        <v>#|Operations - Core Title
#|Operations - Core Title
</v>
      </c>
      <c r="AH157" s="21"/>
      <c r="AI157" s="21"/>
      <c r="AJ157" s="53" t="str">
        <f>if('Ingest Template'!A157="Standard",'Ingest Template'!N157&amp; "|DAR|DAR|2021-01-01",'Ingest Template'!N157&amp; "|Operations - Core Title|Operations - Core Title")</f>
        <v>#N/A</v>
      </c>
      <c r="AK157" s="53" t="str">
        <f>if('Ingest Template'!A157="Standard",'Ingest Template'!R157&amp; "|2021-01-01",'Ingest Template'!R157)</f>
        <v>#N/A</v>
      </c>
      <c r="AL157" s="21"/>
      <c r="AM157" s="21"/>
    </row>
    <row r="158">
      <c r="A158" s="21"/>
      <c r="B158" s="21" t="str">
        <f>'Ingest Template'!B158&amp;IF('Ingest Template'!A158 = "Standard", " - DAR","")</f>
        <v/>
      </c>
      <c r="C158" s="26" t="s">
        <v>109</v>
      </c>
      <c r="D158" s="29" t="str">
        <f t="array" ref="D158">CONCATENATE(INDEX(DropDown!$H$2:$H$10,MATCH(1,COUNTIF('Ingest Template'!F158,"*"&amp;DropDown!$H$2:$H$10&amp;"*"),0)),CHAR(10),'Ingest Template'!G158)</f>
        <v>#N/A</v>
      </c>
      <c r="E158" s="21" t="str">
        <f>CONCATENATE('Ingest Template'!H158,CHAR(10),'Ingest Template'!I158,CHAR(10),'Ingest Template'!J158)</f>
        <v>
</v>
      </c>
      <c r="F158" s="26" t="str">
        <f>'Ingest Template'!H158</f>
        <v/>
      </c>
      <c r="G158" s="21"/>
      <c r="H158" s="29"/>
      <c r="I158" s="21"/>
      <c r="J158" s="29" t="str">
        <f t="array" ref="J158">iF('Ingest Template'!A158="Standard","Pristine Brand",INDEX(DropDown!$M$2:$M$392,MATCH('Ingest Template'!E158,DropDown!$J$2:$J$392,0)))</f>
        <v>#N/A</v>
      </c>
      <c r="K158" s="21" t="str">
        <f>iF('Ingest Template'!A158="Standard",'Ingest Template'!K158&amp;CHAR(10)&amp;'Ingest Template'!L158,"Competitive View")</f>
        <v>Competitive View</v>
      </c>
      <c r="L158" s="29" t="s">
        <v>146</v>
      </c>
      <c r="M158" s="37" t="str">
        <f>'Ingest Template'!D158</f>
        <v/>
      </c>
      <c r="N158" s="21"/>
      <c r="O158" s="21"/>
      <c r="P158" s="21"/>
      <c r="Q158" s="21"/>
      <c r="R158" s="21" t="str">
        <f>'Ingest Template'!E158</f>
        <v/>
      </c>
      <c r="S158" s="29" t="s">
        <v>153</v>
      </c>
      <c r="T158" s="21" t="str">
        <f>'Ingest Template'!T158</f>
        <v/>
      </c>
      <c r="U158" s="21" t="str">
        <f>'Ingest Template'!S158</f>
        <v/>
      </c>
      <c r="V158" s="21" t="str">
        <f>LOWER(SUBSTITUTE(SUBSTITUTE(SUBSTITUTE(SUBSTITUTE(SUBSTITUTE('Ingest Template'!U158,"https:",""),"www.",""),"/",""),"?hl=en",""),"instagram.com",""))</f>
        <v/>
      </c>
      <c r="W158" s="41" t="str">
        <f t="array" ref="W158">IF('Ingest Template'!V158="",(INDEX(DropDown!$L$2:$L$392,MATCH('Ingest Template'!E158,DropDown!$J$2:$J$392,0))&amp;"|"&amp;'Ingest Template'!B158),(INDEX(DropDown!$L$2:$L$392,MATCH('Ingest Template'!E158,DropDown!$J$2:$J$392,0))&amp;"|"&amp;'Ingest Template'!B158)&amp;CHAR(10)&amp;'Ingest Template'!V158)</f>
        <v>#N/A</v>
      </c>
      <c r="X158" s="41" t="str">
        <f>'Ingest Template'!W158</f>
        <v/>
      </c>
      <c r="Y158" s="21" t="str">
        <f>SUBSTITUTE(SUBSTITUTE(SUBSTITUTE('Ingest Template'!X158,"http:",""),"https:",""),"/","")</f>
        <v/>
      </c>
      <c r="Z158" s="21" t="str">
        <f t="array" ref="Z158">IF('Ingest Template'!A158="Standard",(IF(ISBLANK('Ingest Template'!AA158),"", 'Ingest Template'!AA158&amp;"|DAR")),(IF(ISBLANK('Ingest Template'!AA158),"", 'Ingest Template'!AA158&amp;"|Film Ops")))</f>
        <v/>
      </c>
      <c r="AA158" s="21"/>
      <c r="AB158" s="21" t="str">
        <f>'Ingest Template'!M158</f>
        <v/>
      </c>
      <c r="AC158" s="21" t="str">
        <f>'Ingest Template'!Y158</f>
        <v/>
      </c>
      <c r="AD158" s="21" t="str">
        <f>'Ingest Template'!C158</f>
        <v/>
      </c>
      <c r="AE158" s="21" t="str">
        <f>'Ingest Template'!Z158</f>
        <v/>
      </c>
      <c r="AF158" s="29"/>
      <c r="AG158" s="21" t="str">
        <f t="array" ref="AG158">IF('Ingest Template'!A158="Standard",(CONCATENATE(IF(ISBLANK('Ingest Template'!O158),"", 'Ingest Template'!O158&amp;"|DAR"),CHAR(10), IF(ISBLANK('Ingest Template'!P158),"", 'Ingest Template'!P158&amp;"|DAR"),CHAR(10), IF(ISBLANK('Ingest Template'!Q158),"", 'Ingest Template'!Q158&amp;"|DAR"))),(CONCATENATE(IF(ISBLANK('Ingest Template'!O158),"", 'Ingest Template'!O158&amp;"|Operations - Core Title"),CHAR(10), IF(ISBLANK('Ingest Template'!P158),"", 'Ingest Template'!P158&amp;"|Operations - Core Title"),CHAR(10), IF(ISBLANK('Ingest Template'!Q158),"", 'Ingest Template'!Q158&amp;"|Operations - Core Title"))))</f>
        <v>#|Operations - Core Title
#|Operations - Core Title
</v>
      </c>
      <c r="AH158" s="21"/>
      <c r="AI158" s="21"/>
      <c r="AJ158" s="53" t="str">
        <f>if('Ingest Template'!A158="Standard",'Ingest Template'!N158&amp; "|DAR|DAR|2021-01-01",'Ingest Template'!N158&amp; "|Operations - Core Title|Operations - Core Title")</f>
        <v>#N/A</v>
      </c>
      <c r="AK158" s="53" t="str">
        <f>if('Ingest Template'!A158="Standard",'Ingest Template'!R158&amp; "|2021-01-01",'Ingest Template'!R158)</f>
        <v>#N/A</v>
      </c>
      <c r="AL158" s="21"/>
      <c r="AM158" s="21"/>
    </row>
    <row r="159">
      <c r="A159" s="21"/>
      <c r="B159" s="21" t="str">
        <f>'Ingest Template'!B159&amp;IF('Ingest Template'!A159 = "Standard", " - DAR","")</f>
        <v/>
      </c>
      <c r="C159" s="26" t="s">
        <v>109</v>
      </c>
      <c r="D159" s="29" t="str">
        <f t="array" ref="D159">CONCATENATE(INDEX(DropDown!$H$2:$H$10,MATCH(1,COUNTIF('Ingest Template'!F159,"*"&amp;DropDown!$H$2:$H$10&amp;"*"),0)),CHAR(10),'Ingest Template'!G159)</f>
        <v>#N/A</v>
      </c>
      <c r="E159" s="21" t="str">
        <f>CONCATENATE('Ingest Template'!H159,CHAR(10),'Ingest Template'!I159,CHAR(10),'Ingest Template'!J159)</f>
        <v>
</v>
      </c>
      <c r="F159" s="26" t="str">
        <f>'Ingest Template'!H159</f>
        <v/>
      </c>
      <c r="G159" s="21"/>
      <c r="H159" s="29"/>
      <c r="I159" s="21"/>
      <c r="J159" s="29" t="str">
        <f t="array" ref="J159">iF('Ingest Template'!A159="Standard","Pristine Brand",INDEX(DropDown!$M$2:$M$392,MATCH('Ingest Template'!E159,DropDown!$J$2:$J$392,0)))</f>
        <v>#N/A</v>
      </c>
      <c r="K159" s="21" t="str">
        <f>iF('Ingest Template'!A159="Standard",'Ingest Template'!K159&amp;CHAR(10)&amp;'Ingest Template'!L159,"Competitive View")</f>
        <v>Competitive View</v>
      </c>
      <c r="L159" s="29" t="s">
        <v>146</v>
      </c>
      <c r="M159" s="37" t="str">
        <f>'Ingest Template'!D159</f>
        <v/>
      </c>
      <c r="N159" s="21"/>
      <c r="O159" s="21"/>
      <c r="P159" s="21"/>
      <c r="Q159" s="21"/>
      <c r="R159" s="21" t="str">
        <f>'Ingest Template'!E159</f>
        <v/>
      </c>
      <c r="S159" s="29" t="s">
        <v>153</v>
      </c>
      <c r="T159" s="21" t="str">
        <f>'Ingest Template'!T159</f>
        <v/>
      </c>
      <c r="U159" s="21" t="str">
        <f>'Ingest Template'!S159</f>
        <v/>
      </c>
      <c r="V159" s="21" t="str">
        <f>LOWER(SUBSTITUTE(SUBSTITUTE(SUBSTITUTE(SUBSTITUTE(SUBSTITUTE('Ingest Template'!U159,"https:",""),"www.",""),"/",""),"?hl=en",""),"instagram.com",""))</f>
        <v/>
      </c>
      <c r="W159" s="41" t="str">
        <f t="array" ref="W159">IF('Ingest Template'!V159="",(INDEX(DropDown!$L$2:$L$392,MATCH('Ingest Template'!E159,DropDown!$J$2:$J$392,0))&amp;"|"&amp;'Ingest Template'!B159),(INDEX(DropDown!$L$2:$L$392,MATCH('Ingest Template'!E159,DropDown!$J$2:$J$392,0))&amp;"|"&amp;'Ingest Template'!B159)&amp;CHAR(10)&amp;'Ingest Template'!V159)</f>
        <v>#N/A</v>
      </c>
      <c r="X159" s="41" t="str">
        <f>'Ingest Template'!W159</f>
        <v/>
      </c>
      <c r="Y159" s="21" t="str">
        <f>SUBSTITUTE(SUBSTITUTE(SUBSTITUTE('Ingest Template'!X159,"http:",""),"https:",""),"/","")</f>
        <v/>
      </c>
      <c r="Z159" s="21" t="str">
        <f t="array" ref="Z159">IF('Ingest Template'!A159="Standard",(IF(ISBLANK('Ingest Template'!AA159),"", 'Ingest Template'!AA159&amp;"|DAR")),(IF(ISBLANK('Ingest Template'!AA159),"", 'Ingest Template'!AA159&amp;"|Film Ops")))</f>
        <v/>
      </c>
      <c r="AA159" s="21"/>
      <c r="AB159" s="21" t="str">
        <f>'Ingest Template'!M159</f>
        <v/>
      </c>
      <c r="AC159" s="21" t="str">
        <f>'Ingest Template'!Y159</f>
        <v/>
      </c>
      <c r="AD159" s="21" t="str">
        <f>'Ingest Template'!C159</f>
        <v/>
      </c>
      <c r="AE159" s="21" t="str">
        <f>'Ingest Template'!Z159</f>
        <v/>
      </c>
      <c r="AF159" s="29"/>
      <c r="AG159" s="21" t="str">
        <f t="array" ref="AG159">IF('Ingest Template'!A159="Standard",(CONCATENATE(IF(ISBLANK('Ingest Template'!O159),"", 'Ingest Template'!O159&amp;"|DAR"),CHAR(10), IF(ISBLANK('Ingest Template'!P159),"", 'Ingest Template'!P159&amp;"|DAR"),CHAR(10), IF(ISBLANK('Ingest Template'!Q159),"", 'Ingest Template'!Q159&amp;"|DAR"))),(CONCATENATE(IF(ISBLANK('Ingest Template'!O159),"", 'Ingest Template'!O159&amp;"|Operations - Core Title"),CHAR(10), IF(ISBLANK('Ingest Template'!P159),"", 'Ingest Template'!P159&amp;"|Operations - Core Title"),CHAR(10), IF(ISBLANK('Ingest Template'!Q159),"", 'Ingest Template'!Q159&amp;"|Operations - Core Title"))))</f>
        <v>#|Operations - Core Title
#|Operations - Core Title
</v>
      </c>
      <c r="AH159" s="21"/>
      <c r="AI159" s="21"/>
      <c r="AJ159" s="53" t="str">
        <f>if('Ingest Template'!A159="Standard",'Ingest Template'!N159&amp; "|DAR|DAR|2021-01-01",'Ingest Template'!N159&amp; "|Operations - Core Title|Operations - Core Title")</f>
        <v>#N/A</v>
      </c>
      <c r="AK159" s="53" t="str">
        <f>if('Ingest Template'!A159="Standard",'Ingest Template'!R159&amp; "|2021-01-01",'Ingest Template'!R159)</f>
        <v>#N/A</v>
      </c>
      <c r="AL159" s="21"/>
      <c r="AM159" s="21"/>
    </row>
    <row r="160">
      <c r="A160" s="21"/>
      <c r="B160" s="21" t="str">
        <f>'Ingest Template'!B160&amp;IF('Ingest Template'!A160 = "Standard", " - DAR","")</f>
        <v/>
      </c>
      <c r="C160" s="26" t="s">
        <v>109</v>
      </c>
      <c r="D160" s="29" t="str">
        <f t="array" ref="D160">CONCATENATE(INDEX(DropDown!$H$2:$H$10,MATCH(1,COUNTIF('Ingest Template'!F160,"*"&amp;DropDown!$H$2:$H$10&amp;"*"),0)),CHAR(10),'Ingest Template'!G160)</f>
        <v>#N/A</v>
      </c>
      <c r="E160" s="21" t="str">
        <f>CONCATENATE('Ingest Template'!H160,CHAR(10),'Ingest Template'!I160,CHAR(10),'Ingest Template'!J160)</f>
        <v>
</v>
      </c>
      <c r="F160" s="26" t="str">
        <f>'Ingest Template'!H160</f>
        <v/>
      </c>
      <c r="G160" s="21"/>
      <c r="H160" s="29"/>
      <c r="I160" s="21"/>
      <c r="J160" s="29" t="str">
        <f t="array" ref="J160">iF('Ingest Template'!A160="Standard","Pristine Brand",INDEX(DropDown!$M$2:$M$392,MATCH('Ingest Template'!E160,DropDown!$J$2:$J$392,0)))</f>
        <v>#N/A</v>
      </c>
      <c r="K160" s="21" t="str">
        <f>iF('Ingest Template'!A160="Standard",'Ingest Template'!K160&amp;CHAR(10)&amp;'Ingest Template'!L160,"Competitive View")</f>
        <v>Competitive View</v>
      </c>
      <c r="L160" s="29" t="s">
        <v>146</v>
      </c>
      <c r="M160" s="37" t="str">
        <f>'Ingest Template'!D160</f>
        <v/>
      </c>
      <c r="N160" s="21"/>
      <c r="O160" s="21"/>
      <c r="P160" s="21"/>
      <c r="Q160" s="21"/>
      <c r="R160" s="21" t="str">
        <f>'Ingest Template'!E160</f>
        <v/>
      </c>
      <c r="S160" s="29" t="s">
        <v>153</v>
      </c>
      <c r="T160" s="21" t="str">
        <f>'Ingest Template'!T160</f>
        <v/>
      </c>
      <c r="U160" s="21" t="str">
        <f>'Ingest Template'!S160</f>
        <v/>
      </c>
      <c r="V160" s="21" t="str">
        <f>LOWER(SUBSTITUTE(SUBSTITUTE(SUBSTITUTE(SUBSTITUTE(SUBSTITUTE('Ingest Template'!U160,"https:",""),"www.",""),"/",""),"?hl=en",""),"instagram.com",""))</f>
        <v/>
      </c>
      <c r="W160" s="41" t="str">
        <f t="array" ref="W160">IF('Ingest Template'!V160="",(INDEX(DropDown!$L$2:$L$392,MATCH('Ingest Template'!E160,DropDown!$J$2:$J$392,0))&amp;"|"&amp;'Ingest Template'!B160),(INDEX(DropDown!$L$2:$L$392,MATCH('Ingest Template'!E160,DropDown!$J$2:$J$392,0))&amp;"|"&amp;'Ingest Template'!B160)&amp;CHAR(10)&amp;'Ingest Template'!V160)</f>
        <v>#N/A</v>
      </c>
      <c r="X160" s="41" t="str">
        <f>'Ingest Template'!W160</f>
        <v/>
      </c>
      <c r="Y160" s="21" t="str">
        <f>SUBSTITUTE(SUBSTITUTE(SUBSTITUTE('Ingest Template'!X160,"http:",""),"https:",""),"/","")</f>
        <v/>
      </c>
      <c r="Z160" s="21" t="str">
        <f t="array" ref="Z160">IF('Ingest Template'!A160="Standard",(IF(ISBLANK('Ingest Template'!AA160),"", 'Ingest Template'!AA160&amp;"|DAR")),(IF(ISBLANK('Ingest Template'!AA160),"", 'Ingest Template'!AA160&amp;"|Film Ops")))</f>
        <v/>
      </c>
      <c r="AA160" s="21"/>
      <c r="AB160" s="21" t="str">
        <f>'Ingest Template'!M160</f>
        <v/>
      </c>
      <c r="AC160" s="21" t="str">
        <f>'Ingest Template'!Y160</f>
        <v/>
      </c>
      <c r="AD160" s="21" t="str">
        <f>'Ingest Template'!C160</f>
        <v/>
      </c>
      <c r="AE160" s="21" t="str">
        <f>'Ingest Template'!Z160</f>
        <v/>
      </c>
      <c r="AF160" s="29"/>
      <c r="AG160" s="21" t="str">
        <f t="array" ref="AG160">IF('Ingest Template'!A160="Standard",(CONCATENATE(IF(ISBLANK('Ingest Template'!O160),"", 'Ingest Template'!O160&amp;"|DAR"),CHAR(10), IF(ISBLANK('Ingest Template'!P160),"", 'Ingest Template'!P160&amp;"|DAR"),CHAR(10), IF(ISBLANK('Ingest Template'!Q160),"", 'Ingest Template'!Q160&amp;"|DAR"))),(CONCATENATE(IF(ISBLANK('Ingest Template'!O160),"", 'Ingest Template'!O160&amp;"|Operations - Core Title"),CHAR(10), IF(ISBLANK('Ingest Template'!P160),"", 'Ingest Template'!P160&amp;"|Operations - Core Title"),CHAR(10), IF(ISBLANK('Ingest Template'!Q160),"", 'Ingest Template'!Q160&amp;"|Operations - Core Title"))))</f>
        <v>#|Operations - Core Title
#|Operations - Core Title
</v>
      </c>
      <c r="AH160" s="21"/>
      <c r="AI160" s="21"/>
      <c r="AJ160" s="53" t="str">
        <f>if('Ingest Template'!A160="Standard",'Ingest Template'!N160&amp; "|DAR|DAR|2021-01-01",'Ingest Template'!N160&amp; "|Operations - Core Title|Operations - Core Title")</f>
        <v>#N/A</v>
      </c>
      <c r="AK160" s="53" t="str">
        <f>if('Ingest Template'!A160="Standard",'Ingest Template'!R160&amp; "|2021-01-01",'Ingest Template'!R160)</f>
        <v>#N/A</v>
      </c>
      <c r="AL160" s="21"/>
      <c r="AM160" s="21"/>
    </row>
    <row r="161">
      <c r="A161" s="21"/>
      <c r="B161" s="21" t="str">
        <f>'Ingest Template'!B161&amp;IF('Ingest Template'!A161 = "Standard", " - DAR","")</f>
        <v/>
      </c>
      <c r="C161" s="26" t="s">
        <v>109</v>
      </c>
      <c r="D161" s="29" t="str">
        <f t="array" ref="D161">CONCATENATE(INDEX(DropDown!$H$2:$H$10,MATCH(1,COUNTIF('Ingest Template'!F161,"*"&amp;DropDown!$H$2:$H$10&amp;"*"),0)),CHAR(10),'Ingest Template'!G161)</f>
        <v>#N/A</v>
      </c>
      <c r="E161" s="21" t="str">
        <f>CONCATENATE('Ingest Template'!H161,CHAR(10),'Ingest Template'!I161,CHAR(10),'Ingest Template'!J161)</f>
        <v>
</v>
      </c>
      <c r="F161" s="26" t="str">
        <f>'Ingest Template'!H161</f>
        <v/>
      </c>
      <c r="G161" s="21"/>
      <c r="H161" s="29"/>
      <c r="I161" s="21"/>
      <c r="J161" s="29" t="str">
        <f t="array" ref="J161">iF('Ingest Template'!A161="Standard","Pristine Brand",INDEX(DropDown!$M$2:$M$392,MATCH('Ingest Template'!E161,DropDown!$J$2:$J$392,0)))</f>
        <v>#N/A</v>
      </c>
      <c r="K161" s="21" t="str">
        <f>iF('Ingest Template'!A161="Standard",'Ingest Template'!K161&amp;CHAR(10)&amp;'Ingest Template'!L161,"Competitive View")</f>
        <v>Competitive View</v>
      </c>
      <c r="L161" s="29" t="s">
        <v>146</v>
      </c>
      <c r="M161" s="37" t="str">
        <f>'Ingest Template'!D161</f>
        <v/>
      </c>
      <c r="N161" s="21"/>
      <c r="O161" s="21"/>
      <c r="P161" s="21"/>
      <c r="Q161" s="21"/>
      <c r="R161" s="21" t="str">
        <f>'Ingest Template'!E161</f>
        <v/>
      </c>
      <c r="S161" s="29" t="s">
        <v>153</v>
      </c>
      <c r="T161" s="21" t="str">
        <f>'Ingest Template'!T161</f>
        <v/>
      </c>
      <c r="U161" s="21" t="str">
        <f>'Ingest Template'!S161</f>
        <v/>
      </c>
      <c r="V161" s="21" t="str">
        <f>LOWER(SUBSTITUTE(SUBSTITUTE(SUBSTITUTE(SUBSTITUTE(SUBSTITUTE('Ingest Template'!U161,"https:",""),"www.",""),"/",""),"?hl=en",""),"instagram.com",""))</f>
        <v/>
      </c>
      <c r="W161" s="41" t="str">
        <f t="array" ref="W161">IF('Ingest Template'!V161="",(INDEX(DropDown!$L$2:$L$392,MATCH('Ingest Template'!E161,DropDown!$J$2:$J$392,0))&amp;"|"&amp;'Ingest Template'!B161),(INDEX(DropDown!$L$2:$L$392,MATCH('Ingest Template'!E161,DropDown!$J$2:$J$392,0))&amp;"|"&amp;'Ingest Template'!B161)&amp;CHAR(10)&amp;'Ingest Template'!V161)</f>
        <v>#N/A</v>
      </c>
      <c r="X161" s="41" t="str">
        <f>'Ingest Template'!W161</f>
        <v/>
      </c>
      <c r="Y161" s="21" t="str">
        <f>SUBSTITUTE(SUBSTITUTE(SUBSTITUTE('Ingest Template'!X161,"http:",""),"https:",""),"/","")</f>
        <v/>
      </c>
      <c r="Z161" s="21" t="str">
        <f t="array" ref="Z161">IF('Ingest Template'!A161="Standard",(IF(ISBLANK('Ingest Template'!AA161),"", 'Ingest Template'!AA161&amp;"|DAR")),(IF(ISBLANK('Ingest Template'!AA161),"", 'Ingest Template'!AA161&amp;"|Film Ops")))</f>
        <v/>
      </c>
      <c r="AA161" s="21"/>
      <c r="AB161" s="21" t="str">
        <f>'Ingest Template'!M161</f>
        <v/>
      </c>
      <c r="AC161" s="21" t="str">
        <f>'Ingest Template'!Y161</f>
        <v/>
      </c>
      <c r="AD161" s="21" t="str">
        <f>'Ingest Template'!C161</f>
        <v/>
      </c>
      <c r="AE161" s="21" t="str">
        <f>'Ingest Template'!Z161</f>
        <v/>
      </c>
      <c r="AF161" s="29"/>
      <c r="AG161" s="21" t="str">
        <f t="array" ref="AG161">IF('Ingest Template'!A161="Standard",(CONCATENATE(IF(ISBLANK('Ingest Template'!O161),"", 'Ingest Template'!O161&amp;"|DAR"),CHAR(10), IF(ISBLANK('Ingest Template'!P161),"", 'Ingest Template'!P161&amp;"|DAR"),CHAR(10), IF(ISBLANK('Ingest Template'!Q161),"", 'Ingest Template'!Q161&amp;"|DAR"))),(CONCATENATE(IF(ISBLANK('Ingest Template'!O161),"", 'Ingest Template'!O161&amp;"|Operations - Core Title"),CHAR(10), IF(ISBLANK('Ingest Template'!P161),"", 'Ingest Template'!P161&amp;"|Operations - Core Title"),CHAR(10), IF(ISBLANK('Ingest Template'!Q161),"", 'Ingest Template'!Q161&amp;"|Operations - Core Title"))))</f>
        <v>#|Operations - Core Title
#|Operations - Core Title
</v>
      </c>
      <c r="AH161" s="21"/>
      <c r="AI161" s="21"/>
      <c r="AJ161" s="53" t="str">
        <f>if('Ingest Template'!A161="Standard",'Ingest Template'!N161&amp; "|DAR|DAR|2021-01-01",'Ingest Template'!N161&amp; "|Operations - Core Title|Operations - Core Title")</f>
        <v>#N/A</v>
      </c>
      <c r="AK161" s="53" t="str">
        <f>if('Ingest Template'!A161="Standard",'Ingest Template'!R161&amp; "|2021-01-01",'Ingest Template'!R161)</f>
        <v>#N/A</v>
      </c>
      <c r="AL161" s="21"/>
      <c r="AM161" s="21"/>
    </row>
    <row r="162">
      <c r="A162" s="21"/>
      <c r="B162" s="21" t="str">
        <f>'Ingest Template'!B162&amp;IF('Ingest Template'!A162 = "Standard", " - DAR","")</f>
        <v/>
      </c>
      <c r="C162" s="26" t="s">
        <v>109</v>
      </c>
      <c r="D162" s="29" t="str">
        <f t="array" ref="D162">CONCATENATE(INDEX(DropDown!$H$2:$H$10,MATCH(1,COUNTIF('Ingest Template'!F162,"*"&amp;DropDown!$H$2:$H$10&amp;"*"),0)),CHAR(10),'Ingest Template'!G162)</f>
        <v>#N/A</v>
      </c>
      <c r="E162" s="21" t="str">
        <f>CONCATENATE('Ingest Template'!H162,CHAR(10),'Ingest Template'!I162,CHAR(10),'Ingest Template'!J162)</f>
        <v>
</v>
      </c>
      <c r="F162" s="26" t="str">
        <f>'Ingest Template'!H162</f>
        <v/>
      </c>
      <c r="G162" s="21"/>
      <c r="H162" s="29"/>
      <c r="I162" s="21"/>
      <c r="J162" s="29" t="str">
        <f t="array" ref="J162">iF('Ingest Template'!A162="Standard","Pristine Brand",INDEX(DropDown!$M$2:$M$392,MATCH('Ingest Template'!E162,DropDown!$J$2:$J$392,0)))</f>
        <v>#N/A</v>
      </c>
      <c r="K162" s="21" t="str">
        <f>iF('Ingest Template'!A162="Standard",'Ingest Template'!K162&amp;CHAR(10)&amp;'Ingest Template'!L162,"Competitive View")</f>
        <v>Competitive View</v>
      </c>
      <c r="L162" s="29" t="s">
        <v>146</v>
      </c>
      <c r="M162" s="37" t="str">
        <f>'Ingest Template'!D162</f>
        <v/>
      </c>
      <c r="N162" s="21"/>
      <c r="O162" s="21"/>
      <c r="P162" s="21"/>
      <c r="Q162" s="21"/>
      <c r="R162" s="21" t="str">
        <f>'Ingest Template'!E162</f>
        <v/>
      </c>
      <c r="S162" s="29" t="s">
        <v>153</v>
      </c>
      <c r="T162" s="21" t="str">
        <f>'Ingest Template'!T162</f>
        <v/>
      </c>
      <c r="U162" s="21" t="str">
        <f>'Ingest Template'!S162</f>
        <v/>
      </c>
      <c r="V162" s="21" t="str">
        <f>LOWER(SUBSTITUTE(SUBSTITUTE(SUBSTITUTE(SUBSTITUTE(SUBSTITUTE('Ingest Template'!U162,"https:",""),"www.",""),"/",""),"?hl=en",""),"instagram.com",""))</f>
        <v/>
      </c>
      <c r="W162" s="41" t="str">
        <f t="array" ref="W162">IF('Ingest Template'!V162="",(INDEX(DropDown!$L$2:$L$392,MATCH('Ingest Template'!E162,DropDown!$J$2:$J$392,0))&amp;"|"&amp;'Ingest Template'!B162),(INDEX(DropDown!$L$2:$L$392,MATCH('Ingest Template'!E162,DropDown!$J$2:$J$392,0))&amp;"|"&amp;'Ingest Template'!B162)&amp;CHAR(10)&amp;'Ingest Template'!V162)</f>
        <v>#N/A</v>
      </c>
      <c r="X162" s="41" t="str">
        <f>'Ingest Template'!W162</f>
        <v/>
      </c>
      <c r="Y162" s="21" t="str">
        <f>SUBSTITUTE(SUBSTITUTE(SUBSTITUTE('Ingest Template'!X162,"http:",""),"https:",""),"/","")</f>
        <v/>
      </c>
      <c r="Z162" s="21" t="str">
        <f t="array" ref="Z162">IF('Ingest Template'!A162="Standard",(IF(ISBLANK('Ingest Template'!AA162),"", 'Ingest Template'!AA162&amp;"|DAR")),(IF(ISBLANK('Ingest Template'!AA162),"", 'Ingest Template'!AA162&amp;"|Film Ops")))</f>
        <v/>
      </c>
      <c r="AA162" s="21"/>
      <c r="AB162" s="21" t="str">
        <f>'Ingest Template'!M162</f>
        <v/>
      </c>
      <c r="AC162" s="21" t="str">
        <f>'Ingest Template'!Y162</f>
        <v/>
      </c>
      <c r="AD162" s="21" t="str">
        <f>'Ingest Template'!C162</f>
        <v/>
      </c>
      <c r="AE162" s="21" t="str">
        <f>'Ingest Template'!Z162</f>
        <v/>
      </c>
      <c r="AF162" s="29"/>
      <c r="AG162" s="21" t="str">
        <f t="array" ref="AG162">IF('Ingest Template'!A162="Standard",(CONCATENATE(IF(ISBLANK('Ingest Template'!O162),"", 'Ingest Template'!O162&amp;"|DAR"),CHAR(10), IF(ISBLANK('Ingest Template'!P162),"", 'Ingest Template'!P162&amp;"|DAR"),CHAR(10), IF(ISBLANK('Ingest Template'!Q162),"", 'Ingest Template'!Q162&amp;"|DAR"))),(CONCATENATE(IF(ISBLANK('Ingest Template'!O162),"", 'Ingest Template'!O162&amp;"|Operations - Core Title"),CHAR(10), IF(ISBLANK('Ingest Template'!P162),"", 'Ingest Template'!P162&amp;"|Operations - Core Title"),CHAR(10), IF(ISBLANK('Ingest Template'!Q162),"", 'Ingest Template'!Q162&amp;"|Operations - Core Title"))))</f>
        <v>#|Operations - Core Title
#|Operations - Core Title
</v>
      </c>
      <c r="AH162" s="21"/>
      <c r="AI162" s="21"/>
      <c r="AJ162" s="53" t="str">
        <f>if('Ingest Template'!A162="Standard",'Ingest Template'!N162&amp; "|DAR|DAR|2021-01-01",'Ingest Template'!N162&amp; "|Operations - Core Title|Operations - Core Title")</f>
        <v>#N/A</v>
      </c>
      <c r="AK162" s="53" t="str">
        <f>if('Ingest Template'!A162="Standard",'Ingest Template'!R162&amp; "|2021-01-01",'Ingest Template'!R162)</f>
        <v>#N/A</v>
      </c>
      <c r="AL162" s="21"/>
      <c r="AM162" s="21"/>
    </row>
    <row r="163">
      <c r="A163" s="21"/>
      <c r="B163" s="21" t="str">
        <f>'Ingest Template'!B163&amp;IF('Ingest Template'!A163 = "Standard", " - DAR","")</f>
        <v/>
      </c>
      <c r="C163" s="26" t="s">
        <v>109</v>
      </c>
      <c r="D163" s="29" t="str">
        <f t="array" ref="D163">CONCATENATE(INDEX(DropDown!$H$2:$H$10,MATCH(1,COUNTIF('Ingest Template'!F163,"*"&amp;DropDown!$H$2:$H$10&amp;"*"),0)),CHAR(10),'Ingest Template'!G163)</f>
        <v>#N/A</v>
      </c>
      <c r="E163" s="21" t="str">
        <f>CONCATENATE('Ingest Template'!H163,CHAR(10),'Ingest Template'!I163,CHAR(10),'Ingest Template'!J163)</f>
        <v>
</v>
      </c>
      <c r="F163" s="26" t="str">
        <f>'Ingest Template'!H163</f>
        <v/>
      </c>
      <c r="G163" s="21"/>
      <c r="H163" s="29"/>
      <c r="I163" s="21"/>
      <c r="J163" s="29" t="str">
        <f t="array" ref="J163">iF('Ingest Template'!A163="Standard","Pristine Brand",INDEX(DropDown!$M$2:$M$392,MATCH('Ingest Template'!E163,DropDown!$J$2:$J$392,0)))</f>
        <v>#N/A</v>
      </c>
      <c r="K163" s="21" t="str">
        <f>iF('Ingest Template'!A163="Standard",'Ingest Template'!K163&amp;CHAR(10)&amp;'Ingest Template'!L163,"Competitive View")</f>
        <v>Competitive View</v>
      </c>
      <c r="L163" s="29" t="s">
        <v>146</v>
      </c>
      <c r="M163" s="37" t="str">
        <f>'Ingest Template'!D163</f>
        <v/>
      </c>
      <c r="N163" s="21"/>
      <c r="O163" s="21"/>
      <c r="P163" s="21"/>
      <c r="Q163" s="21"/>
      <c r="R163" s="21" t="str">
        <f>'Ingest Template'!E163</f>
        <v/>
      </c>
      <c r="S163" s="29" t="s">
        <v>153</v>
      </c>
      <c r="T163" s="21" t="str">
        <f>'Ingest Template'!T163</f>
        <v/>
      </c>
      <c r="U163" s="21" t="str">
        <f>'Ingest Template'!S163</f>
        <v/>
      </c>
      <c r="V163" s="21" t="str">
        <f>LOWER(SUBSTITUTE(SUBSTITUTE(SUBSTITUTE(SUBSTITUTE(SUBSTITUTE('Ingest Template'!U163,"https:",""),"www.",""),"/",""),"?hl=en",""),"instagram.com",""))</f>
        <v/>
      </c>
      <c r="W163" s="41" t="str">
        <f t="array" ref="W163">IF('Ingest Template'!V163="",(INDEX(DropDown!$L$2:$L$392,MATCH('Ingest Template'!E163,DropDown!$J$2:$J$392,0))&amp;"|"&amp;'Ingest Template'!B163),(INDEX(DropDown!$L$2:$L$392,MATCH('Ingest Template'!E163,DropDown!$J$2:$J$392,0))&amp;"|"&amp;'Ingest Template'!B163)&amp;CHAR(10)&amp;'Ingest Template'!V163)</f>
        <v>#N/A</v>
      </c>
      <c r="X163" s="41" t="str">
        <f>'Ingest Template'!W163</f>
        <v/>
      </c>
      <c r="Y163" s="21" t="str">
        <f>SUBSTITUTE(SUBSTITUTE(SUBSTITUTE('Ingest Template'!X163,"http:",""),"https:",""),"/","")</f>
        <v/>
      </c>
      <c r="Z163" s="21" t="str">
        <f t="array" ref="Z163">IF('Ingest Template'!A163="Standard",(IF(ISBLANK('Ingest Template'!AA163),"", 'Ingest Template'!AA163&amp;"|DAR")),(IF(ISBLANK('Ingest Template'!AA163),"", 'Ingest Template'!AA163&amp;"|Film Ops")))</f>
        <v/>
      </c>
      <c r="AA163" s="21"/>
      <c r="AB163" s="21" t="str">
        <f>'Ingest Template'!M163</f>
        <v/>
      </c>
      <c r="AC163" s="21" t="str">
        <f>'Ingest Template'!Y163</f>
        <v/>
      </c>
      <c r="AD163" s="21" t="str">
        <f>'Ingest Template'!C163</f>
        <v/>
      </c>
      <c r="AE163" s="21" t="str">
        <f>'Ingest Template'!Z163</f>
        <v/>
      </c>
      <c r="AF163" s="29"/>
      <c r="AG163" s="21" t="str">
        <f t="array" ref="AG163">IF('Ingest Template'!A163="Standard",(CONCATENATE(IF(ISBLANK('Ingest Template'!O163),"", 'Ingest Template'!O163&amp;"|DAR"),CHAR(10), IF(ISBLANK('Ingest Template'!P163),"", 'Ingest Template'!P163&amp;"|DAR"),CHAR(10), IF(ISBLANK('Ingest Template'!Q163),"", 'Ingest Template'!Q163&amp;"|DAR"))),(CONCATENATE(IF(ISBLANK('Ingest Template'!O163),"", 'Ingest Template'!O163&amp;"|Operations - Core Title"),CHAR(10), IF(ISBLANK('Ingest Template'!P163),"", 'Ingest Template'!P163&amp;"|Operations - Core Title"),CHAR(10), IF(ISBLANK('Ingest Template'!Q163),"", 'Ingest Template'!Q163&amp;"|Operations - Core Title"))))</f>
        <v>#|Operations - Core Title
#|Operations - Core Title
</v>
      </c>
      <c r="AH163" s="21"/>
      <c r="AI163" s="21"/>
      <c r="AJ163" s="53" t="str">
        <f>if('Ingest Template'!A163="Standard",'Ingest Template'!N163&amp; "|DAR|DAR|2021-01-01",'Ingest Template'!N163&amp; "|Operations - Core Title|Operations - Core Title")</f>
        <v>#N/A</v>
      </c>
      <c r="AK163" s="53" t="str">
        <f>if('Ingest Template'!A163="Standard",'Ingest Template'!R163&amp; "|2021-01-01",'Ingest Template'!R163)</f>
        <v>#N/A</v>
      </c>
      <c r="AL163" s="21"/>
      <c r="AM163" s="21"/>
    </row>
    <row r="164">
      <c r="A164" s="21"/>
      <c r="B164" s="21" t="str">
        <f>'Ingest Template'!B164&amp;IF('Ingest Template'!A164 = "Standard", " - DAR","")</f>
        <v/>
      </c>
      <c r="C164" s="26" t="s">
        <v>109</v>
      </c>
      <c r="D164" s="29" t="str">
        <f t="array" ref="D164">CONCATENATE(INDEX(DropDown!$H$2:$H$10,MATCH(1,COUNTIF('Ingest Template'!F164,"*"&amp;DropDown!$H$2:$H$10&amp;"*"),0)),CHAR(10),'Ingest Template'!G164)</f>
        <v>#N/A</v>
      </c>
      <c r="E164" s="21" t="str">
        <f>CONCATENATE('Ingest Template'!H164,CHAR(10),'Ingest Template'!I164,CHAR(10),'Ingest Template'!J164)</f>
        <v>
</v>
      </c>
      <c r="F164" s="26" t="str">
        <f>'Ingest Template'!H164</f>
        <v/>
      </c>
      <c r="G164" s="21"/>
      <c r="H164" s="29"/>
      <c r="I164" s="21"/>
      <c r="J164" s="29" t="str">
        <f t="array" ref="J164">iF('Ingest Template'!A164="Standard","Pristine Brand",INDEX(DropDown!$M$2:$M$392,MATCH('Ingest Template'!E164,DropDown!$J$2:$J$392,0)))</f>
        <v>#N/A</v>
      </c>
      <c r="K164" s="21" t="str">
        <f>iF('Ingest Template'!A164="Standard",'Ingest Template'!K164&amp;CHAR(10)&amp;'Ingest Template'!L164,"Competitive View")</f>
        <v>Competitive View</v>
      </c>
      <c r="L164" s="29" t="s">
        <v>146</v>
      </c>
      <c r="M164" s="37" t="str">
        <f>'Ingest Template'!D164</f>
        <v/>
      </c>
      <c r="N164" s="21"/>
      <c r="O164" s="21"/>
      <c r="P164" s="21"/>
      <c r="Q164" s="21"/>
      <c r="R164" s="21" t="str">
        <f>'Ingest Template'!E164</f>
        <v/>
      </c>
      <c r="S164" s="29" t="s">
        <v>153</v>
      </c>
      <c r="T164" s="21" t="str">
        <f>'Ingest Template'!T164</f>
        <v/>
      </c>
      <c r="U164" s="21" t="str">
        <f>'Ingest Template'!S164</f>
        <v/>
      </c>
      <c r="V164" s="21" t="str">
        <f>LOWER(SUBSTITUTE(SUBSTITUTE(SUBSTITUTE(SUBSTITUTE(SUBSTITUTE('Ingest Template'!U164,"https:",""),"www.",""),"/",""),"?hl=en",""),"instagram.com",""))</f>
        <v/>
      </c>
      <c r="W164" s="41" t="str">
        <f t="array" ref="W164">IF('Ingest Template'!V164="",(INDEX(DropDown!$L$2:$L$392,MATCH('Ingest Template'!E164,DropDown!$J$2:$J$392,0))&amp;"|"&amp;'Ingest Template'!B164),(INDEX(DropDown!$L$2:$L$392,MATCH('Ingest Template'!E164,DropDown!$J$2:$J$392,0))&amp;"|"&amp;'Ingest Template'!B164)&amp;CHAR(10)&amp;'Ingest Template'!V164)</f>
        <v>#N/A</v>
      </c>
      <c r="X164" s="41" t="str">
        <f>'Ingest Template'!W164</f>
        <v/>
      </c>
      <c r="Y164" s="21" t="str">
        <f>SUBSTITUTE(SUBSTITUTE(SUBSTITUTE('Ingest Template'!X164,"http:",""),"https:",""),"/","")</f>
        <v/>
      </c>
      <c r="Z164" s="21" t="str">
        <f t="array" ref="Z164">IF('Ingest Template'!A164="Standard",(IF(ISBLANK('Ingest Template'!AA164),"", 'Ingest Template'!AA164&amp;"|DAR")),(IF(ISBLANK('Ingest Template'!AA164),"", 'Ingest Template'!AA164&amp;"|Film Ops")))</f>
        <v/>
      </c>
      <c r="AA164" s="21"/>
      <c r="AB164" s="21" t="str">
        <f>'Ingest Template'!M164</f>
        <v/>
      </c>
      <c r="AC164" s="21" t="str">
        <f>'Ingest Template'!Y164</f>
        <v/>
      </c>
      <c r="AD164" s="21" t="str">
        <f>'Ingest Template'!C164</f>
        <v/>
      </c>
      <c r="AE164" s="21" t="str">
        <f>'Ingest Template'!Z164</f>
        <v/>
      </c>
      <c r="AF164" s="29"/>
      <c r="AG164" s="21" t="str">
        <f t="array" ref="AG164">IF('Ingest Template'!A164="Standard",(CONCATENATE(IF(ISBLANK('Ingest Template'!O164),"", 'Ingest Template'!O164&amp;"|DAR"),CHAR(10), IF(ISBLANK('Ingest Template'!P164),"", 'Ingest Template'!P164&amp;"|DAR"),CHAR(10), IF(ISBLANK('Ingest Template'!Q164),"", 'Ingest Template'!Q164&amp;"|DAR"))),(CONCATENATE(IF(ISBLANK('Ingest Template'!O164),"", 'Ingest Template'!O164&amp;"|Operations - Core Title"),CHAR(10), IF(ISBLANK('Ingest Template'!P164),"", 'Ingest Template'!P164&amp;"|Operations - Core Title"),CHAR(10), IF(ISBLANK('Ingest Template'!Q164),"", 'Ingest Template'!Q164&amp;"|Operations - Core Title"))))</f>
        <v>#|Operations - Core Title
#|Operations - Core Title
</v>
      </c>
      <c r="AH164" s="21"/>
      <c r="AI164" s="21"/>
      <c r="AJ164" s="53" t="str">
        <f>if('Ingest Template'!A164="Standard",'Ingest Template'!N164&amp; "|DAR|DAR|2021-01-01",'Ingest Template'!N164&amp; "|Operations - Core Title|Operations - Core Title")</f>
        <v>#N/A</v>
      </c>
      <c r="AK164" s="53" t="str">
        <f>if('Ingest Template'!A164="Standard",'Ingest Template'!R164&amp; "|2021-01-01",'Ingest Template'!R164)</f>
        <v>#N/A</v>
      </c>
      <c r="AL164" s="21"/>
      <c r="AM164" s="21"/>
    </row>
    <row r="165">
      <c r="A165" s="21"/>
      <c r="B165" s="21" t="str">
        <f>'Ingest Template'!B165&amp;IF('Ingest Template'!A165 = "Standard", " - DAR","")</f>
        <v/>
      </c>
      <c r="C165" s="26" t="s">
        <v>109</v>
      </c>
      <c r="D165" s="29" t="str">
        <f t="array" ref="D165">CONCATENATE(INDEX(DropDown!$H$2:$H$10,MATCH(1,COUNTIF('Ingest Template'!F165,"*"&amp;DropDown!$H$2:$H$10&amp;"*"),0)),CHAR(10),'Ingest Template'!G165)</f>
        <v>#N/A</v>
      </c>
      <c r="E165" s="21" t="str">
        <f>CONCATENATE('Ingest Template'!H165,CHAR(10),'Ingest Template'!I165,CHAR(10),'Ingest Template'!J165)</f>
        <v>
</v>
      </c>
      <c r="F165" s="26" t="str">
        <f>'Ingest Template'!H165</f>
        <v/>
      </c>
      <c r="G165" s="21"/>
      <c r="H165" s="29"/>
      <c r="I165" s="21"/>
      <c r="J165" s="29" t="str">
        <f t="array" ref="J165">iF('Ingest Template'!A165="Standard","Pristine Brand",INDEX(DropDown!$M$2:$M$392,MATCH('Ingest Template'!E165,DropDown!$J$2:$J$392,0)))</f>
        <v>#N/A</v>
      </c>
      <c r="K165" s="21" t="str">
        <f>iF('Ingest Template'!A165="Standard",'Ingest Template'!K165&amp;CHAR(10)&amp;'Ingest Template'!L165,"Competitive View")</f>
        <v>Competitive View</v>
      </c>
      <c r="L165" s="29" t="s">
        <v>146</v>
      </c>
      <c r="M165" s="37" t="str">
        <f>'Ingest Template'!D165</f>
        <v/>
      </c>
      <c r="N165" s="21"/>
      <c r="O165" s="21"/>
      <c r="P165" s="21"/>
      <c r="Q165" s="21"/>
      <c r="R165" s="21" t="str">
        <f>'Ingest Template'!E165</f>
        <v/>
      </c>
      <c r="S165" s="29" t="s">
        <v>153</v>
      </c>
      <c r="T165" s="21" t="str">
        <f>'Ingest Template'!T165</f>
        <v/>
      </c>
      <c r="U165" s="21" t="str">
        <f>'Ingest Template'!S165</f>
        <v/>
      </c>
      <c r="V165" s="21" t="str">
        <f>LOWER(SUBSTITUTE(SUBSTITUTE(SUBSTITUTE(SUBSTITUTE(SUBSTITUTE('Ingest Template'!U165,"https:",""),"www.",""),"/",""),"?hl=en",""),"instagram.com",""))</f>
        <v/>
      </c>
      <c r="W165" s="41" t="str">
        <f t="array" ref="W165">IF('Ingest Template'!V165="",(INDEX(DropDown!$L$2:$L$392,MATCH('Ingest Template'!E165,DropDown!$J$2:$J$392,0))&amp;"|"&amp;'Ingest Template'!B165),(INDEX(DropDown!$L$2:$L$392,MATCH('Ingest Template'!E165,DropDown!$J$2:$J$392,0))&amp;"|"&amp;'Ingest Template'!B165)&amp;CHAR(10)&amp;'Ingest Template'!V165)</f>
        <v>#N/A</v>
      </c>
      <c r="X165" s="41" t="str">
        <f>'Ingest Template'!W165</f>
        <v/>
      </c>
      <c r="Y165" s="21" t="str">
        <f>SUBSTITUTE(SUBSTITUTE(SUBSTITUTE('Ingest Template'!X165,"http:",""),"https:",""),"/","")</f>
        <v/>
      </c>
      <c r="Z165" s="21" t="str">
        <f t="array" ref="Z165">IF('Ingest Template'!A165="Standard",(IF(ISBLANK('Ingest Template'!AA165),"", 'Ingest Template'!AA165&amp;"|DAR")),(IF(ISBLANK('Ingest Template'!AA165),"", 'Ingest Template'!AA165&amp;"|Film Ops")))</f>
        <v/>
      </c>
      <c r="AA165" s="21"/>
      <c r="AB165" s="21" t="str">
        <f>'Ingest Template'!M165</f>
        <v/>
      </c>
      <c r="AC165" s="21" t="str">
        <f>'Ingest Template'!Y165</f>
        <v/>
      </c>
      <c r="AD165" s="21" t="str">
        <f>'Ingest Template'!C165</f>
        <v/>
      </c>
      <c r="AE165" s="21" t="str">
        <f>'Ingest Template'!Z165</f>
        <v/>
      </c>
      <c r="AF165" s="29"/>
      <c r="AG165" s="21" t="str">
        <f t="array" ref="AG165">IF('Ingest Template'!A165="Standard",(CONCATENATE(IF(ISBLANK('Ingest Template'!O165),"", 'Ingest Template'!O165&amp;"|DAR"),CHAR(10), IF(ISBLANK('Ingest Template'!P165),"", 'Ingest Template'!P165&amp;"|DAR"),CHAR(10), IF(ISBLANK('Ingest Template'!Q165),"", 'Ingest Template'!Q165&amp;"|DAR"))),(CONCATENATE(IF(ISBLANK('Ingest Template'!O165),"", 'Ingest Template'!O165&amp;"|Operations - Core Title"),CHAR(10), IF(ISBLANK('Ingest Template'!P165),"", 'Ingest Template'!P165&amp;"|Operations - Core Title"),CHAR(10), IF(ISBLANK('Ingest Template'!Q165),"", 'Ingest Template'!Q165&amp;"|Operations - Core Title"))))</f>
        <v>#|Operations - Core Title
#|Operations - Core Title
</v>
      </c>
      <c r="AH165" s="21"/>
      <c r="AI165" s="21"/>
      <c r="AJ165" s="53" t="str">
        <f>if('Ingest Template'!A165="Standard",'Ingest Template'!N165&amp; "|DAR|DAR|2021-01-01",'Ingest Template'!N165&amp; "|Operations - Core Title|Operations - Core Title")</f>
        <v>#N/A</v>
      </c>
      <c r="AK165" s="53" t="str">
        <f>if('Ingest Template'!A165="Standard",'Ingest Template'!R165&amp; "|2021-01-01",'Ingest Template'!R165)</f>
        <v>#N/A</v>
      </c>
      <c r="AL165" s="21"/>
      <c r="AM165" s="21"/>
    </row>
    <row r="166">
      <c r="A166" s="21"/>
      <c r="B166" s="21" t="str">
        <f>'Ingest Template'!B166&amp;IF('Ingest Template'!A166 = "Standard", " - DAR","")</f>
        <v/>
      </c>
      <c r="C166" s="26" t="s">
        <v>109</v>
      </c>
      <c r="D166" s="29" t="str">
        <f t="array" ref="D166">CONCATENATE(INDEX(DropDown!$H$2:$H$10,MATCH(1,COUNTIF('Ingest Template'!F166,"*"&amp;DropDown!$H$2:$H$10&amp;"*"),0)),CHAR(10),'Ingest Template'!G166)</f>
        <v>#N/A</v>
      </c>
      <c r="E166" s="21" t="str">
        <f>CONCATENATE('Ingest Template'!H166,CHAR(10),'Ingest Template'!I166,CHAR(10),'Ingest Template'!J166)</f>
        <v>
</v>
      </c>
      <c r="F166" s="26" t="str">
        <f>'Ingest Template'!H166</f>
        <v/>
      </c>
      <c r="G166" s="21"/>
      <c r="H166" s="29"/>
      <c r="I166" s="21"/>
      <c r="J166" s="29" t="str">
        <f t="array" ref="J166">iF('Ingest Template'!A166="Standard","Pristine Brand",INDEX(DropDown!$M$2:$M$392,MATCH('Ingest Template'!E166,DropDown!$J$2:$J$392,0)))</f>
        <v>#N/A</v>
      </c>
      <c r="K166" s="21" t="str">
        <f>iF('Ingest Template'!A166="Standard",'Ingest Template'!K166&amp;CHAR(10)&amp;'Ingest Template'!L166,"Competitive View")</f>
        <v>Competitive View</v>
      </c>
      <c r="L166" s="29" t="s">
        <v>146</v>
      </c>
      <c r="M166" s="37" t="str">
        <f>'Ingest Template'!D166</f>
        <v/>
      </c>
      <c r="N166" s="21"/>
      <c r="O166" s="21"/>
      <c r="P166" s="21"/>
      <c r="Q166" s="21"/>
      <c r="R166" s="21" t="str">
        <f>'Ingest Template'!E166</f>
        <v/>
      </c>
      <c r="S166" s="29" t="s">
        <v>153</v>
      </c>
      <c r="T166" s="21" t="str">
        <f>'Ingest Template'!T166</f>
        <v/>
      </c>
      <c r="U166" s="21" t="str">
        <f>'Ingest Template'!S166</f>
        <v/>
      </c>
      <c r="V166" s="21" t="str">
        <f>LOWER(SUBSTITUTE(SUBSTITUTE(SUBSTITUTE(SUBSTITUTE(SUBSTITUTE('Ingest Template'!U166,"https:",""),"www.",""),"/",""),"?hl=en",""),"instagram.com",""))</f>
        <v/>
      </c>
      <c r="W166" s="41" t="str">
        <f t="array" ref="W166">IF('Ingest Template'!V166="",(INDEX(DropDown!$L$2:$L$392,MATCH('Ingest Template'!E166,DropDown!$J$2:$J$392,0))&amp;"|"&amp;'Ingest Template'!B166),(INDEX(DropDown!$L$2:$L$392,MATCH('Ingest Template'!E166,DropDown!$J$2:$J$392,0))&amp;"|"&amp;'Ingest Template'!B166)&amp;CHAR(10)&amp;'Ingest Template'!V166)</f>
        <v>#N/A</v>
      </c>
      <c r="X166" s="41" t="str">
        <f>'Ingest Template'!W166</f>
        <v/>
      </c>
      <c r="Y166" s="21" t="str">
        <f>SUBSTITUTE(SUBSTITUTE(SUBSTITUTE('Ingest Template'!X166,"http:",""),"https:",""),"/","")</f>
        <v/>
      </c>
      <c r="Z166" s="21" t="str">
        <f t="array" ref="Z166">IF('Ingest Template'!A166="Standard",(IF(ISBLANK('Ingest Template'!AA166),"", 'Ingest Template'!AA166&amp;"|DAR")),(IF(ISBLANK('Ingest Template'!AA166),"", 'Ingest Template'!AA166&amp;"|Film Ops")))</f>
        <v/>
      </c>
      <c r="AA166" s="21"/>
      <c r="AB166" s="21" t="str">
        <f>'Ingest Template'!M166</f>
        <v/>
      </c>
      <c r="AC166" s="21" t="str">
        <f>'Ingest Template'!Y166</f>
        <v/>
      </c>
      <c r="AD166" s="21" t="str">
        <f>'Ingest Template'!C166</f>
        <v/>
      </c>
      <c r="AE166" s="21" t="str">
        <f>'Ingest Template'!Z166</f>
        <v/>
      </c>
      <c r="AF166" s="29"/>
      <c r="AG166" s="21" t="str">
        <f t="array" ref="AG166">IF('Ingest Template'!A166="Standard",(CONCATENATE(IF(ISBLANK('Ingest Template'!O166),"", 'Ingest Template'!O166&amp;"|DAR"),CHAR(10), IF(ISBLANK('Ingest Template'!P166),"", 'Ingest Template'!P166&amp;"|DAR"),CHAR(10), IF(ISBLANK('Ingest Template'!Q166),"", 'Ingest Template'!Q166&amp;"|DAR"))),(CONCATENATE(IF(ISBLANK('Ingest Template'!O166),"", 'Ingest Template'!O166&amp;"|Operations - Core Title"),CHAR(10), IF(ISBLANK('Ingest Template'!P166),"", 'Ingest Template'!P166&amp;"|Operations - Core Title"),CHAR(10), IF(ISBLANK('Ingest Template'!Q166),"", 'Ingest Template'!Q166&amp;"|Operations - Core Title"))))</f>
        <v>#|Operations - Core Title
#|Operations - Core Title
</v>
      </c>
      <c r="AH166" s="21"/>
      <c r="AI166" s="21"/>
      <c r="AJ166" s="53" t="str">
        <f>if('Ingest Template'!A166="Standard",'Ingest Template'!N166&amp; "|DAR|DAR|2021-01-01",'Ingest Template'!N166&amp; "|Operations - Core Title|Operations - Core Title")</f>
        <v>#N/A</v>
      </c>
      <c r="AK166" s="53" t="str">
        <f>if('Ingest Template'!A166="Standard",'Ingest Template'!R166&amp; "|2021-01-01",'Ingest Template'!R166)</f>
        <v>#N/A</v>
      </c>
      <c r="AL166" s="21"/>
      <c r="AM166" s="21"/>
    </row>
    <row r="167">
      <c r="A167" s="21"/>
      <c r="B167" s="21" t="str">
        <f>'Ingest Template'!B167&amp;IF('Ingest Template'!A167 = "Standard", " - DAR","")</f>
        <v/>
      </c>
      <c r="C167" s="26" t="s">
        <v>109</v>
      </c>
      <c r="D167" s="29" t="str">
        <f t="array" ref="D167">CONCATENATE(INDEX(DropDown!$H$2:$H$10,MATCH(1,COUNTIF('Ingest Template'!F167,"*"&amp;DropDown!$H$2:$H$10&amp;"*"),0)),CHAR(10),'Ingest Template'!G167)</f>
        <v>#N/A</v>
      </c>
      <c r="E167" s="21" t="str">
        <f>CONCATENATE('Ingest Template'!H167,CHAR(10),'Ingest Template'!I167,CHAR(10),'Ingest Template'!J167)</f>
        <v>
</v>
      </c>
      <c r="F167" s="26" t="str">
        <f>'Ingest Template'!H167</f>
        <v/>
      </c>
      <c r="G167" s="21"/>
      <c r="H167" s="29"/>
      <c r="I167" s="21"/>
      <c r="J167" s="29" t="str">
        <f t="array" ref="J167">iF('Ingest Template'!A167="Standard","Pristine Brand",INDEX(DropDown!$M$2:$M$392,MATCH('Ingest Template'!E167,DropDown!$J$2:$J$392,0)))</f>
        <v>#N/A</v>
      </c>
      <c r="K167" s="21" t="str">
        <f>iF('Ingest Template'!A167="Standard",'Ingest Template'!K167&amp;CHAR(10)&amp;'Ingest Template'!L167,"Competitive View")</f>
        <v>Competitive View</v>
      </c>
      <c r="L167" s="29" t="s">
        <v>146</v>
      </c>
      <c r="M167" s="37" t="str">
        <f>'Ingest Template'!D167</f>
        <v/>
      </c>
      <c r="N167" s="21"/>
      <c r="O167" s="21"/>
      <c r="P167" s="21"/>
      <c r="Q167" s="21"/>
      <c r="R167" s="21" t="str">
        <f>'Ingest Template'!E167</f>
        <v/>
      </c>
      <c r="S167" s="29" t="s">
        <v>153</v>
      </c>
      <c r="T167" s="21" t="str">
        <f>'Ingest Template'!T167</f>
        <v/>
      </c>
      <c r="U167" s="21" t="str">
        <f>'Ingest Template'!S167</f>
        <v/>
      </c>
      <c r="V167" s="21" t="str">
        <f>LOWER(SUBSTITUTE(SUBSTITUTE(SUBSTITUTE(SUBSTITUTE(SUBSTITUTE('Ingest Template'!U167,"https:",""),"www.",""),"/",""),"?hl=en",""),"instagram.com",""))</f>
        <v/>
      </c>
      <c r="W167" s="41" t="str">
        <f t="array" ref="W167">IF('Ingest Template'!V167="",(INDEX(DropDown!$L$2:$L$392,MATCH('Ingest Template'!E167,DropDown!$J$2:$J$392,0))&amp;"|"&amp;'Ingest Template'!B167),(INDEX(DropDown!$L$2:$L$392,MATCH('Ingest Template'!E167,DropDown!$J$2:$J$392,0))&amp;"|"&amp;'Ingest Template'!B167)&amp;CHAR(10)&amp;'Ingest Template'!V167)</f>
        <v>#N/A</v>
      </c>
      <c r="X167" s="41" t="str">
        <f>'Ingest Template'!W167</f>
        <v/>
      </c>
      <c r="Y167" s="21" t="str">
        <f>SUBSTITUTE(SUBSTITUTE(SUBSTITUTE('Ingest Template'!X167,"http:",""),"https:",""),"/","")</f>
        <v/>
      </c>
      <c r="Z167" s="21" t="str">
        <f t="array" ref="Z167">IF('Ingest Template'!A167="Standard",(IF(ISBLANK('Ingest Template'!AA167),"", 'Ingest Template'!AA167&amp;"|DAR")),(IF(ISBLANK('Ingest Template'!AA167),"", 'Ingest Template'!AA167&amp;"|Film Ops")))</f>
        <v/>
      </c>
      <c r="AA167" s="21"/>
      <c r="AB167" s="21" t="str">
        <f>'Ingest Template'!M167</f>
        <v/>
      </c>
      <c r="AC167" s="21" t="str">
        <f>'Ingest Template'!Y167</f>
        <v/>
      </c>
      <c r="AD167" s="21" t="str">
        <f>'Ingest Template'!C167</f>
        <v/>
      </c>
      <c r="AE167" s="21" t="str">
        <f>'Ingest Template'!Z167</f>
        <v/>
      </c>
      <c r="AF167" s="29"/>
      <c r="AG167" s="21" t="str">
        <f t="array" ref="AG167">IF('Ingest Template'!A167="Standard",(CONCATENATE(IF(ISBLANK('Ingest Template'!O167),"", 'Ingest Template'!O167&amp;"|DAR"),CHAR(10), IF(ISBLANK('Ingest Template'!P167),"", 'Ingest Template'!P167&amp;"|DAR"),CHAR(10), IF(ISBLANK('Ingest Template'!Q167),"", 'Ingest Template'!Q167&amp;"|DAR"))),(CONCATENATE(IF(ISBLANK('Ingest Template'!O167),"", 'Ingest Template'!O167&amp;"|Operations - Core Title"),CHAR(10), IF(ISBLANK('Ingest Template'!P167),"", 'Ingest Template'!P167&amp;"|Operations - Core Title"),CHAR(10), IF(ISBLANK('Ingest Template'!Q167),"", 'Ingest Template'!Q167&amp;"|Operations - Core Title"))))</f>
        <v>#|Operations - Core Title
#|Operations - Core Title
</v>
      </c>
      <c r="AH167" s="21"/>
      <c r="AI167" s="21"/>
      <c r="AJ167" s="53" t="str">
        <f>if('Ingest Template'!A167="Standard",'Ingest Template'!N167&amp; "|DAR|DAR|2021-01-01",'Ingest Template'!N167&amp; "|Operations - Core Title|Operations - Core Title")</f>
        <v>#N/A</v>
      </c>
      <c r="AK167" s="53" t="str">
        <f>if('Ingest Template'!A167="Standard",'Ingest Template'!R167&amp; "|2021-01-01",'Ingest Template'!R167)</f>
        <v>#N/A</v>
      </c>
      <c r="AL167" s="21"/>
      <c r="AM167" s="21"/>
    </row>
    <row r="168">
      <c r="A168" s="21"/>
      <c r="B168" s="21" t="str">
        <f>'Ingest Template'!B168&amp;IF('Ingest Template'!A168 = "Standard", " - DAR","")</f>
        <v/>
      </c>
      <c r="C168" s="26" t="s">
        <v>109</v>
      </c>
      <c r="D168" s="29" t="str">
        <f t="array" ref="D168">CONCATENATE(INDEX(DropDown!$H$2:$H$10,MATCH(1,COUNTIF('Ingest Template'!F168,"*"&amp;DropDown!$H$2:$H$10&amp;"*"),0)),CHAR(10),'Ingest Template'!G168)</f>
        <v>#N/A</v>
      </c>
      <c r="E168" s="21" t="str">
        <f>CONCATENATE('Ingest Template'!H168,CHAR(10),'Ingest Template'!I168,CHAR(10),'Ingest Template'!J168)</f>
        <v>
</v>
      </c>
      <c r="F168" s="26" t="str">
        <f>'Ingest Template'!H168</f>
        <v/>
      </c>
      <c r="G168" s="21"/>
      <c r="H168" s="29"/>
      <c r="I168" s="21"/>
      <c r="J168" s="29" t="str">
        <f t="array" ref="J168">iF('Ingest Template'!A168="Standard","Pristine Brand",INDEX(DropDown!$M$2:$M$392,MATCH('Ingest Template'!E168,DropDown!$J$2:$J$392,0)))</f>
        <v>#N/A</v>
      </c>
      <c r="K168" s="21" t="str">
        <f>iF('Ingest Template'!A168="Standard",'Ingest Template'!K168&amp;CHAR(10)&amp;'Ingest Template'!L168,"Competitive View")</f>
        <v>Competitive View</v>
      </c>
      <c r="L168" s="29" t="s">
        <v>146</v>
      </c>
      <c r="M168" s="37" t="str">
        <f>'Ingest Template'!D168</f>
        <v/>
      </c>
      <c r="N168" s="21"/>
      <c r="O168" s="21"/>
      <c r="P168" s="21"/>
      <c r="Q168" s="21"/>
      <c r="R168" s="21" t="str">
        <f>'Ingest Template'!E168</f>
        <v/>
      </c>
      <c r="S168" s="29" t="s">
        <v>153</v>
      </c>
      <c r="T168" s="21" t="str">
        <f>'Ingest Template'!T168</f>
        <v/>
      </c>
      <c r="U168" s="21" t="str">
        <f>'Ingest Template'!S168</f>
        <v/>
      </c>
      <c r="V168" s="21" t="str">
        <f>LOWER(SUBSTITUTE(SUBSTITUTE(SUBSTITUTE(SUBSTITUTE(SUBSTITUTE('Ingest Template'!U168,"https:",""),"www.",""),"/",""),"?hl=en",""),"instagram.com",""))</f>
        <v/>
      </c>
      <c r="W168" s="41" t="str">
        <f t="array" ref="W168">IF('Ingest Template'!V168="",(INDEX(DropDown!$L$2:$L$392,MATCH('Ingest Template'!E168,DropDown!$J$2:$J$392,0))&amp;"|"&amp;'Ingest Template'!B168),(INDEX(DropDown!$L$2:$L$392,MATCH('Ingest Template'!E168,DropDown!$J$2:$J$392,0))&amp;"|"&amp;'Ingest Template'!B168)&amp;CHAR(10)&amp;'Ingest Template'!V168)</f>
        <v>#N/A</v>
      </c>
      <c r="X168" s="41" t="str">
        <f>'Ingest Template'!W168</f>
        <v/>
      </c>
      <c r="Y168" s="21" t="str">
        <f>SUBSTITUTE(SUBSTITUTE(SUBSTITUTE('Ingest Template'!X168,"http:",""),"https:",""),"/","")</f>
        <v/>
      </c>
      <c r="Z168" s="21" t="str">
        <f t="array" ref="Z168">IF('Ingest Template'!A168="Standard",(IF(ISBLANK('Ingest Template'!AA168),"", 'Ingest Template'!AA168&amp;"|DAR")),(IF(ISBLANK('Ingest Template'!AA168),"", 'Ingest Template'!AA168&amp;"|Film Ops")))</f>
        <v/>
      </c>
      <c r="AA168" s="21"/>
      <c r="AB168" s="21" t="str">
        <f>'Ingest Template'!M168</f>
        <v/>
      </c>
      <c r="AC168" s="21" t="str">
        <f>'Ingest Template'!Y168</f>
        <v/>
      </c>
      <c r="AD168" s="21" t="str">
        <f>'Ingest Template'!C168</f>
        <v/>
      </c>
      <c r="AE168" s="21" t="str">
        <f>'Ingest Template'!Z168</f>
        <v/>
      </c>
      <c r="AF168" s="29"/>
      <c r="AG168" s="21" t="str">
        <f t="array" ref="AG168">IF('Ingest Template'!A168="Standard",(CONCATENATE(IF(ISBLANK('Ingest Template'!O168),"", 'Ingest Template'!O168&amp;"|DAR"),CHAR(10), IF(ISBLANK('Ingest Template'!P168),"", 'Ingest Template'!P168&amp;"|DAR"),CHAR(10), IF(ISBLANK('Ingest Template'!Q168),"", 'Ingest Template'!Q168&amp;"|DAR"))),(CONCATENATE(IF(ISBLANK('Ingest Template'!O168),"", 'Ingest Template'!O168&amp;"|Operations - Core Title"),CHAR(10), IF(ISBLANK('Ingest Template'!P168),"", 'Ingest Template'!P168&amp;"|Operations - Core Title"),CHAR(10), IF(ISBLANK('Ingest Template'!Q168),"", 'Ingest Template'!Q168&amp;"|Operations - Core Title"))))</f>
        <v>#|Operations - Core Title
#|Operations - Core Title
</v>
      </c>
      <c r="AH168" s="21"/>
      <c r="AI168" s="21"/>
      <c r="AJ168" s="53" t="str">
        <f>if('Ingest Template'!A168="Standard",'Ingest Template'!N168&amp; "|DAR|DAR|2021-01-01",'Ingest Template'!N168&amp; "|Operations - Core Title|Operations - Core Title")</f>
        <v>#N/A</v>
      </c>
      <c r="AK168" s="53" t="str">
        <f>if('Ingest Template'!A168="Standard",'Ingest Template'!R168&amp; "|2021-01-01",'Ingest Template'!R168)</f>
        <v>#N/A</v>
      </c>
      <c r="AL168" s="21"/>
      <c r="AM168" s="21"/>
    </row>
    <row r="169">
      <c r="A169" s="21"/>
      <c r="B169" s="21" t="str">
        <f>'Ingest Template'!B169&amp;IF('Ingest Template'!A169 = "Standard", " - DAR","")</f>
        <v/>
      </c>
      <c r="C169" s="26" t="s">
        <v>109</v>
      </c>
      <c r="D169" s="29" t="str">
        <f t="array" ref="D169">CONCATENATE(INDEX(DropDown!$H$2:$H$10,MATCH(1,COUNTIF('Ingest Template'!F169,"*"&amp;DropDown!$H$2:$H$10&amp;"*"),0)),CHAR(10),'Ingest Template'!G169)</f>
        <v>#N/A</v>
      </c>
      <c r="E169" s="21" t="str">
        <f>CONCATENATE('Ingest Template'!H169,CHAR(10),'Ingest Template'!I169,CHAR(10),'Ingest Template'!J169)</f>
        <v>
</v>
      </c>
      <c r="F169" s="26" t="str">
        <f>'Ingest Template'!H169</f>
        <v/>
      </c>
      <c r="G169" s="21"/>
      <c r="H169" s="29"/>
      <c r="I169" s="21"/>
      <c r="J169" s="29" t="str">
        <f t="array" ref="J169">iF('Ingest Template'!A169="Standard","Pristine Brand",INDEX(DropDown!$M$2:$M$392,MATCH('Ingest Template'!E169,DropDown!$J$2:$J$392,0)))</f>
        <v>#N/A</v>
      </c>
      <c r="K169" s="21" t="str">
        <f>iF('Ingest Template'!A169="Standard",'Ingest Template'!K169&amp;CHAR(10)&amp;'Ingest Template'!L169,"Competitive View")</f>
        <v>Competitive View</v>
      </c>
      <c r="L169" s="29" t="s">
        <v>146</v>
      </c>
      <c r="M169" s="37" t="str">
        <f>'Ingest Template'!D169</f>
        <v/>
      </c>
      <c r="N169" s="21"/>
      <c r="O169" s="21"/>
      <c r="P169" s="21"/>
      <c r="Q169" s="21"/>
      <c r="R169" s="21" t="str">
        <f>'Ingest Template'!E169</f>
        <v/>
      </c>
      <c r="S169" s="29" t="s">
        <v>153</v>
      </c>
      <c r="T169" s="21" t="str">
        <f>'Ingest Template'!T169</f>
        <v/>
      </c>
      <c r="U169" s="21" t="str">
        <f>'Ingest Template'!S169</f>
        <v/>
      </c>
      <c r="V169" s="21" t="str">
        <f>LOWER(SUBSTITUTE(SUBSTITUTE(SUBSTITUTE(SUBSTITUTE(SUBSTITUTE('Ingest Template'!U169,"https:",""),"www.",""),"/",""),"?hl=en",""),"instagram.com",""))</f>
        <v/>
      </c>
      <c r="W169" s="41" t="str">
        <f t="array" ref="W169">IF('Ingest Template'!V169="",(INDEX(DropDown!$L$2:$L$392,MATCH('Ingest Template'!E169,DropDown!$J$2:$J$392,0))&amp;"|"&amp;'Ingest Template'!B169),(INDEX(DropDown!$L$2:$L$392,MATCH('Ingest Template'!E169,DropDown!$J$2:$J$392,0))&amp;"|"&amp;'Ingest Template'!B169)&amp;CHAR(10)&amp;'Ingest Template'!V169)</f>
        <v>#N/A</v>
      </c>
      <c r="X169" s="41" t="str">
        <f>'Ingest Template'!W169</f>
        <v/>
      </c>
      <c r="Y169" s="21" t="str">
        <f>SUBSTITUTE(SUBSTITUTE(SUBSTITUTE('Ingest Template'!X169,"http:",""),"https:",""),"/","")</f>
        <v/>
      </c>
      <c r="Z169" s="21" t="str">
        <f t="array" ref="Z169">IF('Ingest Template'!A169="Standard",(IF(ISBLANK('Ingest Template'!AA169),"", 'Ingest Template'!AA169&amp;"|DAR")),(IF(ISBLANK('Ingest Template'!AA169),"", 'Ingest Template'!AA169&amp;"|Film Ops")))</f>
        <v/>
      </c>
      <c r="AA169" s="21"/>
      <c r="AB169" s="21" t="str">
        <f>'Ingest Template'!M169</f>
        <v/>
      </c>
      <c r="AC169" s="21" t="str">
        <f>'Ingest Template'!Y169</f>
        <v/>
      </c>
      <c r="AD169" s="21" t="str">
        <f>'Ingest Template'!C169</f>
        <v/>
      </c>
      <c r="AE169" s="21" t="str">
        <f>'Ingest Template'!Z169</f>
        <v/>
      </c>
      <c r="AF169" s="29"/>
      <c r="AG169" s="21" t="str">
        <f t="array" ref="AG169">IF('Ingest Template'!A169="Standard",(CONCATENATE(IF(ISBLANK('Ingest Template'!O169),"", 'Ingest Template'!O169&amp;"|DAR"),CHAR(10), IF(ISBLANK('Ingest Template'!P169),"", 'Ingest Template'!P169&amp;"|DAR"),CHAR(10), IF(ISBLANK('Ingest Template'!Q169),"", 'Ingest Template'!Q169&amp;"|DAR"))),(CONCATENATE(IF(ISBLANK('Ingest Template'!O169),"", 'Ingest Template'!O169&amp;"|Operations - Core Title"),CHAR(10), IF(ISBLANK('Ingest Template'!P169),"", 'Ingest Template'!P169&amp;"|Operations - Core Title"),CHAR(10), IF(ISBLANK('Ingest Template'!Q169),"", 'Ingest Template'!Q169&amp;"|Operations - Core Title"))))</f>
        <v>#|Operations - Core Title
#|Operations - Core Title
</v>
      </c>
      <c r="AH169" s="21"/>
      <c r="AI169" s="21"/>
      <c r="AJ169" s="53" t="str">
        <f>if('Ingest Template'!A169="Standard",'Ingest Template'!N169&amp; "|DAR|DAR|2021-01-01",'Ingest Template'!N169&amp; "|Operations - Core Title|Operations - Core Title")</f>
        <v>#N/A</v>
      </c>
      <c r="AK169" s="53" t="str">
        <f>if('Ingest Template'!A169="Standard",'Ingest Template'!R169&amp; "|2021-01-01",'Ingest Template'!R169)</f>
        <v>#N/A</v>
      </c>
      <c r="AL169" s="21"/>
      <c r="AM169" s="21"/>
    </row>
    <row r="170">
      <c r="A170" s="21"/>
      <c r="B170" s="21" t="str">
        <f>'Ingest Template'!B170&amp;IF('Ingest Template'!A170 = "Standard", " - DAR","")</f>
        <v/>
      </c>
      <c r="C170" s="26" t="s">
        <v>109</v>
      </c>
      <c r="D170" s="29" t="str">
        <f t="array" ref="D170">CONCATENATE(INDEX(DropDown!$H$2:$H$10,MATCH(1,COUNTIF('Ingest Template'!F170,"*"&amp;DropDown!$H$2:$H$10&amp;"*"),0)),CHAR(10),'Ingest Template'!G170)</f>
        <v>#N/A</v>
      </c>
      <c r="E170" s="21" t="str">
        <f>CONCATENATE('Ingest Template'!H170,CHAR(10),'Ingest Template'!I170,CHAR(10),'Ingest Template'!J170)</f>
        <v>
</v>
      </c>
      <c r="F170" s="26" t="str">
        <f>'Ingest Template'!H170</f>
        <v/>
      </c>
      <c r="G170" s="21"/>
      <c r="H170" s="29"/>
      <c r="I170" s="21"/>
      <c r="J170" s="29" t="str">
        <f t="array" ref="J170">iF('Ingest Template'!A170="Standard","Pristine Brand",INDEX(DropDown!$M$2:$M$392,MATCH('Ingest Template'!E170,DropDown!$J$2:$J$392,0)))</f>
        <v>#N/A</v>
      </c>
      <c r="K170" s="21" t="str">
        <f>iF('Ingest Template'!A170="Standard",'Ingest Template'!K170&amp;CHAR(10)&amp;'Ingest Template'!L170,"Competitive View")</f>
        <v>Competitive View</v>
      </c>
      <c r="L170" s="29" t="s">
        <v>146</v>
      </c>
      <c r="M170" s="37" t="str">
        <f>'Ingest Template'!D170</f>
        <v/>
      </c>
      <c r="N170" s="21"/>
      <c r="O170" s="21"/>
      <c r="P170" s="21"/>
      <c r="Q170" s="21"/>
      <c r="R170" s="21" t="str">
        <f>'Ingest Template'!E170</f>
        <v/>
      </c>
      <c r="S170" s="29" t="s">
        <v>153</v>
      </c>
      <c r="T170" s="21" t="str">
        <f>'Ingest Template'!T170</f>
        <v/>
      </c>
      <c r="U170" s="21" t="str">
        <f>'Ingest Template'!S170</f>
        <v/>
      </c>
      <c r="V170" s="21" t="str">
        <f>LOWER(SUBSTITUTE(SUBSTITUTE(SUBSTITUTE(SUBSTITUTE(SUBSTITUTE('Ingest Template'!U170,"https:",""),"www.",""),"/",""),"?hl=en",""),"instagram.com",""))</f>
        <v/>
      </c>
      <c r="W170" s="41" t="str">
        <f t="array" ref="W170">IF('Ingest Template'!V170="",(INDEX(DropDown!$L$2:$L$392,MATCH('Ingest Template'!E170,DropDown!$J$2:$J$392,0))&amp;"|"&amp;'Ingest Template'!B170),(INDEX(DropDown!$L$2:$L$392,MATCH('Ingest Template'!E170,DropDown!$J$2:$J$392,0))&amp;"|"&amp;'Ingest Template'!B170)&amp;CHAR(10)&amp;'Ingest Template'!V170)</f>
        <v>#N/A</v>
      </c>
      <c r="X170" s="41" t="str">
        <f>'Ingest Template'!W170</f>
        <v/>
      </c>
      <c r="Y170" s="21" t="str">
        <f>SUBSTITUTE(SUBSTITUTE(SUBSTITUTE('Ingest Template'!X170,"http:",""),"https:",""),"/","")</f>
        <v/>
      </c>
      <c r="Z170" s="21" t="str">
        <f t="array" ref="Z170">IF('Ingest Template'!A170="Standard",(IF(ISBLANK('Ingest Template'!AA170),"", 'Ingest Template'!AA170&amp;"|DAR")),(IF(ISBLANK('Ingest Template'!AA170),"", 'Ingest Template'!AA170&amp;"|Film Ops")))</f>
        <v/>
      </c>
      <c r="AA170" s="21"/>
      <c r="AB170" s="21" t="str">
        <f>'Ingest Template'!M170</f>
        <v/>
      </c>
      <c r="AC170" s="21" t="str">
        <f>'Ingest Template'!Y170</f>
        <v/>
      </c>
      <c r="AD170" s="21" t="str">
        <f>'Ingest Template'!C170</f>
        <v/>
      </c>
      <c r="AE170" s="21" t="str">
        <f>'Ingest Template'!Z170</f>
        <v/>
      </c>
      <c r="AF170" s="29"/>
      <c r="AG170" s="21" t="str">
        <f t="array" ref="AG170">IF('Ingest Template'!A170="Standard",(CONCATENATE(IF(ISBLANK('Ingest Template'!O170),"", 'Ingest Template'!O170&amp;"|DAR"),CHAR(10), IF(ISBLANK('Ingest Template'!P170),"", 'Ingest Template'!P170&amp;"|DAR"),CHAR(10), IF(ISBLANK('Ingest Template'!Q170),"", 'Ingest Template'!Q170&amp;"|DAR"))),(CONCATENATE(IF(ISBLANK('Ingest Template'!O170),"", 'Ingest Template'!O170&amp;"|Operations - Core Title"),CHAR(10), IF(ISBLANK('Ingest Template'!P170),"", 'Ingest Template'!P170&amp;"|Operations - Core Title"),CHAR(10), IF(ISBLANK('Ingest Template'!Q170),"", 'Ingest Template'!Q170&amp;"|Operations - Core Title"))))</f>
        <v>#|Operations - Core Title
#|Operations - Core Title
</v>
      </c>
      <c r="AH170" s="21"/>
      <c r="AI170" s="21"/>
      <c r="AJ170" s="53" t="str">
        <f>if('Ingest Template'!A170="Standard",'Ingest Template'!N170&amp; "|DAR|DAR|2021-01-01",'Ingest Template'!N170&amp; "|Operations - Core Title|Operations - Core Title")</f>
        <v>#N/A</v>
      </c>
      <c r="AK170" s="53" t="str">
        <f>if('Ingest Template'!A170="Standard",'Ingest Template'!R170&amp; "|2021-01-01",'Ingest Template'!R170)</f>
        <v>#N/A</v>
      </c>
      <c r="AL170" s="21"/>
      <c r="AM170" s="21"/>
    </row>
    <row r="171">
      <c r="A171" s="21"/>
      <c r="B171" s="21" t="str">
        <f>'Ingest Template'!B171&amp;IF('Ingest Template'!A171 = "Standard", " - DAR","")</f>
        <v/>
      </c>
      <c r="C171" s="26" t="s">
        <v>109</v>
      </c>
      <c r="D171" s="29" t="str">
        <f t="array" ref="D171">CONCATENATE(INDEX(DropDown!$H$2:$H$10,MATCH(1,COUNTIF('Ingest Template'!F171,"*"&amp;DropDown!$H$2:$H$10&amp;"*"),0)),CHAR(10),'Ingest Template'!G171)</f>
        <v>#N/A</v>
      </c>
      <c r="E171" s="21" t="str">
        <f>CONCATENATE('Ingest Template'!H171,CHAR(10),'Ingest Template'!I171,CHAR(10),'Ingest Template'!J171)</f>
        <v>
</v>
      </c>
      <c r="F171" s="26" t="str">
        <f>'Ingest Template'!H171</f>
        <v/>
      </c>
      <c r="G171" s="21"/>
      <c r="H171" s="29"/>
      <c r="I171" s="21"/>
      <c r="J171" s="29" t="str">
        <f t="array" ref="J171">iF('Ingest Template'!A171="Standard","Pristine Brand",INDEX(DropDown!$M$2:$M$392,MATCH('Ingest Template'!E171,DropDown!$J$2:$J$392,0)))</f>
        <v>#N/A</v>
      </c>
      <c r="K171" s="21" t="str">
        <f>iF('Ingest Template'!A171="Standard",'Ingest Template'!K171&amp;CHAR(10)&amp;'Ingest Template'!L171,"Competitive View")</f>
        <v>Competitive View</v>
      </c>
      <c r="L171" s="29" t="s">
        <v>146</v>
      </c>
      <c r="M171" s="37" t="str">
        <f>'Ingest Template'!D171</f>
        <v/>
      </c>
      <c r="N171" s="21"/>
      <c r="O171" s="21"/>
      <c r="P171" s="21"/>
      <c r="Q171" s="21"/>
      <c r="R171" s="21" t="str">
        <f>'Ingest Template'!E171</f>
        <v/>
      </c>
      <c r="S171" s="29" t="s">
        <v>153</v>
      </c>
      <c r="T171" s="21" t="str">
        <f>'Ingest Template'!T171</f>
        <v/>
      </c>
      <c r="U171" s="21" t="str">
        <f>'Ingest Template'!S171</f>
        <v/>
      </c>
      <c r="V171" s="21" t="str">
        <f>LOWER(SUBSTITUTE(SUBSTITUTE(SUBSTITUTE(SUBSTITUTE(SUBSTITUTE('Ingest Template'!U171,"https:",""),"www.",""),"/",""),"?hl=en",""),"instagram.com",""))</f>
        <v/>
      </c>
      <c r="W171" s="41" t="str">
        <f t="array" ref="W171">IF('Ingest Template'!V171="",(INDEX(DropDown!$L$2:$L$392,MATCH('Ingest Template'!E171,DropDown!$J$2:$J$392,0))&amp;"|"&amp;'Ingest Template'!B171),(INDEX(DropDown!$L$2:$L$392,MATCH('Ingest Template'!E171,DropDown!$J$2:$J$392,0))&amp;"|"&amp;'Ingest Template'!B171)&amp;CHAR(10)&amp;'Ingest Template'!V171)</f>
        <v>#N/A</v>
      </c>
      <c r="X171" s="41" t="str">
        <f>'Ingest Template'!W171</f>
        <v/>
      </c>
      <c r="Y171" s="21" t="str">
        <f>SUBSTITUTE(SUBSTITUTE(SUBSTITUTE('Ingest Template'!X171,"http:",""),"https:",""),"/","")</f>
        <v/>
      </c>
      <c r="Z171" s="21" t="str">
        <f t="array" ref="Z171">IF('Ingest Template'!A171="Standard",(IF(ISBLANK('Ingest Template'!AA171),"", 'Ingest Template'!AA171&amp;"|DAR")),(IF(ISBLANK('Ingest Template'!AA171),"", 'Ingest Template'!AA171&amp;"|Film Ops")))</f>
        <v/>
      </c>
      <c r="AA171" s="21"/>
      <c r="AB171" s="21" t="str">
        <f>'Ingest Template'!M171</f>
        <v/>
      </c>
      <c r="AC171" s="21" t="str">
        <f>'Ingest Template'!Y171</f>
        <v/>
      </c>
      <c r="AD171" s="21" t="str">
        <f>'Ingest Template'!C171</f>
        <v/>
      </c>
      <c r="AE171" s="21" t="str">
        <f>'Ingest Template'!Z171</f>
        <v/>
      </c>
      <c r="AF171" s="29"/>
      <c r="AG171" s="21" t="str">
        <f t="array" ref="AG171">IF('Ingest Template'!A171="Standard",(CONCATENATE(IF(ISBLANK('Ingest Template'!O171),"", 'Ingest Template'!O171&amp;"|DAR"),CHAR(10), IF(ISBLANK('Ingest Template'!P171),"", 'Ingest Template'!P171&amp;"|DAR"),CHAR(10), IF(ISBLANK('Ingest Template'!Q171),"", 'Ingest Template'!Q171&amp;"|DAR"))),(CONCATENATE(IF(ISBLANK('Ingest Template'!O171),"", 'Ingest Template'!O171&amp;"|Operations - Core Title"),CHAR(10), IF(ISBLANK('Ingest Template'!P171),"", 'Ingest Template'!P171&amp;"|Operations - Core Title"),CHAR(10), IF(ISBLANK('Ingest Template'!Q171),"", 'Ingest Template'!Q171&amp;"|Operations - Core Title"))))</f>
        <v>#|Operations - Core Title
#|Operations - Core Title
</v>
      </c>
      <c r="AH171" s="21"/>
      <c r="AI171" s="21"/>
      <c r="AJ171" s="53" t="str">
        <f>if('Ingest Template'!A171="Standard",'Ingest Template'!N171&amp; "|DAR|DAR|2021-01-01",'Ingest Template'!N171&amp; "|Operations - Core Title|Operations - Core Title")</f>
        <v>#N/A</v>
      </c>
      <c r="AK171" s="53" t="str">
        <f>if('Ingest Template'!A171="Standard",'Ingest Template'!R171&amp; "|2021-01-01",'Ingest Template'!R171)</f>
        <v>#N/A</v>
      </c>
      <c r="AL171" s="21"/>
      <c r="AM171" s="21"/>
    </row>
    <row r="172">
      <c r="A172" s="21"/>
      <c r="B172" s="21" t="str">
        <f>'Ingest Template'!B172&amp;IF('Ingest Template'!A172 = "Standard", " - DAR","")</f>
        <v/>
      </c>
      <c r="C172" s="26" t="s">
        <v>109</v>
      </c>
      <c r="D172" s="29" t="str">
        <f t="array" ref="D172">CONCATENATE(INDEX(DropDown!$H$2:$H$10,MATCH(1,COUNTIF('Ingest Template'!F172,"*"&amp;DropDown!$H$2:$H$10&amp;"*"),0)),CHAR(10),'Ingest Template'!G172)</f>
        <v>#N/A</v>
      </c>
      <c r="E172" s="21" t="str">
        <f>CONCATENATE('Ingest Template'!H172,CHAR(10),'Ingest Template'!I172,CHAR(10),'Ingest Template'!J172)</f>
        <v>
</v>
      </c>
      <c r="F172" s="26" t="str">
        <f>'Ingest Template'!H172</f>
        <v/>
      </c>
      <c r="G172" s="21"/>
      <c r="H172" s="29"/>
      <c r="I172" s="21"/>
      <c r="J172" s="29" t="str">
        <f t="array" ref="J172">iF('Ingest Template'!A172="Standard","Pristine Brand",INDEX(DropDown!$M$2:$M$392,MATCH('Ingest Template'!E172,DropDown!$J$2:$J$392,0)))</f>
        <v>#N/A</v>
      </c>
      <c r="K172" s="21" t="str">
        <f>iF('Ingest Template'!A172="Standard",'Ingest Template'!K172&amp;CHAR(10)&amp;'Ingest Template'!L172,"Competitive View")</f>
        <v>Competitive View</v>
      </c>
      <c r="L172" s="29" t="s">
        <v>146</v>
      </c>
      <c r="M172" s="37" t="str">
        <f>'Ingest Template'!D172</f>
        <v/>
      </c>
      <c r="N172" s="21"/>
      <c r="O172" s="21"/>
      <c r="P172" s="21"/>
      <c r="Q172" s="21"/>
      <c r="R172" s="21" t="str">
        <f>'Ingest Template'!E172</f>
        <v/>
      </c>
      <c r="S172" s="29" t="s">
        <v>153</v>
      </c>
      <c r="T172" s="21" t="str">
        <f>'Ingest Template'!T172</f>
        <v/>
      </c>
      <c r="U172" s="21" t="str">
        <f>'Ingest Template'!S172</f>
        <v/>
      </c>
      <c r="V172" s="21" t="str">
        <f>LOWER(SUBSTITUTE(SUBSTITUTE(SUBSTITUTE(SUBSTITUTE(SUBSTITUTE('Ingest Template'!U172,"https:",""),"www.",""),"/",""),"?hl=en",""),"instagram.com",""))</f>
        <v/>
      </c>
      <c r="W172" s="41" t="str">
        <f t="array" ref="W172">IF('Ingest Template'!V172="",(INDEX(DropDown!$L$2:$L$392,MATCH('Ingest Template'!E172,DropDown!$J$2:$J$392,0))&amp;"|"&amp;'Ingest Template'!B172),(INDEX(DropDown!$L$2:$L$392,MATCH('Ingest Template'!E172,DropDown!$J$2:$J$392,0))&amp;"|"&amp;'Ingest Template'!B172)&amp;CHAR(10)&amp;'Ingest Template'!V172)</f>
        <v>#N/A</v>
      </c>
      <c r="X172" s="41" t="str">
        <f>'Ingest Template'!W172</f>
        <v/>
      </c>
      <c r="Y172" s="21" t="str">
        <f>SUBSTITUTE(SUBSTITUTE(SUBSTITUTE('Ingest Template'!X172,"http:",""),"https:",""),"/","")</f>
        <v/>
      </c>
      <c r="Z172" s="21" t="str">
        <f t="array" ref="Z172">IF('Ingest Template'!A172="Standard",(IF(ISBLANK('Ingest Template'!AA172),"", 'Ingest Template'!AA172&amp;"|DAR")),(IF(ISBLANK('Ingest Template'!AA172),"", 'Ingest Template'!AA172&amp;"|Film Ops")))</f>
        <v/>
      </c>
      <c r="AA172" s="21"/>
      <c r="AB172" s="21" t="str">
        <f>'Ingest Template'!M172</f>
        <v/>
      </c>
      <c r="AC172" s="21" t="str">
        <f>'Ingest Template'!Y172</f>
        <v/>
      </c>
      <c r="AD172" s="21" t="str">
        <f>'Ingest Template'!C172</f>
        <v/>
      </c>
      <c r="AE172" s="21" t="str">
        <f>'Ingest Template'!Z172</f>
        <v/>
      </c>
      <c r="AF172" s="29"/>
      <c r="AG172" s="21" t="str">
        <f t="array" ref="AG172">IF('Ingest Template'!A172="Standard",(CONCATENATE(IF(ISBLANK('Ingest Template'!O172),"", 'Ingest Template'!O172&amp;"|DAR"),CHAR(10), IF(ISBLANK('Ingest Template'!P172),"", 'Ingest Template'!P172&amp;"|DAR"),CHAR(10), IF(ISBLANK('Ingest Template'!Q172),"", 'Ingest Template'!Q172&amp;"|DAR"))),(CONCATENATE(IF(ISBLANK('Ingest Template'!O172),"", 'Ingest Template'!O172&amp;"|Operations - Core Title"),CHAR(10), IF(ISBLANK('Ingest Template'!P172),"", 'Ingest Template'!P172&amp;"|Operations - Core Title"),CHAR(10), IF(ISBLANK('Ingest Template'!Q172),"", 'Ingest Template'!Q172&amp;"|Operations - Core Title"))))</f>
        <v>#|Operations - Core Title
#|Operations - Core Title
</v>
      </c>
      <c r="AH172" s="21"/>
      <c r="AI172" s="21"/>
      <c r="AJ172" s="53" t="str">
        <f>if('Ingest Template'!A172="Standard",'Ingest Template'!N172&amp; "|DAR|DAR|2021-01-01",'Ingest Template'!N172&amp; "|Operations - Core Title|Operations - Core Title")</f>
        <v>#N/A</v>
      </c>
      <c r="AK172" s="53" t="str">
        <f>if('Ingest Template'!A172="Standard",'Ingest Template'!R172&amp; "|2021-01-01",'Ingest Template'!R172)</f>
        <v>#N/A</v>
      </c>
      <c r="AL172" s="21"/>
      <c r="AM172" s="21"/>
    </row>
    <row r="173">
      <c r="A173" s="21"/>
      <c r="B173" s="21" t="str">
        <f>'Ingest Template'!B173&amp;IF('Ingest Template'!A173 = "Standard", " - DAR","")</f>
        <v/>
      </c>
      <c r="C173" s="26" t="s">
        <v>109</v>
      </c>
      <c r="D173" s="29" t="str">
        <f t="array" ref="D173">CONCATENATE(INDEX(DropDown!$H$2:$H$10,MATCH(1,COUNTIF('Ingest Template'!F173,"*"&amp;DropDown!$H$2:$H$10&amp;"*"),0)),CHAR(10),'Ingest Template'!G173)</f>
        <v>#N/A</v>
      </c>
      <c r="E173" s="21" t="str">
        <f>CONCATENATE('Ingest Template'!H173,CHAR(10),'Ingest Template'!I173,CHAR(10),'Ingest Template'!J173)</f>
        <v>
</v>
      </c>
      <c r="F173" s="26" t="str">
        <f>'Ingest Template'!H173</f>
        <v/>
      </c>
      <c r="G173" s="21"/>
      <c r="H173" s="29"/>
      <c r="I173" s="21"/>
      <c r="J173" s="29" t="str">
        <f t="array" ref="J173">iF('Ingest Template'!A173="Standard","Pristine Brand",INDEX(DropDown!$M$2:$M$392,MATCH('Ingest Template'!E173,DropDown!$J$2:$J$392,0)))</f>
        <v>#N/A</v>
      </c>
      <c r="K173" s="21" t="str">
        <f>iF('Ingest Template'!A173="Standard",'Ingest Template'!K173&amp;CHAR(10)&amp;'Ingest Template'!L173,"Competitive View")</f>
        <v>Competitive View</v>
      </c>
      <c r="L173" s="29" t="s">
        <v>146</v>
      </c>
      <c r="M173" s="37" t="str">
        <f>'Ingest Template'!D173</f>
        <v/>
      </c>
      <c r="N173" s="21"/>
      <c r="O173" s="21"/>
      <c r="P173" s="21"/>
      <c r="Q173" s="21"/>
      <c r="R173" s="21" t="str">
        <f>'Ingest Template'!E173</f>
        <v/>
      </c>
      <c r="S173" s="29" t="s">
        <v>153</v>
      </c>
      <c r="T173" s="21" t="str">
        <f>'Ingest Template'!T173</f>
        <v/>
      </c>
      <c r="U173" s="21" t="str">
        <f>'Ingest Template'!S173</f>
        <v/>
      </c>
      <c r="V173" s="21" t="str">
        <f>LOWER(SUBSTITUTE(SUBSTITUTE(SUBSTITUTE(SUBSTITUTE(SUBSTITUTE('Ingest Template'!U173,"https:",""),"www.",""),"/",""),"?hl=en",""),"instagram.com",""))</f>
        <v/>
      </c>
      <c r="W173" s="41" t="str">
        <f t="array" ref="W173">IF('Ingest Template'!V173="",(INDEX(DropDown!$L$2:$L$392,MATCH('Ingest Template'!E173,DropDown!$J$2:$J$392,0))&amp;"|"&amp;'Ingest Template'!B173),(INDEX(DropDown!$L$2:$L$392,MATCH('Ingest Template'!E173,DropDown!$J$2:$J$392,0))&amp;"|"&amp;'Ingest Template'!B173)&amp;CHAR(10)&amp;'Ingest Template'!V173)</f>
        <v>#N/A</v>
      </c>
      <c r="X173" s="41" t="str">
        <f>'Ingest Template'!W173</f>
        <v/>
      </c>
      <c r="Y173" s="21" t="str">
        <f>SUBSTITUTE(SUBSTITUTE(SUBSTITUTE('Ingest Template'!X173,"http:",""),"https:",""),"/","")</f>
        <v/>
      </c>
      <c r="Z173" s="21" t="str">
        <f t="array" ref="Z173">IF('Ingest Template'!A173="Standard",(IF(ISBLANK('Ingest Template'!AA173),"", 'Ingest Template'!AA173&amp;"|DAR")),(IF(ISBLANK('Ingest Template'!AA173),"", 'Ingest Template'!AA173&amp;"|Film Ops")))</f>
        <v/>
      </c>
      <c r="AA173" s="21"/>
      <c r="AB173" s="21" t="str">
        <f>'Ingest Template'!M173</f>
        <v/>
      </c>
      <c r="AC173" s="21" t="str">
        <f>'Ingest Template'!Y173</f>
        <v/>
      </c>
      <c r="AD173" s="21" t="str">
        <f>'Ingest Template'!C173</f>
        <v/>
      </c>
      <c r="AE173" s="21" t="str">
        <f>'Ingest Template'!Z173</f>
        <v/>
      </c>
      <c r="AF173" s="29"/>
      <c r="AG173" s="21" t="str">
        <f t="array" ref="AG173">IF('Ingest Template'!A173="Standard",(CONCATENATE(IF(ISBLANK('Ingest Template'!O173),"", 'Ingest Template'!O173&amp;"|DAR"),CHAR(10), IF(ISBLANK('Ingest Template'!P173),"", 'Ingest Template'!P173&amp;"|DAR"),CHAR(10), IF(ISBLANK('Ingest Template'!Q173),"", 'Ingest Template'!Q173&amp;"|DAR"))),(CONCATENATE(IF(ISBLANK('Ingest Template'!O173),"", 'Ingest Template'!O173&amp;"|Operations - Core Title"),CHAR(10), IF(ISBLANK('Ingest Template'!P173),"", 'Ingest Template'!P173&amp;"|Operations - Core Title"),CHAR(10), IF(ISBLANK('Ingest Template'!Q173),"", 'Ingest Template'!Q173&amp;"|Operations - Core Title"))))</f>
        <v>#|Operations - Core Title
#|Operations - Core Title
</v>
      </c>
      <c r="AH173" s="21"/>
      <c r="AI173" s="21"/>
      <c r="AJ173" s="53" t="str">
        <f>if('Ingest Template'!A173="Standard",'Ingest Template'!N173&amp; "|DAR|DAR|2021-01-01",'Ingest Template'!N173&amp; "|Operations - Core Title|Operations - Core Title")</f>
        <v>#N/A</v>
      </c>
      <c r="AK173" s="53" t="str">
        <f>if('Ingest Template'!A173="Standard",'Ingest Template'!R173&amp; "|2021-01-01",'Ingest Template'!R173)</f>
        <v>#N/A</v>
      </c>
      <c r="AL173" s="21"/>
      <c r="AM173" s="21"/>
    </row>
    <row r="174">
      <c r="A174" s="21"/>
      <c r="B174" s="21" t="str">
        <f>'Ingest Template'!B174&amp;IF('Ingest Template'!A174 = "Standard", " - DAR","")</f>
        <v/>
      </c>
      <c r="C174" s="26" t="s">
        <v>109</v>
      </c>
      <c r="D174" s="29" t="str">
        <f t="array" ref="D174">CONCATENATE(INDEX(DropDown!$H$2:$H$10,MATCH(1,COUNTIF('Ingest Template'!F174,"*"&amp;DropDown!$H$2:$H$10&amp;"*"),0)),CHAR(10),'Ingest Template'!G174)</f>
        <v>#N/A</v>
      </c>
      <c r="E174" s="21" t="str">
        <f>CONCATENATE('Ingest Template'!H174,CHAR(10),'Ingest Template'!I174,CHAR(10),'Ingest Template'!J174)</f>
        <v>
</v>
      </c>
      <c r="F174" s="26" t="str">
        <f>'Ingest Template'!H174</f>
        <v/>
      </c>
      <c r="G174" s="21"/>
      <c r="H174" s="29"/>
      <c r="I174" s="21"/>
      <c r="J174" s="29" t="str">
        <f t="array" ref="J174">iF('Ingest Template'!A174="Standard","Pristine Brand",INDEX(DropDown!$M$2:$M$392,MATCH('Ingest Template'!E174,DropDown!$J$2:$J$392,0)))</f>
        <v>#N/A</v>
      </c>
      <c r="K174" s="21" t="str">
        <f>iF('Ingest Template'!A174="Standard",'Ingest Template'!K174&amp;CHAR(10)&amp;'Ingest Template'!L174,"Competitive View")</f>
        <v>Competitive View</v>
      </c>
      <c r="L174" s="29" t="s">
        <v>146</v>
      </c>
      <c r="M174" s="37" t="str">
        <f>'Ingest Template'!D174</f>
        <v/>
      </c>
      <c r="N174" s="21"/>
      <c r="O174" s="21"/>
      <c r="P174" s="21"/>
      <c r="Q174" s="21"/>
      <c r="R174" s="21" t="str">
        <f>'Ingest Template'!E174</f>
        <v/>
      </c>
      <c r="S174" s="29" t="s">
        <v>153</v>
      </c>
      <c r="T174" s="21" t="str">
        <f>'Ingest Template'!T174</f>
        <v/>
      </c>
      <c r="U174" s="21" t="str">
        <f>'Ingest Template'!S174</f>
        <v/>
      </c>
      <c r="V174" s="21" t="str">
        <f>LOWER(SUBSTITUTE(SUBSTITUTE(SUBSTITUTE(SUBSTITUTE(SUBSTITUTE('Ingest Template'!U174,"https:",""),"www.",""),"/",""),"?hl=en",""),"instagram.com",""))</f>
        <v/>
      </c>
      <c r="W174" s="41" t="str">
        <f t="array" ref="W174">IF('Ingest Template'!V174="",(INDEX(DropDown!$L$2:$L$392,MATCH('Ingest Template'!E174,DropDown!$J$2:$J$392,0))&amp;"|"&amp;'Ingest Template'!B174),(INDEX(DropDown!$L$2:$L$392,MATCH('Ingest Template'!E174,DropDown!$J$2:$J$392,0))&amp;"|"&amp;'Ingest Template'!B174)&amp;CHAR(10)&amp;'Ingest Template'!V174)</f>
        <v>#N/A</v>
      </c>
      <c r="X174" s="41" t="str">
        <f>'Ingest Template'!W174</f>
        <v/>
      </c>
      <c r="Y174" s="21" t="str">
        <f>SUBSTITUTE(SUBSTITUTE(SUBSTITUTE('Ingest Template'!X174,"http:",""),"https:",""),"/","")</f>
        <v/>
      </c>
      <c r="Z174" s="21" t="str">
        <f t="array" ref="Z174">IF('Ingest Template'!A174="Standard",(IF(ISBLANK('Ingest Template'!AA174),"", 'Ingest Template'!AA174&amp;"|DAR")),(IF(ISBLANK('Ingest Template'!AA174),"", 'Ingest Template'!AA174&amp;"|Film Ops")))</f>
        <v/>
      </c>
      <c r="AA174" s="21"/>
      <c r="AB174" s="21" t="str">
        <f>'Ingest Template'!M174</f>
        <v/>
      </c>
      <c r="AC174" s="21" t="str">
        <f>'Ingest Template'!Y174</f>
        <v/>
      </c>
      <c r="AD174" s="21" t="str">
        <f>'Ingest Template'!C174</f>
        <v/>
      </c>
      <c r="AE174" s="21" t="str">
        <f>'Ingest Template'!Z174</f>
        <v/>
      </c>
      <c r="AF174" s="29"/>
      <c r="AG174" s="21" t="str">
        <f t="array" ref="AG174">IF('Ingest Template'!A174="Standard",(CONCATENATE(IF(ISBLANK('Ingest Template'!O174),"", 'Ingest Template'!O174&amp;"|DAR"),CHAR(10), IF(ISBLANK('Ingest Template'!P174),"", 'Ingest Template'!P174&amp;"|DAR"),CHAR(10), IF(ISBLANK('Ingest Template'!Q174),"", 'Ingest Template'!Q174&amp;"|DAR"))),(CONCATENATE(IF(ISBLANK('Ingest Template'!O174),"", 'Ingest Template'!O174&amp;"|Operations - Core Title"),CHAR(10), IF(ISBLANK('Ingest Template'!P174),"", 'Ingest Template'!P174&amp;"|Operations - Core Title"),CHAR(10), IF(ISBLANK('Ingest Template'!Q174),"", 'Ingest Template'!Q174&amp;"|Operations - Core Title"))))</f>
        <v>#|Operations - Core Title
#|Operations - Core Title
</v>
      </c>
      <c r="AH174" s="21"/>
      <c r="AI174" s="21"/>
      <c r="AJ174" s="53" t="str">
        <f>if('Ingest Template'!A174="Standard",'Ingest Template'!N174&amp; "|DAR|DAR|2021-01-01",'Ingest Template'!N174&amp; "|Operations - Core Title|Operations - Core Title")</f>
        <v>#N/A</v>
      </c>
      <c r="AK174" s="53" t="str">
        <f>if('Ingest Template'!A174="Standard",'Ingest Template'!R174&amp; "|2021-01-01",'Ingest Template'!R174)</f>
        <v>#N/A</v>
      </c>
      <c r="AL174" s="21"/>
      <c r="AM174" s="21"/>
    </row>
    <row r="175">
      <c r="A175" s="21"/>
      <c r="B175" s="21" t="str">
        <f>'Ingest Template'!B175&amp;IF('Ingest Template'!A175 = "Standard", " - DAR","")</f>
        <v/>
      </c>
      <c r="C175" s="26" t="s">
        <v>109</v>
      </c>
      <c r="D175" s="29" t="str">
        <f t="array" ref="D175">CONCATENATE(INDEX(DropDown!$H$2:$H$10,MATCH(1,COUNTIF('Ingest Template'!F175,"*"&amp;DropDown!$H$2:$H$10&amp;"*"),0)),CHAR(10),'Ingest Template'!G175)</f>
        <v>#N/A</v>
      </c>
      <c r="E175" s="21" t="str">
        <f>CONCATENATE('Ingest Template'!H175,CHAR(10),'Ingest Template'!I175,CHAR(10),'Ingest Template'!J175)</f>
        <v>
</v>
      </c>
      <c r="F175" s="26" t="str">
        <f>'Ingest Template'!H175</f>
        <v/>
      </c>
      <c r="G175" s="21"/>
      <c r="H175" s="29"/>
      <c r="I175" s="21"/>
      <c r="J175" s="29" t="str">
        <f t="array" ref="J175">iF('Ingest Template'!A175="Standard","Pristine Brand",INDEX(DropDown!$M$2:$M$392,MATCH('Ingest Template'!E175,DropDown!$J$2:$J$392,0)))</f>
        <v>#N/A</v>
      </c>
      <c r="K175" s="21" t="str">
        <f>iF('Ingest Template'!A175="Standard",'Ingest Template'!K175&amp;CHAR(10)&amp;'Ingest Template'!L175,"Competitive View")</f>
        <v>Competitive View</v>
      </c>
      <c r="L175" s="29" t="s">
        <v>146</v>
      </c>
      <c r="M175" s="37" t="str">
        <f>'Ingest Template'!D175</f>
        <v/>
      </c>
      <c r="N175" s="21"/>
      <c r="O175" s="21"/>
      <c r="P175" s="21"/>
      <c r="Q175" s="21"/>
      <c r="R175" s="21" t="str">
        <f>'Ingest Template'!E175</f>
        <v/>
      </c>
      <c r="S175" s="29" t="s">
        <v>153</v>
      </c>
      <c r="T175" s="21" t="str">
        <f>'Ingest Template'!T175</f>
        <v/>
      </c>
      <c r="U175" s="21" t="str">
        <f>'Ingest Template'!S175</f>
        <v/>
      </c>
      <c r="V175" s="21" t="str">
        <f>LOWER(SUBSTITUTE(SUBSTITUTE(SUBSTITUTE(SUBSTITUTE(SUBSTITUTE('Ingest Template'!U175,"https:",""),"www.",""),"/",""),"?hl=en",""),"instagram.com",""))</f>
        <v/>
      </c>
      <c r="W175" s="41" t="str">
        <f t="array" ref="W175">IF('Ingest Template'!V175="",(INDEX(DropDown!$L$2:$L$392,MATCH('Ingest Template'!E175,DropDown!$J$2:$J$392,0))&amp;"|"&amp;'Ingest Template'!B175),(INDEX(DropDown!$L$2:$L$392,MATCH('Ingest Template'!E175,DropDown!$J$2:$J$392,0))&amp;"|"&amp;'Ingest Template'!B175)&amp;CHAR(10)&amp;'Ingest Template'!V175)</f>
        <v>#N/A</v>
      </c>
      <c r="X175" s="41" t="str">
        <f>'Ingest Template'!W175</f>
        <v/>
      </c>
      <c r="Y175" s="21" t="str">
        <f>SUBSTITUTE(SUBSTITUTE(SUBSTITUTE('Ingest Template'!X175,"http:",""),"https:",""),"/","")</f>
        <v/>
      </c>
      <c r="Z175" s="21" t="str">
        <f t="array" ref="Z175">IF('Ingest Template'!A175="Standard",(IF(ISBLANK('Ingest Template'!AA175),"", 'Ingest Template'!AA175&amp;"|DAR")),(IF(ISBLANK('Ingest Template'!AA175),"", 'Ingest Template'!AA175&amp;"|Film Ops")))</f>
        <v/>
      </c>
      <c r="AA175" s="21"/>
      <c r="AB175" s="21" t="str">
        <f>'Ingest Template'!M175</f>
        <v/>
      </c>
      <c r="AC175" s="21" t="str">
        <f>'Ingest Template'!Y175</f>
        <v/>
      </c>
      <c r="AD175" s="21" t="str">
        <f>'Ingest Template'!C175</f>
        <v/>
      </c>
      <c r="AE175" s="21" t="str">
        <f>'Ingest Template'!Z175</f>
        <v/>
      </c>
      <c r="AF175" s="29"/>
      <c r="AG175" s="21" t="str">
        <f t="array" ref="AG175">IF('Ingest Template'!A175="Standard",(CONCATENATE(IF(ISBLANK('Ingest Template'!O175),"", 'Ingest Template'!O175&amp;"|DAR"),CHAR(10), IF(ISBLANK('Ingest Template'!P175),"", 'Ingest Template'!P175&amp;"|DAR"),CHAR(10), IF(ISBLANK('Ingest Template'!Q175),"", 'Ingest Template'!Q175&amp;"|DAR"))),(CONCATENATE(IF(ISBLANK('Ingest Template'!O175),"", 'Ingest Template'!O175&amp;"|Operations - Core Title"),CHAR(10), IF(ISBLANK('Ingest Template'!P175),"", 'Ingest Template'!P175&amp;"|Operations - Core Title"),CHAR(10), IF(ISBLANK('Ingest Template'!Q175),"", 'Ingest Template'!Q175&amp;"|Operations - Core Title"))))</f>
        <v>#|Operations - Core Title
#|Operations - Core Title
</v>
      </c>
      <c r="AH175" s="21"/>
      <c r="AI175" s="21"/>
      <c r="AJ175" s="53" t="str">
        <f>if('Ingest Template'!A175="Standard",'Ingest Template'!N175&amp; "|DAR|DAR|2021-01-01",'Ingest Template'!N175&amp; "|Operations - Core Title|Operations - Core Title")</f>
        <v>#N/A</v>
      </c>
      <c r="AK175" s="53" t="str">
        <f>if('Ingest Template'!A175="Standard",'Ingest Template'!R175&amp; "|2021-01-01",'Ingest Template'!R175)</f>
        <v>#N/A</v>
      </c>
      <c r="AL175" s="21"/>
      <c r="AM175" s="21"/>
    </row>
    <row r="176">
      <c r="A176" s="21"/>
      <c r="B176" s="21" t="str">
        <f>'Ingest Template'!B176&amp;IF('Ingest Template'!A176 = "Standard", " - DAR","")</f>
        <v/>
      </c>
      <c r="C176" s="26" t="s">
        <v>109</v>
      </c>
      <c r="D176" s="29" t="str">
        <f t="array" ref="D176">CONCATENATE(INDEX(DropDown!$H$2:$H$10,MATCH(1,COUNTIF('Ingest Template'!F176,"*"&amp;DropDown!$H$2:$H$10&amp;"*"),0)),CHAR(10),'Ingest Template'!G176)</f>
        <v>#N/A</v>
      </c>
      <c r="E176" s="21" t="str">
        <f>CONCATENATE('Ingest Template'!H176,CHAR(10),'Ingest Template'!I176,CHAR(10),'Ingest Template'!J176)</f>
        <v>
</v>
      </c>
      <c r="F176" s="26" t="str">
        <f>'Ingest Template'!H176</f>
        <v/>
      </c>
      <c r="G176" s="21"/>
      <c r="H176" s="29"/>
      <c r="I176" s="21"/>
      <c r="J176" s="29" t="str">
        <f t="array" ref="J176">iF('Ingest Template'!A176="Standard","Pristine Brand",INDEX(DropDown!$M$2:$M$392,MATCH('Ingest Template'!E176,DropDown!$J$2:$J$392,0)))</f>
        <v>#N/A</v>
      </c>
      <c r="K176" s="21" t="str">
        <f>iF('Ingest Template'!A176="Standard",'Ingest Template'!K176&amp;CHAR(10)&amp;'Ingest Template'!L176,"Competitive View")</f>
        <v>Competitive View</v>
      </c>
      <c r="L176" s="29" t="s">
        <v>146</v>
      </c>
      <c r="M176" s="37" t="str">
        <f>'Ingest Template'!D176</f>
        <v/>
      </c>
      <c r="N176" s="21"/>
      <c r="O176" s="21"/>
      <c r="P176" s="21"/>
      <c r="Q176" s="21"/>
      <c r="R176" s="21" t="str">
        <f>'Ingest Template'!E176</f>
        <v/>
      </c>
      <c r="S176" s="29" t="s">
        <v>153</v>
      </c>
      <c r="T176" s="21" t="str">
        <f>'Ingest Template'!T176</f>
        <v/>
      </c>
      <c r="U176" s="21" t="str">
        <f>'Ingest Template'!S176</f>
        <v/>
      </c>
      <c r="V176" s="21" t="str">
        <f>LOWER(SUBSTITUTE(SUBSTITUTE(SUBSTITUTE(SUBSTITUTE(SUBSTITUTE('Ingest Template'!U176,"https:",""),"www.",""),"/",""),"?hl=en",""),"instagram.com",""))</f>
        <v/>
      </c>
      <c r="W176" s="41" t="str">
        <f t="array" ref="W176">IF('Ingest Template'!V176="",(INDEX(DropDown!$L$2:$L$392,MATCH('Ingest Template'!E176,DropDown!$J$2:$J$392,0))&amp;"|"&amp;'Ingest Template'!B176),(INDEX(DropDown!$L$2:$L$392,MATCH('Ingest Template'!E176,DropDown!$J$2:$J$392,0))&amp;"|"&amp;'Ingest Template'!B176)&amp;CHAR(10)&amp;'Ingest Template'!V176)</f>
        <v>#N/A</v>
      </c>
      <c r="X176" s="41" t="str">
        <f>'Ingest Template'!W176</f>
        <v/>
      </c>
      <c r="Y176" s="21" t="str">
        <f>SUBSTITUTE(SUBSTITUTE(SUBSTITUTE('Ingest Template'!X176,"http:",""),"https:",""),"/","")</f>
        <v/>
      </c>
      <c r="Z176" s="21" t="str">
        <f t="array" ref="Z176">IF('Ingest Template'!A176="Standard",(IF(ISBLANK('Ingest Template'!AA176),"", 'Ingest Template'!AA176&amp;"|DAR")),(IF(ISBLANK('Ingest Template'!AA176),"", 'Ingest Template'!AA176&amp;"|Film Ops")))</f>
        <v/>
      </c>
      <c r="AA176" s="21"/>
      <c r="AB176" s="21" t="str">
        <f>'Ingest Template'!M176</f>
        <v/>
      </c>
      <c r="AC176" s="21" t="str">
        <f>'Ingest Template'!Y176</f>
        <v/>
      </c>
      <c r="AD176" s="21" t="str">
        <f>'Ingest Template'!C176</f>
        <v/>
      </c>
      <c r="AE176" s="21" t="str">
        <f>'Ingest Template'!Z176</f>
        <v/>
      </c>
      <c r="AF176" s="29"/>
      <c r="AG176" s="21" t="str">
        <f t="array" ref="AG176">IF('Ingest Template'!A176="Standard",(CONCATENATE(IF(ISBLANK('Ingest Template'!O176),"", 'Ingest Template'!O176&amp;"|DAR"),CHAR(10), IF(ISBLANK('Ingest Template'!P176),"", 'Ingest Template'!P176&amp;"|DAR"),CHAR(10), IF(ISBLANK('Ingest Template'!Q176),"", 'Ingest Template'!Q176&amp;"|DAR"))),(CONCATENATE(IF(ISBLANK('Ingest Template'!O176),"", 'Ingest Template'!O176&amp;"|Operations - Core Title"),CHAR(10), IF(ISBLANK('Ingest Template'!P176),"", 'Ingest Template'!P176&amp;"|Operations - Core Title"),CHAR(10), IF(ISBLANK('Ingest Template'!Q176),"", 'Ingest Template'!Q176&amp;"|Operations - Core Title"))))</f>
        <v>#|Operations - Core Title
#|Operations - Core Title
</v>
      </c>
      <c r="AH176" s="21"/>
      <c r="AI176" s="21"/>
      <c r="AJ176" s="53" t="str">
        <f>if('Ingest Template'!A176="Standard",'Ingest Template'!N176&amp; "|DAR|DAR|2021-01-01",'Ingest Template'!N176&amp; "|Operations - Core Title|Operations - Core Title")</f>
        <v>#N/A</v>
      </c>
      <c r="AK176" s="53" t="str">
        <f>if('Ingest Template'!A176="Standard",'Ingest Template'!R176&amp; "|2021-01-01",'Ingest Template'!R176)</f>
        <v>#N/A</v>
      </c>
      <c r="AL176" s="21"/>
      <c r="AM176" s="21"/>
    </row>
    <row r="177">
      <c r="A177" s="21"/>
      <c r="B177" s="21" t="str">
        <f>'Ingest Template'!B177&amp;IF('Ingest Template'!A177 = "Standard", " - DAR","")</f>
        <v/>
      </c>
      <c r="C177" s="26" t="s">
        <v>109</v>
      </c>
      <c r="D177" s="29" t="str">
        <f t="array" ref="D177">CONCATENATE(INDEX(DropDown!$H$2:$H$10,MATCH(1,COUNTIF('Ingest Template'!F177,"*"&amp;DropDown!$H$2:$H$10&amp;"*"),0)),CHAR(10),'Ingest Template'!G177)</f>
        <v>#N/A</v>
      </c>
      <c r="E177" s="21" t="str">
        <f>CONCATENATE('Ingest Template'!H177,CHAR(10),'Ingest Template'!I177,CHAR(10),'Ingest Template'!J177)</f>
        <v>
</v>
      </c>
      <c r="F177" s="26" t="str">
        <f>'Ingest Template'!H177</f>
        <v/>
      </c>
      <c r="G177" s="21"/>
      <c r="H177" s="29"/>
      <c r="I177" s="21"/>
      <c r="J177" s="29" t="str">
        <f t="array" ref="J177">iF('Ingest Template'!A177="Standard","Pristine Brand",INDEX(DropDown!$M$2:$M$392,MATCH('Ingest Template'!E177,DropDown!$J$2:$J$392,0)))</f>
        <v>#N/A</v>
      </c>
      <c r="K177" s="21" t="str">
        <f>iF('Ingest Template'!A177="Standard",'Ingest Template'!K177&amp;CHAR(10)&amp;'Ingest Template'!L177,"Competitive View")</f>
        <v>Competitive View</v>
      </c>
      <c r="L177" s="29" t="s">
        <v>146</v>
      </c>
      <c r="M177" s="37" t="str">
        <f>'Ingest Template'!D177</f>
        <v/>
      </c>
      <c r="N177" s="21"/>
      <c r="O177" s="21"/>
      <c r="P177" s="21"/>
      <c r="Q177" s="21"/>
      <c r="R177" s="21" t="str">
        <f>'Ingest Template'!E177</f>
        <v/>
      </c>
      <c r="S177" s="29" t="s">
        <v>153</v>
      </c>
      <c r="T177" s="21" t="str">
        <f>'Ingest Template'!T177</f>
        <v/>
      </c>
      <c r="U177" s="21" t="str">
        <f>'Ingest Template'!S177</f>
        <v/>
      </c>
      <c r="V177" s="21" t="str">
        <f>LOWER(SUBSTITUTE(SUBSTITUTE(SUBSTITUTE(SUBSTITUTE(SUBSTITUTE('Ingest Template'!U177,"https:",""),"www.",""),"/",""),"?hl=en",""),"instagram.com",""))</f>
        <v/>
      </c>
      <c r="W177" s="41" t="str">
        <f t="array" ref="W177">IF('Ingest Template'!V177="",(INDEX(DropDown!$L$2:$L$392,MATCH('Ingest Template'!E177,DropDown!$J$2:$J$392,0))&amp;"|"&amp;'Ingest Template'!B177),(INDEX(DropDown!$L$2:$L$392,MATCH('Ingest Template'!E177,DropDown!$J$2:$J$392,0))&amp;"|"&amp;'Ingest Template'!B177)&amp;CHAR(10)&amp;'Ingest Template'!V177)</f>
        <v>#N/A</v>
      </c>
      <c r="X177" s="41" t="str">
        <f>'Ingest Template'!W177</f>
        <v/>
      </c>
      <c r="Y177" s="21" t="str">
        <f>SUBSTITUTE(SUBSTITUTE(SUBSTITUTE('Ingest Template'!X177,"http:",""),"https:",""),"/","")</f>
        <v/>
      </c>
      <c r="Z177" s="21" t="str">
        <f t="array" ref="Z177">IF('Ingest Template'!A177="Standard",(IF(ISBLANK('Ingest Template'!AA177),"", 'Ingest Template'!AA177&amp;"|DAR")),(IF(ISBLANK('Ingest Template'!AA177),"", 'Ingest Template'!AA177&amp;"|Film Ops")))</f>
        <v/>
      </c>
      <c r="AA177" s="21"/>
      <c r="AB177" s="21" t="str">
        <f>'Ingest Template'!M177</f>
        <v/>
      </c>
      <c r="AC177" s="21" t="str">
        <f>'Ingest Template'!Y177</f>
        <v/>
      </c>
      <c r="AD177" s="21" t="str">
        <f>'Ingest Template'!C177</f>
        <v/>
      </c>
      <c r="AE177" s="21" t="str">
        <f>'Ingest Template'!Z177</f>
        <v/>
      </c>
      <c r="AF177" s="29"/>
      <c r="AG177" s="21" t="str">
        <f t="array" ref="AG177">IF('Ingest Template'!A177="Standard",(CONCATENATE(IF(ISBLANK('Ingest Template'!O177),"", 'Ingest Template'!O177&amp;"|DAR"),CHAR(10), IF(ISBLANK('Ingest Template'!P177),"", 'Ingest Template'!P177&amp;"|DAR"),CHAR(10), IF(ISBLANK('Ingest Template'!Q177),"", 'Ingest Template'!Q177&amp;"|DAR"))),(CONCATENATE(IF(ISBLANK('Ingest Template'!O177),"", 'Ingest Template'!O177&amp;"|Operations - Core Title"),CHAR(10), IF(ISBLANK('Ingest Template'!P177),"", 'Ingest Template'!P177&amp;"|Operations - Core Title"),CHAR(10), IF(ISBLANK('Ingest Template'!Q177),"", 'Ingest Template'!Q177&amp;"|Operations - Core Title"))))</f>
        <v>#|Operations - Core Title
#|Operations - Core Title
</v>
      </c>
      <c r="AH177" s="21"/>
      <c r="AI177" s="21"/>
      <c r="AJ177" s="53" t="str">
        <f>if('Ingest Template'!A177="Standard",'Ingest Template'!N177&amp; "|DAR|DAR|2021-01-01",'Ingest Template'!N177&amp; "|Operations - Core Title|Operations - Core Title")</f>
        <v>#N/A</v>
      </c>
      <c r="AK177" s="53" t="str">
        <f>if('Ingest Template'!A177="Standard",'Ingest Template'!R177&amp; "|2021-01-01",'Ingest Template'!R177)</f>
        <v>#N/A</v>
      </c>
      <c r="AL177" s="21"/>
      <c r="AM177" s="21"/>
    </row>
    <row r="178">
      <c r="A178" s="21"/>
      <c r="B178" s="21" t="str">
        <f>'Ingest Template'!B178&amp;IF('Ingest Template'!A178 = "Standard", " - DAR","")</f>
        <v/>
      </c>
      <c r="C178" s="26" t="s">
        <v>109</v>
      </c>
      <c r="D178" s="29" t="str">
        <f t="array" ref="D178">CONCATENATE(INDEX(DropDown!$H$2:$H$10,MATCH(1,COUNTIF('Ingest Template'!F178,"*"&amp;DropDown!$H$2:$H$10&amp;"*"),0)),CHAR(10),'Ingest Template'!G178)</f>
        <v>#N/A</v>
      </c>
      <c r="E178" s="21" t="str">
        <f>CONCATENATE('Ingest Template'!H178,CHAR(10),'Ingest Template'!I178,CHAR(10),'Ingest Template'!J178)</f>
        <v>
</v>
      </c>
      <c r="F178" s="26" t="str">
        <f>'Ingest Template'!H178</f>
        <v/>
      </c>
      <c r="G178" s="21"/>
      <c r="H178" s="29"/>
      <c r="I178" s="21"/>
      <c r="J178" s="29" t="str">
        <f t="array" ref="J178">iF('Ingest Template'!A178="Standard","Pristine Brand",INDEX(DropDown!$M$2:$M$392,MATCH('Ingest Template'!E178,DropDown!$J$2:$J$392,0)))</f>
        <v>#N/A</v>
      </c>
      <c r="K178" s="21" t="str">
        <f>iF('Ingest Template'!A178="Standard",'Ingest Template'!K178&amp;CHAR(10)&amp;'Ingest Template'!L178,"Competitive View")</f>
        <v>Competitive View</v>
      </c>
      <c r="L178" s="29" t="s">
        <v>146</v>
      </c>
      <c r="M178" s="37" t="str">
        <f>'Ingest Template'!D178</f>
        <v/>
      </c>
      <c r="N178" s="21"/>
      <c r="O178" s="21"/>
      <c r="P178" s="21"/>
      <c r="Q178" s="21"/>
      <c r="R178" s="21" t="str">
        <f>'Ingest Template'!E178</f>
        <v/>
      </c>
      <c r="S178" s="29" t="s">
        <v>153</v>
      </c>
      <c r="T178" s="21" t="str">
        <f>'Ingest Template'!T178</f>
        <v/>
      </c>
      <c r="U178" s="21" t="str">
        <f>'Ingest Template'!S178</f>
        <v/>
      </c>
      <c r="V178" s="21" t="str">
        <f>LOWER(SUBSTITUTE(SUBSTITUTE(SUBSTITUTE(SUBSTITUTE(SUBSTITUTE('Ingest Template'!U178,"https:",""),"www.",""),"/",""),"?hl=en",""),"instagram.com",""))</f>
        <v/>
      </c>
      <c r="W178" s="41" t="str">
        <f t="array" ref="W178">IF('Ingest Template'!V178="",(INDEX(DropDown!$L$2:$L$392,MATCH('Ingest Template'!E178,DropDown!$J$2:$J$392,0))&amp;"|"&amp;'Ingest Template'!B178),(INDEX(DropDown!$L$2:$L$392,MATCH('Ingest Template'!E178,DropDown!$J$2:$J$392,0))&amp;"|"&amp;'Ingest Template'!B178)&amp;CHAR(10)&amp;'Ingest Template'!V178)</f>
        <v>#N/A</v>
      </c>
      <c r="X178" s="41" t="str">
        <f>'Ingest Template'!W178</f>
        <v/>
      </c>
      <c r="Y178" s="21" t="str">
        <f>SUBSTITUTE(SUBSTITUTE(SUBSTITUTE('Ingest Template'!X178,"http:",""),"https:",""),"/","")</f>
        <v/>
      </c>
      <c r="Z178" s="21" t="str">
        <f t="array" ref="Z178">IF('Ingest Template'!A178="Standard",(IF(ISBLANK('Ingest Template'!AA178),"", 'Ingest Template'!AA178&amp;"|DAR")),(IF(ISBLANK('Ingest Template'!AA178),"", 'Ingest Template'!AA178&amp;"|Film Ops")))</f>
        <v/>
      </c>
      <c r="AA178" s="21"/>
      <c r="AB178" s="21" t="str">
        <f>'Ingest Template'!M178</f>
        <v/>
      </c>
      <c r="AC178" s="21" t="str">
        <f>'Ingest Template'!Y178</f>
        <v/>
      </c>
      <c r="AD178" s="21" t="str">
        <f>'Ingest Template'!C178</f>
        <v/>
      </c>
      <c r="AE178" s="21" t="str">
        <f>'Ingest Template'!Z178</f>
        <v/>
      </c>
      <c r="AF178" s="29"/>
      <c r="AG178" s="21" t="str">
        <f t="array" ref="AG178">IF('Ingest Template'!A178="Standard",(CONCATENATE(IF(ISBLANK('Ingest Template'!O178),"", 'Ingest Template'!O178&amp;"|DAR"),CHAR(10), IF(ISBLANK('Ingest Template'!P178),"", 'Ingest Template'!P178&amp;"|DAR"),CHAR(10), IF(ISBLANK('Ingest Template'!Q178),"", 'Ingest Template'!Q178&amp;"|DAR"))),(CONCATENATE(IF(ISBLANK('Ingest Template'!O178),"", 'Ingest Template'!O178&amp;"|Operations - Core Title"),CHAR(10), IF(ISBLANK('Ingest Template'!P178),"", 'Ingest Template'!P178&amp;"|Operations - Core Title"),CHAR(10), IF(ISBLANK('Ingest Template'!Q178),"", 'Ingest Template'!Q178&amp;"|Operations - Core Title"))))</f>
        <v>#|Operations - Core Title
#|Operations - Core Title
</v>
      </c>
      <c r="AH178" s="21"/>
      <c r="AI178" s="21"/>
      <c r="AJ178" s="53" t="str">
        <f>if('Ingest Template'!A178="Standard",'Ingest Template'!N178&amp; "|DAR|DAR|2021-01-01",'Ingest Template'!N178&amp; "|Operations - Core Title|Operations - Core Title")</f>
        <v>#N/A</v>
      </c>
      <c r="AK178" s="53" t="str">
        <f>if('Ingest Template'!A178="Standard",'Ingest Template'!R178&amp; "|2021-01-01",'Ingest Template'!R178)</f>
        <v>#N/A</v>
      </c>
      <c r="AL178" s="21"/>
      <c r="AM178" s="21"/>
    </row>
    <row r="179">
      <c r="A179" s="21"/>
      <c r="B179" s="21" t="str">
        <f>'Ingest Template'!B179&amp;IF('Ingest Template'!A179 = "Standard", " - DAR","")</f>
        <v/>
      </c>
      <c r="C179" s="26" t="s">
        <v>109</v>
      </c>
      <c r="D179" s="29" t="str">
        <f t="array" ref="D179">CONCATENATE(INDEX(DropDown!$H$2:$H$10,MATCH(1,COUNTIF('Ingest Template'!F179,"*"&amp;DropDown!$H$2:$H$10&amp;"*"),0)),CHAR(10),'Ingest Template'!G179)</f>
        <v>#N/A</v>
      </c>
      <c r="E179" s="21" t="str">
        <f>CONCATENATE('Ingest Template'!H179,CHAR(10),'Ingest Template'!I179,CHAR(10),'Ingest Template'!J179)</f>
        <v>
</v>
      </c>
      <c r="F179" s="26" t="str">
        <f>'Ingest Template'!H179</f>
        <v/>
      </c>
      <c r="G179" s="21"/>
      <c r="H179" s="29"/>
      <c r="I179" s="21"/>
      <c r="J179" s="29" t="str">
        <f t="array" ref="J179">iF('Ingest Template'!A179="Standard","Pristine Brand",INDEX(DropDown!$M$2:$M$392,MATCH('Ingest Template'!E179,DropDown!$J$2:$J$392,0)))</f>
        <v>#N/A</v>
      </c>
      <c r="K179" s="21" t="str">
        <f>iF('Ingest Template'!A179="Standard",'Ingest Template'!K179&amp;CHAR(10)&amp;'Ingest Template'!L179,"Competitive View")</f>
        <v>Competitive View</v>
      </c>
      <c r="L179" s="29" t="s">
        <v>146</v>
      </c>
      <c r="M179" s="37" t="str">
        <f>'Ingest Template'!D179</f>
        <v/>
      </c>
      <c r="N179" s="21"/>
      <c r="O179" s="21"/>
      <c r="P179" s="21"/>
      <c r="Q179" s="21"/>
      <c r="R179" s="21" t="str">
        <f>'Ingest Template'!E179</f>
        <v/>
      </c>
      <c r="S179" s="29" t="s">
        <v>153</v>
      </c>
      <c r="T179" s="21" t="str">
        <f>'Ingest Template'!T179</f>
        <v/>
      </c>
      <c r="U179" s="21" t="str">
        <f>'Ingest Template'!S179</f>
        <v/>
      </c>
      <c r="V179" s="21" t="str">
        <f>LOWER(SUBSTITUTE(SUBSTITUTE(SUBSTITUTE(SUBSTITUTE(SUBSTITUTE('Ingest Template'!U179,"https:",""),"www.",""),"/",""),"?hl=en",""),"instagram.com",""))</f>
        <v/>
      </c>
      <c r="W179" s="41" t="str">
        <f t="array" ref="W179">IF('Ingest Template'!V179="",(INDEX(DropDown!$L$2:$L$392,MATCH('Ingest Template'!E179,DropDown!$J$2:$J$392,0))&amp;"|"&amp;'Ingest Template'!B179),(INDEX(DropDown!$L$2:$L$392,MATCH('Ingest Template'!E179,DropDown!$J$2:$J$392,0))&amp;"|"&amp;'Ingest Template'!B179)&amp;CHAR(10)&amp;'Ingest Template'!V179)</f>
        <v>#N/A</v>
      </c>
      <c r="X179" s="41" t="str">
        <f>'Ingest Template'!W179</f>
        <v/>
      </c>
      <c r="Y179" s="21" t="str">
        <f>SUBSTITUTE(SUBSTITUTE(SUBSTITUTE('Ingest Template'!X179,"http:",""),"https:",""),"/","")</f>
        <v/>
      </c>
      <c r="Z179" s="21" t="str">
        <f t="array" ref="Z179">IF('Ingest Template'!A179="Standard",(IF(ISBLANK('Ingest Template'!AA179),"", 'Ingest Template'!AA179&amp;"|DAR")),(IF(ISBLANK('Ingest Template'!AA179),"", 'Ingest Template'!AA179&amp;"|Film Ops")))</f>
        <v/>
      </c>
      <c r="AA179" s="21"/>
      <c r="AB179" s="21" t="str">
        <f>'Ingest Template'!M179</f>
        <v/>
      </c>
      <c r="AC179" s="21" t="str">
        <f>'Ingest Template'!Y179</f>
        <v/>
      </c>
      <c r="AD179" s="21" t="str">
        <f>'Ingest Template'!C179</f>
        <v/>
      </c>
      <c r="AE179" s="21" t="str">
        <f>'Ingest Template'!Z179</f>
        <v/>
      </c>
      <c r="AF179" s="29"/>
      <c r="AG179" s="21" t="str">
        <f t="array" ref="AG179">IF('Ingest Template'!A179="Standard",(CONCATENATE(IF(ISBLANK('Ingest Template'!O179),"", 'Ingest Template'!O179&amp;"|DAR"),CHAR(10), IF(ISBLANK('Ingest Template'!P179),"", 'Ingest Template'!P179&amp;"|DAR"),CHAR(10), IF(ISBLANK('Ingest Template'!Q179),"", 'Ingest Template'!Q179&amp;"|DAR"))),(CONCATENATE(IF(ISBLANK('Ingest Template'!O179),"", 'Ingest Template'!O179&amp;"|Operations - Core Title"),CHAR(10), IF(ISBLANK('Ingest Template'!P179),"", 'Ingest Template'!P179&amp;"|Operations - Core Title"),CHAR(10), IF(ISBLANK('Ingest Template'!Q179),"", 'Ingest Template'!Q179&amp;"|Operations - Core Title"))))</f>
        <v>#|Operations - Core Title
#|Operations - Core Title
</v>
      </c>
      <c r="AH179" s="21"/>
      <c r="AI179" s="21"/>
      <c r="AJ179" s="53" t="str">
        <f>if('Ingest Template'!A179="Standard",'Ingest Template'!N179&amp; "|DAR|DAR|2021-01-01",'Ingest Template'!N179&amp; "|Operations - Core Title|Operations - Core Title")</f>
        <v>#N/A</v>
      </c>
      <c r="AK179" s="53" t="str">
        <f>if('Ingest Template'!A179="Standard",'Ingest Template'!R179&amp; "|2021-01-01",'Ingest Template'!R179)</f>
        <v>#N/A</v>
      </c>
      <c r="AL179" s="21"/>
      <c r="AM179" s="21"/>
    </row>
    <row r="180">
      <c r="A180" s="21"/>
      <c r="B180" s="21" t="str">
        <f>'Ingest Template'!B180&amp;IF('Ingest Template'!A180 = "Standard", " - DAR","")</f>
        <v/>
      </c>
      <c r="C180" s="26" t="s">
        <v>109</v>
      </c>
      <c r="D180" s="29" t="str">
        <f t="array" ref="D180">CONCATENATE(INDEX(DropDown!$H$2:$H$10,MATCH(1,COUNTIF('Ingest Template'!F180,"*"&amp;DropDown!$H$2:$H$10&amp;"*"),0)),CHAR(10),'Ingest Template'!G180)</f>
        <v>#N/A</v>
      </c>
      <c r="E180" s="21" t="str">
        <f>CONCATENATE('Ingest Template'!H180,CHAR(10),'Ingest Template'!I180,CHAR(10),'Ingest Template'!J180)</f>
        <v>
</v>
      </c>
      <c r="F180" s="26" t="str">
        <f>'Ingest Template'!H180</f>
        <v/>
      </c>
      <c r="G180" s="21"/>
      <c r="H180" s="29"/>
      <c r="I180" s="21"/>
      <c r="J180" s="29" t="str">
        <f t="array" ref="J180">iF('Ingest Template'!A180="Standard","Pristine Brand",INDEX(DropDown!$M$2:$M$392,MATCH('Ingest Template'!E180,DropDown!$J$2:$J$392,0)))</f>
        <v>#N/A</v>
      </c>
      <c r="K180" s="21" t="str">
        <f>iF('Ingest Template'!A180="Standard",'Ingest Template'!K180&amp;CHAR(10)&amp;'Ingest Template'!L180,"Competitive View")</f>
        <v>Competitive View</v>
      </c>
      <c r="L180" s="29" t="s">
        <v>146</v>
      </c>
      <c r="M180" s="37" t="str">
        <f>'Ingest Template'!D180</f>
        <v/>
      </c>
      <c r="N180" s="21"/>
      <c r="O180" s="21"/>
      <c r="P180" s="21"/>
      <c r="Q180" s="21"/>
      <c r="R180" s="21" t="str">
        <f>'Ingest Template'!E180</f>
        <v/>
      </c>
      <c r="S180" s="29" t="s">
        <v>153</v>
      </c>
      <c r="T180" s="21" t="str">
        <f>'Ingest Template'!T180</f>
        <v/>
      </c>
      <c r="U180" s="21" t="str">
        <f>'Ingest Template'!S180</f>
        <v/>
      </c>
      <c r="V180" s="21" t="str">
        <f>LOWER(SUBSTITUTE(SUBSTITUTE(SUBSTITUTE(SUBSTITUTE(SUBSTITUTE('Ingest Template'!U180,"https:",""),"www.",""),"/",""),"?hl=en",""),"instagram.com",""))</f>
        <v/>
      </c>
      <c r="W180" s="41" t="str">
        <f t="array" ref="W180">IF('Ingest Template'!V180="",(INDEX(DropDown!$L$2:$L$392,MATCH('Ingest Template'!E180,DropDown!$J$2:$J$392,0))&amp;"|"&amp;'Ingest Template'!B180),(INDEX(DropDown!$L$2:$L$392,MATCH('Ingest Template'!E180,DropDown!$J$2:$J$392,0))&amp;"|"&amp;'Ingest Template'!B180)&amp;CHAR(10)&amp;'Ingest Template'!V180)</f>
        <v>#N/A</v>
      </c>
      <c r="X180" s="41" t="str">
        <f>'Ingest Template'!W180</f>
        <v/>
      </c>
      <c r="Y180" s="21" t="str">
        <f>SUBSTITUTE(SUBSTITUTE(SUBSTITUTE('Ingest Template'!X180,"http:",""),"https:",""),"/","")</f>
        <v/>
      </c>
      <c r="Z180" s="21" t="str">
        <f t="array" ref="Z180">IF('Ingest Template'!A180="Standard",(IF(ISBLANK('Ingest Template'!AA180),"", 'Ingest Template'!AA180&amp;"|DAR")),(IF(ISBLANK('Ingest Template'!AA180),"", 'Ingest Template'!AA180&amp;"|Film Ops")))</f>
        <v/>
      </c>
      <c r="AA180" s="21"/>
      <c r="AB180" s="21" t="str">
        <f>'Ingest Template'!M180</f>
        <v/>
      </c>
      <c r="AC180" s="21" t="str">
        <f>'Ingest Template'!Y180</f>
        <v/>
      </c>
      <c r="AD180" s="21" t="str">
        <f>'Ingest Template'!C180</f>
        <v/>
      </c>
      <c r="AE180" s="21" t="str">
        <f>'Ingest Template'!Z180</f>
        <v/>
      </c>
      <c r="AF180" s="29"/>
      <c r="AG180" s="21" t="str">
        <f t="array" ref="AG180">IF('Ingest Template'!A180="Standard",(CONCATENATE(IF(ISBLANK('Ingest Template'!O180),"", 'Ingest Template'!O180&amp;"|DAR"),CHAR(10), IF(ISBLANK('Ingest Template'!P180),"", 'Ingest Template'!P180&amp;"|DAR"),CHAR(10), IF(ISBLANK('Ingest Template'!Q180),"", 'Ingest Template'!Q180&amp;"|DAR"))),(CONCATENATE(IF(ISBLANK('Ingest Template'!O180),"", 'Ingest Template'!O180&amp;"|Operations - Core Title"),CHAR(10), IF(ISBLANK('Ingest Template'!P180),"", 'Ingest Template'!P180&amp;"|Operations - Core Title"),CHAR(10), IF(ISBLANK('Ingest Template'!Q180),"", 'Ingest Template'!Q180&amp;"|Operations - Core Title"))))</f>
        <v>#|Operations - Core Title
#|Operations - Core Title
</v>
      </c>
      <c r="AH180" s="21"/>
      <c r="AI180" s="21"/>
      <c r="AJ180" s="53" t="str">
        <f>if('Ingest Template'!A180="Standard",'Ingest Template'!N180&amp; "|DAR|DAR|2021-01-01",'Ingest Template'!N180&amp; "|Operations - Core Title|Operations - Core Title")</f>
        <v>#N/A</v>
      </c>
      <c r="AK180" s="53" t="str">
        <f>if('Ingest Template'!A180="Standard",'Ingest Template'!R180&amp; "|2021-01-01",'Ingest Template'!R180)</f>
        <v>#N/A</v>
      </c>
      <c r="AL180" s="21"/>
      <c r="AM180" s="21"/>
    </row>
    <row r="181">
      <c r="A181" s="21"/>
      <c r="B181" s="21" t="str">
        <f>'Ingest Template'!B181&amp;IF('Ingest Template'!A181 = "Standard", " - DAR","")</f>
        <v/>
      </c>
      <c r="C181" s="26" t="s">
        <v>109</v>
      </c>
      <c r="D181" s="29" t="str">
        <f t="array" ref="D181">CONCATENATE(INDEX(DropDown!$H$2:$H$10,MATCH(1,COUNTIF('Ingest Template'!F181,"*"&amp;DropDown!$H$2:$H$10&amp;"*"),0)),CHAR(10),'Ingest Template'!G181)</f>
        <v>#N/A</v>
      </c>
      <c r="E181" s="21" t="str">
        <f>CONCATENATE('Ingest Template'!H181,CHAR(10),'Ingest Template'!I181,CHAR(10),'Ingest Template'!J181)</f>
        <v>
</v>
      </c>
      <c r="F181" s="26" t="str">
        <f>'Ingest Template'!H181</f>
        <v/>
      </c>
      <c r="G181" s="21"/>
      <c r="H181" s="29"/>
      <c r="I181" s="21"/>
      <c r="J181" s="29" t="str">
        <f t="array" ref="J181">iF('Ingest Template'!A181="Standard","Pristine Brand",INDEX(DropDown!$M$2:$M$392,MATCH('Ingest Template'!E181,DropDown!$J$2:$J$392,0)))</f>
        <v>#N/A</v>
      </c>
      <c r="K181" s="21" t="str">
        <f>iF('Ingest Template'!A181="Standard",'Ingest Template'!K181&amp;CHAR(10)&amp;'Ingest Template'!L181,"Competitive View")</f>
        <v>Competitive View</v>
      </c>
      <c r="L181" s="29" t="s">
        <v>146</v>
      </c>
      <c r="M181" s="37" t="str">
        <f>'Ingest Template'!D181</f>
        <v/>
      </c>
      <c r="N181" s="21"/>
      <c r="O181" s="21"/>
      <c r="P181" s="21"/>
      <c r="Q181" s="21"/>
      <c r="R181" s="21" t="str">
        <f>'Ingest Template'!E181</f>
        <v/>
      </c>
      <c r="S181" s="29" t="s">
        <v>153</v>
      </c>
      <c r="T181" s="21" t="str">
        <f>'Ingest Template'!T181</f>
        <v/>
      </c>
      <c r="U181" s="21" t="str">
        <f>'Ingest Template'!S181</f>
        <v/>
      </c>
      <c r="V181" s="21" t="str">
        <f>LOWER(SUBSTITUTE(SUBSTITUTE(SUBSTITUTE(SUBSTITUTE(SUBSTITUTE('Ingest Template'!U181,"https:",""),"www.",""),"/",""),"?hl=en",""),"instagram.com",""))</f>
        <v/>
      </c>
      <c r="W181" s="41" t="str">
        <f t="array" ref="W181">IF('Ingest Template'!V181="",(INDEX(DropDown!$L$2:$L$392,MATCH('Ingest Template'!E181,DropDown!$J$2:$J$392,0))&amp;"|"&amp;'Ingest Template'!B181),(INDEX(DropDown!$L$2:$L$392,MATCH('Ingest Template'!E181,DropDown!$J$2:$J$392,0))&amp;"|"&amp;'Ingest Template'!B181)&amp;CHAR(10)&amp;'Ingest Template'!V181)</f>
        <v>#N/A</v>
      </c>
      <c r="X181" s="41" t="str">
        <f>'Ingest Template'!W181</f>
        <v/>
      </c>
      <c r="Y181" s="21" t="str">
        <f>SUBSTITUTE(SUBSTITUTE(SUBSTITUTE('Ingest Template'!X181,"http:",""),"https:",""),"/","")</f>
        <v/>
      </c>
      <c r="Z181" s="21" t="str">
        <f t="array" ref="Z181">IF('Ingest Template'!A181="Standard",(IF(ISBLANK('Ingest Template'!AA181),"", 'Ingest Template'!AA181&amp;"|DAR")),(IF(ISBLANK('Ingest Template'!AA181),"", 'Ingest Template'!AA181&amp;"|Film Ops")))</f>
        <v/>
      </c>
      <c r="AA181" s="21"/>
      <c r="AB181" s="21" t="str">
        <f>'Ingest Template'!M181</f>
        <v/>
      </c>
      <c r="AC181" s="21" t="str">
        <f>'Ingest Template'!Y181</f>
        <v/>
      </c>
      <c r="AD181" s="21" t="str">
        <f>'Ingest Template'!C181</f>
        <v/>
      </c>
      <c r="AE181" s="21" t="str">
        <f>'Ingest Template'!Z181</f>
        <v/>
      </c>
      <c r="AF181" s="29"/>
      <c r="AG181" s="21" t="str">
        <f t="array" ref="AG181">IF('Ingest Template'!A181="Standard",(CONCATENATE(IF(ISBLANK('Ingest Template'!O181),"", 'Ingest Template'!O181&amp;"|DAR"),CHAR(10), IF(ISBLANK('Ingest Template'!P181),"", 'Ingest Template'!P181&amp;"|DAR"),CHAR(10), IF(ISBLANK('Ingest Template'!Q181),"", 'Ingest Template'!Q181&amp;"|DAR"))),(CONCATENATE(IF(ISBLANK('Ingest Template'!O181),"", 'Ingest Template'!O181&amp;"|Operations - Core Title"),CHAR(10), IF(ISBLANK('Ingest Template'!P181),"", 'Ingest Template'!P181&amp;"|Operations - Core Title"),CHAR(10), IF(ISBLANK('Ingest Template'!Q181),"", 'Ingest Template'!Q181&amp;"|Operations - Core Title"))))</f>
        <v>#|Operations - Core Title
#|Operations - Core Title
</v>
      </c>
      <c r="AH181" s="21"/>
      <c r="AI181" s="21"/>
      <c r="AJ181" s="53" t="str">
        <f>if('Ingest Template'!A181="Standard",'Ingest Template'!N181&amp; "|DAR|DAR|2021-01-01",'Ingest Template'!N181&amp; "|Operations - Core Title|Operations - Core Title")</f>
        <v>#N/A</v>
      </c>
      <c r="AK181" s="53" t="str">
        <f>if('Ingest Template'!A181="Standard",'Ingest Template'!R181&amp; "|2021-01-01",'Ingest Template'!R181)</f>
        <v>#N/A</v>
      </c>
      <c r="AL181" s="21"/>
      <c r="AM181" s="21"/>
    </row>
    <row r="182">
      <c r="A182" s="21"/>
      <c r="B182" s="21" t="str">
        <f>'Ingest Template'!B182&amp;IF('Ingest Template'!A182 = "Standard", " - DAR","")</f>
        <v/>
      </c>
      <c r="C182" s="26" t="s">
        <v>109</v>
      </c>
      <c r="D182" s="29" t="str">
        <f t="array" ref="D182">CONCATENATE(INDEX(DropDown!$H$2:$H$10,MATCH(1,COUNTIF('Ingest Template'!F182,"*"&amp;DropDown!$H$2:$H$10&amp;"*"),0)),CHAR(10),'Ingest Template'!G182)</f>
        <v>#N/A</v>
      </c>
      <c r="E182" s="21" t="str">
        <f>CONCATENATE('Ingest Template'!H182,CHAR(10),'Ingest Template'!I182,CHAR(10),'Ingest Template'!J182)</f>
        <v>
</v>
      </c>
      <c r="F182" s="26" t="str">
        <f>'Ingest Template'!H182</f>
        <v/>
      </c>
      <c r="G182" s="21"/>
      <c r="H182" s="29"/>
      <c r="I182" s="21"/>
      <c r="J182" s="29" t="str">
        <f t="array" ref="J182">iF('Ingest Template'!A182="Standard","Pristine Brand",INDEX(DropDown!$M$2:$M$392,MATCH('Ingest Template'!E182,DropDown!$J$2:$J$392,0)))</f>
        <v>#N/A</v>
      </c>
      <c r="K182" s="21" t="str">
        <f>iF('Ingest Template'!A182="Standard",'Ingest Template'!K182&amp;CHAR(10)&amp;'Ingest Template'!L182,"Competitive View")</f>
        <v>Competitive View</v>
      </c>
      <c r="L182" s="29" t="s">
        <v>146</v>
      </c>
      <c r="M182" s="37" t="str">
        <f>'Ingest Template'!D182</f>
        <v/>
      </c>
      <c r="N182" s="21"/>
      <c r="O182" s="21"/>
      <c r="P182" s="21"/>
      <c r="Q182" s="21"/>
      <c r="R182" s="21" t="str">
        <f>'Ingest Template'!E182</f>
        <v/>
      </c>
      <c r="S182" s="29" t="s">
        <v>153</v>
      </c>
      <c r="T182" s="21" t="str">
        <f>'Ingest Template'!T182</f>
        <v/>
      </c>
      <c r="U182" s="21" t="str">
        <f>'Ingest Template'!S182</f>
        <v/>
      </c>
      <c r="V182" s="21" t="str">
        <f>LOWER(SUBSTITUTE(SUBSTITUTE(SUBSTITUTE(SUBSTITUTE(SUBSTITUTE('Ingest Template'!U182,"https:",""),"www.",""),"/",""),"?hl=en",""),"instagram.com",""))</f>
        <v/>
      </c>
      <c r="W182" s="41" t="str">
        <f t="array" ref="W182">IF('Ingest Template'!V182="",(INDEX(DropDown!$L$2:$L$392,MATCH('Ingest Template'!E182,DropDown!$J$2:$J$392,0))&amp;"|"&amp;'Ingest Template'!B182),(INDEX(DropDown!$L$2:$L$392,MATCH('Ingest Template'!E182,DropDown!$J$2:$J$392,0))&amp;"|"&amp;'Ingest Template'!B182)&amp;CHAR(10)&amp;'Ingest Template'!V182)</f>
        <v>#N/A</v>
      </c>
      <c r="X182" s="41" t="str">
        <f>'Ingest Template'!W182</f>
        <v/>
      </c>
      <c r="Y182" s="21" t="str">
        <f>SUBSTITUTE(SUBSTITUTE(SUBSTITUTE('Ingest Template'!X182,"http:",""),"https:",""),"/","")</f>
        <v/>
      </c>
      <c r="Z182" s="21" t="str">
        <f t="array" ref="Z182">IF('Ingest Template'!A182="Standard",(IF(ISBLANK('Ingest Template'!AA182),"", 'Ingest Template'!AA182&amp;"|DAR")),(IF(ISBLANK('Ingest Template'!AA182),"", 'Ingest Template'!AA182&amp;"|Film Ops")))</f>
        <v/>
      </c>
      <c r="AA182" s="21"/>
      <c r="AB182" s="21" t="str">
        <f>'Ingest Template'!M182</f>
        <v/>
      </c>
      <c r="AC182" s="21" t="str">
        <f>'Ingest Template'!Y182</f>
        <v/>
      </c>
      <c r="AD182" s="21" t="str">
        <f>'Ingest Template'!C182</f>
        <v/>
      </c>
      <c r="AE182" s="21" t="str">
        <f>'Ingest Template'!Z182</f>
        <v/>
      </c>
      <c r="AF182" s="29"/>
      <c r="AG182" s="21" t="str">
        <f t="array" ref="AG182">IF('Ingest Template'!A182="Standard",(CONCATENATE(IF(ISBLANK('Ingest Template'!O182),"", 'Ingest Template'!O182&amp;"|DAR"),CHAR(10), IF(ISBLANK('Ingest Template'!P182),"", 'Ingest Template'!P182&amp;"|DAR"),CHAR(10), IF(ISBLANK('Ingest Template'!Q182),"", 'Ingest Template'!Q182&amp;"|DAR"))),(CONCATENATE(IF(ISBLANK('Ingest Template'!O182),"", 'Ingest Template'!O182&amp;"|Operations - Core Title"),CHAR(10), IF(ISBLANK('Ingest Template'!P182),"", 'Ingest Template'!P182&amp;"|Operations - Core Title"),CHAR(10), IF(ISBLANK('Ingest Template'!Q182),"", 'Ingest Template'!Q182&amp;"|Operations - Core Title"))))</f>
        <v>#|Operations - Core Title
#|Operations - Core Title
</v>
      </c>
      <c r="AH182" s="21"/>
      <c r="AI182" s="21"/>
      <c r="AJ182" s="53" t="str">
        <f>if('Ingest Template'!A182="Standard",'Ingest Template'!N182&amp; "|DAR|DAR|2021-01-01",'Ingest Template'!N182&amp; "|Operations - Core Title|Operations - Core Title")</f>
        <v>#N/A</v>
      </c>
      <c r="AK182" s="53" t="str">
        <f>if('Ingest Template'!A182="Standard",'Ingest Template'!R182&amp; "|2021-01-01",'Ingest Template'!R182)</f>
        <v>#N/A</v>
      </c>
      <c r="AL182" s="21"/>
      <c r="AM182" s="21"/>
    </row>
    <row r="183">
      <c r="A183" s="21"/>
      <c r="B183" s="21" t="str">
        <f>'Ingest Template'!B183&amp;IF('Ingest Template'!A183 = "Standard", " - DAR","")</f>
        <v/>
      </c>
      <c r="C183" s="26" t="s">
        <v>109</v>
      </c>
      <c r="D183" s="29" t="str">
        <f t="array" ref="D183">CONCATENATE(INDEX(DropDown!$H$2:$H$10,MATCH(1,COUNTIF('Ingest Template'!F183,"*"&amp;DropDown!$H$2:$H$10&amp;"*"),0)),CHAR(10),'Ingest Template'!G183)</f>
        <v>#N/A</v>
      </c>
      <c r="E183" s="21" t="str">
        <f>CONCATENATE('Ingest Template'!H183,CHAR(10),'Ingest Template'!I183,CHAR(10),'Ingest Template'!J183)</f>
        <v>
</v>
      </c>
      <c r="F183" s="26" t="str">
        <f>'Ingest Template'!H183</f>
        <v/>
      </c>
      <c r="G183" s="21"/>
      <c r="H183" s="29"/>
      <c r="I183" s="21"/>
      <c r="J183" s="29" t="str">
        <f t="array" ref="J183">iF('Ingest Template'!A183="Standard","Pristine Brand",INDEX(DropDown!$M$2:$M$392,MATCH('Ingest Template'!E183,DropDown!$J$2:$J$392,0)))</f>
        <v>#N/A</v>
      </c>
      <c r="K183" s="21" t="str">
        <f>iF('Ingest Template'!A183="Standard",'Ingest Template'!K183&amp;CHAR(10)&amp;'Ingest Template'!L183,"Competitive View")</f>
        <v>Competitive View</v>
      </c>
      <c r="L183" s="29" t="s">
        <v>146</v>
      </c>
      <c r="M183" s="37" t="str">
        <f>'Ingest Template'!D183</f>
        <v/>
      </c>
      <c r="N183" s="21"/>
      <c r="O183" s="21"/>
      <c r="P183" s="21"/>
      <c r="Q183" s="21"/>
      <c r="R183" s="21" t="str">
        <f>'Ingest Template'!E183</f>
        <v/>
      </c>
      <c r="S183" s="29" t="s">
        <v>153</v>
      </c>
      <c r="T183" s="21" t="str">
        <f>'Ingest Template'!T183</f>
        <v/>
      </c>
      <c r="U183" s="21" t="str">
        <f>'Ingest Template'!S183</f>
        <v/>
      </c>
      <c r="V183" s="21" t="str">
        <f>LOWER(SUBSTITUTE(SUBSTITUTE(SUBSTITUTE(SUBSTITUTE(SUBSTITUTE('Ingest Template'!U183,"https:",""),"www.",""),"/",""),"?hl=en",""),"instagram.com",""))</f>
        <v/>
      </c>
      <c r="W183" s="41" t="str">
        <f t="array" ref="W183">IF('Ingest Template'!V183="",(INDEX(DropDown!$L$2:$L$392,MATCH('Ingest Template'!E183,DropDown!$J$2:$J$392,0))&amp;"|"&amp;'Ingest Template'!B183),(INDEX(DropDown!$L$2:$L$392,MATCH('Ingest Template'!E183,DropDown!$J$2:$J$392,0))&amp;"|"&amp;'Ingest Template'!B183)&amp;CHAR(10)&amp;'Ingest Template'!V183)</f>
        <v>#N/A</v>
      </c>
      <c r="X183" s="41" t="str">
        <f>'Ingest Template'!W183</f>
        <v/>
      </c>
      <c r="Y183" s="21" t="str">
        <f>SUBSTITUTE(SUBSTITUTE(SUBSTITUTE('Ingest Template'!X183,"http:",""),"https:",""),"/","")</f>
        <v/>
      </c>
      <c r="Z183" s="21" t="str">
        <f t="array" ref="Z183">IF('Ingest Template'!A183="Standard",(IF(ISBLANK('Ingest Template'!AA183),"", 'Ingest Template'!AA183&amp;"|DAR")),(IF(ISBLANK('Ingest Template'!AA183),"", 'Ingest Template'!AA183&amp;"|Film Ops")))</f>
        <v/>
      </c>
      <c r="AA183" s="21"/>
      <c r="AB183" s="21" t="str">
        <f>'Ingest Template'!M183</f>
        <v/>
      </c>
      <c r="AC183" s="21" t="str">
        <f>'Ingest Template'!Y183</f>
        <v/>
      </c>
      <c r="AD183" s="21" t="str">
        <f>'Ingest Template'!C183</f>
        <v/>
      </c>
      <c r="AE183" s="21" t="str">
        <f>'Ingest Template'!Z183</f>
        <v/>
      </c>
      <c r="AF183" s="29"/>
      <c r="AG183" s="21" t="str">
        <f t="array" ref="AG183">IF('Ingest Template'!A183="Standard",(CONCATENATE(IF(ISBLANK('Ingest Template'!O183),"", 'Ingest Template'!O183&amp;"|DAR"),CHAR(10), IF(ISBLANK('Ingest Template'!P183),"", 'Ingest Template'!P183&amp;"|DAR"),CHAR(10), IF(ISBLANK('Ingest Template'!Q183),"", 'Ingest Template'!Q183&amp;"|DAR"))),(CONCATENATE(IF(ISBLANK('Ingest Template'!O183),"", 'Ingest Template'!O183&amp;"|Operations - Core Title"),CHAR(10), IF(ISBLANK('Ingest Template'!P183),"", 'Ingest Template'!P183&amp;"|Operations - Core Title"),CHAR(10), IF(ISBLANK('Ingest Template'!Q183),"", 'Ingest Template'!Q183&amp;"|Operations - Core Title"))))</f>
        <v>#|Operations - Core Title
#|Operations - Core Title
</v>
      </c>
      <c r="AH183" s="21"/>
      <c r="AI183" s="21"/>
      <c r="AJ183" s="53" t="str">
        <f>if('Ingest Template'!A183="Standard",'Ingest Template'!N183&amp; "|DAR|DAR|2021-01-01",'Ingest Template'!N183&amp; "|Operations - Core Title|Operations - Core Title")</f>
        <v>#N/A</v>
      </c>
      <c r="AK183" s="53" t="str">
        <f>if('Ingest Template'!A183="Standard",'Ingest Template'!R183&amp; "|2021-01-01",'Ingest Template'!R183)</f>
        <v>#N/A</v>
      </c>
      <c r="AL183" s="21"/>
      <c r="AM183" s="21"/>
    </row>
    <row r="184">
      <c r="A184" s="21"/>
      <c r="B184" s="21" t="str">
        <f>'Ingest Template'!B184&amp;IF('Ingest Template'!A184 = "Standard", " - DAR","")</f>
        <v/>
      </c>
      <c r="C184" s="26" t="s">
        <v>109</v>
      </c>
      <c r="D184" s="29" t="str">
        <f t="array" ref="D184">CONCATENATE(INDEX(DropDown!$H$2:$H$10,MATCH(1,COUNTIF('Ingest Template'!F184,"*"&amp;DropDown!$H$2:$H$10&amp;"*"),0)),CHAR(10),'Ingest Template'!G184)</f>
        <v>#N/A</v>
      </c>
      <c r="E184" s="21" t="str">
        <f>CONCATENATE('Ingest Template'!H184,CHAR(10),'Ingest Template'!I184,CHAR(10),'Ingest Template'!J184)</f>
        <v>
</v>
      </c>
      <c r="F184" s="26" t="str">
        <f>'Ingest Template'!H184</f>
        <v/>
      </c>
      <c r="G184" s="21"/>
      <c r="H184" s="29"/>
      <c r="I184" s="21"/>
      <c r="J184" s="29" t="str">
        <f t="array" ref="J184">iF('Ingest Template'!A184="Standard","Pristine Brand",INDEX(DropDown!$M$2:$M$392,MATCH('Ingest Template'!E184,DropDown!$J$2:$J$392,0)))</f>
        <v>#N/A</v>
      </c>
      <c r="K184" s="21" t="str">
        <f>iF('Ingest Template'!A184="Standard",'Ingest Template'!K184&amp;CHAR(10)&amp;'Ingest Template'!L184,"Competitive View")</f>
        <v>Competitive View</v>
      </c>
      <c r="L184" s="29" t="s">
        <v>146</v>
      </c>
      <c r="M184" s="37" t="str">
        <f>'Ingest Template'!D184</f>
        <v/>
      </c>
      <c r="N184" s="21"/>
      <c r="O184" s="21"/>
      <c r="P184" s="21"/>
      <c r="Q184" s="21"/>
      <c r="R184" s="21" t="str">
        <f>'Ingest Template'!E184</f>
        <v/>
      </c>
      <c r="S184" s="29" t="s">
        <v>153</v>
      </c>
      <c r="T184" s="21" t="str">
        <f>'Ingest Template'!T184</f>
        <v/>
      </c>
      <c r="U184" s="21" t="str">
        <f>'Ingest Template'!S184</f>
        <v/>
      </c>
      <c r="V184" s="21" t="str">
        <f>LOWER(SUBSTITUTE(SUBSTITUTE(SUBSTITUTE(SUBSTITUTE(SUBSTITUTE('Ingest Template'!U184,"https:",""),"www.",""),"/",""),"?hl=en",""),"instagram.com",""))</f>
        <v/>
      </c>
      <c r="W184" s="41" t="str">
        <f t="array" ref="W184">IF('Ingest Template'!V184="",(INDEX(DropDown!$L$2:$L$392,MATCH('Ingest Template'!E184,DropDown!$J$2:$J$392,0))&amp;"|"&amp;'Ingest Template'!B184),(INDEX(DropDown!$L$2:$L$392,MATCH('Ingest Template'!E184,DropDown!$J$2:$J$392,0))&amp;"|"&amp;'Ingest Template'!B184)&amp;CHAR(10)&amp;'Ingest Template'!V184)</f>
        <v>#N/A</v>
      </c>
      <c r="X184" s="41" t="str">
        <f>'Ingest Template'!W184</f>
        <v/>
      </c>
      <c r="Y184" s="21" t="str">
        <f>SUBSTITUTE(SUBSTITUTE(SUBSTITUTE('Ingest Template'!X184,"http:",""),"https:",""),"/","")</f>
        <v/>
      </c>
      <c r="Z184" s="21" t="str">
        <f t="array" ref="Z184">IF('Ingest Template'!A184="Standard",(IF(ISBLANK('Ingest Template'!AA184),"", 'Ingest Template'!AA184&amp;"|DAR")),(IF(ISBLANK('Ingest Template'!AA184),"", 'Ingest Template'!AA184&amp;"|Film Ops")))</f>
        <v/>
      </c>
      <c r="AA184" s="21"/>
      <c r="AB184" s="21" t="str">
        <f>'Ingest Template'!M184</f>
        <v/>
      </c>
      <c r="AC184" s="21" t="str">
        <f>'Ingest Template'!Y184</f>
        <v/>
      </c>
      <c r="AD184" s="21" t="str">
        <f>'Ingest Template'!C184</f>
        <v/>
      </c>
      <c r="AE184" s="21" t="str">
        <f>'Ingest Template'!Z184</f>
        <v/>
      </c>
      <c r="AF184" s="29"/>
      <c r="AG184" s="21" t="str">
        <f t="array" ref="AG184">IF('Ingest Template'!A184="Standard",(CONCATENATE(IF(ISBLANK('Ingest Template'!O184),"", 'Ingest Template'!O184&amp;"|DAR"),CHAR(10), IF(ISBLANK('Ingest Template'!P184),"", 'Ingest Template'!P184&amp;"|DAR"),CHAR(10), IF(ISBLANK('Ingest Template'!Q184),"", 'Ingest Template'!Q184&amp;"|DAR"))),(CONCATENATE(IF(ISBLANK('Ingest Template'!O184),"", 'Ingest Template'!O184&amp;"|Operations - Core Title"),CHAR(10), IF(ISBLANK('Ingest Template'!P184),"", 'Ingest Template'!P184&amp;"|Operations - Core Title"),CHAR(10), IF(ISBLANK('Ingest Template'!Q184),"", 'Ingest Template'!Q184&amp;"|Operations - Core Title"))))</f>
        <v>#|Operations - Core Title
#|Operations - Core Title
</v>
      </c>
      <c r="AH184" s="21"/>
      <c r="AI184" s="21"/>
      <c r="AJ184" s="53" t="str">
        <f>if('Ingest Template'!A184="Standard",'Ingest Template'!N184&amp; "|DAR|DAR|2021-01-01",'Ingest Template'!N184&amp; "|Operations - Core Title|Operations - Core Title")</f>
        <v>#N/A</v>
      </c>
      <c r="AK184" s="53" t="str">
        <f>if('Ingest Template'!A184="Standard",'Ingest Template'!R184&amp; "|2021-01-01",'Ingest Template'!R184)</f>
        <v>#N/A</v>
      </c>
      <c r="AL184" s="21"/>
      <c r="AM184" s="21"/>
    </row>
    <row r="185">
      <c r="A185" s="21"/>
      <c r="B185" s="21" t="str">
        <f>'Ingest Template'!B185&amp;IF('Ingest Template'!A185 = "Standard", " - DAR","")</f>
        <v/>
      </c>
      <c r="C185" s="26" t="s">
        <v>109</v>
      </c>
      <c r="D185" s="29" t="str">
        <f t="array" ref="D185">CONCATENATE(INDEX(DropDown!$H$2:$H$10,MATCH(1,COUNTIF('Ingest Template'!F185,"*"&amp;DropDown!$H$2:$H$10&amp;"*"),0)),CHAR(10),'Ingest Template'!G185)</f>
        <v>#N/A</v>
      </c>
      <c r="E185" s="21" t="str">
        <f>CONCATENATE('Ingest Template'!H185,CHAR(10),'Ingest Template'!I185,CHAR(10),'Ingest Template'!J185)</f>
        <v>
</v>
      </c>
      <c r="F185" s="26" t="str">
        <f>'Ingest Template'!H185</f>
        <v/>
      </c>
      <c r="G185" s="21"/>
      <c r="H185" s="29"/>
      <c r="I185" s="21"/>
      <c r="J185" s="29" t="str">
        <f t="array" ref="J185">iF('Ingest Template'!A185="Standard","Pristine Brand",INDEX(DropDown!$M$2:$M$392,MATCH('Ingest Template'!E185,DropDown!$J$2:$J$392,0)))</f>
        <v>#N/A</v>
      </c>
      <c r="K185" s="21" t="str">
        <f>iF('Ingest Template'!A185="Standard",'Ingest Template'!K185&amp;CHAR(10)&amp;'Ingest Template'!L185,"Competitive View")</f>
        <v>Competitive View</v>
      </c>
      <c r="L185" s="29" t="s">
        <v>146</v>
      </c>
      <c r="M185" s="37" t="str">
        <f>'Ingest Template'!D185</f>
        <v/>
      </c>
      <c r="N185" s="21"/>
      <c r="O185" s="21"/>
      <c r="P185" s="21"/>
      <c r="Q185" s="21"/>
      <c r="R185" s="21" t="str">
        <f>'Ingest Template'!E185</f>
        <v/>
      </c>
      <c r="S185" s="29" t="s">
        <v>153</v>
      </c>
      <c r="T185" s="21" t="str">
        <f>'Ingest Template'!T185</f>
        <v/>
      </c>
      <c r="U185" s="21" t="str">
        <f>'Ingest Template'!S185</f>
        <v/>
      </c>
      <c r="V185" s="21" t="str">
        <f>LOWER(SUBSTITUTE(SUBSTITUTE(SUBSTITUTE(SUBSTITUTE(SUBSTITUTE('Ingest Template'!U185,"https:",""),"www.",""),"/",""),"?hl=en",""),"instagram.com",""))</f>
        <v/>
      </c>
      <c r="W185" s="41" t="str">
        <f t="array" ref="W185">IF('Ingest Template'!V185="",(INDEX(DropDown!$L$2:$L$392,MATCH('Ingest Template'!E185,DropDown!$J$2:$J$392,0))&amp;"|"&amp;'Ingest Template'!B185),(INDEX(DropDown!$L$2:$L$392,MATCH('Ingest Template'!E185,DropDown!$J$2:$J$392,0))&amp;"|"&amp;'Ingest Template'!B185)&amp;CHAR(10)&amp;'Ingest Template'!V185)</f>
        <v>#N/A</v>
      </c>
      <c r="X185" s="41" t="str">
        <f>'Ingest Template'!W185</f>
        <v/>
      </c>
      <c r="Y185" s="21" t="str">
        <f>SUBSTITUTE(SUBSTITUTE(SUBSTITUTE('Ingest Template'!X185,"http:",""),"https:",""),"/","")</f>
        <v/>
      </c>
      <c r="Z185" s="21" t="str">
        <f t="array" ref="Z185">IF('Ingest Template'!A185="Standard",(IF(ISBLANK('Ingest Template'!AA185),"", 'Ingest Template'!AA185&amp;"|DAR")),(IF(ISBLANK('Ingest Template'!AA185),"", 'Ingest Template'!AA185&amp;"|Film Ops")))</f>
        <v/>
      </c>
      <c r="AA185" s="21"/>
      <c r="AB185" s="21" t="str">
        <f>'Ingest Template'!M185</f>
        <v/>
      </c>
      <c r="AC185" s="21" t="str">
        <f>'Ingest Template'!Y185</f>
        <v/>
      </c>
      <c r="AD185" s="21" t="str">
        <f>'Ingest Template'!C185</f>
        <v/>
      </c>
      <c r="AE185" s="21" t="str">
        <f>'Ingest Template'!Z185</f>
        <v/>
      </c>
      <c r="AF185" s="29"/>
      <c r="AG185" s="21" t="str">
        <f t="array" ref="AG185">IF('Ingest Template'!A185="Standard",(CONCATENATE(IF(ISBLANK('Ingest Template'!O185),"", 'Ingest Template'!O185&amp;"|DAR"),CHAR(10), IF(ISBLANK('Ingest Template'!P185),"", 'Ingest Template'!P185&amp;"|DAR"),CHAR(10), IF(ISBLANK('Ingest Template'!Q185),"", 'Ingest Template'!Q185&amp;"|DAR"))),(CONCATENATE(IF(ISBLANK('Ingest Template'!O185),"", 'Ingest Template'!O185&amp;"|Operations - Core Title"),CHAR(10), IF(ISBLANK('Ingest Template'!P185),"", 'Ingest Template'!P185&amp;"|Operations - Core Title"),CHAR(10), IF(ISBLANK('Ingest Template'!Q185),"", 'Ingest Template'!Q185&amp;"|Operations - Core Title"))))</f>
        <v>#|Operations - Core Title
#|Operations - Core Title
</v>
      </c>
      <c r="AH185" s="21"/>
      <c r="AI185" s="21"/>
      <c r="AJ185" s="53" t="str">
        <f>if('Ingest Template'!A185="Standard",'Ingest Template'!N185&amp; "|DAR|DAR|2021-01-01",'Ingest Template'!N185&amp; "|Operations - Core Title|Operations - Core Title")</f>
        <v>#N/A</v>
      </c>
      <c r="AK185" s="53" t="str">
        <f>if('Ingest Template'!A185="Standard",'Ingest Template'!R185&amp; "|2021-01-01",'Ingest Template'!R185)</f>
        <v>#N/A</v>
      </c>
      <c r="AL185" s="21"/>
      <c r="AM185" s="21"/>
    </row>
    <row r="186">
      <c r="A186" s="21"/>
      <c r="B186" s="21" t="str">
        <f>'Ingest Template'!B186&amp;IF('Ingest Template'!A186 = "Standard", " - DAR","")</f>
        <v/>
      </c>
      <c r="C186" s="26" t="s">
        <v>109</v>
      </c>
      <c r="D186" s="29" t="str">
        <f t="array" ref="D186">CONCATENATE(INDEX(DropDown!$H$2:$H$10,MATCH(1,COUNTIF('Ingest Template'!F186,"*"&amp;DropDown!$H$2:$H$10&amp;"*"),0)),CHAR(10),'Ingest Template'!G186)</f>
        <v>#N/A</v>
      </c>
      <c r="E186" s="21" t="str">
        <f>CONCATENATE('Ingest Template'!H186,CHAR(10),'Ingest Template'!I186,CHAR(10),'Ingest Template'!J186)</f>
        <v>
</v>
      </c>
      <c r="F186" s="26" t="str">
        <f>'Ingest Template'!H186</f>
        <v/>
      </c>
      <c r="G186" s="21"/>
      <c r="H186" s="29"/>
      <c r="I186" s="21"/>
      <c r="J186" s="29" t="str">
        <f t="array" ref="J186">iF('Ingest Template'!A186="Standard","Pristine Brand",INDEX(DropDown!$M$2:$M$392,MATCH('Ingest Template'!E186,DropDown!$J$2:$J$392,0)))</f>
        <v>#N/A</v>
      </c>
      <c r="K186" s="21" t="str">
        <f>iF('Ingest Template'!A186="Standard",'Ingest Template'!K186&amp;CHAR(10)&amp;'Ingest Template'!L186,"Competitive View")</f>
        <v>Competitive View</v>
      </c>
      <c r="L186" s="29" t="s">
        <v>146</v>
      </c>
      <c r="M186" s="37" t="str">
        <f>'Ingest Template'!D186</f>
        <v/>
      </c>
      <c r="N186" s="21"/>
      <c r="O186" s="21"/>
      <c r="P186" s="21"/>
      <c r="Q186" s="21"/>
      <c r="R186" s="21" t="str">
        <f>'Ingest Template'!E186</f>
        <v/>
      </c>
      <c r="S186" s="29" t="s">
        <v>153</v>
      </c>
      <c r="T186" s="21" t="str">
        <f>'Ingest Template'!T186</f>
        <v/>
      </c>
      <c r="U186" s="21" t="str">
        <f>'Ingest Template'!S186</f>
        <v/>
      </c>
      <c r="V186" s="21" t="str">
        <f>LOWER(SUBSTITUTE(SUBSTITUTE(SUBSTITUTE(SUBSTITUTE(SUBSTITUTE('Ingest Template'!U186,"https:",""),"www.",""),"/",""),"?hl=en",""),"instagram.com",""))</f>
        <v/>
      </c>
      <c r="W186" s="41" t="str">
        <f t="array" ref="W186">IF('Ingest Template'!V186="",(INDEX(DropDown!$L$2:$L$392,MATCH('Ingest Template'!E186,DropDown!$J$2:$J$392,0))&amp;"|"&amp;'Ingest Template'!B186),(INDEX(DropDown!$L$2:$L$392,MATCH('Ingest Template'!E186,DropDown!$J$2:$J$392,0))&amp;"|"&amp;'Ingest Template'!B186)&amp;CHAR(10)&amp;'Ingest Template'!V186)</f>
        <v>#N/A</v>
      </c>
      <c r="X186" s="41" t="str">
        <f>'Ingest Template'!W186</f>
        <v/>
      </c>
      <c r="Y186" s="21" t="str">
        <f>SUBSTITUTE(SUBSTITUTE(SUBSTITUTE('Ingest Template'!X186,"http:",""),"https:",""),"/","")</f>
        <v/>
      </c>
      <c r="Z186" s="21" t="str">
        <f t="array" ref="Z186">IF('Ingest Template'!A186="Standard",(IF(ISBLANK('Ingest Template'!AA186),"", 'Ingest Template'!AA186&amp;"|DAR")),(IF(ISBLANK('Ingest Template'!AA186),"", 'Ingest Template'!AA186&amp;"|Film Ops")))</f>
        <v/>
      </c>
      <c r="AA186" s="21"/>
      <c r="AB186" s="21" t="str">
        <f>'Ingest Template'!M186</f>
        <v/>
      </c>
      <c r="AC186" s="21" t="str">
        <f>'Ingest Template'!Y186</f>
        <v/>
      </c>
      <c r="AD186" s="21" t="str">
        <f>'Ingest Template'!C186</f>
        <v/>
      </c>
      <c r="AE186" s="21" t="str">
        <f>'Ingest Template'!Z186</f>
        <v/>
      </c>
      <c r="AF186" s="29"/>
      <c r="AG186" s="21" t="str">
        <f t="array" ref="AG186">IF('Ingest Template'!A186="Standard",(CONCATENATE(IF(ISBLANK('Ingest Template'!O186),"", 'Ingest Template'!O186&amp;"|DAR"),CHAR(10), IF(ISBLANK('Ingest Template'!P186),"", 'Ingest Template'!P186&amp;"|DAR"),CHAR(10), IF(ISBLANK('Ingest Template'!Q186),"", 'Ingest Template'!Q186&amp;"|DAR"))),(CONCATENATE(IF(ISBLANK('Ingest Template'!O186),"", 'Ingest Template'!O186&amp;"|Operations - Core Title"),CHAR(10), IF(ISBLANK('Ingest Template'!P186),"", 'Ingest Template'!P186&amp;"|Operations - Core Title"),CHAR(10), IF(ISBLANK('Ingest Template'!Q186),"", 'Ingest Template'!Q186&amp;"|Operations - Core Title"))))</f>
        <v>#|Operations - Core Title
#|Operations - Core Title
</v>
      </c>
      <c r="AH186" s="21"/>
      <c r="AI186" s="21"/>
      <c r="AJ186" s="53" t="str">
        <f>if('Ingest Template'!A186="Standard",'Ingest Template'!N186&amp; "|DAR|DAR|2021-01-01",'Ingest Template'!N186&amp; "|Operations - Core Title|Operations - Core Title")</f>
        <v>#N/A</v>
      </c>
      <c r="AK186" s="53" t="str">
        <f>if('Ingest Template'!A186="Standard",'Ingest Template'!R186&amp; "|2021-01-01",'Ingest Template'!R186)</f>
        <v>#N/A</v>
      </c>
      <c r="AL186" s="21"/>
      <c r="AM186" s="21"/>
    </row>
    <row r="187">
      <c r="A187" s="21"/>
      <c r="B187" s="21" t="str">
        <f>'Ingest Template'!B187&amp;IF('Ingest Template'!A187 = "Standard", " - DAR","")</f>
        <v/>
      </c>
      <c r="C187" s="26" t="s">
        <v>109</v>
      </c>
      <c r="D187" s="29" t="str">
        <f t="array" ref="D187">CONCATENATE(INDEX(DropDown!$H$2:$H$10,MATCH(1,COUNTIF('Ingest Template'!F187,"*"&amp;DropDown!$H$2:$H$10&amp;"*"),0)),CHAR(10),'Ingest Template'!G187)</f>
        <v>#N/A</v>
      </c>
      <c r="E187" s="21" t="str">
        <f>CONCATENATE('Ingest Template'!H187,CHAR(10),'Ingest Template'!I187,CHAR(10),'Ingest Template'!J187)</f>
        <v>
</v>
      </c>
      <c r="F187" s="26" t="str">
        <f>'Ingest Template'!H187</f>
        <v/>
      </c>
      <c r="G187" s="21"/>
      <c r="H187" s="29"/>
      <c r="I187" s="21"/>
      <c r="J187" s="29" t="str">
        <f t="array" ref="J187">iF('Ingest Template'!A187="Standard","Pristine Brand",INDEX(DropDown!$M$2:$M$392,MATCH('Ingest Template'!E187,DropDown!$J$2:$J$392,0)))</f>
        <v>#N/A</v>
      </c>
      <c r="K187" s="21" t="str">
        <f>iF('Ingest Template'!A187="Standard",'Ingest Template'!K187&amp;CHAR(10)&amp;'Ingest Template'!L187,"Competitive View")</f>
        <v>Competitive View</v>
      </c>
      <c r="L187" s="29" t="s">
        <v>146</v>
      </c>
      <c r="M187" s="37" t="str">
        <f>'Ingest Template'!D187</f>
        <v/>
      </c>
      <c r="N187" s="21"/>
      <c r="O187" s="21"/>
      <c r="P187" s="21"/>
      <c r="Q187" s="21"/>
      <c r="R187" s="21" t="str">
        <f>'Ingest Template'!E187</f>
        <v/>
      </c>
      <c r="S187" s="29" t="s">
        <v>153</v>
      </c>
      <c r="T187" s="21" t="str">
        <f>'Ingest Template'!T187</f>
        <v/>
      </c>
      <c r="U187" s="21" t="str">
        <f>'Ingest Template'!S187</f>
        <v/>
      </c>
      <c r="V187" s="21" t="str">
        <f>LOWER(SUBSTITUTE(SUBSTITUTE(SUBSTITUTE(SUBSTITUTE(SUBSTITUTE('Ingest Template'!U187,"https:",""),"www.",""),"/",""),"?hl=en",""),"instagram.com",""))</f>
        <v/>
      </c>
      <c r="W187" s="41" t="str">
        <f t="array" ref="W187">IF('Ingest Template'!V187="",(INDEX(DropDown!$L$2:$L$392,MATCH('Ingest Template'!E187,DropDown!$J$2:$J$392,0))&amp;"|"&amp;'Ingest Template'!B187),(INDEX(DropDown!$L$2:$L$392,MATCH('Ingest Template'!E187,DropDown!$J$2:$J$392,0))&amp;"|"&amp;'Ingest Template'!B187)&amp;CHAR(10)&amp;'Ingest Template'!V187)</f>
        <v>#N/A</v>
      </c>
      <c r="X187" s="41" t="str">
        <f>'Ingest Template'!W187</f>
        <v/>
      </c>
      <c r="Y187" s="21" t="str">
        <f>SUBSTITUTE(SUBSTITUTE(SUBSTITUTE('Ingest Template'!X187,"http:",""),"https:",""),"/","")</f>
        <v/>
      </c>
      <c r="Z187" s="21" t="str">
        <f t="array" ref="Z187">IF('Ingest Template'!A187="Standard",(IF(ISBLANK('Ingest Template'!AA187),"", 'Ingest Template'!AA187&amp;"|DAR")),(IF(ISBLANK('Ingest Template'!AA187),"", 'Ingest Template'!AA187&amp;"|Film Ops")))</f>
        <v/>
      </c>
      <c r="AA187" s="21"/>
      <c r="AB187" s="21" t="str">
        <f>'Ingest Template'!M187</f>
        <v/>
      </c>
      <c r="AC187" s="21" t="str">
        <f>'Ingest Template'!Y187</f>
        <v/>
      </c>
      <c r="AD187" s="21" t="str">
        <f>'Ingest Template'!C187</f>
        <v/>
      </c>
      <c r="AE187" s="21" t="str">
        <f>'Ingest Template'!Z187</f>
        <v/>
      </c>
      <c r="AF187" s="29"/>
      <c r="AG187" s="21" t="str">
        <f t="array" ref="AG187">IF('Ingest Template'!A187="Standard",(CONCATENATE(IF(ISBLANK('Ingest Template'!O187),"", 'Ingest Template'!O187&amp;"|DAR"),CHAR(10), IF(ISBLANK('Ingest Template'!P187),"", 'Ingest Template'!P187&amp;"|DAR"),CHAR(10), IF(ISBLANK('Ingest Template'!Q187),"", 'Ingest Template'!Q187&amp;"|DAR"))),(CONCATENATE(IF(ISBLANK('Ingest Template'!O187),"", 'Ingest Template'!O187&amp;"|Operations - Core Title"),CHAR(10), IF(ISBLANK('Ingest Template'!P187),"", 'Ingest Template'!P187&amp;"|Operations - Core Title"),CHAR(10), IF(ISBLANK('Ingest Template'!Q187),"", 'Ingest Template'!Q187&amp;"|Operations - Core Title"))))</f>
        <v>#|Operations - Core Title
#|Operations - Core Title
</v>
      </c>
      <c r="AH187" s="21"/>
      <c r="AI187" s="21"/>
      <c r="AJ187" s="53" t="str">
        <f>if('Ingest Template'!A187="Standard",'Ingest Template'!N187&amp; "|DAR|DAR|2021-01-01",'Ingest Template'!N187&amp; "|Operations - Core Title|Operations - Core Title")</f>
        <v>#N/A</v>
      </c>
      <c r="AK187" s="53" t="str">
        <f>if('Ingest Template'!A187="Standard",'Ingest Template'!R187&amp; "|2021-01-01",'Ingest Template'!R187)</f>
        <v>#N/A</v>
      </c>
      <c r="AL187" s="21"/>
      <c r="AM187" s="21"/>
    </row>
    <row r="188">
      <c r="A188" s="21"/>
      <c r="B188" s="21" t="str">
        <f>'Ingest Template'!B188&amp;IF('Ingest Template'!A188 = "Standard", " - DAR","")</f>
        <v/>
      </c>
      <c r="C188" s="26" t="s">
        <v>109</v>
      </c>
      <c r="D188" s="29" t="str">
        <f t="array" ref="D188">CONCATENATE(INDEX(DropDown!$H$2:$H$10,MATCH(1,COUNTIF('Ingest Template'!F188,"*"&amp;DropDown!$H$2:$H$10&amp;"*"),0)),CHAR(10),'Ingest Template'!G188)</f>
        <v>#N/A</v>
      </c>
      <c r="E188" s="21" t="str">
        <f>CONCATENATE('Ingest Template'!H188,CHAR(10),'Ingest Template'!I188,CHAR(10),'Ingest Template'!J188)</f>
        <v>
</v>
      </c>
      <c r="F188" s="26" t="str">
        <f>'Ingest Template'!H188</f>
        <v/>
      </c>
      <c r="G188" s="21"/>
      <c r="H188" s="29"/>
      <c r="I188" s="21"/>
      <c r="J188" s="29" t="str">
        <f t="array" ref="J188">iF('Ingest Template'!A188="Standard","Pristine Brand",INDEX(DropDown!$M$2:$M$392,MATCH('Ingest Template'!E188,DropDown!$J$2:$J$392,0)))</f>
        <v>#N/A</v>
      </c>
      <c r="K188" s="21" t="str">
        <f>iF('Ingest Template'!A188="Standard",'Ingest Template'!K188&amp;CHAR(10)&amp;'Ingest Template'!L188,"Competitive View")</f>
        <v>Competitive View</v>
      </c>
      <c r="L188" s="29" t="s">
        <v>146</v>
      </c>
      <c r="M188" s="37" t="str">
        <f>'Ingest Template'!D188</f>
        <v/>
      </c>
      <c r="N188" s="21"/>
      <c r="O188" s="21"/>
      <c r="P188" s="21"/>
      <c r="Q188" s="21"/>
      <c r="R188" s="21" t="str">
        <f>'Ingest Template'!E188</f>
        <v/>
      </c>
      <c r="S188" s="29" t="s">
        <v>153</v>
      </c>
      <c r="T188" s="21" t="str">
        <f>'Ingest Template'!T188</f>
        <v/>
      </c>
      <c r="U188" s="21" t="str">
        <f>'Ingest Template'!S188</f>
        <v/>
      </c>
      <c r="V188" s="21" t="str">
        <f>LOWER(SUBSTITUTE(SUBSTITUTE(SUBSTITUTE(SUBSTITUTE(SUBSTITUTE('Ingest Template'!U188,"https:",""),"www.",""),"/",""),"?hl=en",""),"instagram.com",""))</f>
        <v/>
      </c>
      <c r="W188" s="41" t="str">
        <f t="array" ref="W188">IF('Ingest Template'!V188="",(INDEX(DropDown!$L$2:$L$392,MATCH('Ingest Template'!E188,DropDown!$J$2:$J$392,0))&amp;"|"&amp;'Ingest Template'!B188),(INDEX(DropDown!$L$2:$L$392,MATCH('Ingest Template'!E188,DropDown!$J$2:$J$392,0))&amp;"|"&amp;'Ingest Template'!B188)&amp;CHAR(10)&amp;'Ingest Template'!V188)</f>
        <v>#N/A</v>
      </c>
      <c r="X188" s="41" t="str">
        <f>'Ingest Template'!W188</f>
        <v/>
      </c>
      <c r="Y188" s="21" t="str">
        <f>SUBSTITUTE(SUBSTITUTE(SUBSTITUTE('Ingest Template'!X188,"http:",""),"https:",""),"/","")</f>
        <v/>
      </c>
      <c r="Z188" s="21" t="str">
        <f t="array" ref="Z188">IF('Ingest Template'!A188="Standard",(IF(ISBLANK('Ingest Template'!AA188),"", 'Ingest Template'!AA188&amp;"|DAR")),(IF(ISBLANK('Ingest Template'!AA188),"", 'Ingest Template'!AA188&amp;"|Film Ops")))</f>
        <v/>
      </c>
      <c r="AA188" s="21"/>
      <c r="AB188" s="21" t="str">
        <f>'Ingest Template'!M188</f>
        <v/>
      </c>
      <c r="AC188" s="21" t="str">
        <f>'Ingest Template'!Y188</f>
        <v/>
      </c>
      <c r="AD188" s="21" t="str">
        <f>'Ingest Template'!C188</f>
        <v/>
      </c>
      <c r="AE188" s="21" t="str">
        <f>'Ingest Template'!Z188</f>
        <v/>
      </c>
      <c r="AF188" s="29"/>
      <c r="AG188" s="21" t="str">
        <f t="array" ref="AG188">IF('Ingest Template'!A188="Standard",(CONCATENATE(IF(ISBLANK('Ingest Template'!O188),"", 'Ingest Template'!O188&amp;"|DAR"),CHAR(10), IF(ISBLANK('Ingest Template'!P188),"", 'Ingest Template'!P188&amp;"|DAR"),CHAR(10), IF(ISBLANK('Ingest Template'!Q188),"", 'Ingest Template'!Q188&amp;"|DAR"))),(CONCATENATE(IF(ISBLANK('Ingest Template'!O188),"", 'Ingest Template'!O188&amp;"|Operations - Core Title"),CHAR(10), IF(ISBLANK('Ingest Template'!P188),"", 'Ingest Template'!P188&amp;"|Operations - Core Title"),CHAR(10), IF(ISBLANK('Ingest Template'!Q188),"", 'Ingest Template'!Q188&amp;"|Operations - Core Title"))))</f>
        <v>#|Operations - Core Title
#|Operations - Core Title
</v>
      </c>
      <c r="AH188" s="21"/>
      <c r="AI188" s="21"/>
      <c r="AJ188" s="53" t="str">
        <f>if('Ingest Template'!A188="Standard",'Ingest Template'!N188&amp; "|DAR|DAR|2021-01-01",'Ingest Template'!N188&amp; "|Operations - Core Title|Operations - Core Title")</f>
        <v>#N/A</v>
      </c>
      <c r="AK188" s="53" t="str">
        <f>if('Ingest Template'!A188="Standard",'Ingest Template'!R188&amp; "|2021-01-01",'Ingest Template'!R188)</f>
        <v>#N/A</v>
      </c>
      <c r="AL188" s="21"/>
      <c r="AM188" s="21"/>
    </row>
    <row r="189">
      <c r="A189" s="21"/>
      <c r="B189" s="21" t="str">
        <f>'Ingest Template'!B189&amp;IF('Ingest Template'!A189 = "Standard", " - DAR","")</f>
        <v/>
      </c>
      <c r="C189" s="26" t="s">
        <v>109</v>
      </c>
      <c r="D189" s="29" t="str">
        <f t="array" ref="D189">CONCATENATE(INDEX(DropDown!$H$2:$H$10,MATCH(1,COUNTIF('Ingest Template'!F189,"*"&amp;DropDown!$H$2:$H$10&amp;"*"),0)),CHAR(10),'Ingest Template'!G189)</f>
        <v>#N/A</v>
      </c>
      <c r="E189" s="21" t="str">
        <f>CONCATENATE('Ingest Template'!H189,CHAR(10),'Ingest Template'!I189,CHAR(10),'Ingest Template'!J189)</f>
        <v>
</v>
      </c>
      <c r="F189" s="26" t="str">
        <f>'Ingest Template'!H189</f>
        <v/>
      </c>
      <c r="G189" s="21"/>
      <c r="H189" s="29"/>
      <c r="I189" s="21"/>
      <c r="J189" s="29" t="str">
        <f t="array" ref="J189">iF('Ingest Template'!A189="Standard","Pristine Brand",INDEX(DropDown!$M$2:$M$392,MATCH('Ingest Template'!E189,DropDown!$J$2:$J$392,0)))</f>
        <v>#N/A</v>
      </c>
      <c r="K189" s="21" t="str">
        <f>iF('Ingest Template'!A189="Standard",'Ingest Template'!K189&amp;CHAR(10)&amp;'Ingest Template'!L189,"Competitive View")</f>
        <v>Competitive View</v>
      </c>
      <c r="L189" s="29" t="s">
        <v>146</v>
      </c>
      <c r="M189" s="37" t="str">
        <f>'Ingest Template'!D189</f>
        <v/>
      </c>
      <c r="N189" s="21"/>
      <c r="O189" s="21"/>
      <c r="P189" s="21"/>
      <c r="Q189" s="21"/>
      <c r="R189" s="21" t="str">
        <f>'Ingest Template'!E189</f>
        <v/>
      </c>
      <c r="S189" s="29" t="s">
        <v>153</v>
      </c>
      <c r="T189" s="21" t="str">
        <f>'Ingest Template'!T189</f>
        <v/>
      </c>
      <c r="U189" s="21" t="str">
        <f>'Ingest Template'!S189</f>
        <v/>
      </c>
      <c r="V189" s="21" t="str">
        <f>LOWER(SUBSTITUTE(SUBSTITUTE(SUBSTITUTE(SUBSTITUTE(SUBSTITUTE('Ingest Template'!U189,"https:",""),"www.",""),"/",""),"?hl=en",""),"instagram.com",""))</f>
        <v/>
      </c>
      <c r="W189" s="41" t="str">
        <f t="array" ref="W189">IF('Ingest Template'!V189="",(INDEX(DropDown!$L$2:$L$392,MATCH('Ingest Template'!E189,DropDown!$J$2:$J$392,0))&amp;"|"&amp;'Ingest Template'!B189),(INDEX(DropDown!$L$2:$L$392,MATCH('Ingest Template'!E189,DropDown!$J$2:$J$392,0))&amp;"|"&amp;'Ingest Template'!B189)&amp;CHAR(10)&amp;'Ingest Template'!V189)</f>
        <v>#N/A</v>
      </c>
      <c r="X189" s="41" t="str">
        <f>'Ingest Template'!W189</f>
        <v/>
      </c>
      <c r="Y189" s="21" t="str">
        <f>SUBSTITUTE(SUBSTITUTE(SUBSTITUTE('Ingest Template'!X189,"http:",""),"https:",""),"/","")</f>
        <v/>
      </c>
      <c r="Z189" s="21" t="str">
        <f t="array" ref="Z189">IF('Ingest Template'!A189="Standard",(IF(ISBLANK('Ingest Template'!AA189),"", 'Ingest Template'!AA189&amp;"|DAR")),(IF(ISBLANK('Ingest Template'!AA189),"", 'Ingest Template'!AA189&amp;"|Film Ops")))</f>
        <v/>
      </c>
      <c r="AA189" s="21"/>
      <c r="AB189" s="21" t="str">
        <f>'Ingest Template'!M189</f>
        <v/>
      </c>
      <c r="AC189" s="21" t="str">
        <f>'Ingest Template'!Y189</f>
        <v/>
      </c>
      <c r="AD189" s="21" t="str">
        <f>'Ingest Template'!C189</f>
        <v/>
      </c>
      <c r="AE189" s="21" t="str">
        <f>'Ingest Template'!Z189</f>
        <v/>
      </c>
      <c r="AF189" s="29"/>
      <c r="AG189" s="21" t="str">
        <f t="array" ref="AG189">IF('Ingest Template'!A189="Standard",(CONCATENATE(IF(ISBLANK('Ingest Template'!O189),"", 'Ingest Template'!O189&amp;"|DAR"),CHAR(10), IF(ISBLANK('Ingest Template'!P189),"", 'Ingest Template'!P189&amp;"|DAR"),CHAR(10), IF(ISBLANK('Ingest Template'!Q189),"", 'Ingest Template'!Q189&amp;"|DAR"))),(CONCATENATE(IF(ISBLANK('Ingest Template'!O189),"", 'Ingest Template'!O189&amp;"|Operations - Core Title"),CHAR(10), IF(ISBLANK('Ingest Template'!P189),"", 'Ingest Template'!P189&amp;"|Operations - Core Title"),CHAR(10), IF(ISBLANK('Ingest Template'!Q189),"", 'Ingest Template'!Q189&amp;"|Operations - Core Title"))))</f>
        <v>#|Operations - Core Title
#|Operations - Core Title
</v>
      </c>
      <c r="AH189" s="21"/>
      <c r="AI189" s="21"/>
      <c r="AJ189" s="53" t="str">
        <f>if('Ingest Template'!A189="Standard",'Ingest Template'!N189&amp; "|DAR|DAR|2021-01-01",'Ingest Template'!N189&amp; "|Operations - Core Title|Operations - Core Title")</f>
        <v>#N/A</v>
      </c>
      <c r="AK189" s="53" t="str">
        <f>if('Ingest Template'!A189="Standard",'Ingest Template'!R189&amp; "|2021-01-01",'Ingest Template'!R189)</f>
        <v>#N/A</v>
      </c>
      <c r="AL189" s="21"/>
      <c r="AM189" s="21"/>
    </row>
    <row r="190">
      <c r="A190" s="21"/>
      <c r="B190" s="21" t="str">
        <f>'Ingest Template'!B190&amp;IF('Ingest Template'!A190 = "Standard", " - DAR","")</f>
        <v/>
      </c>
      <c r="C190" s="26" t="s">
        <v>109</v>
      </c>
      <c r="D190" s="29" t="str">
        <f t="array" ref="D190">CONCATENATE(INDEX(DropDown!$H$2:$H$10,MATCH(1,COUNTIF('Ingest Template'!F190,"*"&amp;DropDown!$H$2:$H$10&amp;"*"),0)),CHAR(10),'Ingest Template'!G190)</f>
        <v>#N/A</v>
      </c>
      <c r="E190" s="21" t="str">
        <f>CONCATENATE('Ingest Template'!H190,CHAR(10),'Ingest Template'!I190,CHAR(10),'Ingest Template'!J190)</f>
        <v>
</v>
      </c>
      <c r="F190" s="26" t="str">
        <f>'Ingest Template'!H190</f>
        <v/>
      </c>
      <c r="G190" s="21"/>
      <c r="H190" s="29"/>
      <c r="I190" s="21"/>
      <c r="J190" s="29" t="str">
        <f t="array" ref="J190">iF('Ingest Template'!A190="Standard","Pristine Brand",INDEX(DropDown!$M$2:$M$392,MATCH('Ingest Template'!E190,DropDown!$J$2:$J$392,0)))</f>
        <v>#N/A</v>
      </c>
      <c r="K190" s="21" t="str">
        <f>iF('Ingest Template'!A190="Standard",'Ingest Template'!K190&amp;CHAR(10)&amp;'Ingest Template'!L190,"Competitive View")</f>
        <v>Competitive View</v>
      </c>
      <c r="L190" s="29" t="s">
        <v>146</v>
      </c>
      <c r="M190" s="37" t="str">
        <f>'Ingest Template'!D190</f>
        <v/>
      </c>
      <c r="N190" s="21"/>
      <c r="O190" s="21"/>
      <c r="P190" s="21"/>
      <c r="Q190" s="21"/>
      <c r="R190" s="21" t="str">
        <f>'Ingest Template'!E190</f>
        <v/>
      </c>
      <c r="S190" s="29" t="s">
        <v>153</v>
      </c>
      <c r="T190" s="21" t="str">
        <f>'Ingest Template'!T190</f>
        <v/>
      </c>
      <c r="U190" s="21" t="str">
        <f>'Ingest Template'!S190</f>
        <v/>
      </c>
      <c r="V190" s="21" t="str">
        <f>LOWER(SUBSTITUTE(SUBSTITUTE(SUBSTITUTE(SUBSTITUTE(SUBSTITUTE('Ingest Template'!U190,"https:",""),"www.",""),"/",""),"?hl=en",""),"instagram.com",""))</f>
        <v/>
      </c>
      <c r="W190" s="41" t="str">
        <f t="array" ref="W190">IF('Ingest Template'!V190="",(INDEX(DropDown!$L$2:$L$392,MATCH('Ingest Template'!E190,DropDown!$J$2:$J$392,0))&amp;"|"&amp;'Ingest Template'!B190),(INDEX(DropDown!$L$2:$L$392,MATCH('Ingest Template'!E190,DropDown!$J$2:$J$392,0))&amp;"|"&amp;'Ingest Template'!B190)&amp;CHAR(10)&amp;'Ingest Template'!V190)</f>
        <v>#N/A</v>
      </c>
      <c r="X190" s="41" t="str">
        <f>'Ingest Template'!W190</f>
        <v/>
      </c>
      <c r="Y190" s="21" t="str">
        <f>SUBSTITUTE(SUBSTITUTE(SUBSTITUTE('Ingest Template'!X190,"http:",""),"https:",""),"/","")</f>
        <v/>
      </c>
      <c r="Z190" s="21" t="str">
        <f t="array" ref="Z190">IF('Ingest Template'!A190="Standard",(IF(ISBLANK('Ingest Template'!AA190),"", 'Ingest Template'!AA190&amp;"|DAR")),(IF(ISBLANK('Ingest Template'!AA190),"", 'Ingest Template'!AA190&amp;"|Film Ops")))</f>
        <v/>
      </c>
      <c r="AA190" s="21"/>
      <c r="AB190" s="21" t="str">
        <f>'Ingest Template'!M190</f>
        <v/>
      </c>
      <c r="AC190" s="21" t="str">
        <f>'Ingest Template'!Y190</f>
        <v/>
      </c>
      <c r="AD190" s="21" t="str">
        <f>'Ingest Template'!C190</f>
        <v/>
      </c>
      <c r="AE190" s="21" t="str">
        <f>'Ingest Template'!Z190</f>
        <v/>
      </c>
      <c r="AF190" s="29"/>
      <c r="AG190" s="21" t="str">
        <f t="array" ref="AG190">IF('Ingest Template'!A190="Standard",(CONCATENATE(IF(ISBLANK('Ingest Template'!O190),"", 'Ingest Template'!O190&amp;"|DAR"),CHAR(10), IF(ISBLANK('Ingest Template'!P190),"", 'Ingest Template'!P190&amp;"|DAR"),CHAR(10), IF(ISBLANK('Ingest Template'!Q190),"", 'Ingest Template'!Q190&amp;"|DAR"))),(CONCATENATE(IF(ISBLANK('Ingest Template'!O190),"", 'Ingest Template'!O190&amp;"|Operations - Core Title"),CHAR(10), IF(ISBLANK('Ingest Template'!P190),"", 'Ingest Template'!P190&amp;"|Operations - Core Title"),CHAR(10), IF(ISBLANK('Ingest Template'!Q190),"", 'Ingest Template'!Q190&amp;"|Operations - Core Title"))))</f>
        <v>#|Operations - Core Title
#|Operations - Core Title
</v>
      </c>
      <c r="AH190" s="21"/>
      <c r="AI190" s="21"/>
      <c r="AJ190" s="53" t="str">
        <f>if('Ingest Template'!A190="Standard",'Ingest Template'!N190&amp; "|DAR|DAR|2021-01-01",'Ingest Template'!N190&amp; "|Operations - Core Title|Operations - Core Title")</f>
        <v>#N/A</v>
      </c>
      <c r="AK190" s="53" t="str">
        <f>if('Ingest Template'!A190="Standard",'Ingest Template'!R190&amp; "|2021-01-01",'Ingest Template'!R190)</f>
        <v>#N/A</v>
      </c>
      <c r="AL190" s="21"/>
      <c r="AM190" s="21"/>
    </row>
    <row r="191">
      <c r="A191" s="21"/>
      <c r="B191" s="21" t="str">
        <f>'Ingest Template'!B191&amp;IF('Ingest Template'!A191 = "Standard", " - DAR","")</f>
        <v/>
      </c>
      <c r="C191" s="26" t="s">
        <v>109</v>
      </c>
      <c r="D191" s="29" t="str">
        <f t="array" ref="D191">CONCATENATE(INDEX(DropDown!$H$2:$H$10,MATCH(1,COUNTIF('Ingest Template'!F191,"*"&amp;DropDown!$H$2:$H$10&amp;"*"),0)),CHAR(10),'Ingest Template'!G191)</f>
        <v>#N/A</v>
      </c>
      <c r="E191" s="21" t="str">
        <f>CONCATENATE('Ingest Template'!H191,CHAR(10),'Ingest Template'!I191,CHAR(10),'Ingest Template'!J191)</f>
        <v>
</v>
      </c>
      <c r="F191" s="26" t="str">
        <f>'Ingest Template'!H191</f>
        <v/>
      </c>
      <c r="G191" s="21"/>
      <c r="H191" s="29"/>
      <c r="I191" s="21"/>
      <c r="J191" s="29" t="str">
        <f t="array" ref="J191">iF('Ingest Template'!A191="Standard","Pristine Brand",INDEX(DropDown!$M$2:$M$392,MATCH('Ingest Template'!E191,DropDown!$J$2:$J$392,0)))</f>
        <v>#N/A</v>
      </c>
      <c r="K191" s="21" t="str">
        <f>iF('Ingest Template'!A191="Standard",'Ingest Template'!K191&amp;CHAR(10)&amp;'Ingest Template'!L191,"Competitive View")</f>
        <v>Competitive View</v>
      </c>
      <c r="L191" s="29" t="s">
        <v>146</v>
      </c>
      <c r="M191" s="37" t="str">
        <f>'Ingest Template'!D191</f>
        <v/>
      </c>
      <c r="N191" s="21"/>
      <c r="O191" s="21"/>
      <c r="P191" s="21"/>
      <c r="Q191" s="21"/>
      <c r="R191" s="21" t="str">
        <f>'Ingest Template'!E191</f>
        <v/>
      </c>
      <c r="S191" s="29" t="s">
        <v>153</v>
      </c>
      <c r="T191" s="21" t="str">
        <f>'Ingest Template'!T191</f>
        <v/>
      </c>
      <c r="U191" s="21" t="str">
        <f>'Ingest Template'!S191</f>
        <v/>
      </c>
      <c r="V191" s="21" t="str">
        <f>LOWER(SUBSTITUTE(SUBSTITUTE(SUBSTITUTE(SUBSTITUTE(SUBSTITUTE('Ingest Template'!U191,"https:",""),"www.",""),"/",""),"?hl=en",""),"instagram.com",""))</f>
        <v/>
      </c>
      <c r="W191" s="41" t="str">
        <f t="array" ref="W191">IF('Ingest Template'!V191="",(INDEX(DropDown!$L$2:$L$392,MATCH('Ingest Template'!E191,DropDown!$J$2:$J$392,0))&amp;"|"&amp;'Ingest Template'!B191),(INDEX(DropDown!$L$2:$L$392,MATCH('Ingest Template'!E191,DropDown!$J$2:$J$392,0))&amp;"|"&amp;'Ingest Template'!B191)&amp;CHAR(10)&amp;'Ingest Template'!V191)</f>
        <v>#N/A</v>
      </c>
      <c r="X191" s="41" t="str">
        <f>'Ingest Template'!W191</f>
        <v/>
      </c>
      <c r="Y191" s="21" t="str">
        <f>SUBSTITUTE(SUBSTITUTE(SUBSTITUTE('Ingest Template'!X191,"http:",""),"https:",""),"/","")</f>
        <v/>
      </c>
      <c r="Z191" s="21" t="str">
        <f t="array" ref="Z191">IF('Ingest Template'!A191="Standard",(IF(ISBLANK('Ingest Template'!AA191),"", 'Ingest Template'!AA191&amp;"|DAR")),(IF(ISBLANK('Ingest Template'!AA191),"", 'Ingest Template'!AA191&amp;"|Film Ops")))</f>
        <v/>
      </c>
      <c r="AA191" s="21"/>
      <c r="AB191" s="21" t="str">
        <f>'Ingest Template'!M191</f>
        <v/>
      </c>
      <c r="AC191" s="21" t="str">
        <f>'Ingest Template'!Y191</f>
        <v/>
      </c>
      <c r="AD191" s="21" t="str">
        <f>'Ingest Template'!C191</f>
        <v/>
      </c>
      <c r="AE191" s="21" t="str">
        <f>'Ingest Template'!Z191</f>
        <v/>
      </c>
      <c r="AF191" s="29"/>
      <c r="AG191" s="21" t="str">
        <f t="array" ref="AG191">IF('Ingest Template'!A191="Standard",(CONCATENATE(IF(ISBLANK('Ingest Template'!O191),"", 'Ingest Template'!O191&amp;"|DAR"),CHAR(10), IF(ISBLANK('Ingest Template'!P191),"", 'Ingest Template'!P191&amp;"|DAR"),CHAR(10), IF(ISBLANK('Ingest Template'!Q191),"", 'Ingest Template'!Q191&amp;"|DAR"))),(CONCATENATE(IF(ISBLANK('Ingest Template'!O191),"", 'Ingest Template'!O191&amp;"|Operations - Core Title"),CHAR(10), IF(ISBLANK('Ingest Template'!P191),"", 'Ingest Template'!P191&amp;"|Operations - Core Title"),CHAR(10), IF(ISBLANK('Ingest Template'!Q191),"", 'Ingest Template'!Q191&amp;"|Operations - Core Title"))))</f>
        <v>#|Operations - Core Title
#|Operations - Core Title
</v>
      </c>
      <c r="AH191" s="21"/>
      <c r="AI191" s="21"/>
      <c r="AJ191" s="53" t="str">
        <f>if('Ingest Template'!A191="Standard",'Ingest Template'!N191&amp; "|DAR|DAR|2021-01-01",'Ingest Template'!N191&amp; "|Operations - Core Title|Operations - Core Title")</f>
        <v>#N/A</v>
      </c>
      <c r="AK191" s="53" t="str">
        <f>if('Ingest Template'!A191="Standard",'Ingest Template'!R191&amp; "|2021-01-01",'Ingest Template'!R191)</f>
        <v>#N/A</v>
      </c>
      <c r="AL191" s="21"/>
      <c r="AM191" s="21"/>
    </row>
    <row r="192">
      <c r="A192" s="21"/>
      <c r="B192" s="21" t="str">
        <f>'Ingest Template'!B192&amp;IF('Ingest Template'!A192 = "Standard", " - DAR","")</f>
        <v/>
      </c>
      <c r="C192" s="26" t="s">
        <v>109</v>
      </c>
      <c r="D192" s="29" t="str">
        <f t="array" ref="D192">CONCATENATE(INDEX(DropDown!$H$2:$H$10,MATCH(1,COUNTIF('Ingest Template'!F192,"*"&amp;DropDown!$H$2:$H$10&amp;"*"),0)),CHAR(10),'Ingest Template'!G192)</f>
        <v>#N/A</v>
      </c>
      <c r="E192" s="21" t="str">
        <f>CONCATENATE('Ingest Template'!H192,CHAR(10),'Ingest Template'!I192,CHAR(10),'Ingest Template'!J192)</f>
        <v>
</v>
      </c>
      <c r="F192" s="26" t="str">
        <f>'Ingest Template'!H192</f>
        <v/>
      </c>
      <c r="G192" s="21"/>
      <c r="H192" s="29"/>
      <c r="I192" s="21"/>
      <c r="J192" s="29" t="str">
        <f t="array" ref="J192">iF('Ingest Template'!A192="Standard","Pristine Brand",INDEX(DropDown!$M$2:$M$392,MATCH('Ingest Template'!E192,DropDown!$J$2:$J$392,0)))</f>
        <v>#N/A</v>
      </c>
      <c r="K192" s="21" t="str">
        <f>iF('Ingest Template'!A192="Standard",'Ingest Template'!K192&amp;CHAR(10)&amp;'Ingest Template'!L192,"Competitive View")</f>
        <v>Competitive View</v>
      </c>
      <c r="L192" s="29" t="s">
        <v>146</v>
      </c>
      <c r="M192" s="37" t="str">
        <f>'Ingest Template'!D192</f>
        <v/>
      </c>
      <c r="N192" s="21"/>
      <c r="O192" s="21"/>
      <c r="P192" s="21"/>
      <c r="Q192" s="21"/>
      <c r="R192" s="21" t="str">
        <f>'Ingest Template'!E192</f>
        <v/>
      </c>
      <c r="S192" s="29" t="s">
        <v>153</v>
      </c>
      <c r="T192" s="21" t="str">
        <f>'Ingest Template'!T192</f>
        <v/>
      </c>
      <c r="U192" s="21" t="str">
        <f>'Ingest Template'!S192</f>
        <v/>
      </c>
      <c r="V192" s="21" t="str">
        <f>LOWER(SUBSTITUTE(SUBSTITUTE(SUBSTITUTE(SUBSTITUTE(SUBSTITUTE('Ingest Template'!U192,"https:",""),"www.",""),"/",""),"?hl=en",""),"instagram.com",""))</f>
        <v/>
      </c>
      <c r="W192" s="41" t="str">
        <f t="array" ref="W192">IF('Ingest Template'!V192="",(INDEX(DropDown!$L$2:$L$392,MATCH('Ingest Template'!E192,DropDown!$J$2:$J$392,0))&amp;"|"&amp;'Ingest Template'!B192),(INDEX(DropDown!$L$2:$L$392,MATCH('Ingest Template'!E192,DropDown!$J$2:$J$392,0))&amp;"|"&amp;'Ingest Template'!B192)&amp;CHAR(10)&amp;'Ingest Template'!V192)</f>
        <v>#N/A</v>
      </c>
      <c r="X192" s="41" t="str">
        <f>'Ingest Template'!W192</f>
        <v/>
      </c>
      <c r="Y192" s="21" t="str">
        <f>SUBSTITUTE(SUBSTITUTE(SUBSTITUTE('Ingest Template'!X192,"http:",""),"https:",""),"/","")</f>
        <v/>
      </c>
      <c r="Z192" s="21" t="str">
        <f t="array" ref="Z192">IF('Ingest Template'!A192="Standard",(IF(ISBLANK('Ingest Template'!AA192),"", 'Ingest Template'!AA192&amp;"|DAR")),(IF(ISBLANK('Ingest Template'!AA192),"", 'Ingest Template'!AA192&amp;"|Film Ops")))</f>
        <v/>
      </c>
      <c r="AA192" s="21"/>
      <c r="AB192" s="21" t="str">
        <f>'Ingest Template'!M192</f>
        <v/>
      </c>
      <c r="AC192" s="21" t="str">
        <f>'Ingest Template'!Y192</f>
        <v/>
      </c>
      <c r="AD192" s="21" t="str">
        <f>'Ingest Template'!C192</f>
        <v/>
      </c>
      <c r="AE192" s="21" t="str">
        <f>'Ingest Template'!Z192</f>
        <v/>
      </c>
      <c r="AF192" s="29"/>
      <c r="AG192" s="21" t="str">
        <f t="array" ref="AG192">IF('Ingest Template'!A192="Standard",(CONCATENATE(IF(ISBLANK('Ingest Template'!O192),"", 'Ingest Template'!O192&amp;"|DAR"),CHAR(10), IF(ISBLANK('Ingest Template'!P192),"", 'Ingest Template'!P192&amp;"|DAR"),CHAR(10), IF(ISBLANK('Ingest Template'!Q192),"", 'Ingest Template'!Q192&amp;"|DAR"))),(CONCATENATE(IF(ISBLANK('Ingest Template'!O192),"", 'Ingest Template'!O192&amp;"|Operations - Core Title"),CHAR(10), IF(ISBLANK('Ingest Template'!P192),"", 'Ingest Template'!P192&amp;"|Operations - Core Title"),CHAR(10), IF(ISBLANK('Ingest Template'!Q192),"", 'Ingest Template'!Q192&amp;"|Operations - Core Title"))))</f>
        <v>#|Operations - Core Title
#|Operations - Core Title
</v>
      </c>
      <c r="AH192" s="21"/>
      <c r="AI192" s="21"/>
      <c r="AJ192" s="53" t="str">
        <f>if('Ingest Template'!A192="Standard",'Ingest Template'!N192&amp; "|DAR|DAR|2021-01-01",'Ingest Template'!N192&amp; "|Operations - Core Title|Operations - Core Title")</f>
        <v>#N/A</v>
      </c>
      <c r="AK192" s="53" t="str">
        <f>if('Ingest Template'!A192="Standard",'Ingest Template'!R192&amp; "|2021-01-01",'Ingest Template'!R192)</f>
        <v>#N/A</v>
      </c>
      <c r="AL192" s="21"/>
      <c r="AM192" s="21"/>
    </row>
    <row r="193">
      <c r="A193" s="21"/>
      <c r="B193" s="21" t="str">
        <f>'Ingest Template'!B193&amp;IF('Ingest Template'!A193 = "Standard", " - DAR","")</f>
        <v/>
      </c>
      <c r="C193" s="26" t="s">
        <v>109</v>
      </c>
      <c r="D193" s="29" t="str">
        <f t="array" ref="D193">CONCATENATE(INDEX(DropDown!$H$2:$H$10,MATCH(1,COUNTIF('Ingest Template'!F193,"*"&amp;DropDown!$H$2:$H$10&amp;"*"),0)),CHAR(10),'Ingest Template'!G193)</f>
        <v>#N/A</v>
      </c>
      <c r="E193" s="21" t="str">
        <f>CONCATENATE('Ingest Template'!H193,CHAR(10),'Ingest Template'!I193,CHAR(10),'Ingest Template'!J193)</f>
        <v>
</v>
      </c>
      <c r="F193" s="26" t="str">
        <f>'Ingest Template'!H193</f>
        <v/>
      </c>
      <c r="G193" s="21"/>
      <c r="H193" s="29"/>
      <c r="I193" s="21"/>
      <c r="J193" s="29" t="str">
        <f t="array" ref="J193">iF('Ingest Template'!A193="Standard","Pristine Brand",INDEX(DropDown!$M$2:$M$392,MATCH('Ingest Template'!E193,DropDown!$J$2:$J$392,0)))</f>
        <v>#N/A</v>
      </c>
      <c r="K193" s="21" t="str">
        <f>iF('Ingest Template'!A193="Standard",'Ingest Template'!K193&amp;CHAR(10)&amp;'Ingest Template'!L193,"Competitive View")</f>
        <v>Competitive View</v>
      </c>
      <c r="L193" s="29" t="s">
        <v>146</v>
      </c>
      <c r="M193" s="37" t="str">
        <f>'Ingest Template'!D193</f>
        <v/>
      </c>
      <c r="N193" s="21"/>
      <c r="O193" s="21"/>
      <c r="P193" s="21"/>
      <c r="Q193" s="21"/>
      <c r="R193" s="21" t="str">
        <f>'Ingest Template'!E193</f>
        <v/>
      </c>
      <c r="S193" s="29" t="s">
        <v>153</v>
      </c>
      <c r="T193" s="21" t="str">
        <f>'Ingest Template'!T193</f>
        <v/>
      </c>
      <c r="U193" s="21" t="str">
        <f>'Ingest Template'!S193</f>
        <v/>
      </c>
      <c r="V193" s="21" t="str">
        <f>LOWER(SUBSTITUTE(SUBSTITUTE(SUBSTITUTE(SUBSTITUTE(SUBSTITUTE('Ingest Template'!U193,"https:",""),"www.",""),"/",""),"?hl=en",""),"instagram.com",""))</f>
        <v/>
      </c>
      <c r="W193" s="41" t="str">
        <f t="array" ref="W193">IF('Ingest Template'!V193="",(INDEX(DropDown!$L$2:$L$392,MATCH('Ingest Template'!E193,DropDown!$J$2:$J$392,0))&amp;"|"&amp;'Ingest Template'!B193),(INDEX(DropDown!$L$2:$L$392,MATCH('Ingest Template'!E193,DropDown!$J$2:$J$392,0))&amp;"|"&amp;'Ingest Template'!B193)&amp;CHAR(10)&amp;'Ingest Template'!V193)</f>
        <v>#N/A</v>
      </c>
      <c r="X193" s="41" t="str">
        <f>'Ingest Template'!W193</f>
        <v/>
      </c>
      <c r="Y193" s="21" t="str">
        <f>SUBSTITUTE(SUBSTITUTE(SUBSTITUTE('Ingest Template'!X193,"http:",""),"https:",""),"/","")</f>
        <v/>
      </c>
      <c r="Z193" s="21" t="str">
        <f t="array" ref="Z193">IF('Ingest Template'!A193="Standard",(IF(ISBLANK('Ingest Template'!AA193),"", 'Ingest Template'!AA193&amp;"|DAR")),(IF(ISBLANK('Ingest Template'!AA193),"", 'Ingest Template'!AA193&amp;"|Film Ops")))</f>
        <v/>
      </c>
      <c r="AA193" s="21"/>
      <c r="AB193" s="21" t="str">
        <f>'Ingest Template'!M193</f>
        <v/>
      </c>
      <c r="AC193" s="21" t="str">
        <f>'Ingest Template'!Y193</f>
        <v/>
      </c>
      <c r="AD193" s="21" t="str">
        <f>'Ingest Template'!C193</f>
        <v/>
      </c>
      <c r="AE193" s="21" t="str">
        <f>'Ingest Template'!Z193</f>
        <v/>
      </c>
      <c r="AF193" s="29"/>
      <c r="AG193" s="21" t="str">
        <f t="array" ref="AG193">IF('Ingest Template'!A193="Standard",(CONCATENATE(IF(ISBLANK('Ingest Template'!O193),"", 'Ingest Template'!O193&amp;"|DAR"),CHAR(10), IF(ISBLANK('Ingest Template'!P193),"", 'Ingest Template'!P193&amp;"|DAR"),CHAR(10), IF(ISBLANK('Ingest Template'!Q193),"", 'Ingest Template'!Q193&amp;"|DAR"))),(CONCATENATE(IF(ISBLANK('Ingest Template'!O193),"", 'Ingest Template'!O193&amp;"|Operations - Core Title"),CHAR(10), IF(ISBLANK('Ingest Template'!P193),"", 'Ingest Template'!P193&amp;"|Operations - Core Title"),CHAR(10), IF(ISBLANK('Ingest Template'!Q193),"", 'Ingest Template'!Q193&amp;"|Operations - Core Title"))))</f>
        <v>#|Operations - Core Title
#|Operations - Core Title
</v>
      </c>
      <c r="AH193" s="21"/>
      <c r="AI193" s="21"/>
      <c r="AJ193" s="53" t="str">
        <f>if('Ingest Template'!A193="Standard",'Ingest Template'!N193&amp; "|DAR|DAR|2021-01-01",'Ingest Template'!N193&amp; "|Operations - Core Title|Operations - Core Title")</f>
        <v>#N/A</v>
      </c>
      <c r="AK193" s="53" t="str">
        <f>if('Ingest Template'!A193="Standard",'Ingest Template'!R193&amp; "|2021-01-01",'Ingest Template'!R193)</f>
        <v>#N/A</v>
      </c>
      <c r="AL193" s="21"/>
      <c r="AM193" s="21"/>
    </row>
    <row r="194">
      <c r="A194" s="21"/>
      <c r="B194" s="21" t="str">
        <f>'Ingest Template'!B194&amp;IF('Ingest Template'!A194 = "Standard", " - DAR","")</f>
        <v/>
      </c>
      <c r="C194" s="26" t="s">
        <v>109</v>
      </c>
      <c r="D194" s="29" t="str">
        <f t="array" ref="D194">CONCATENATE(INDEX(DropDown!$H$2:$H$10,MATCH(1,COUNTIF('Ingest Template'!F194,"*"&amp;DropDown!$H$2:$H$10&amp;"*"),0)),CHAR(10),'Ingest Template'!G194)</f>
        <v>#N/A</v>
      </c>
      <c r="E194" s="21" t="str">
        <f>CONCATENATE('Ingest Template'!H194,CHAR(10),'Ingest Template'!I194,CHAR(10),'Ingest Template'!J194)</f>
        <v>
</v>
      </c>
      <c r="F194" s="26" t="str">
        <f>'Ingest Template'!H194</f>
        <v/>
      </c>
      <c r="G194" s="21"/>
      <c r="H194" s="29"/>
      <c r="I194" s="21"/>
      <c r="J194" s="29" t="str">
        <f t="array" ref="J194">iF('Ingest Template'!A194="Standard","Pristine Brand",INDEX(DropDown!$M$2:$M$392,MATCH('Ingest Template'!E194,DropDown!$J$2:$J$392,0)))</f>
        <v>#N/A</v>
      </c>
      <c r="K194" s="21" t="str">
        <f>iF('Ingest Template'!A194="Standard",'Ingest Template'!K194&amp;CHAR(10)&amp;'Ingest Template'!L194,"Competitive View")</f>
        <v>Competitive View</v>
      </c>
      <c r="L194" s="29" t="s">
        <v>146</v>
      </c>
      <c r="M194" s="37" t="str">
        <f>'Ingest Template'!D194</f>
        <v/>
      </c>
      <c r="N194" s="21"/>
      <c r="O194" s="21"/>
      <c r="P194" s="21"/>
      <c r="Q194" s="21"/>
      <c r="R194" s="21" t="str">
        <f>'Ingest Template'!E194</f>
        <v/>
      </c>
      <c r="S194" s="29" t="s">
        <v>153</v>
      </c>
      <c r="T194" s="21" t="str">
        <f>'Ingest Template'!T194</f>
        <v/>
      </c>
      <c r="U194" s="21" t="str">
        <f>'Ingest Template'!S194</f>
        <v/>
      </c>
      <c r="V194" s="21" t="str">
        <f>LOWER(SUBSTITUTE(SUBSTITUTE(SUBSTITUTE(SUBSTITUTE(SUBSTITUTE('Ingest Template'!U194,"https:",""),"www.",""),"/",""),"?hl=en",""),"instagram.com",""))</f>
        <v/>
      </c>
      <c r="W194" s="41" t="str">
        <f t="array" ref="W194">IF('Ingest Template'!V194="",(INDEX(DropDown!$L$2:$L$392,MATCH('Ingest Template'!E194,DropDown!$J$2:$J$392,0))&amp;"|"&amp;'Ingest Template'!B194),(INDEX(DropDown!$L$2:$L$392,MATCH('Ingest Template'!E194,DropDown!$J$2:$J$392,0))&amp;"|"&amp;'Ingest Template'!B194)&amp;CHAR(10)&amp;'Ingest Template'!V194)</f>
        <v>#N/A</v>
      </c>
      <c r="X194" s="41" t="str">
        <f>'Ingest Template'!W194</f>
        <v/>
      </c>
      <c r="Y194" s="21" t="str">
        <f>SUBSTITUTE(SUBSTITUTE(SUBSTITUTE('Ingest Template'!X194,"http:",""),"https:",""),"/","")</f>
        <v/>
      </c>
      <c r="Z194" s="21" t="str">
        <f t="array" ref="Z194">IF('Ingest Template'!A194="Standard",(IF(ISBLANK('Ingest Template'!AA194),"", 'Ingest Template'!AA194&amp;"|DAR")),(IF(ISBLANK('Ingest Template'!AA194),"", 'Ingest Template'!AA194&amp;"|Film Ops")))</f>
        <v/>
      </c>
      <c r="AA194" s="21"/>
      <c r="AB194" s="21" t="str">
        <f>'Ingest Template'!M194</f>
        <v/>
      </c>
      <c r="AC194" s="21" t="str">
        <f>'Ingest Template'!Y194</f>
        <v/>
      </c>
      <c r="AD194" s="21" t="str">
        <f>'Ingest Template'!C194</f>
        <v/>
      </c>
      <c r="AE194" s="21" t="str">
        <f>'Ingest Template'!Z194</f>
        <v/>
      </c>
      <c r="AF194" s="29"/>
      <c r="AG194" s="21" t="str">
        <f t="array" ref="AG194">IF('Ingest Template'!A194="Standard",(CONCATENATE(IF(ISBLANK('Ingest Template'!O194),"", 'Ingest Template'!O194&amp;"|DAR"),CHAR(10), IF(ISBLANK('Ingest Template'!P194),"", 'Ingest Template'!P194&amp;"|DAR"),CHAR(10), IF(ISBLANK('Ingest Template'!Q194),"", 'Ingest Template'!Q194&amp;"|DAR"))),(CONCATENATE(IF(ISBLANK('Ingest Template'!O194),"", 'Ingest Template'!O194&amp;"|Operations - Core Title"),CHAR(10), IF(ISBLANK('Ingest Template'!P194),"", 'Ingest Template'!P194&amp;"|Operations - Core Title"),CHAR(10), IF(ISBLANK('Ingest Template'!Q194),"", 'Ingest Template'!Q194&amp;"|Operations - Core Title"))))</f>
        <v>#|Operations - Core Title
#|Operations - Core Title
</v>
      </c>
      <c r="AH194" s="21"/>
      <c r="AI194" s="21"/>
      <c r="AJ194" s="53" t="str">
        <f>if('Ingest Template'!A194="Standard",'Ingest Template'!N194&amp; "|DAR|DAR|2021-01-01",'Ingest Template'!N194&amp; "|Operations - Core Title|Operations - Core Title")</f>
        <v>#N/A</v>
      </c>
      <c r="AK194" s="53" t="str">
        <f>if('Ingest Template'!A194="Standard",'Ingest Template'!R194&amp; "|2021-01-01",'Ingest Template'!R194)</f>
        <v>#N/A</v>
      </c>
      <c r="AL194" s="21"/>
      <c r="AM194" s="21"/>
    </row>
    <row r="195">
      <c r="A195" s="21"/>
      <c r="B195" s="21" t="str">
        <f>'Ingest Template'!B195&amp;IF('Ingest Template'!A195 = "Standard", " - DAR","")</f>
        <v/>
      </c>
      <c r="C195" s="26" t="s">
        <v>109</v>
      </c>
      <c r="D195" s="29" t="str">
        <f t="array" ref="D195">CONCATENATE(INDEX(DropDown!$H$2:$H$10,MATCH(1,COUNTIF('Ingest Template'!F195,"*"&amp;DropDown!$H$2:$H$10&amp;"*"),0)),CHAR(10),'Ingest Template'!G195)</f>
        <v>#N/A</v>
      </c>
      <c r="E195" s="21" t="str">
        <f>CONCATENATE('Ingest Template'!H195,CHAR(10),'Ingest Template'!I195,CHAR(10),'Ingest Template'!J195)</f>
        <v>
</v>
      </c>
      <c r="F195" s="26" t="str">
        <f>'Ingest Template'!H195</f>
        <v/>
      </c>
      <c r="G195" s="21"/>
      <c r="H195" s="29"/>
      <c r="I195" s="21"/>
      <c r="J195" s="29" t="str">
        <f t="array" ref="J195">iF('Ingest Template'!A195="Standard","Pristine Brand",INDEX(DropDown!$M$2:$M$392,MATCH('Ingest Template'!E195,DropDown!$J$2:$J$392,0)))</f>
        <v>#N/A</v>
      </c>
      <c r="K195" s="21" t="str">
        <f>iF('Ingest Template'!A195="Standard",'Ingest Template'!K195&amp;CHAR(10)&amp;'Ingest Template'!L195,"Competitive View")</f>
        <v>Competitive View</v>
      </c>
      <c r="L195" s="29" t="s">
        <v>146</v>
      </c>
      <c r="M195" s="37" t="str">
        <f>'Ingest Template'!D195</f>
        <v/>
      </c>
      <c r="N195" s="21"/>
      <c r="O195" s="21"/>
      <c r="P195" s="21"/>
      <c r="Q195" s="21"/>
      <c r="R195" s="21" t="str">
        <f>'Ingest Template'!E195</f>
        <v/>
      </c>
      <c r="S195" s="29" t="s">
        <v>153</v>
      </c>
      <c r="T195" s="21" t="str">
        <f>'Ingest Template'!T195</f>
        <v/>
      </c>
      <c r="U195" s="21" t="str">
        <f>'Ingest Template'!S195</f>
        <v/>
      </c>
      <c r="V195" s="21" t="str">
        <f>LOWER(SUBSTITUTE(SUBSTITUTE(SUBSTITUTE(SUBSTITUTE(SUBSTITUTE('Ingest Template'!U195,"https:",""),"www.",""),"/",""),"?hl=en",""),"instagram.com",""))</f>
        <v/>
      </c>
      <c r="W195" s="41" t="str">
        <f t="array" ref="W195">IF('Ingest Template'!V195="",(INDEX(DropDown!$L$2:$L$392,MATCH('Ingest Template'!E195,DropDown!$J$2:$J$392,0))&amp;"|"&amp;'Ingest Template'!B195),(INDEX(DropDown!$L$2:$L$392,MATCH('Ingest Template'!E195,DropDown!$J$2:$J$392,0))&amp;"|"&amp;'Ingest Template'!B195)&amp;CHAR(10)&amp;'Ingest Template'!V195)</f>
        <v>#N/A</v>
      </c>
      <c r="X195" s="41" t="str">
        <f>'Ingest Template'!W195</f>
        <v/>
      </c>
      <c r="Y195" s="21" t="str">
        <f>SUBSTITUTE(SUBSTITUTE(SUBSTITUTE('Ingest Template'!X195,"http:",""),"https:",""),"/","")</f>
        <v/>
      </c>
      <c r="Z195" s="21" t="str">
        <f t="array" ref="Z195">IF('Ingest Template'!A195="Standard",(IF(ISBLANK('Ingest Template'!AA195),"", 'Ingest Template'!AA195&amp;"|DAR")),(IF(ISBLANK('Ingest Template'!AA195),"", 'Ingest Template'!AA195&amp;"|Film Ops")))</f>
        <v/>
      </c>
      <c r="AA195" s="21"/>
      <c r="AB195" s="21" t="str">
        <f>'Ingest Template'!M195</f>
        <v/>
      </c>
      <c r="AC195" s="21" t="str">
        <f>'Ingest Template'!Y195</f>
        <v/>
      </c>
      <c r="AD195" s="21" t="str">
        <f>'Ingest Template'!C195</f>
        <v/>
      </c>
      <c r="AE195" s="21" t="str">
        <f>'Ingest Template'!Z195</f>
        <v/>
      </c>
      <c r="AF195" s="29"/>
      <c r="AG195" s="21" t="str">
        <f t="array" ref="AG195">IF('Ingest Template'!A195="Standard",(CONCATENATE(IF(ISBLANK('Ingest Template'!O195),"", 'Ingest Template'!O195&amp;"|DAR"),CHAR(10), IF(ISBLANK('Ingest Template'!P195),"", 'Ingest Template'!P195&amp;"|DAR"),CHAR(10), IF(ISBLANK('Ingest Template'!Q195),"", 'Ingest Template'!Q195&amp;"|DAR"))),(CONCATENATE(IF(ISBLANK('Ingest Template'!O195),"", 'Ingest Template'!O195&amp;"|Operations - Core Title"),CHAR(10), IF(ISBLANK('Ingest Template'!P195),"", 'Ingest Template'!P195&amp;"|Operations - Core Title"),CHAR(10), IF(ISBLANK('Ingest Template'!Q195),"", 'Ingest Template'!Q195&amp;"|Operations - Core Title"))))</f>
        <v>#|Operations - Core Title
#|Operations - Core Title
</v>
      </c>
      <c r="AH195" s="21"/>
      <c r="AI195" s="21"/>
      <c r="AJ195" s="53" t="str">
        <f>if('Ingest Template'!A195="Standard",'Ingest Template'!N195&amp; "|DAR|DAR|2021-01-01",'Ingest Template'!N195&amp; "|Operations - Core Title|Operations - Core Title")</f>
        <v>#N/A</v>
      </c>
      <c r="AK195" s="53" t="str">
        <f>if('Ingest Template'!A195="Standard",'Ingest Template'!R195&amp; "|2021-01-01",'Ingest Template'!R195)</f>
        <v>#N/A</v>
      </c>
      <c r="AL195" s="21"/>
      <c r="AM195" s="21"/>
    </row>
    <row r="196">
      <c r="A196" s="21"/>
      <c r="B196" s="21" t="str">
        <f>'Ingest Template'!B196&amp;IF('Ingest Template'!A196 = "Standard", " - DAR","")</f>
        <v/>
      </c>
      <c r="C196" s="26" t="s">
        <v>109</v>
      </c>
      <c r="D196" s="29" t="str">
        <f t="array" ref="D196">CONCATENATE(INDEX(DropDown!$H$2:$H$10,MATCH(1,COUNTIF('Ingest Template'!F196,"*"&amp;DropDown!$H$2:$H$10&amp;"*"),0)),CHAR(10),'Ingest Template'!G196)</f>
        <v>#N/A</v>
      </c>
      <c r="E196" s="21" t="str">
        <f>CONCATENATE('Ingest Template'!H196,CHAR(10),'Ingest Template'!I196,CHAR(10),'Ingest Template'!J196)</f>
        <v>
</v>
      </c>
      <c r="F196" s="26" t="str">
        <f>'Ingest Template'!H196</f>
        <v/>
      </c>
      <c r="G196" s="21"/>
      <c r="H196" s="29"/>
      <c r="I196" s="21"/>
      <c r="J196" s="29" t="str">
        <f t="array" ref="J196">iF('Ingest Template'!A196="Standard","Pristine Brand",INDEX(DropDown!$M$2:$M$392,MATCH('Ingest Template'!E196,DropDown!$J$2:$J$392,0)))</f>
        <v>#N/A</v>
      </c>
      <c r="K196" s="21" t="str">
        <f>iF('Ingest Template'!A196="Standard",'Ingest Template'!K196&amp;CHAR(10)&amp;'Ingest Template'!L196,"Competitive View")</f>
        <v>Competitive View</v>
      </c>
      <c r="L196" s="29" t="s">
        <v>146</v>
      </c>
      <c r="M196" s="37" t="str">
        <f>'Ingest Template'!D196</f>
        <v/>
      </c>
      <c r="N196" s="21"/>
      <c r="O196" s="21"/>
      <c r="P196" s="21"/>
      <c r="Q196" s="21"/>
      <c r="R196" s="21" t="str">
        <f>'Ingest Template'!E196</f>
        <v/>
      </c>
      <c r="S196" s="29" t="s">
        <v>153</v>
      </c>
      <c r="T196" s="21" t="str">
        <f>'Ingest Template'!T196</f>
        <v/>
      </c>
      <c r="U196" s="21" t="str">
        <f>'Ingest Template'!S196</f>
        <v/>
      </c>
      <c r="V196" s="21" t="str">
        <f>LOWER(SUBSTITUTE(SUBSTITUTE(SUBSTITUTE(SUBSTITUTE(SUBSTITUTE('Ingest Template'!U196,"https:",""),"www.",""),"/",""),"?hl=en",""),"instagram.com",""))</f>
        <v/>
      </c>
      <c r="W196" s="41" t="str">
        <f t="array" ref="W196">IF('Ingest Template'!V196="",(INDEX(DropDown!$L$2:$L$392,MATCH('Ingest Template'!E196,DropDown!$J$2:$J$392,0))&amp;"|"&amp;'Ingest Template'!B196),(INDEX(DropDown!$L$2:$L$392,MATCH('Ingest Template'!E196,DropDown!$J$2:$J$392,0))&amp;"|"&amp;'Ingest Template'!B196)&amp;CHAR(10)&amp;'Ingest Template'!V196)</f>
        <v>#N/A</v>
      </c>
      <c r="X196" s="41" t="str">
        <f>'Ingest Template'!W196</f>
        <v/>
      </c>
      <c r="Y196" s="21" t="str">
        <f>SUBSTITUTE(SUBSTITUTE(SUBSTITUTE('Ingest Template'!X196,"http:",""),"https:",""),"/","")</f>
        <v/>
      </c>
      <c r="Z196" s="21" t="str">
        <f t="array" ref="Z196">IF('Ingest Template'!A196="Standard",(IF(ISBLANK('Ingest Template'!AA196),"", 'Ingest Template'!AA196&amp;"|DAR")),(IF(ISBLANK('Ingest Template'!AA196),"", 'Ingest Template'!AA196&amp;"|Film Ops")))</f>
        <v/>
      </c>
      <c r="AA196" s="21"/>
      <c r="AB196" s="21" t="str">
        <f>'Ingest Template'!M196</f>
        <v/>
      </c>
      <c r="AC196" s="21" t="str">
        <f>'Ingest Template'!Y196</f>
        <v/>
      </c>
      <c r="AD196" s="21" t="str">
        <f>'Ingest Template'!C196</f>
        <v/>
      </c>
      <c r="AE196" s="21" t="str">
        <f>'Ingest Template'!Z196</f>
        <v/>
      </c>
      <c r="AF196" s="29"/>
      <c r="AG196" s="21" t="str">
        <f t="array" ref="AG196">IF('Ingest Template'!A196="Standard",(CONCATENATE(IF(ISBLANK('Ingest Template'!O196),"", 'Ingest Template'!O196&amp;"|DAR"),CHAR(10), IF(ISBLANK('Ingest Template'!P196),"", 'Ingest Template'!P196&amp;"|DAR"),CHAR(10), IF(ISBLANK('Ingest Template'!Q196),"", 'Ingest Template'!Q196&amp;"|DAR"))),(CONCATENATE(IF(ISBLANK('Ingest Template'!O196),"", 'Ingest Template'!O196&amp;"|Operations - Core Title"),CHAR(10), IF(ISBLANK('Ingest Template'!P196),"", 'Ingest Template'!P196&amp;"|Operations - Core Title"),CHAR(10), IF(ISBLANK('Ingest Template'!Q196),"", 'Ingest Template'!Q196&amp;"|Operations - Core Title"))))</f>
        <v>#|Operations - Core Title
#|Operations - Core Title
</v>
      </c>
      <c r="AH196" s="21"/>
      <c r="AI196" s="21"/>
      <c r="AJ196" s="53" t="str">
        <f>if('Ingest Template'!A196="Standard",'Ingest Template'!N196&amp; "|DAR|DAR|2021-01-01",'Ingest Template'!N196&amp; "|Operations - Core Title|Operations - Core Title")</f>
        <v>#N/A</v>
      </c>
      <c r="AK196" s="53" t="str">
        <f>if('Ingest Template'!A196="Standard",'Ingest Template'!R196&amp; "|2021-01-01",'Ingest Template'!R196)</f>
        <v>#N/A</v>
      </c>
      <c r="AL196" s="21"/>
      <c r="AM196" s="21"/>
    </row>
    <row r="197">
      <c r="A197" s="21"/>
      <c r="B197" s="21" t="str">
        <f>'Ingest Template'!B197&amp;IF('Ingest Template'!A197 = "Standard", " - DAR","")</f>
        <v/>
      </c>
      <c r="C197" s="26" t="s">
        <v>109</v>
      </c>
      <c r="D197" s="29" t="str">
        <f t="array" ref="D197">CONCATENATE(INDEX(DropDown!$H$2:$H$10,MATCH(1,COUNTIF('Ingest Template'!F197,"*"&amp;DropDown!$H$2:$H$10&amp;"*"),0)),CHAR(10),'Ingest Template'!G197)</f>
        <v>#N/A</v>
      </c>
      <c r="E197" s="21" t="str">
        <f>CONCATENATE('Ingest Template'!H197,CHAR(10),'Ingest Template'!I197,CHAR(10),'Ingest Template'!J197)</f>
        <v>
</v>
      </c>
      <c r="F197" s="26" t="str">
        <f>'Ingest Template'!H197</f>
        <v/>
      </c>
      <c r="G197" s="21"/>
      <c r="H197" s="29"/>
      <c r="I197" s="21"/>
      <c r="J197" s="29" t="str">
        <f t="array" ref="J197">iF('Ingest Template'!A197="Standard","Pristine Brand",INDEX(DropDown!$M$2:$M$392,MATCH('Ingest Template'!E197,DropDown!$J$2:$J$392,0)))</f>
        <v>#N/A</v>
      </c>
      <c r="K197" s="21" t="str">
        <f>iF('Ingest Template'!A197="Standard",'Ingest Template'!K197&amp;CHAR(10)&amp;'Ingest Template'!L197,"Competitive View")</f>
        <v>Competitive View</v>
      </c>
      <c r="L197" s="29" t="s">
        <v>146</v>
      </c>
      <c r="M197" s="37" t="str">
        <f>'Ingest Template'!D197</f>
        <v/>
      </c>
      <c r="N197" s="21"/>
      <c r="O197" s="21"/>
      <c r="P197" s="21"/>
      <c r="Q197" s="21"/>
      <c r="R197" s="21" t="str">
        <f>'Ingest Template'!E197</f>
        <v/>
      </c>
      <c r="S197" s="29" t="s">
        <v>153</v>
      </c>
      <c r="T197" s="21" t="str">
        <f>'Ingest Template'!T197</f>
        <v/>
      </c>
      <c r="U197" s="21" t="str">
        <f>'Ingest Template'!S197</f>
        <v/>
      </c>
      <c r="V197" s="21" t="str">
        <f>LOWER(SUBSTITUTE(SUBSTITUTE(SUBSTITUTE(SUBSTITUTE(SUBSTITUTE('Ingest Template'!U197,"https:",""),"www.",""),"/",""),"?hl=en",""),"instagram.com",""))</f>
        <v/>
      </c>
      <c r="W197" s="41" t="str">
        <f t="array" ref="W197">IF('Ingest Template'!V197="",(INDEX(DropDown!$L$2:$L$392,MATCH('Ingest Template'!E197,DropDown!$J$2:$J$392,0))&amp;"|"&amp;'Ingest Template'!B197),(INDEX(DropDown!$L$2:$L$392,MATCH('Ingest Template'!E197,DropDown!$J$2:$J$392,0))&amp;"|"&amp;'Ingest Template'!B197)&amp;CHAR(10)&amp;'Ingest Template'!V197)</f>
        <v>#N/A</v>
      </c>
      <c r="X197" s="41" t="str">
        <f>'Ingest Template'!W197</f>
        <v/>
      </c>
      <c r="Y197" s="21" t="str">
        <f>SUBSTITUTE(SUBSTITUTE(SUBSTITUTE('Ingest Template'!X197,"http:",""),"https:",""),"/","")</f>
        <v/>
      </c>
      <c r="Z197" s="21" t="str">
        <f t="array" ref="Z197">IF('Ingest Template'!A197="Standard",(IF(ISBLANK('Ingest Template'!AA197),"", 'Ingest Template'!AA197&amp;"|DAR")),(IF(ISBLANK('Ingest Template'!AA197),"", 'Ingest Template'!AA197&amp;"|Film Ops")))</f>
        <v/>
      </c>
      <c r="AA197" s="21"/>
      <c r="AB197" s="21" t="str">
        <f>'Ingest Template'!M197</f>
        <v/>
      </c>
      <c r="AC197" s="21" t="str">
        <f>'Ingest Template'!Y197</f>
        <v/>
      </c>
      <c r="AD197" s="21" t="str">
        <f>'Ingest Template'!C197</f>
        <v/>
      </c>
      <c r="AE197" s="21" t="str">
        <f>'Ingest Template'!Z197</f>
        <v/>
      </c>
      <c r="AF197" s="29"/>
      <c r="AG197" s="21" t="str">
        <f t="array" ref="AG197">IF('Ingest Template'!A197="Standard",(CONCATENATE(IF(ISBLANK('Ingest Template'!O197),"", 'Ingest Template'!O197&amp;"|DAR"),CHAR(10), IF(ISBLANK('Ingest Template'!P197),"", 'Ingest Template'!P197&amp;"|DAR"),CHAR(10), IF(ISBLANK('Ingest Template'!Q197),"", 'Ingest Template'!Q197&amp;"|DAR"))),(CONCATENATE(IF(ISBLANK('Ingest Template'!O197),"", 'Ingest Template'!O197&amp;"|Operations - Core Title"),CHAR(10), IF(ISBLANK('Ingest Template'!P197),"", 'Ingest Template'!P197&amp;"|Operations - Core Title"),CHAR(10), IF(ISBLANK('Ingest Template'!Q197),"", 'Ingest Template'!Q197&amp;"|Operations - Core Title"))))</f>
        <v>#|Operations - Core Title
#|Operations - Core Title
</v>
      </c>
      <c r="AH197" s="21"/>
      <c r="AI197" s="21"/>
      <c r="AJ197" s="53" t="str">
        <f>if('Ingest Template'!A197="Standard",'Ingest Template'!N197&amp; "|DAR|DAR|2021-01-01",'Ingest Template'!N197&amp; "|Operations - Core Title|Operations - Core Title")</f>
        <v>#N/A</v>
      </c>
      <c r="AK197" s="53" t="str">
        <f>if('Ingest Template'!A197="Standard",'Ingest Template'!R197&amp; "|2021-01-01",'Ingest Template'!R197)</f>
        <v>#N/A</v>
      </c>
      <c r="AL197" s="21"/>
      <c r="AM197" s="21"/>
    </row>
    <row r="198">
      <c r="A198" s="21"/>
      <c r="B198" s="21" t="str">
        <f>'Ingest Template'!B198&amp;IF('Ingest Template'!A198 = "Standard", " - DAR","")</f>
        <v/>
      </c>
      <c r="C198" s="26" t="s">
        <v>109</v>
      </c>
      <c r="D198" s="29" t="str">
        <f t="array" ref="D198">CONCATENATE(INDEX(DropDown!$H$2:$H$10,MATCH(1,COUNTIF('Ingest Template'!F198,"*"&amp;DropDown!$H$2:$H$10&amp;"*"),0)),CHAR(10),'Ingest Template'!G198)</f>
        <v>#N/A</v>
      </c>
      <c r="E198" s="21" t="str">
        <f>CONCATENATE('Ingest Template'!H198,CHAR(10),'Ingest Template'!I198,CHAR(10),'Ingest Template'!J198)</f>
        <v>
</v>
      </c>
      <c r="F198" s="26" t="str">
        <f>'Ingest Template'!H198</f>
        <v/>
      </c>
      <c r="G198" s="21"/>
      <c r="H198" s="29"/>
      <c r="I198" s="21"/>
      <c r="J198" s="29" t="str">
        <f t="array" ref="J198">iF('Ingest Template'!A198="Standard","Pristine Brand",INDEX(DropDown!$M$2:$M$392,MATCH('Ingest Template'!E198,DropDown!$J$2:$J$392,0)))</f>
        <v>#N/A</v>
      </c>
      <c r="K198" s="21" t="str">
        <f>iF('Ingest Template'!A198="Standard",'Ingest Template'!K198&amp;CHAR(10)&amp;'Ingest Template'!L198,"Competitive View")</f>
        <v>Competitive View</v>
      </c>
      <c r="L198" s="29" t="s">
        <v>146</v>
      </c>
      <c r="M198" s="37" t="str">
        <f>'Ingest Template'!D198</f>
        <v/>
      </c>
      <c r="N198" s="21"/>
      <c r="O198" s="21"/>
      <c r="P198" s="21"/>
      <c r="Q198" s="21"/>
      <c r="R198" s="21" t="str">
        <f>'Ingest Template'!E198</f>
        <v/>
      </c>
      <c r="S198" s="29" t="s">
        <v>153</v>
      </c>
      <c r="T198" s="21" t="str">
        <f>'Ingest Template'!T198</f>
        <v/>
      </c>
      <c r="U198" s="21" t="str">
        <f>'Ingest Template'!S198</f>
        <v/>
      </c>
      <c r="V198" s="21" t="str">
        <f>LOWER(SUBSTITUTE(SUBSTITUTE(SUBSTITUTE(SUBSTITUTE(SUBSTITUTE('Ingest Template'!U198,"https:",""),"www.",""),"/",""),"?hl=en",""),"instagram.com",""))</f>
        <v/>
      </c>
      <c r="W198" s="41" t="str">
        <f t="array" ref="W198">IF('Ingest Template'!V198="",(INDEX(DropDown!$L$2:$L$392,MATCH('Ingest Template'!E198,DropDown!$J$2:$J$392,0))&amp;"|"&amp;'Ingest Template'!B198),(INDEX(DropDown!$L$2:$L$392,MATCH('Ingest Template'!E198,DropDown!$J$2:$J$392,0))&amp;"|"&amp;'Ingest Template'!B198)&amp;CHAR(10)&amp;'Ingest Template'!V198)</f>
        <v>#N/A</v>
      </c>
      <c r="X198" s="41" t="str">
        <f>'Ingest Template'!W198</f>
        <v/>
      </c>
      <c r="Y198" s="21" t="str">
        <f>SUBSTITUTE(SUBSTITUTE(SUBSTITUTE('Ingest Template'!X198,"http:",""),"https:",""),"/","")</f>
        <v/>
      </c>
      <c r="Z198" s="21" t="str">
        <f t="array" ref="Z198">IF('Ingest Template'!A198="Standard",(IF(ISBLANK('Ingest Template'!AA198),"", 'Ingest Template'!AA198&amp;"|DAR")),(IF(ISBLANK('Ingest Template'!AA198),"", 'Ingest Template'!AA198&amp;"|Film Ops")))</f>
        <v/>
      </c>
      <c r="AA198" s="21"/>
      <c r="AB198" s="21" t="str">
        <f>'Ingest Template'!M198</f>
        <v/>
      </c>
      <c r="AC198" s="21" t="str">
        <f>'Ingest Template'!Y198</f>
        <v/>
      </c>
      <c r="AD198" s="21" t="str">
        <f>'Ingest Template'!C198</f>
        <v/>
      </c>
      <c r="AE198" s="21" t="str">
        <f>'Ingest Template'!Z198</f>
        <v/>
      </c>
      <c r="AF198" s="29"/>
      <c r="AG198" s="21" t="str">
        <f t="array" ref="AG198">IF('Ingest Template'!A198="Standard",(CONCATENATE(IF(ISBLANK('Ingest Template'!O198),"", 'Ingest Template'!O198&amp;"|DAR"),CHAR(10), IF(ISBLANK('Ingest Template'!P198),"", 'Ingest Template'!P198&amp;"|DAR"),CHAR(10), IF(ISBLANK('Ingest Template'!Q198),"", 'Ingest Template'!Q198&amp;"|DAR"))),(CONCATENATE(IF(ISBLANK('Ingest Template'!O198),"", 'Ingest Template'!O198&amp;"|Operations - Core Title"),CHAR(10), IF(ISBLANK('Ingest Template'!P198),"", 'Ingest Template'!P198&amp;"|Operations - Core Title"),CHAR(10), IF(ISBLANK('Ingest Template'!Q198),"", 'Ingest Template'!Q198&amp;"|Operations - Core Title"))))</f>
        <v>#|Operations - Core Title
#|Operations - Core Title
</v>
      </c>
      <c r="AH198" s="21"/>
      <c r="AI198" s="21"/>
      <c r="AJ198" s="53" t="str">
        <f>if('Ingest Template'!A198="Standard",'Ingest Template'!N198&amp; "|DAR|DAR|2021-01-01",'Ingest Template'!N198&amp; "|Operations - Core Title|Operations - Core Title")</f>
        <v>#N/A</v>
      </c>
      <c r="AK198" s="53" t="str">
        <f>if('Ingest Template'!A198="Standard",'Ingest Template'!R198&amp; "|2021-01-01",'Ingest Template'!R198)</f>
        <v>#N/A</v>
      </c>
      <c r="AL198" s="21"/>
      <c r="AM198" s="21"/>
    </row>
    <row r="199">
      <c r="A199" s="21"/>
      <c r="B199" s="21" t="str">
        <f>'Ingest Template'!B199&amp;IF('Ingest Template'!A199 = "Standard", " - DAR","")</f>
        <v/>
      </c>
      <c r="C199" s="26" t="s">
        <v>109</v>
      </c>
      <c r="D199" s="29" t="str">
        <f t="array" ref="D199">CONCATENATE(INDEX(DropDown!$H$2:$H$10,MATCH(1,COUNTIF('Ingest Template'!F199,"*"&amp;DropDown!$H$2:$H$10&amp;"*"),0)),CHAR(10),'Ingest Template'!G199)</f>
        <v>#N/A</v>
      </c>
      <c r="E199" s="21" t="str">
        <f>CONCATENATE('Ingest Template'!H199,CHAR(10),'Ingest Template'!I199,CHAR(10),'Ingest Template'!J199)</f>
        <v>
</v>
      </c>
      <c r="F199" s="26" t="str">
        <f>'Ingest Template'!H199</f>
        <v/>
      </c>
      <c r="G199" s="21"/>
      <c r="H199" s="29"/>
      <c r="I199" s="21"/>
      <c r="J199" s="29" t="str">
        <f t="array" ref="J199">iF('Ingest Template'!A199="Standard","Pristine Brand",INDEX(DropDown!$M$2:$M$392,MATCH('Ingest Template'!E199,DropDown!$J$2:$J$392,0)))</f>
        <v>#N/A</v>
      </c>
      <c r="K199" s="21" t="str">
        <f>iF('Ingest Template'!A199="Standard",'Ingest Template'!K199&amp;CHAR(10)&amp;'Ingest Template'!L199,"Competitive View")</f>
        <v>Competitive View</v>
      </c>
      <c r="L199" s="29" t="s">
        <v>146</v>
      </c>
      <c r="M199" s="37" t="str">
        <f>'Ingest Template'!D199</f>
        <v/>
      </c>
      <c r="N199" s="21"/>
      <c r="O199" s="21"/>
      <c r="P199" s="21"/>
      <c r="Q199" s="21"/>
      <c r="R199" s="21" t="str">
        <f>'Ingest Template'!E199</f>
        <v/>
      </c>
      <c r="S199" s="29" t="s">
        <v>153</v>
      </c>
      <c r="T199" s="21" t="str">
        <f>'Ingest Template'!T199</f>
        <v/>
      </c>
      <c r="U199" s="21" t="str">
        <f>'Ingest Template'!S199</f>
        <v/>
      </c>
      <c r="V199" s="21" t="str">
        <f>LOWER(SUBSTITUTE(SUBSTITUTE(SUBSTITUTE(SUBSTITUTE(SUBSTITUTE('Ingest Template'!U199,"https:",""),"www.",""),"/",""),"?hl=en",""),"instagram.com",""))</f>
        <v/>
      </c>
      <c r="W199" s="41" t="str">
        <f t="array" ref="W199">IF('Ingest Template'!V199="",(INDEX(DropDown!$L$2:$L$392,MATCH('Ingest Template'!E199,DropDown!$J$2:$J$392,0))&amp;"|"&amp;'Ingest Template'!B199),(INDEX(DropDown!$L$2:$L$392,MATCH('Ingest Template'!E199,DropDown!$J$2:$J$392,0))&amp;"|"&amp;'Ingest Template'!B199)&amp;CHAR(10)&amp;'Ingest Template'!V199)</f>
        <v>#N/A</v>
      </c>
      <c r="X199" s="41" t="str">
        <f>'Ingest Template'!W199</f>
        <v/>
      </c>
      <c r="Y199" s="21" t="str">
        <f>SUBSTITUTE(SUBSTITUTE(SUBSTITUTE('Ingest Template'!X199,"http:",""),"https:",""),"/","")</f>
        <v/>
      </c>
      <c r="Z199" s="21" t="str">
        <f t="array" ref="Z199">IF('Ingest Template'!A199="Standard",(IF(ISBLANK('Ingest Template'!AA199),"", 'Ingest Template'!AA199&amp;"|DAR")),(IF(ISBLANK('Ingest Template'!AA199),"", 'Ingest Template'!AA199&amp;"|Film Ops")))</f>
        <v/>
      </c>
      <c r="AA199" s="21"/>
      <c r="AB199" s="21" t="str">
        <f>'Ingest Template'!M199</f>
        <v/>
      </c>
      <c r="AC199" s="21" t="str">
        <f>'Ingest Template'!Y199</f>
        <v/>
      </c>
      <c r="AD199" s="21" t="str">
        <f>'Ingest Template'!C199</f>
        <v/>
      </c>
      <c r="AE199" s="21" t="str">
        <f>'Ingest Template'!Z199</f>
        <v/>
      </c>
      <c r="AF199" s="29"/>
      <c r="AG199" s="21" t="str">
        <f t="array" ref="AG199">IF('Ingest Template'!A199="Standard",(CONCATENATE(IF(ISBLANK('Ingest Template'!O199),"", 'Ingest Template'!O199&amp;"|DAR"),CHAR(10), IF(ISBLANK('Ingest Template'!P199),"", 'Ingest Template'!P199&amp;"|DAR"),CHAR(10), IF(ISBLANK('Ingest Template'!Q199),"", 'Ingest Template'!Q199&amp;"|DAR"))),(CONCATENATE(IF(ISBLANK('Ingest Template'!O199),"", 'Ingest Template'!O199&amp;"|Operations - Core Title"),CHAR(10), IF(ISBLANK('Ingest Template'!P199),"", 'Ingest Template'!P199&amp;"|Operations - Core Title"),CHAR(10), IF(ISBLANK('Ingest Template'!Q199),"", 'Ingest Template'!Q199&amp;"|Operations - Core Title"))))</f>
        <v>#|Operations - Core Title
#|Operations - Core Title
</v>
      </c>
      <c r="AH199" s="21"/>
      <c r="AI199" s="21"/>
      <c r="AJ199" s="53" t="str">
        <f>if('Ingest Template'!A199="Standard",'Ingest Template'!N199&amp; "|DAR|DAR|2021-01-01",'Ingest Template'!N199&amp; "|Operations - Core Title|Operations - Core Title")</f>
        <v>#N/A</v>
      </c>
      <c r="AK199" s="53" t="str">
        <f>if('Ingest Template'!A199="Standard",'Ingest Template'!R199&amp; "|2021-01-01",'Ingest Template'!R199)</f>
        <v>#N/A</v>
      </c>
      <c r="AL199" s="21"/>
      <c r="AM199" s="21"/>
    </row>
    <row r="200">
      <c r="A200" s="21"/>
      <c r="B200" s="21" t="str">
        <f>'Ingest Template'!B200&amp;IF('Ingest Template'!A200 = "Standard", " - DAR","")</f>
        <v/>
      </c>
      <c r="C200" s="26" t="s">
        <v>109</v>
      </c>
      <c r="D200" s="29" t="str">
        <f t="array" ref="D200">CONCATENATE(INDEX(DropDown!$H$2:$H$10,MATCH(1,COUNTIF('Ingest Template'!F200,"*"&amp;DropDown!$H$2:$H$10&amp;"*"),0)),CHAR(10),'Ingest Template'!G200)</f>
        <v>#N/A</v>
      </c>
      <c r="E200" s="21" t="str">
        <f>CONCATENATE('Ingest Template'!H200,CHAR(10),'Ingest Template'!I200,CHAR(10),'Ingest Template'!J200)</f>
        <v>
</v>
      </c>
      <c r="F200" s="26" t="str">
        <f>'Ingest Template'!H200</f>
        <v/>
      </c>
      <c r="G200" s="21"/>
      <c r="H200" s="29"/>
      <c r="I200" s="21"/>
      <c r="J200" s="29" t="str">
        <f t="array" ref="J200">iF('Ingest Template'!A200="Standard","Pristine Brand",INDEX(DropDown!$M$2:$M$392,MATCH('Ingest Template'!E200,DropDown!$J$2:$J$392,0)))</f>
        <v>#N/A</v>
      </c>
      <c r="K200" s="21" t="str">
        <f>iF('Ingest Template'!A200="Standard",'Ingest Template'!K200&amp;CHAR(10)&amp;'Ingest Template'!L200,"Competitive View")</f>
        <v>Competitive View</v>
      </c>
      <c r="L200" s="29" t="s">
        <v>146</v>
      </c>
      <c r="M200" s="37" t="str">
        <f>'Ingest Template'!D200</f>
        <v/>
      </c>
      <c r="N200" s="21"/>
      <c r="O200" s="21"/>
      <c r="P200" s="21"/>
      <c r="Q200" s="21"/>
      <c r="R200" s="21" t="str">
        <f>'Ingest Template'!E200</f>
        <v/>
      </c>
      <c r="S200" s="29" t="s">
        <v>153</v>
      </c>
      <c r="T200" s="21" t="str">
        <f>'Ingest Template'!T200</f>
        <v/>
      </c>
      <c r="U200" s="21" t="str">
        <f>'Ingest Template'!S200</f>
        <v/>
      </c>
      <c r="V200" s="21" t="str">
        <f>LOWER(SUBSTITUTE(SUBSTITUTE(SUBSTITUTE(SUBSTITUTE(SUBSTITUTE('Ingest Template'!U200,"https:",""),"www.",""),"/",""),"?hl=en",""),"instagram.com",""))</f>
        <v/>
      </c>
      <c r="W200" s="41" t="str">
        <f t="array" ref="W200">IF('Ingest Template'!V200="",(INDEX(DropDown!$L$2:$L$392,MATCH('Ingest Template'!E200,DropDown!$J$2:$J$392,0))&amp;"|"&amp;'Ingest Template'!B200),(INDEX(DropDown!$L$2:$L$392,MATCH('Ingest Template'!E200,DropDown!$J$2:$J$392,0))&amp;"|"&amp;'Ingest Template'!B200)&amp;CHAR(10)&amp;'Ingest Template'!V200)</f>
        <v>#N/A</v>
      </c>
      <c r="X200" s="41" t="str">
        <f>'Ingest Template'!W200</f>
        <v/>
      </c>
      <c r="Y200" s="21" t="str">
        <f>SUBSTITUTE(SUBSTITUTE(SUBSTITUTE('Ingest Template'!X200,"http:",""),"https:",""),"/","")</f>
        <v/>
      </c>
      <c r="Z200" s="21" t="str">
        <f t="array" ref="Z200">IF('Ingest Template'!A200="Standard",(IF(ISBLANK('Ingest Template'!AA200),"", 'Ingest Template'!AA200&amp;"|DAR")),(IF(ISBLANK('Ingest Template'!AA200),"", 'Ingest Template'!AA200&amp;"|Film Ops")))</f>
        <v/>
      </c>
      <c r="AA200" s="21"/>
      <c r="AB200" s="21" t="str">
        <f>'Ingest Template'!M200</f>
        <v/>
      </c>
      <c r="AC200" s="21" t="str">
        <f>'Ingest Template'!Y200</f>
        <v/>
      </c>
      <c r="AD200" s="21" t="str">
        <f>'Ingest Template'!C200</f>
        <v/>
      </c>
      <c r="AE200" s="21" t="str">
        <f>'Ingest Template'!Z200</f>
        <v/>
      </c>
      <c r="AF200" s="29"/>
      <c r="AG200" s="21" t="str">
        <f t="array" ref="AG200">IF('Ingest Template'!A200="Standard",(CONCATENATE(IF(ISBLANK('Ingest Template'!O200),"", 'Ingest Template'!O200&amp;"|DAR"),CHAR(10), IF(ISBLANK('Ingest Template'!P200),"", 'Ingest Template'!P200&amp;"|DAR"),CHAR(10), IF(ISBLANK('Ingest Template'!Q200),"", 'Ingest Template'!Q200&amp;"|DAR"))),(CONCATENATE(IF(ISBLANK('Ingest Template'!O200),"", 'Ingest Template'!O200&amp;"|Operations - Core Title"),CHAR(10), IF(ISBLANK('Ingest Template'!P200),"", 'Ingest Template'!P200&amp;"|Operations - Core Title"),CHAR(10), IF(ISBLANK('Ingest Template'!Q200),"", 'Ingest Template'!Q200&amp;"|Operations - Core Title"))))</f>
        <v>#|Operations - Core Title
#|Operations - Core Title
</v>
      </c>
      <c r="AH200" s="21"/>
      <c r="AI200" s="21"/>
      <c r="AJ200" s="53" t="str">
        <f>if('Ingest Template'!A200="Standard",'Ingest Template'!N200&amp; "|DAR|DAR|2021-01-01",'Ingest Template'!N200&amp; "|Operations - Core Title|Operations - Core Title")</f>
        <v>#N/A</v>
      </c>
      <c r="AK200" s="53" t="str">
        <f>if('Ingest Template'!A200="Standard",'Ingest Template'!R200&amp; "|2021-01-01",'Ingest Template'!R200)</f>
        <v>#N/A</v>
      </c>
      <c r="AL200" s="21"/>
      <c r="AM200" s="21"/>
    </row>
    <row r="201">
      <c r="A201" s="21"/>
      <c r="B201" s="21" t="str">
        <f>'Ingest Template'!B201&amp;IF('Ingest Template'!A201 = "Standard", " - DAR","")</f>
        <v/>
      </c>
      <c r="C201" s="26" t="s">
        <v>109</v>
      </c>
      <c r="D201" s="29" t="str">
        <f t="array" ref="D201">CONCATENATE(INDEX(DropDown!$H$2:$H$10,MATCH(1,COUNTIF('Ingest Template'!F201,"*"&amp;DropDown!$H$2:$H$10&amp;"*"),0)),CHAR(10),'Ingest Template'!G201)</f>
        <v>#N/A</v>
      </c>
      <c r="E201" s="21" t="str">
        <f>CONCATENATE('Ingest Template'!H201,CHAR(10),'Ingest Template'!I201,CHAR(10),'Ingest Template'!J201)</f>
        <v>
</v>
      </c>
      <c r="F201" s="26" t="str">
        <f>'Ingest Template'!H201</f>
        <v/>
      </c>
      <c r="G201" s="21"/>
      <c r="H201" s="29"/>
      <c r="I201" s="21"/>
      <c r="J201" s="29" t="str">
        <f t="array" ref="J201">iF('Ingest Template'!A201="Standard","Pristine Brand",INDEX(DropDown!$M$2:$M$392,MATCH('Ingest Template'!E201,DropDown!$J$2:$J$392,0)))</f>
        <v>#N/A</v>
      </c>
      <c r="K201" s="21" t="str">
        <f>iF('Ingest Template'!A201="Standard",'Ingest Template'!K201&amp;CHAR(10)&amp;'Ingest Template'!L201,"Competitive View")</f>
        <v>Competitive View</v>
      </c>
      <c r="L201" s="29" t="s">
        <v>146</v>
      </c>
      <c r="M201" s="37" t="str">
        <f>'Ingest Template'!D201</f>
        <v/>
      </c>
      <c r="N201" s="21"/>
      <c r="O201" s="21"/>
      <c r="P201" s="21"/>
      <c r="Q201" s="21"/>
      <c r="R201" s="21" t="str">
        <f>'Ingest Template'!E201</f>
        <v/>
      </c>
      <c r="S201" s="29" t="s">
        <v>153</v>
      </c>
      <c r="T201" s="21" t="str">
        <f>'Ingest Template'!T201</f>
        <v/>
      </c>
      <c r="U201" s="21" t="str">
        <f>'Ingest Template'!S201</f>
        <v/>
      </c>
      <c r="V201" s="21" t="str">
        <f>LOWER(SUBSTITUTE(SUBSTITUTE(SUBSTITUTE(SUBSTITUTE(SUBSTITUTE('Ingest Template'!U201,"https:",""),"www.",""),"/",""),"?hl=en",""),"instagram.com",""))</f>
        <v/>
      </c>
      <c r="W201" s="41" t="str">
        <f t="array" ref="W201">IF('Ingest Template'!V201="",(INDEX(DropDown!$L$2:$L$392,MATCH('Ingest Template'!E201,DropDown!$J$2:$J$392,0))&amp;"|"&amp;'Ingest Template'!B201),(INDEX(DropDown!$L$2:$L$392,MATCH('Ingest Template'!E201,DropDown!$J$2:$J$392,0))&amp;"|"&amp;'Ingest Template'!B201)&amp;CHAR(10)&amp;'Ingest Template'!V201)</f>
        <v>#N/A</v>
      </c>
      <c r="X201" s="41" t="str">
        <f>'Ingest Template'!W201</f>
        <v/>
      </c>
      <c r="Y201" s="21" t="str">
        <f>SUBSTITUTE(SUBSTITUTE(SUBSTITUTE('Ingest Template'!X201,"http:",""),"https:",""),"/","")</f>
        <v/>
      </c>
      <c r="Z201" s="21" t="str">
        <f t="array" ref="Z201">IF('Ingest Template'!A201="Standard",(IF(ISBLANK('Ingest Template'!AA201),"", 'Ingest Template'!AA201&amp;"|DAR")),(IF(ISBLANK('Ingest Template'!AA201),"", 'Ingest Template'!AA201&amp;"|Film Ops")))</f>
        <v/>
      </c>
      <c r="AA201" s="21"/>
      <c r="AB201" s="21" t="str">
        <f>'Ingest Template'!M201</f>
        <v/>
      </c>
      <c r="AC201" s="21" t="str">
        <f>'Ingest Template'!Y201</f>
        <v/>
      </c>
      <c r="AD201" s="21" t="str">
        <f>'Ingest Template'!C201</f>
        <v/>
      </c>
      <c r="AE201" s="21" t="str">
        <f>'Ingest Template'!Z201</f>
        <v/>
      </c>
      <c r="AF201" s="29"/>
      <c r="AG201" s="21" t="str">
        <f t="array" ref="AG201">IF('Ingest Template'!A201="Standard",(CONCATENATE(IF(ISBLANK('Ingest Template'!O201),"", 'Ingest Template'!O201&amp;"|DAR"),CHAR(10), IF(ISBLANK('Ingest Template'!P201),"", 'Ingest Template'!P201&amp;"|DAR"),CHAR(10), IF(ISBLANK('Ingest Template'!Q201),"", 'Ingest Template'!Q201&amp;"|DAR"))),(CONCATENATE(IF(ISBLANK('Ingest Template'!O201),"", 'Ingest Template'!O201&amp;"|Operations - Core Title"),CHAR(10), IF(ISBLANK('Ingest Template'!P201),"", 'Ingest Template'!P201&amp;"|Operations - Core Title"),CHAR(10), IF(ISBLANK('Ingest Template'!Q201),"", 'Ingest Template'!Q201&amp;"|Operations - Core Title"))))</f>
        <v>#|Operations - Core Title
#|Operations - Core Title
</v>
      </c>
      <c r="AH201" s="21"/>
      <c r="AI201" s="21"/>
      <c r="AJ201" s="53" t="str">
        <f>if('Ingest Template'!A201="Standard",'Ingest Template'!N201&amp; "|DAR|DAR|2021-01-01",'Ingest Template'!N201&amp; "|Operations - Core Title|Operations - Core Title")</f>
        <v>#N/A</v>
      </c>
      <c r="AK201" s="53" t="str">
        <f>if('Ingest Template'!A201="Standard",'Ingest Template'!R201&amp; "|2021-01-01",'Ingest Template'!R201)</f>
        <v>#N/A</v>
      </c>
      <c r="AL201" s="21"/>
      <c r="AM201" s="21"/>
    </row>
    <row r="202">
      <c r="A202" s="21"/>
      <c r="B202" s="21" t="str">
        <f>'Ingest Template'!B202&amp;IF('Ingest Template'!A202 = "Standard", " - DAR","")</f>
        <v/>
      </c>
      <c r="C202" s="26" t="s">
        <v>109</v>
      </c>
      <c r="D202" s="29" t="str">
        <f t="array" ref="D202">CONCATENATE(INDEX(DropDown!$H$2:$H$10,MATCH(1,COUNTIF('Ingest Template'!F202,"*"&amp;DropDown!$H$2:$H$10&amp;"*"),0)),CHAR(10),'Ingest Template'!G202)</f>
        <v>#N/A</v>
      </c>
      <c r="E202" s="21" t="str">
        <f>CONCATENATE('Ingest Template'!H202,CHAR(10),'Ingest Template'!I202,CHAR(10),'Ingest Template'!J202)</f>
        <v>
</v>
      </c>
      <c r="F202" s="26" t="str">
        <f>'Ingest Template'!H202</f>
        <v/>
      </c>
      <c r="G202" s="21"/>
      <c r="H202" s="29"/>
      <c r="I202" s="21"/>
      <c r="J202" s="29" t="str">
        <f t="array" ref="J202">iF('Ingest Template'!A202="Standard","Pristine Brand",INDEX(DropDown!$M$2:$M$392,MATCH('Ingest Template'!E202,DropDown!$J$2:$J$392,0)))</f>
        <v>#N/A</v>
      </c>
      <c r="K202" s="21" t="str">
        <f>iF('Ingest Template'!A202="Standard",'Ingest Template'!K202&amp;CHAR(10)&amp;'Ingest Template'!L202,"Competitive View")</f>
        <v>Competitive View</v>
      </c>
      <c r="L202" s="29" t="s">
        <v>146</v>
      </c>
      <c r="M202" s="37" t="str">
        <f>'Ingest Template'!D202</f>
        <v/>
      </c>
      <c r="N202" s="21"/>
      <c r="O202" s="21"/>
      <c r="P202" s="21"/>
      <c r="Q202" s="21"/>
      <c r="R202" s="21" t="str">
        <f>'Ingest Template'!E202</f>
        <v/>
      </c>
      <c r="S202" s="29" t="s">
        <v>153</v>
      </c>
      <c r="T202" s="21" t="str">
        <f>'Ingest Template'!T202</f>
        <v/>
      </c>
      <c r="U202" s="21" t="str">
        <f>'Ingest Template'!S202</f>
        <v/>
      </c>
      <c r="V202" s="21" t="str">
        <f>LOWER(SUBSTITUTE(SUBSTITUTE(SUBSTITUTE(SUBSTITUTE(SUBSTITUTE('Ingest Template'!U202,"https:",""),"www.",""),"/",""),"?hl=en",""),"instagram.com",""))</f>
        <v/>
      </c>
      <c r="W202" s="41" t="str">
        <f t="array" ref="W202">IF('Ingest Template'!V202="",(INDEX(DropDown!$L$2:$L$392,MATCH('Ingest Template'!E202,DropDown!$J$2:$J$392,0))&amp;"|"&amp;'Ingest Template'!B202),(INDEX(DropDown!$L$2:$L$392,MATCH('Ingest Template'!E202,DropDown!$J$2:$J$392,0))&amp;"|"&amp;'Ingest Template'!B202)&amp;CHAR(10)&amp;'Ingest Template'!V202)</f>
        <v>#N/A</v>
      </c>
      <c r="X202" s="41" t="str">
        <f>'Ingest Template'!W202</f>
        <v/>
      </c>
      <c r="Y202" s="21" t="str">
        <f>SUBSTITUTE(SUBSTITUTE(SUBSTITUTE('Ingest Template'!X202,"http:",""),"https:",""),"/","")</f>
        <v/>
      </c>
      <c r="Z202" s="21" t="str">
        <f t="array" ref="Z202">IF('Ingest Template'!A202="Standard",(IF(ISBLANK('Ingest Template'!AA202),"", 'Ingest Template'!AA202&amp;"|DAR")),(IF(ISBLANK('Ingest Template'!AA202),"", 'Ingest Template'!AA202&amp;"|Film Ops")))</f>
        <v/>
      </c>
      <c r="AA202" s="21"/>
      <c r="AB202" s="21" t="str">
        <f>'Ingest Template'!M202</f>
        <v/>
      </c>
      <c r="AC202" s="21" t="str">
        <f>'Ingest Template'!Y202</f>
        <v/>
      </c>
      <c r="AD202" s="21" t="str">
        <f>'Ingest Template'!C202</f>
        <v/>
      </c>
      <c r="AE202" s="21" t="str">
        <f>'Ingest Template'!Z202</f>
        <v/>
      </c>
      <c r="AF202" s="29"/>
      <c r="AG202" s="21" t="str">
        <f t="array" ref="AG202">IF('Ingest Template'!A202="Standard",(CONCATENATE(IF(ISBLANK('Ingest Template'!O202),"", 'Ingest Template'!O202&amp;"|DAR"),CHAR(10), IF(ISBLANK('Ingest Template'!P202),"", 'Ingest Template'!P202&amp;"|DAR"),CHAR(10), IF(ISBLANK('Ingest Template'!Q202),"", 'Ingest Template'!Q202&amp;"|DAR"))),(CONCATENATE(IF(ISBLANK('Ingest Template'!O202),"", 'Ingest Template'!O202&amp;"|Operations - Core Title"),CHAR(10), IF(ISBLANK('Ingest Template'!P202),"", 'Ingest Template'!P202&amp;"|Operations - Core Title"),CHAR(10), IF(ISBLANK('Ingest Template'!Q202),"", 'Ingest Template'!Q202&amp;"|Operations - Core Title"))))</f>
        <v>#|Operations - Core Title
#|Operations - Core Title
</v>
      </c>
      <c r="AH202" s="21"/>
      <c r="AI202" s="21"/>
      <c r="AJ202" s="53" t="str">
        <f>if('Ingest Template'!A202="Standard",'Ingest Template'!N202&amp; "|DAR|DAR|2021-01-01",'Ingest Template'!N202&amp; "|Operations - Core Title|Operations - Core Title")</f>
        <v>#N/A</v>
      </c>
      <c r="AK202" s="53" t="str">
        <f>if('Ingest Template'!A202="Standard",'Ingest Template'!R202&amp; "|2021-01-01",'Ingest Template'!R202)</f>
        <v>#N/A</v>
      </c>
      <c r="AL202" s="21"/>
      <c r="AM202" s="21"/>
    </row>
    <row r="203">
      <c r="A203" s="21"/>
      <c r="B203" s="21" t="str">
        <f>'Ingest Template'!B203&amp;IF('Ingest Template'!A203 = "Standard", " - DAR","")</f>
        <v/>
      </c>
      <c r="C203" s="26" t="s">
        <v>109</v>
      </c>
      <c r="D203" s="29" t="str">
        <f t="array" ref="D203">CONCATENATE(INDEX(DropDown!$H$2:$H$10,MATCH(1,COUNTIF('Ingest Template'!F203,"*"&amp;DropDown!$H$2:$H$10&amp;"*"),0)),CHAR(10),'Ingest Template'!G203)</f>
        <v>#N/A</v>
      </c>
      <c r="E203" s="21" t="str">
        <f>CONCATENATE('Ingest Template'!H203,CHAR(10),'Ingest Template'!I203,CHAR(10),'Ingest Template'!J203)</f>
        <v>
</v>
      </c>
      <c r="F203" s="26" t="str">
        <f>'Ingest Template'!H203</f>
        <v/>
      </c>
      <c r="G203" s="21"/>
      <c r="H203" s="29"/>
      <c r="I203" s="21"/>
      <c r="J203" s="29" t="str">
        <f t="array" ref="J203">iF('Ingest Template'!A203="Standard","Pristine Brand",INDEX(DropDown!$M$2:$M$392,MATCH('Ingest Template'!E203,DropDown!$J$2:$J$392,0)))</f>
        <v>#N/A</v>
      </c>
      <c r="K203" s="21" t="str">
        <f>iF('Ingest Template'!A203="Standard",'Ingest Template'!K203&amp;CHAR(10)&amp;'Ingest Template'!L203,"Competitive View")</f>
        <v>Competitive View</v>
      </c>
      <c r="L203" s="29" t="s">
        <v>146</v>
      </c>
      <c r="M203" s="37" t="str">
        <f>'Ingest Template'!D203</f>
        <v/>
      </c>
      <c r="N203" s="21"/>
      <c r="O203" s="21"/>
      <c r="P203" s="21"/>
      <c r="Q203" s="21"/>
      <c r="R203" s="21" t="str">
        <f>'Ingest Template'!E203</f>
        <v/>
      </c>
      <c r="S203" s="29" t="s">
        <v>153</v>
      </c>
      <c r="T203" s="21" t="str">
        <f>'Ingest Template'!T203</f>
        <v/>
      </c>
      <c r="U203" s="21" t="str">
        <f>'Ingest Template'!S203</f>
        <v/>
      </c>
      <c r="V203" s="21" t="str">
        <f>LOWER(SUBSTITUTE(SUBSTITUTE(SUBSTITUTE(SUBSTITUTE(SUBSTITUTE('Ingest Template'!U203,"https:",""),"www.",""),"/",""),"?hl=en",""),"instagram.com",""))</f>
        <v/>
      </c>
      <c r="W203" s="41" t="str">
        <f t="array" ref="W203">IF('Ingest Template'!V203="",(INDEX(DropDown!$L$2:$L$392,MATCH('Ingest Template'!E203,DropDown!$J$2:$J$392,0))&amp;"|"&amp;'Ingest Template'!B203),(INDEX(DropDown!$L$2:$L$392,MATCH('Ingest Template'!E203,DropDown!$J$2:$J$392,0))&amp;"|"&amp;'Ingest Template'!B203)&amp;CHAR(10)&amp;'Ingest Template'!V203)</f>
        <v>#N/A</v>
      </c>
      <c r="X203" s="41" t="str">
        <f>'Ingest Template'!W203</f>
        <v/>
      </c>
      <c r="Y203" s="21" t="str">
        <f>SUBSTITUTE(SUBSTITUTE(SUBSTITUTE('Ingest Template'!X203,"http:",""),"https:",""),"/","")</f>
        <v/>
      </c>
      <c r="Z203" s="21" t="str">
        <f t="array" ref="Z203">IF('Ingest Template'!A203="Standard",(IF(ISBLANK('Ingest Template'!AA203),"", 'Ingest Template'!AA203&amp;"|DAR")),(IF(ISBLANK('Ingest Template'!AA203),"", 'Ingest Template'!AA203&amp;"|Film Ops")))</f>
        <v/>
      </c>
      <c r="AA203" s="21"/>
      <c r="AB203" s="21" t="str">
        <f>'Ingest Template'!M203</f>
        <v/>
      </c>
      <c r="AC203" s="21" t="str">
        <f>'Ingest Template'!Y203</f>
        <v/>
      </c>
      <c r="AD203" s="21" t="str">
        <f>'Ingest Template'!C203</f>
        <v/>
      </c>
      <c r="AE203" s="21" t="str">
        <f>'Ingest Template'!Z203</f>
        <v/>
      </c>
      <c r="AF203" s="29"/>
      <c r="AG203" s="21" t="str">
        <f t="array" ref="AG203">IF('Ingest Template'!A203="Standard",(CONCATENATE(IF(ISBLANK('Ingest Template'!O203),"", 'Ingest Template'!O203&amp;"|DAR"),CHAR(10), IF(ISBLANK('Ingest Template'!P203),"", 'Ingest Template'!P203&amp;"|DAR"),CHAR(10), IF(ISBLANK('Ingest Template'!Q203),"", 'Ingest Template'!Q203&amp;"|DAR"))),(CONCATENATE(IF(ISBLANK('Ingest Template'!O203),"", 'Ingest Template'!O203&amp;"|Operations - Core Title"),CHAR(10), IF(ISBLANK('Ingest Template'!P203),"", 'Ingest Template'!P203&amp;"|Operations - Core Title"),CHAR(10), IF(ISBLANK('Ingest Template'!Q203),"", 'Ingest Template'!Q203&amp;"|Operations - Core Title"))))</f>
        <v>#|Operations - Core Title
#|Operations - Core Title
</v>
      </c>
      <c r="AH203" s="21"/>
      <c r="AI203" s="21"/>
      <c r="AJ203" s="53" t="str">
        <f>if('Ingest Template'!A203="Standard",'Ingest Template'!N203&amp; "|DAR|DAR|2021-01-01",'Ingest Template'!N203&amp; "|Operations - Core Title|Operations - Core Title")</f>
        <v>#N/A</v>
      </c>
      <c r="AK203" s="53" t="str">
        <f>if('Ingest Template'!A203="Standard",'Ingest Template'!R203&amp; "|2021-01-01",'Ingest Template'!R203)</f>
        <v>#N/A</v>
      </c>
      <c r="AL203" s="21"/>
      <c r="AM203" s="21"/>
    </row>
    <row r="204">
      <c r="A204" s="21"/>
      <c r="B204" s="21" t="str">
        <f>'Ingest Template'!B204&amp;IF('Ingest Template'!A204 = "Standard", " - DAR","")</f>
        <v/>
      </c>
      <c r="C204" s="26" t="s">
        <v>109</v>
      </c>
      <c r="D204" s="29" t="str">
        <f t="array" ref="D204">CONCATENATE(INDEX(DropDown!$H$2:$H$10,MATCH(1,COUNTIF('Ingest Template'!F204,"*"&amp;DropDown!$H$2:$H$10&amp;"*"),0)),CHAR(10),'Ingest Template'!G204)</f>
        <v>#N/A</v>
      </c>
      <c r="E204" s="21" t="str">
        <f>CONCATENATE('Ingest Template'!H204,CHAR(10),'Ingest Template'!I204,CHAR(10),'Ingest Template'!J204)</f>
        <v>
</v>
      </c>
      <c r="F204" s="26" t="str">
        <f>'Ingest Template'!H204</f>
        <v/>
      </c>
      <c r="G204" s="21"/>
      <c r="H204" s="29"/>
      <c r="I204" s="21"/>
      <c r="J204" s="29" t="str">
        <f t="array" ref="J204">iF('Ingest Template'!A204="Standard","Pristine Brand",INDEX(DropDown!$M$2:$M$392,MATCH('Ingest Template'!E204,DropDown!$J$2:$J$392,0)))</f>
        <v>#N/A</v>
      </c>
      <c r="K204" s="21" t="str">
        <f>iF('Ingest Template'!A204="Standard",'Ingest Template'!K204&amp;CHAR(10)&amp;'Ingest Template'!L204,"Competitive View")</f>
        <v>Competitive View</v>
      </c>
      <c r="L204" s="29" t="s">
        <v>146</v>
      </c>
      <c r="M204" s="37" t="str">
        <f>'Ingest Template'!D204</f>
        <v/>
      </c>
      <c r="N204" s="21"/>
      <c r="O204" s="21"/>
      <c r="P204" s="21"/>
      <c r="Q204" s="21"/>
      <c r="R204" s="21" t="str">
        <f>'Ingest Template'!E204</f>
        <v/>
      </c>
      <c r="S204" s="29" t="s">
        <v>153</v>
      </c>
      <c r="T204" s="21" t="str">
        <f>'Ingest Template'!T204</f>
        <v/>
      </c>
      <c r="U204" s="21" t="str">
        <f>'Ingest Template'!S204</f>
        <v/>
      </c>
      <c r="V204" s="21" t="str">
        <f>LOWER(SUBSTITUTE(SUBSTITUTE(SUBSTITUTE(SUBSTITUTE(SUBSTITUTE('Ingest Template'!U204,"https:",""),"www.",""),"/",""),"?hl=en",""),"instagram.com",""))</f>
        <v/>
      </c>
      <c r="W204" s="41" t="str">
        <f t="array" ref="W204">IF('Ingest Template'!V204="",(INDEX(DropDown!$L$2:$L$392,MATCH('Ingest Template'!E204,DropDown!$J$2:$J$392,0))&amp;"|"&amp;'Ingest Template'!B204),(INDEX(DropDown!$L$2:$L$392,MATCH('Ingest Template'!E204,DropDown!$J$2:$J$392,0))&amp;"|"&amp;'Ingest Template'!B204)&amp;CHAR(10)&amp;'Ingest Template'!V204)</f>
        <v>#N/A</v>
      </c>
      <c r="X204" s="41" t="str">
        <f>'Ingest Template'!W204</f>
        <v/>
      </c>
      <c r="Y204" s="21" t="str">
        <f>SUBSTITUTE(SUBSTITUTE(SUBSTITUTE('Ingest Template'!X204,"http:",""),"https:",""),"/","")</f>
        <v/>
      </c>
      <c r="Z204" s="21" t="str">
        <f t="array" ref="Z204">IF('Ingest Template'!A204="Standard",(IF(ISBLANK('Ingest Template'!AA204),"", 'Ingest Template'!AA204&amp;"|DAR")),(IF(ISBLANK('Ingest Template'!AA204),"", 'Ingest Template'!AA204&amp;"|Film Ops")))</f>
        <v/>
      </c>
      <c r="AA204" s="21"/>
      <c r="AB204" s="21" t="str">
        <f>'Ingest Template'!M204</f>
        <v/>
      </c>
      <c r="AC204" s="21" t="str">
        <f>'Ingest Template'!Y204</f>
        <v/>
      </c>
      <c r="AD204" s="21" t="str">
        <f>'Ingest Template'!C204</f>
        <v/>
      </c>
      <c r="AE204" s="21" t="str">
        <f>'Ingest Template'!Z204</f>
        <v/>
      </c>
      <c r="AF204" s="29"/>
      <c r="AG204" s="21" t="str">
        <f t="array" ref="AG204">IF('Ingest Template'!A204="Standard",(CONCATENATE(IF(ISBLANK('Ingest Template'!O204),"", 'Ingest Template'!O204&amp;"|DAR"),CHAR(10), IF(ISBLANK('Ingest Template'!P204),"", 'Ingest Template'!P204&amp;"|DAR"),CHAR(10), IF(ISBLANK('Ingest Template'!Q204),"", 'Ingest Template'!Q204&amp;"|DAR"))),(CONCATENATE(IF(ISBLANK('Ingest Template'!O204),"", 'Ingest Template'!O204&amp;"|Operations - Core Title"),CHAR(10), IF(ISBLANK('Ingest Template'!P204),"", 'Ingest Template'!P204&amp;"|Operations - Core Title"),CHAR(10), IF(ISBLANK('Ingest Template'!Q204),"", 'Ingest Template'!Q204&amp;"|Operations - Core Title"))))</f>
        <v>#|Operations - Core Title
#|Operations - Core Title
</v>
      </c>
      <c r="AH204" s="21"/>
      <c r="AI204" s="21"/>
      <c r="AJ204" s="53" t="str">
        <f>if('Ingest Template'!A204="Standard",'Ingest Template'!N204&amp; "|DAR|DAR|2021-01-01",'Ingest Template'!N204&amp; "|Operations - Core Title|Operations - Core Title")</f>
        <v>#N/A</v>
      </c>
      <c r="AK204" s="53" t="str">
        <f>if('Ingest Template'!A204="Standard",'Ingest Template'!R204&amp; "|2021-01-01",'Ingest Template'!R204)</f>
        <v>#N/A</v>
      </c>
      <c r="AL204" s="21"/>
      <c r="AM204" s="21"/>
    </row>
    <row r="205">
      <c r="A205" s="21"/>
      <c r="B205" s="21" t="str">
        <f>'Ingest Template'!B205&amp;IF('Ingest Template'!A205 = "Standard", " - DAR","")</f>
        <v/>
      </c>
      <c r="C205" s="26" t="s">
        <v>109</v>
      </c>
      <c r="D205" s="29" t="str">
        <f t="array" ref="D205">CONCATENATE(INDEX(DropDown!$H$2:$H$10,MATCH(1,COUNTIF('Ingest Template'!F205,"*"&amp;DropDown!$H$2:$H$10&amp;"*"),0)),CHAR(10),'Ingest Template'!G205)</f>
        <v>#N/A</v>
      </c>
      <c r="E205" s="21" t="str">
        <f>CONCATENATE('Ingest Template'!H205,CHAR(10),'Ingest Template'!I205,CHAR(10),'Ingest Template'!J205)</f>
        <v>
</v>
      </c>
      <c r="F205" s="26" t="str">
        <f>'Ingest Template'!H205</f>
        <v/>
      </c>
      <c r="G205" s="21"/>
      <c r="H205" s="29"/>
      <c r="I205" s="21"/>
      <c r="J205" s="29" t="str">
        <f t="array" ref="J205">iF('Ingest Template'!A205="Standard","Pristine Brand",INDEX(DropDown!$M$2:$M$392,MATCH('Ingest Template'!E205,DropDown!$J$2:$J$392,0)))</f>
        <v>#N/A</v>
      </c>
      <c r="K205" s="21" t="str">
        <f>iF('Ingest Template'!A205="Standard",'Ingest Template'!K205&amp;CHAR(10)&amp;'Ingest Template'!L205,"Competitive View")</f>
        <v>Competitive View</v>
      </c>
      <c r="L205" s="29" t="s">
        <v>146</v>
      </c>
      <c r="M205" s="37" t="str">
        <f>'Ingest Template'!D205</f>
        <v/>
      </c>
      <c r="N205" s="21"/>
      <c r="O205" s="21"/>
      <c r="P205" s="21"/>
      <c r="Q205" s="21"/>
      <c r="R205" s="21" t="str">
        <f>'Ingest Template'!E205</f>
        <v/>
      </c>
      <c r="S205" s="29" t="s">
        <v>153</v>
      </c>
      <c r="T205" s="21" t="str">
        <f>'Ingest Template'!T205</f>
        <v/>
      </c>
      <c r="U205" s="21" t="str">
        <f>'Ingest Template'!S205</f>
        <v/>
      </c>
      <c r="V205" s="21" t="str">
        <f>LOWER(SUBSTITUTE(SUBSTITUTE(SUBSTITUTE(SUBSTITUTE(SUBSTITUTE('Ingest Template'!U205,"https:",""),"www.",""),"/",""),"?hl=en",""),"instagram.com",""))</f>
        <v/>
      </c>
      <c r="W205" s="41" t="str">
        <f t="array" ref="W205">IF('Ingest Template'!V205="",(INDEX(DropDown!$L$2:$L$392,MATCH('Ingest Template'!E205,DropDown!$J$2:$J$392,0))&amp;"|"&amp;'Ingest Template'!B205),(INDEX(DropDown!$L$2:$L$392,MATCH('Ingest Template'!E205,DropDown!$J$2:$J$392,0))&amp;"|"&amp;'Ingest Template'!B205)&amp;CHAR(10)&amp;'Ingest Template'!V205)</f>
        <v>#N/A</v>
      </c>
      <c r="X205" s="41" t="str">
        <f>'Ingest Template'!W205</f>
        <v/>
      </c>
      <c r="Y205" s="21" t="str">
        <f>SUBSTITUTE(SUBSTITUTE(SUBSTITUTE('Ingest Template'!X205,"http:",""),"https:",""),"/","")</f>
        <v/>
      </c>
      <c r="Z205" s="21" t="str">
        <f t="array" ref="Z205">IF('Ingest Template'!A205="Standard",(IF(ISBLANK('Ingest Template'!AA205),"", 'Ingest Template'!AA205&amp;"|DAR")),(IF(ISBLANK('Ingest Template'!AA205),"", 'Ingest Template'!AA205&amp;"|Film Ops")))</f>
        <v/>
      </c>
      <c r="AA205" s="21"/>
      <c r="AB205" s="21" t="str">
        <f>'Ingest Template'!M205</f>
        <v/>
      </c>
      <c r="AC205" s="21" t="str">
        <f>'Ingest Template'!Y205</f>
        <v/>
      </c>
      <c r="AD205" s="21" t="str">
        <f>'Ingest Template'!C205</f>
        <v/>
      </c>
      <c r="AE205" s="21" t="str">
        <f>'Ingest Template'!Z205</f>
        <v/>
      </c>
      <c r="AF205" s="29"/>
      <c r="AG205" s="21" t="str">
        <f t="array" ref="AG205">IF('Ingest Template'!A205="Standard",(CONCATENATE(IF(ISBLANK('Ingest Template'!O205),"", 'Ingest Template'!O205&amp;"|DAR"),CHAR(10), IF(ISBLANK('Ingest Template'!P205),"", 'Ingest Template'!P205&amp;"|DAR"),CHAR(10), IF(ISBLANK('Ingest Template'!Q205),"", 'Ingest Template'!Q205&amp;"|DAR"))),(CONCATENATE(IF(ISBLANK('Ingest Template'!O205),"", 'Ingest Template'!O205&amp;"|Operations - Core Title"),CHAR(10), IF(ISBLANK('Ingest Template'!P205),"", 'Ingest Template'!P205&amp;"|Operations - Core Title"),CHAR(10), IF(ISBLANK('Ingest Template'!Q205),"", 'Ingest Template'!Q205&amp;"|Operations - Core Title"))))</f>
        <v>#|Operations - Core Title
#|Operations - Core Title
</v>
      </c>
      <c r="AH205" s="21"/>
      <c r="AI205" s="21"/>
      <c r="AJ205" s="53" t="str">
        <f>if('Ingest Template'!A205="Standard",'Ingest Template'!N205&amp; "|DAR|DAR|2021-01-01",'Ingest Template'!N205&amp; "|Operations - Core Title|Operations - Core Title")</f>
        <v>#N/A</v>
      </c>
      <c r="AK205" s="53" t="str">
        <f>if('Ingest Template'!A205="Standard",'Ingest Template'!R205&amp; "|2021-01-01",'Ingest Template'!R205)</f>
        <v>#N/A</v>
      </c>
      <c r="AL205" s="21"/>
      <c r="AM205" s="21"/>
    </row>
    <row r="206">
      <c r="A206" s="21"/>
      <c r="B206" s="21" t="str">
        <f>'Ingest Template'!B206&amp;IF('Ingest Template'!A206 = "Standard", " - DAR","")</f>
        <v/>
      </c>
      <c r="C206" s="26" t="s">
        <v>109</v>
      </c>
      <c r="D206" s="29" t="str">
        <f t="array" ref="D206">CONCATENATE(INDEX(DropDown!$H$2:$H$10,MATCH(1,COUNTIF('Ingest Template'!F206,"*"&amp;DropDown!$H$2:$H$10&amp;"*"),0)),CHAR(10),'Ingest Template'!G206)</f>
        <v>#N/A</v>
      </c>
      <c r="E206" s="21" t="str">
        <f>CONCATENATE('Ingest Template'!H206,CHAR(10),'Ingest Template'!I206,CHAR(10),'Ingest Template'!J206)</f>
        <v>
</v>
      </c>
      <c r="F206" s="26" t="str">
        <f>'Ingest Template'!H206</f>
        <v/>
      </c>
      <c r="G206" s="21"/>
      <c r="H206" s="29"/>
      <c r="I206" s="21"/>
      <c r="J206" s="29" t="str">
        <f t="array" ref="J206">iF('Ingest Template'!A206="Standard","Pristine Brand",INDEX(DropDown!$M$2:$M$392,MATCH('Ingest Template'!E206,DropDown!$J$2:$J$392,0)))</f>
        <v>#N/A</v>
      </c>
      <c r="K206" s="21" t="str">
        <f>iF('Ingest Template'!A206="Standard",'Ingest Template'!K206&amp;CHAR(10)&amp;'Ingest Template'!L206,"Competitive View")</f>
        <v>Competitive View</v>
      </c>
      <c r="L206" s="29" t="s">
        <v>146</v>
      </c>
      <c r="M206" s="37" t="str">
        <f>'Ingest Template'!D206</f>
        <v/>
      </c>
      <c r="N206" s="21"/>
      <c r="O206" s="21"/>
      <c r="P206" s="21"/>
      <c r="Q206" s="21"/>
      <c r="R206" s="21" t="str">
        <f>'Ingest Template'!E206</f>
        <v/>
      </c>
      <c r="S206" s="29" t="s">
        <v>153</v>
      </c>
      <c r="T206" s="21" t="str">
        <f>'Ingest Template'!T206</f>
        <v/>
      </c>
      <c r="U206" s="21" t="str">
        <f>'Ingest Template'!S206</f>
        <v/>
      </c>
      <c r="V206" s="21" t="str">
        <f>LOWER(SUBSTITUTE(SUBSTITUTE(SUBSTITUTE(SUBSTITUTE(SUBSTITUTE('Ingest Template'!U206,"https:",""),"www.",""),"/",""),"?hl=en",""),"instagram.com",""))</f>
        <v/>
      </c>
      <c r="W206" s="41" t="str">
        <f t="array" ref="W206">IF('Ingest Template'!V206="",(INDEX(DropDown!$L$2:$L$392,MATCH('Ingest Template'!E206,DropDown!$J$2:$J$392,0))&amp;"|"&amp;'Ingest Template'!B206),(INDEX(DropDown!$L$2:$L$392,MATCH('Ingest Template'!E206,DropDown!$J$2:$J$392,0))&amp;"|"&amp;'Ingest Template'!B206)&amp;CHAR(10)&amp;'Ingest Template'!V206)</f>
        <v>#N/A</v>
      </c>
      <c r="X206" s="41" t="str">
        <f>'Ingest Template'!W206</f>
        <v/>
      </c>
      <c r="Y206" s="21" t="str">
        <f>SUBSTITUTE(SUBSTITUTE(SUBSTITUTE('Ingest Template'!X206,"http:",""),"https:",""),"/","")</f>
        <v/>
      </c>
      <c r="Z206" s="21" t="str">
        <f t="array" ref="Z206">IF('Ingest Template'!A206="Standard",(IF(ISBLANK('Ingest Template'!AA206),"", 'Ingest Template'!AA206&amp;"|DAR")),(IF(ISBLANK('Ingest Template'!AA206),"", 'Ingest Template'!AA206&amp;"|Film Ops")))</f>
        <v/>
      </c>
      <c r="AA206" s="21"/>
      <c r="AB206" s="21" t="str">
        <f>'Ingest Template'!M206</f>
        <v/>
      </c>
      <c r="AC206" s="21" t="str">
        <f>'Ingest Template'!Y206</f>
        <v/>
      </c>
      <c r="AD206" s="21" t="str">
        <f>'Ingest Template'!C206</f>
        <v/>
      </c>
      <c r="AE206" s="21" t="str">
        <f>'Ingest Template'!Z206</f>
        <v/>
      </c>
      <c r="AF206" s="29"/>
      <c r="AG206" s="21" t="str">
        <f t="array" ref="AG206">IF('Ingest Template'!A206="Standard",(CONCATENATE(IF(ISBLANK('Ingest Template'!O206),"", 'Ingest Template'!O206&amp;"|DAR"),CHAR(10), IF(ISBLANK('Ingest Template'!P206),"", 'Ingest Template'!P206&amp;"|DAR"),CHAR(10), IF(ISBLANK('Ingest Template'!Q206),"", 'Ingest Template'!Q206&amp;"|DAR"))),(CONCATENATE(IF(ISBLANK('Ingest Template'!O206),"", 'Ingest Template'!O206&amp;"|Operations - Core Title"),CHAR(10), IF(ISBLANK('Ingest Template'!P206),"", 'Ingest Template'!P206&amp;"|Operations - Core Title"),CHAR(10), IF(ISBLANK('Ingest Template'!Q206),"", 'Ingest Template'!Q206&amp;"|Operations - Core Title"))))</f>
        <v>#|Operations - Core Title
#|Operations - Core Title
</v>
      </c>
      <c r="AH206" s="21"/>
      <c r="AI206" s="21"/>
      <c r="AJ206" s="53" t="str">
        <f>if('Ingest Template'!A206="Standard",'Ingest Template'!N206&amp; "|DAR|DAR|2021-01-01",'Ingest Template'!N206&amp; "|Operations - Core Title|Operations - Core Title")</f>
        <v>#N/A</v>
      </c>
      <c r="AK206" s="53" t="str">
        <f>if('Ingest Template'!A206="Standard",'Ingest Template'!R206&amp; "|2021-01-01",'Ingest Template'!R206)</f>
        <v>#N/A</v>
      </c>
      <c r="AL206" s="21"/>
      <c r="AM206" s="21"/>
    </row>
    <row r="207">
      <c r="A207" s="21"/>
      <c r="B207" s="21" t="str">
        <f>'Ingest Template'!B207&amp;IF('Ingest Template'!A207 = "Standard", " - DAR","")</f>
        <v/>
      </c>
      <c r="C207" s="26" t="s">
        <v>109</v>
      </c>
      <c r="D207" s="29" t="str">
        <f t="array" ref="D207">CONCATENATE(INDEX(DropDown!$H$2:$H$10,MATCH(1,COUNTIF('Ingest Template'!F207,"*"&amp;DropDown!$H$2:$H$10&amp;"*"),0)),CHAR(10),'Ingest Template'!G207)</f>
        <v>#N/A</v>
      </c>
      <c r="E207" s="21" t="str">
        <f>CONCATENATE('Ingest Template'!H207,CHAR(10),'Ingest Template'!I207,CHAR(10),'Ingest Template'!J207)</f>
        <v>
</v>
      </c>
      <c r="F207" s="26" t="str">
        <f>'Ingest Template'!H207</f>
        <v/>
      </c>
      <c r="G207" s="21"/>
      <c r="H207" s="29"/>
      <c r="I207" s="21"/>
      <c r="J207" s="29" t="str">
        <f t="array" ref="J207">iF('Ingest Template'!A207="Standard","Pristine Brand",INDEX(DropDown!$M$2:$M$392,MATCH('Ingest Template'!E207,DropDown!$J$2:$J$392,0)))</f>
        <v>#N/A</v>
      </c>
      <c r="K207" s="21" t="str">
        <f>iF('Ingest Template'!A207="Standard",'Ingest Template'!K207&amp;CHAR(10)&amp;'Ingest Template'!L207,"Competitive View")</f>
        <v>Competitive View</v>
      </c>
      <c r="L207" s="29" t="s">
        <v>146</v>
      </c>
      <c r="M207" s="37" t="str">
        <f>'Ingest Template'!D207</f>
        <v/>
      </c>
      <c r="N207" s="21"/>
      <c r="O207" s="21"/>
      <c r="P207" s="21"/>
      <c r="Q207" s="21"/>
      <c r="R207" s="21" t="str">
        <f>'Ingest Template'!E207</f>
        <v/>
      </c>
      <c r="S207" s="29" t="s">
        <v>153</v>
      </c>
      <c r="T207" s="21" t="str">
        <f>'Ingest Template'!T207</f>
        <v/>
      </c>
      <c r="U207" s="21" t="str">
        <f>'Ingest Template'!S207</f>
        <v/>
      </c>
      <c r="V207" s="21" t="str">
        <f>LOWER(SUBSTITUTE(SUBSTITUTE(SUBSTITUTE(SUBSTITUTE(SUBSTITUTE('Ingest Template'!U207,"https:",""),"www.",""),"/",""),"?hl=en",""),"instagram.com",""))</f>
        <v/>
      </c>
      <c r="W207" s="41" t="str">
        <f t="array" ref="W207">IF('Ingest Template'!V207="",(INDEX(DropDown!$L$2:$L$392,MATCH('Ingest Template'!E207,DropDown!$J$2:$J$392,0))&amp;"|"&amp;'Ingest Template'!B207),(INDEX(DropDown!$L$2:$L$392,MATCH('Ingest Template'!E207,DropDown!$J$2:$J$392,0))&amp;"|"&amp;'Ingest Template'!B207)&amp;CHAR(10)&amp;'Ingest Template'!V207)</f>
        <v>#N/A</v>
      </c>
      <c r="X207" s="41" t="str">
        <f>'Ingest Template'!W207</f>
        <v/>
      </c>
      <c r="Y207" s="21" t="str">
        <f>SUBSTITUTE(SUBSTITUTE(SUBSTITUTE('Ingest Template'!X207,"http:",""),"https:",""),"/","")</f>
        <v/>
      </c>
      <c r="Z207" s="21" t="str">
        <f t="array" ref="Z207">IF('Ingest Template'!A207="Standard",(IF(ISBLANK('Ingest Template'!AA207),"", 'Ingest Template'!AA207&amp;"|DAR")),(IF(ISBLANK('Ingest Template'!AA207),"", 'Ingest Template'!AA207&amp;"|Film Ops")))</f>
        <v/>
      </c>
      <c r="AA207" s="21"/>
      <c r="AB207" s="21" t="str">
        <f>'Ingest Template'!M207</f>
        <v/>
      </c>
      <c r="AC207" s="21" t="str">
        <f>'Ingest Template'!Y207</f>
        <v/>
      </c>
      <c r="AD207" s="21" t="str">
        <f>'Ingest Template'!C207</f>
        <v/>
      </c>
      <c r="AE207" s="21" t="str">
        <f>'Ingest Template'!Z207</f>
        <v/>
      </c>
      <c r="AF207" s="29"/>
      <c r="AG207" s="21" t="str">
        <f t="array" ref="AG207">IF('Ingest Template'!A207="Standard",(CONCATENATE(IF(ISBLANK('Ingest Template'!O207),"", 'Ingest Template'!O207&amp;"|DAR"),CHAR(10), IF(ISBLANK('Ingest Template'!P207),"", 'Ingest Template'!P207&amp;"|DAR"),CHAR(10), IF(ISBLANK('Ingest Template'!Q207),"", 'Ingest Template'!Q207&amp;"|DAR"))),(CONCATENATE(IF(ISBLANK('Ingest Template'!O207),"", 'Ingest Template'!O207&amp;"|Operations - Core Title"),CHAR(10), IF(ISBLANK('Ingest Template'!P207),"", 'Ingest Template'!P207&amp;"|Operations - Core Title"),CHAR(10), IF(ISBLANK('Ingest Template'!Q207),"", 'Ingest Template'!Q207&amp;"|Operations - Core Title"))))</f>
        <v>#|Operations - Core Title
#|Operations - Core Title
</v>
      </c>
      <c r="AH207" s="21"/>
      <c r="AI207" s="21"/>
      <c r="AJ207" s="53" t="str">
        <f>if('Ingest Template'!A207="Standard",'Ingest Template'!N207&amp; "|DAR|DAR|2021-01-01",'Ingest Template'!N207&amp; "|Operations - Core Title|Operations - Core Title")</f>
        <v>#N/A</v>
      </c>
      <c r="AK207" s="53" t="str">
        <f>if('Ingest Template'!A207="Standard",'Ingest Template'!R207&amp; "|2021-01-01",'Ingest Template'!R207)</f>
        <v>#N/A</v>
      </c>
      <c r="AL207" s="21"/>
      <c r="AM207" s="21"/>
    </row>
    <row r="208">
      <c r="A208" s="21"/>
      <c r="B208" s="21" t="str">
        <f>'Ingest Template'!B208&amp;IF('Ingest Template'!A208 = "Standard", " - DAR","")</f>
        <v/>
      </c>
      <c r="C208" s="26" t="s">
        <v>109</v>
      </c>
      <c r="D208" s="29" t="str">
        <f t="array" ref="D208">CONCATENATE(INDEX(DropDown!$H$2:$H$10,MATCH(1,COUNTIF('Ingest Template'!F208,"*"&amp;DropDown!$H$2:$H$10&amp;"*"),0)),CHAR(10),'Ingest Template'!G208)</f>
        <v>#N/A</v>
      </c>
      <c r="E208" s="21" t="str">
        <f>CONCATENATE('Ingest Template'!H208,CHAR(10),'Ingest Template'!I208,CHAR(10),'Ingest Template'!J208)</f>
        <v>
</v>
      </c>
      <c r="F208" s="26" t="str">
        <f>'Ingest Template'!H208</f>
        <v/>
      </c>
      <c r="G208" s="21"/>
      <c r="H208" s="29"/>
      <c r="I208" s="21"/>
      <c r="J208" s="29" t="str">
        <f t="array" ref="J208">iF('Ingest Template'!A208="Standard","Pristine Brand",INDEX(DropDown!$M$2:$M$392,MATCH('Ingest Template'!E208,DropDown!$J$2:$J$392,0)))</f>
        <v>#N/A</v>
      </c>
      <c r="K208" s="21" t="str">
        <f>iF('Ingest Template'!A208="Standard",'Ingest Template'!K208&amp;CHAR(10)&amp;'Ingest Template'!L208,"Competitive View")</f>
        <v>Competitive View</v>
      </c>
      <c r="L208" s="29" t="s">
        <v>146</v>
      </c>
      <c r="M208" s="37" t="str">
        <f>'Ingest Template'!D208</f>
        <v/>
      </c>
      <c r="N208" s="21"/>
      <c r="O208" s="21"/>
      <c r="P208" s="21"/>
      <c r="Q208" s="21"/>
      <c r="R208" s="21" t="str">
        <f>'Ingest Template'!E208</f>
        <v/>
      </c>
      <c r="S208" s="29" t="s">
        <v>153</v>
      </c>
      <c r="T208" s="21" t="str">
        <f>'Ingest Template'!T208</f>
        <v/>
      </c>
      <c r="U208" s="21" t="str">
        <f>'Ingest Template'!S208</f>
        <v/>
      </c>
      <c r="V208" s="21" t="str">
        <f>LOWER(SUBSTITUTE(SUBSTITUTE(SUBSTITUTE(SUBSTITUTE(SUBSTITUTE('Ingest Template'!U208,"https:",""),"www.",""),"/",""),"?hl=en",""),"instagram.com",""))</f>
        <v/>
      </c>
      <c r="W208" s="41" t="str">
        <f t="array" ref="W208">IF('Ingest Template'!V208="",(INDEX(DropDown!$L$2:$L$392,MATCH('Ingest Template'!E208,DropDown!$J$2:$J$392,0))&amp;"|"&amp;'Ingest Template'!B208),(INDEX(DropDown!$L$2:$L$392,MATCH('Ingest Template'!E208,DropDown!$J$2:$J$392,0))&amp;"|"&amp;'Ingest Template'!B208)&amp;CHAR(10)&amp;'Ingest Template'!V208)</f>
        <v>#N/A</v>
      </c>
      <c r="X208" s="41" t="str">
        <f>'Ingest Template'!W208</f>
        <v/>
      </c>
      <c r="Y208" s="21" t="str">
        <f>SUBSTITUTE(SUBSTITUTE(SUBSTITUTE('Ingest Template'!X208,"http:",""),"https:",""),"/","")</f>
        <v/>
      </c>
      <c r="Z208" s="21" t="str">
        <f t="array" ref="Z208">IF('Ingest Template'!A208="Standard",(IF(ISBLANK('Ingest Template'!AA208),"", 'Ingest Template'!AA208&amp;"|DAR")),(IF(ISBLANK('Ingest Template'!AA208),"", 'Ingest Template'!AA208&amp;"|Film Ops")))</f>
        <v/>
      </c>
      <c r="AA208" s="21"/>
      <c r="AB208" s="21" t="str">
        <f>'Ingest Template'!M208</f>
        <v/>
      </c>
      <c r="AC208" s="21" t="str">
        <f>'Ingest Template'!Y208</f>
        <v/>
      </c>
      <c r="AD208" s="21" t="str">
        <f>'Ingest Template'!C208</f>
        <v/>
      </c>
      <c r="AE208" s="21" t="str">
        <f>'Ingest Template'!Z208</f>
        <v/>
      </c>
      <c r="AF208" s="29"/>
      <c r="AG208" s="21" t="str">
        <f t="array" ref="AG208">IF('Ingest Template'!A208="Standard",(CONCATENATE(IF(ISBLANK('Ingest Template'!O208),"", 'Ingest Template'!O208&amp;"|DAR"),CHAR(10), IF(ISBLANK('Ingest Template'!P208),"", 'Ingest Template'!P208&amp;"|DAR"),CHAR(10), IF(ISBLANK('Ingest Template'!Q208),"", 'Ingest Template'!Q208&amp;"|DAR"))),(CONCATENATE(IF(ISBLANK('Ingest Template'!O208),"", 'Ingest Template'!O208&amp;"|Operations - Core Title"),CHAR(10), IF(ISBLANK('Ingest Template'!P208),"", 'Ingest Template'!P208&amp;"|Operations - Core Title"),CHAR(10), IF(ISBLANK('Ingest Template'!Q208),"", 'Ingest Template'!Q208&amp;"|Operations - Core Title"))))</f>
        <v>#|Operations - Core Title
#|Operations - Core Title
</v>
      </c>
      <c r="AH208" s="21"/>
      <c r="AI208" s="21"/>
      <c r="AJ208" s="53" t="str">
        <f>if('Ingest Template'!A208="Standard",'Ingest Template'!N208&amp; "|DAR|DAR|2021-01-01",'Ingest Template'!N208&amp; "|Operations - Core Title|Operations - Core Title")</f>
        <v>#N/A</v>
      </c>
      <c r="AK208" s="53" t="str">
        <f>if('Ingest Template'!A208="Standard",'Ingest Template'!R208&amp; "|2021-01-01",'Ingest Template'!R208)</f>
        <v>#N/A</v>
      </c>
      <c r="AL208" s="21"/>
      <c r="AM208" s="21"/>
    </row>
    <row r="209">
      <c r="A209" s="21"/>
      <c r="B209" s="21" t="str">
        <f>'Ingest Template'!B209&amp;IF('Ingest Template'!A209 = "Standard", " - DAR","")</f>
        <v/>
      </c>
      <c r="C209" s="26" t="s">
        <v>109</v>
      </c>
      <c r="D209" s="29" t="str">
        <f t="array" ref="D209">CONCATENATE(INDEX(DropDown!$H$2:$H$10,MATCH(1,COUNTIF('Ingest Template'!F209,"*"&amp;DropDown!$H$2:$H$10&amp;"*"),0)),CHAR(10),'Ingest Template'!G209)</f>
        <v>#N/A</v>
      </c>
      <c r="E209" s="21" t="str">
        <f>CONCATENATE('Ingest Template'!H209,CHAR(10),'Ingest Template'!I209,CHAR(10),'Ingest Template'!J209)</f>
        <v>
</v>
      </c>
      <c r="F209" s="26" t="str">
        <f>'Ingest Template'!H209</f>
        <v/>
      </c>
      <c r="G209" s="21"/>
      <c r="H209" s="29"/>
      <c r="I209" s="21"/>
      <c r="J209" s="29" t="str">
        <f t="array" ref="J209">iF('Ingest Template'!A209="Standard","Pristine Brand",INDEX(DropDown!$M$2:$M$392,MATCH('Ingest Template'!E209,DropDown!$J$2:$J$392,0)))</f>
        <v>#N/A</v>
      </c>
      <c r="K209" s="21" t="str">
        <f>iF('Ingest Template'!A209="Standard",'Ingest Template'!K209&amp;CHAR(10)&amp;'Ingest Template'!L209,"Competitive View")</f>
        <v>Competitive View</v>
      </c>
      <c r="L209" s="29" t="s">
        <v>146</v>
      </c>
      <c r="M209" s="37" t="str">
        <f>'Ingest Template'!D209</f>
        <v/>
      </c>
      <c r="N209" s="21"/>
      <c r="O209" s="21"/>
      <c r="P209" s="21"/>
      <c r="Q209" s="21"/>
      <c r="R209" s="21" t="str">
        <f>'Ingest Template'!E209</f>
        <v/>
      </c>
      <c r="S209" s="29" t="s">
        <v>153</v>
      </c>
      <c r="T209" s="21" t="str">
        <f>'Ingest Template'!T209</f>
        <v/>
      </c>
      <c r="U209" s="21" t="str">
        <f>'Ingest Template'!S209</f>
        <v/>
      </c>
      <c r="V209" s="21" t="str">
        <f>LOWER(SUBSTITUTE(SUBSTITUTE(SUBSTITUTE(SUBSTITUTE(SUBSTITUTE('Ingest Template'!U209,"https:",""),"www.",""),"/",""),"?hl=en",""),"instagram.com",""))</f>
        <v/>
      </c>
      <c r="W209" s="41" t="str">
        <f t="array" ref="W209">IF('Ingest Template'!V209="",(INDEX(DropDown!$L$2:$L$392,MATCH('Ingest Template'!E209,DropDown!$J$2:$J$392,0))&amp;"|"&amp;'Ingest Template'!B209),(INDEX(DropDown!$L$2:$L$392,MATCH('Ingest Template'!E209,DropDown!$J$2:$J$392,0))&amp;"|"&amp;'Ingest Template'!B209)&amp;CHAR(10)&amp;'Ingest Template'!V209)</f>
        <v>#N/A</v>
      </c>
      <c r="X209" s="41" t="str">
        <f>'Ingest Template'!W209</f>
        <v/>
      </c>
      <c r="Y209" s="21" t="str">
        <f>SUBSTITUTE(SUBSTITUTE(SUBSTITUTE('Ingest Template'!X209,"http:",""),"https:",""),"/","")</f>
        <v/>
      </c>
      <c r="Z209" s="21" t="str">
        <f t="array" ref="Z209">IF('Ingest Template'!A209="Standard",(IF(ISBLANK('Ingest Template'!AA209),"", 'Ingest Template'!AA209&amp;"|DAR")),(IF(ISBLANK('Ingest Template'!AA209),"", 'Ingest Template'!AA209&amp;"|Film Ops")))</f>
        <v/>
      </c>
      <c r="AA209" s="21"/>
      <c r="AB209" s="21" t="str">
        <f>'Ingest Template'!M209</f>
        <v/>
      </c>
      <c r="AC209" s="21" t="str">
        <f>'Ingest Template'!Y209</f>
        <v/>
      </c>
      <c r="AD209" s="21" t="str">
        <f>'Ingest Template'!C209</f>
        <v/>
      </c>
      <c r="AE209" s="21" t="str">
        <f>'Ingest Template'!Z209</f>
        <v/>
      </c>
      <c r="AF209" s="29"/>
      <c r="AG209" s="21" t="str">
        <f t="array" ref="AG209">IF('Ingest Template'!A209="Standard",(CONCATENATE(IF(ISBLANK('Ingest Template'!O209),"", 'Ingest Template'!O209&amp;"|DAR"),CHAR(10), IF(ISBLANK('Ingest Template'!P209),"", 'Ingest Template'!P209&amp;"|DAR"),CHAR(10), IF(ISBLANK('Ingest Template'!Q209),"", 'Ingest Template'!Q209&amp;"|DAR"))),(CONCATENATE(IF(ISBLANK('Ingest Template'!O209),"", 'Ingest Template'!O209&amp;"|Operations - Core Title"),CHAR(10), IF(ISBLANK('Ingest Template'!P209),"", 'Ingest Template'!P209&amp;"|Operations - Core Title"),CHAR(10), IF(ISBLANK('Ingest Template'!Q209),"", 'Ingest Template'!Q209&amp;"|Operations - Core Title"))))</f>
        <v>#|Operations - Core Title
#|Operations - Core Title
</v>
      </c>
      <c r="AH209" s="21"/>
      <c r="AI209" s="21"/>
      <c r="AJ209" s="53" t="str">
        <f>if('Ingest Template'!A209="Standard",'Ingest Template'!N209&amp; "|DAR|DAR|2021-01-01",'Ingest Template'!N209&amp; "|Operations - Core Title|Operations - Core Title")</f>
        <v>#N/A</v>
      </c>
      <c r="AK209" s="53" t="str">
        <f>if('Ingest Template'!A209="Standard",'Ingest Template'!R209&amp; "|2021-01-01",'Ingest Template'!R209)</f>
        <v>#N/A</v>
      </c>
      <c r="AL209" s="21"/>
      <c r="AM209" s="21"/>
    </row>
    <row r="210">
      <c r="A210" s="21"/>
      <c r="B210" s="21" t="str">
        <f>'Ingest Template'!B210&amp;IF('Ingest Template'!A210 = "Standard", " - DAR","")</f>
        <v/>
      </c>
      <c r="C210" s="26" t="s">
        <v>109</v>
      </c>
      <c r="D210" s="29" t="str">
        <f t="array" ref="D210">CONCATENATE(INDEX(DropDown!$H$2:$H$10,MATCH(1,COUNTIF('Ingest Template'!F210,"*"&amp;DropDown!$H$2:$H$10&amp;"*"),0)),CHAR(10),'Ingest Template'!G210)</f>
        <v>#N/A</v>
      </c>
      <c r="E210" s="21" t="str">
        <f>CONCATENATE('Ingest Template'!H210,CHAR(10),'Ingest Template'!I210,CHAR(10),'Ingest Template'!J210)</f>
        <v>
</v>
      </c>
      <c r="F210" s="26" t="str">
        <f>'Ingest Template'!H210</f>
        <v/>
      </c>
      <c r="G210" s="21"/>
      <c r="H210" s="29"/>
      <c r="I210" s="21"/>
      <c r="J210" s="29" t="str">
        <f t="array" ref="J210">iF('Ingest Template'!A210="Standard","Pristine Brand",INDEX(DropDown!$M$2:$M$392,MATCH('Ingest Template'!E210,DropDown!$J$2:$J$392,0)))</f>
        <v>#N/A</v>
      </c>
      <c r="K210" s="21" t="str">
        <f>iF('Ingest Template'!A210="Standard",'Ingest Template'!K210&amp;CHAR(10)&amp;'Ingest Template'!L210,"Competitive View")</f>
        <v>Competitive View</v>
      </c>
      <c r="L210" s="29" t="s">
        <v>146</v>
      </c>
      <c r="M210" s="37" t="str">
        <f>'Ingest Template'!D210</f>
        <v/>
      </c>
      <c r="N210" s="21"/>
      <c r="O210" s="21"/>
      <c r="P210" s="21"/>
      <c r="Q210" s="21"/>
      <c r="R210" s="21" t="str">
        <f>'Ingest Template'!E210</f>
        <v/>
      </c>
      <c r="S210" s="29" t="s">
        <v>153</v>
      </c>
      <c r="T210" s="21" t="str">
        <f>'Ingest Template'!T210</f>
        <v/>
      </c>
      <c r="U210" s="21" t="str">
        <f>'Ingest Template'!S210</f>
        <v/>
      </c>
      <c r="V210" s="21" t="str">
        <f>LOWER(SUBSTITUTE(SUBSTITUTE(SUBSTITUTE(SUBSTITUTE(SUBSTITUTE('Ingest Template'!U210,"https:",""),"www.",""),"/",""),"?hl=en",""),"instagram.com",""))</f>
        <v/>
      </c>
      <c r="W210" s="41" t="str">
        <f t="array" ref="W210">IF('Ingest Template'!V210="",(INDEX(DropDown!$L$2:$L$392,MATCH('Ingest Template'!E210,DropDown!$J$2:$J$392,0))&amp;"|"&amp;'Ingest Template'!B210),(INDEX(DropDown!$L$2:$L$392,MATCH('Ingest Template'!E210,DropDown!$J$2:$J$392,0))&amp;"|"&amp;'Ingest Template'!B210)&amp;CHAR(10)&amp;'Ingest Template'!V210)</f>
        <v>#N/A</v>
      </c>
      <c r="X210" s="41" t="str">
        <f>'Ingest Template'!W210</f>
        <v/>
      </c>
      <c r="Y210" s="21" t="str">
        <f>SUBSTITUTE(SUBSTITUTE(SUBSTITUTE('Ingest Template'!X210,"http:",""),"https:",""),"/","")</f>
        <v/>
      </c>
      <c r="Z210" s="21" t="str">
        <f t="array" ref="Z210">IF('Ingest Template'!A210="Standard",(IF(ISBLANK('Ingest Template'!AA210),"", 'Ingest Template'!AA210&amp;"|DAR")),(IF(ISBLANK('Ingest Template'!AA210),"", 'Ingest Template'!AA210&amp;"|Film Ops")))</f>
        <v/>
      </c>
      <c r="AA210" s="21"/>
      <c r="AB210" s="21" t="str">
        <f>'Ingest Template'!M210</f>
        <v/>
      </c>
      <c r="AC210" s="21" t="str">
        <f>'Ingest Template'!Y210</f>
        <v/>
      </c>
      <c r="AD210" s="21" t="str">
        <f>'Ingest Template'!C210</f>
        <v/>
      </c>
      <c r="AE210" s="21" t="str">
        <f>'Ingest Template'!Z210</f>
        <v/>
      </c>
      <c r="AF210" s="29"/>
      <c r="AG210" s="21" t="str">
        <f t="array" ref="AG210">IF('Ingest Template'!A210="Standard",(CONCATENATE(IF(ISBLANK('Ingest Template'!O210),"", 'Ingest Template'!O210&amp;"|DAR"),CHAR(10), IF(ISBLANK('Ingest Template'!P210),"", 'Ingest Template'!P210&amp;"|DAR"),CHAR(10), IF(ISBLANK('Ingest Template'!Q210),"", 'Ingest Template'!Q210&amp;"|DAR"))),(CONCATENATE(IF(ISBLANK('Ingest Template'!O210),"", 'Ingest Template'!O210&amp;"|Operations - Core Title"),CHAR(10), IF(ISBLANK('Ingest Template'!P210),"", 'Ingest Template'!P210&amp;"|Operations - Core Title"),CHAR(10), IF(ISBLANK('Ingest Template'!Q210),"", 'Ingest Template'!Q210&amp;"|Operations - Core Title"))))</f>
        <v>#|Operations - Core Title
#|Operations - Core Title
</v>
      </c>
      <c r="AH210" s="21"/>
      <c r="AI210" s="21"/>
      <c r="AJ210" s="53" t="str">
        <f>if('Ingest Template'!A210="Standard",'Ingest Template'!N210&amp; "|DAR|DAR|2021-01-01",'Ingest Template'!N210&amp; "|Operations - Core Title|Operations - Core Title")</f>
        <v>#N/A</v>
      </c>
      <c r="AK210" s="53" t="str">
        <f>if('Ingest Template'!A210="Standard",'Ingest Template'!R210&amp; "|2021-01-01",'Ingest Template'!R210)</f>
        <v>#N/A</v>
      </c>
      <c r="AL210" s="21"/>
      <c r="AM210" s="21"/>
    </row>
    <row r="211">
      <c r="A211" s="21"/>
      <c r="B211" s="21" t="str">
        <f>'Ingest Template'!B211&amp;IF('Ingest Template'!A211 = "Standard", " - DAR","")</f>
        <v/>
      </c>
      <c r="C211" s="26" t="s">
        <v>109</v>
      </c>
      <c r="D211" s="29" t="str">
        <f t="array" ref="D211">CONCATENATE(INDEX(DropDown!$H$2:$H$10,MATCH(1,COUNTIF('Ingest Template'!F211,"*"&amp;DropDown!$H$2:$H$10&amp;"*"),0)),CHAR(10),'Ingest Template'!G211)</f>
        <v>#N/A</v>
      </c>
      <c r="E211" s="21" t="str">
        <f>CONCATENATE('Ingest Template'!H211,CHAR(10),'Ingest Template'!I211,CHAR(10),'Ingest Template'!J211)</f>
        <v>
</v>
      </c>
      <c r="F211" s="26" t="str">
        <f>'Ingest Template'!H211</f>
        <v/>
      </c>
      <c r="G211" s="21"/>
      <c r="H211" s="29"/>
      <c r="I211" s="21"/>
      <c r="J211" s="29" t="str">
        <f t="array" ref="J211">iF('Ingest Template'!A211="Standard","Pristine Brand",INDEX(DropDown!$M$2:$M$392,MATCH('Ingest Template'!E211,DropDown!$J$2:$J$392,0)))</f>
        <v>#N/A</v>
      </c>
      <c r="K211" s="21" t="str">
        <f>iF('Ingest Template'!A211="Standard",'Ingest Template'!K211&amp;CHAR(10)&amp;'Ingest Template'!L211,"Competitive View")</f>
        <v>Competitive View</v>
      </c>
      <c r="L211" s="29" t="s">
        <v>146</v>
      </c>
      <c r="M211" s="37" t="str">
        <f>'Ingest Template'!D211</f>
        <v/>
      </c>
      <c r="N211" s="21"/>
      <c r="O211" s="21"/>
      <c r="P211" s="21"/>
      <c r="Q211" s="21"/>
      <c r="R211" s="21" t="str">
        <f>'Ingest Template'!E211</f>
        <v/>
      </c>
      <c r="S211" s="29" t="s">
        <v>153</v>
      </c>
      <c r="T211" s="21" t="str">
        <f>'Ingest Template'!T211</f>
        <v/>
      </c>
      <c r="U211" s="21" t="str">
        <f>'Ingest Template'!S211</f>
        <v/>
      </c>
      <c r="V211" s="21" t="str">
        <f>LOWER(SUBSTITUTE(SUBSTITUTE(SUBSTITUTE(SUBSTITUTE(SUBSTITUTE('Ingest Template'!U211,"https:",""),"www.",""),"/",""),"?hl=en",""),"instagram.com",""))</f>
        <v/>
      </c>
      <c r="W211" s="41" t="str">
        <f t="array" ref="W211">IF('Ingest Template'!V211="",(INDEX(DropDown!$L$2:$L$392,MATCH('Ingest Template'!E211,DropDown!$J$2:$J$392,0))&amp;"|"&amp;'Ingest Template'!B211),(INDEX(DropDown!$L$2:$L$392,MATCH('Ingest Template'!E211,DropDown!$J$2:$J$392,0))&amp;"|"&amp;'Ingest Template'!B211)&amp;CHAR(10)&amp;'Ingest Template'!V211)</f>
        <v>#N/A</v>
      </c>
      <c r="X211" s="41" t="str">
        <f>'Ingest Template'!W211</f>
        <v/>
      </c>
      <c r="Y211" s="21" t="str">
        <f>SUBSTITUTE(SUBSTITUTE(SUBSTITUTE('Ingest Template'!X211,"http:",""),"https:",""),"/","")</f>
        <v/>
      </c>
      <c r="Z211" s="21" t="str">
        <f t="array" ref="Z211">IF('Ingest Template'!A211="Standard",(IF(ISBLANK('Ingest Template'!AA211),"", 'Ingest Template'!AA211&amp;"|DAR")),(IF(ISBLANK('Ingest Template'!AA211),"", 'Ingest Template'!AA211&amp;"|Film Ops")))</f>
        <v/>
      </c>
      <c r="AA211" s="21"/>
      <c r="AB211" s="21" t="str">
        <f>'Ingest Template'!M211</f>
        <v/>
      </c>
      <c r="AC211" s="21" t="str">
        <f>'Ingest Template'!Y211</f>
        <v/>
      </c>
      <c r="AD211" s="21" t="str">
        <f>'Ingest Template'!C211</f>
        <v/>
      </c>
      <c r="AE211" s="21" t="str">
        <f>'Ingest Template'!Z211</f>
        <v/>
      </c>
      <c r="AF211" s="29"/>
      <c r="AG211" s="21" t="str">
        <f t="array" ref="AG211">IF('Ingest Template'!A211="Standard",(CONCATENATE(IF(ISBLANK('Ingest Template'!O211),"", 'Ingest Template'!O211&amp;"|DAR"),CHAR(10), IF(ISBLANK('Ingest Template'!P211),"", 'Ingest Template'!P211&amp;"|DAR"),CHAR(10), IF(ISBLANK('Ingest Template'!Q211),"", 'Ingest Template'!Q211&amp;"|DAR"))),(CONCATENATE(IF(ISBLANK('Ingest Template'!O211),"", 'Ingest Template'!O211&amp;"|Operations - Core Title"),CHAR(10), IF(ISBLANK('Ingest Template'!P211),"", 'Ingest Template'!P211&amp;"|Operations - Core Title"),CHAR(10), IF(ISBLANK('Ingest Template'!Q211),"", 'Ingest Template'!Q211&amp;"|Operations - Core Title"))))</f>
        <v>#|Operations - Core Title
#|Operations - Core Title
</v>
      </c>
      <c r="AH211" s="21"/>
      <c r="AI211" s="21"/>
      <c r="AJ211" s="53" t="str">
        <f>if('Ingest Template'!A211="Standard",'Ingest Template'!N211&amp; "|DAR|DAR|2021-01-01",'Ingest Template'!N211&amp; "|Operations - Core Title|Operations - Core Title")</f>
        <v>#N/A</v>
      </c>
      <c r="AK211" s="53" t="str">
        <f>if('Ingest Template'!A211="Standard",'Ingest Template'!R211&amp; "|2021-01-01",'Ingest Template'!R211)</f>
        <v>#N/A</v>
      </c>
      <c r="AL211" s="21"/>
      <c r="AM211" s="21"/>
    </row>
    <row r="212">
      <c r="A212" s="21"/>
      <c r="B212" s="21" t="str">
        <f>'Ingest Template'!B212&amp;IF('Ingest Template'!A212 = "Standard", " - DAR","")</f>
        <v/>
      </c>
      <c r="C212" s="26" t="s">
        <v>109</v>
      </c>
      <c r="D212" s="29" t="str">
        <f t="array" ref="D212">CONCATENATE(INDEX(DropDown!$H$2:$H$10,MATCH(1,COUNTIF('Ingest Template'!F212,"*"&amp;DropDown!$H$2:$H$10&amp;"*"),0)),CHAR(10),'Ingest Template'!G212)</f>
        <v>#N/A</v>
      </c>
      <c r="E212" s="21" t="str">
        <f>CONCATENATE('Ingest Template'!H212,CHAR(10),'Ingest Template'!I212,CHAR(10),'Ingest Template'!J212)</f>
        <v>
</v>
      </c>
      <c r="F212" s="26" t="str">
        <f>'Ingest Template'!H212</f>
        <v/>
      </c>
      <c r="G212" s="21"/>
      <c r="H212" s="29"/>
      <c r="I212" s="21"/>
      <c r="J212" s="29" t="str">
        <f t="array" ref="J212">iF('Ingest Template'!A212="Standard","Pristine Brand",INDEX(DropDown!$M$2:$M$392,MATCH('Ingest Template'!E212,DropDown!$J$2:$J$392,0)))</f>
        <v>#N/A</v>
      </c>
      <c r="K212" s="21" t="str">
        <f>iF('Ingest Template'!A212="Standard",'Ingest Template'!K212&amp;CHAR(10)&amp;'Ingest Template'!L212,"Competitive View")</f>
        <v>Competitive View</v>
      </c>
      <c r="L212" s="29" t="s">
        <v>146</v>
      </c>
      <c r="M212" s="37" t="str">
        <f>'Ingest Template'!D212</f>
        <v/>
      </c>
      <c r="N212" s="21"/>
      <c r="O212" s="21"/>
      <c r="P212" s="21"/>
      <c r="Q212" s="21"/>
      <c r="R212" s="21" t="str">
        <f>'Ingest Template'!E212</f>
        <v/>
      </c>
      <c r="S212" s="29" t="s">
        <v>153</v>
      </c>
      <c r="T212" s="21" t="str">
        <f>'Ingest Template'!T212</f>
        <v/>
      </c>
      <c r="U212" s="21" t="str">
        <f>'Ingest Template'!S212</f>
        <v/>
      </c>
      <c r="V212" s="21" t="str">
        <f>LOWER(SUBSTITUTE(SUBSTITUTE(SUBSTITUTE(SUBSTITUTE(SUBSTITUTE('Ingest Template'!U212,"https:",""),"www.",""),"/",""),"?hl=en",""),"instagram.com",""))</f>
        <v/>
      </c>
      <c r="W212" s="41" t="str">
        <f t="array" ref="W212">IF('Ingest Template'!V212="",(INDEX(DropDown!$L$2:$L$392,MATCH('Ingest Template'!E212,DropDown!$J$2:$J$392,0))&amp;"|"&amp;'Ingest Template'!B212),(INDEX(DropDown!$L$2:$L$392,MATCH('Ingest Template'!E212,DropDown!$J$2:$J$392,0))&amp;"|"&amp;'Ingest Template'!B212)&amp;CHAR(10)&amp;'Ingest Template'!V212)</f>
        <v>#N/A</v>
      </c>
      <c r="X212" s="41" t="str">
        <f>'Ingest Template'!W212</f>
        <v/>
      </c>
      <c r="Y212" s="21" t="str">
        <f>SUBSTITUTE(SUBSTITUTE(SUBSTITUTE('Ingest Template'!X212,"http:",""),"https:",""),"/","")</f>
        <v/>
      </c>
      <c r="Z212" s="21" t="str">
        <f t="array" ref="Z212">IF('Ingest Template'!A212="Standard",(IF(ISBLANK('Ingest Template'!AA212),"", 'Ingest Template'!AA212&amp;"|DAR")),(IF(ISBLANK('Ingest Template'!AA212),"", 'Ingest Template'!AA212&amp;"|Film Ops")))</f>
        <v/>
      </c>
      <c r="AA212" s="21"/>
      <c r="AB212" s="21" t="str">
        <f>'Ingest Template'!M212</f>
        <v/>
      </c>
      <c r="AC212" s="21" t="str">
        <f>'Ingest Template'!Y212</f>
        <v/>
      </c>
      <c r="AD212" s="21" t="str">
        <f>'Ingest Template'!C212</f>
        <v/>
      </c>
      <c r="AE212" s="21" t="str">
        <f>'Ingest Template'!Z212</f>
        <v/>
      </c>
      <c r="AF212" s="29"/>
      <c r="AG212" s="21" t="str">
        <f t="array" ref="AG212">IF('Ingest Template'!A212="Standard",(CONCATENATE(IF(ISBLANK('Ingest Template'!O212),"", 'Ingest Template'!O212&amp;"|DAR"),CHAR(10), IF(ISBLANK('Ingest Template'!P212),"", 'Ingest Template'!P212&amp;"|DAR"),CHAR(10), IF(ISBLANK('Ingest Template'!Q212),"", 'Ingest Template'!Q212&amp;"|DAR"))),(CONCATENATE(IF(ISBLANK('Ingest Template'!O212),"", 'Ingest Template'!O212&amp;"|Operations - Core Title"),CHAR(10), IF(ISBLANK('Ingest Template'!P212),"", 'Ingest Template'!P212&amp;"|Operations - Core Title"),CHAR(10), IF(ISBLANK('Ingest Template'!Q212),"", 'Ingest Template'!Q212&amp;"|Operations - Core Title"))))</f>
        <v>#|Operations - Core Title
#|Operations - Core Title
</v>
      </c>
      <c r="AH212" s="21"/>
      <c r="AI212" s="21"/>
      <c r="AJ212" s="53" t="str">
        <f>if('Ingest Template'!A212="Standard",'Ingest Template'!N212&amp; "|DAR|DAR|2021-01-01",'Ingest Template'!N212&amp; "|Operations - Core Title|Operations - Core Title")</f>
        <v>#N/A</v>
      </c>
      <c r="AK212" s="53" t="str">
        <f>if('Ingest Template'!A212="Standard",'Ingest Template'!R212&amp; "|2021-01-01",'Ingest Template'!R212)</f>
        <v>#N/A</v>
      </c>
      <c r="AL212" s="21"/>
      <c r="AM212" s="21"/>
    </row>
    <row r="213">
      <c r="A213" s="21"/>
      <c r="B213" s="21" t="str">
        <f>'Ingest Template'!B213&amp;IF('Ingest Template'!A213 = "Standard", " - DAR","")</f>
        <v/>
      </c>
      <c r="C213" s="26" t="s">
        <v>109</v>
      </c>
      <c r="D213" s="29" t="str">
        <f t="array" ref="D213">CONCATENATE(INDEX(DropDown!$H$2:$H$10,MATCH(1,COUNTIF('Ingest Template'!F213,"*"&amp;DropDown!$H$2:$H$10&amp;"*"),0)),CHAR(10),'Ingest Template'!G213)</f>
        <v>#N/A</v>
      </c>
      <c r="E213" s="21" t="str">
        <f>CONCATENATE('Ingest Template'!H213,CHAR(10),'Ingest Template'!I213,CHAR(10),'Ingest Template'!J213)</f>
        <v>
</v>
      </c>
      <c r="F213" s="26" t="str">
        <f>'Ingest Template'!H213</f>
        <v/>
      </c>
      <c r="G213" s="21"/>
      <c r="H213" s="29"/>
      <c r="I213" s="21"/>
      <c r="J213" s="29" t="str">
        <f t="array" ref="J213">iF('Ingest Template'!A213="Standard","Pristine Brand",INDEX(DropDown!$M$2:$M$392,MATCH('Ingest Template'!E213,DropDown!$J$2:$J$392,0)))</f>
        <v>#N/A</v>
      </c>
      <c r="K213" s="21" t="str">
        <f>iF('Ingest Template'!A213="Standard",'Ingest Template'!K213&amp;CHAR(10)&amp;'Ingest Template'!L213,"Competitive View")</f>
        <v>Competitive View</v>
      </c>
      <c r="L213" s="29" t="s">
        <v>146</v>
      </c>
      <c r="M213" s="37" t="str">
        <f>'Ingest Template'!D213</f>
        <v/>
      </c>
      <c r="N213" s="21"/>
      <c r="O213" s="21"/>
      <c r="P213" s="21"/>
      <c r="Q213" s="21"/>
      <c r="R213" s="21" t="str">
        <f>'Ingest Template'!E213</f>
        <v/>
      </c>
      <c r="S213" s="29" t="s">
        <v>153</v>
      </c>
      <c r="T213" s="21" t="str">
        <f>'Ingest Template'!T213</f>
        <v/>
      </c>
      <c r="U213" s="21" t="str">
        <f>'Ingest Template'!S213</f>
        <v/>
      </c>
      <c r="V213" s="21" t="str">
        <f>LOWER(SUBSTITUTE(SUBSTITUTE(SUBSTITUTE(SUBSTITUTE(SUBSTITUTE('Ingest Template'!U213,"https:",""),"www.",""),"/",""),"?hl=en",""),"instagram.com",""))</f>
        <v/>
      </c>
      <c r="W213" s="41" t="str">
        <f t="array" ref="W213">IF('Ingest Template'!V213="",(INDEX(DropDown!$L$2:$L$392,MATCH('Ingest Template'!E213,DropDown!$J$2:$J$392,0))&amp;"|"&amp;'Ingest Template'!B213),(INDEX(DropDown!$L$2:$L$392,MATCH('Ingest Template'!E213,DropDown!$J$2:$J$392,0))&amp;"|"&amp;'Ingest Template'!B213)&amp;CHAR(10)&amp;'Ingest Template'!V213)</f>
        <v>#N/A</v>
      </c>
      <c r="X213" s="41" t="str">
        <f>'Ingest Template'!W213</f>
        <v/>
      </c>
      <c r="Y213" s="21" t="str">
        <f>SUBSTITUTE(SUBSTITUTE(SUBSTITUTE('Ingest Template'!X213,"http:",""),"https:",""),"/","")</f>
        <v/>
      </c>
      <c r="Z213" s="21" t="str">
        <f t="array" ref="Z213">IF('Ingest Template'!A213="Standard",(IF(ISBLANK('Ingest Template'!AA213),"", 'Ingest Template'!AA213&amp;"|DAR")),(IF(ISBLANK('Ingest Template'!AA213),"", 'Ingest Template'!AA213&amp;"|Film Ops")))</f>
        <v/>
      </c>
      <c r="AA213" s="21"/>
      <c r="AB213" s="21" t="str">
        <f>'Ingest Template'!M213</f>
        <v/>
      </c>
      <c r="AC213" s="21" t="str">
        <f>'Ingest Template'!Y213</f>
        <v/>
      </c>
      <c r="AD213" s="21" t="str">
        <f>'Ingest Template'!C213</f>
        <v/>
      </c>
      <c r="AE213" s="21" t="str">
        <f>'Ingest Template'!Z213</f>
        <v/>
      </c>
      <c r="AF213" s="29"/>
      <c r="AG213" s="21" t="str">
        <f t="array" ref="AG213">IF('Ingest Template'!A213="Standard",(CONCATENATE(IF(ISBLANK('Ingest Template'!O213),"", 'Ingest Template'!O213&amp;"|DAR"),CHAR(10), IF(ISBLANK('Ingest Template'!P213),"", 'Ingest Template'!P213&amp;"|DAR"),CHAR(10), IF(ISBLANK('Ingest Template'!Q213),"", 'Ingest Template'!Q213&amp;"|DAR"))),(CONCATENATE(IF(ISBLANK('Ingest Template'!O213),"", 'Ingest Template'!O213&amp;"|Operations - Core Title"),CHAR(10), IF(ISBLANK('Ingest Template'!P213),"", 'Ingest Template'!P213&amp;"|Operations - Core Title"),CHAR(10), IF(ISBLANK('Ingest Template'!Q213),"", 'Ingest Template'!Q213&amp;"|Operations - Core Title"))))</f>
        <v>#|Operations - Core Title
#|Operations - Core Title
</v>
      </c>
      <c r="AH213" s="21"/>
      <c r="AI213" s="21"/>
      <c r="AJ213" s="53" t="str">
        <f>if('Ingest Template'!A213="Standard",'Ingest Template'!N213&amp; "|DAR|DAR|2021-01-01",'Ingest Template'!N213&amp; "|Operations - Core Title|Operations - Core Title")</f>
        <v>#N/A</v>
      </c>
      <c r="AK213" s="53" t="str">
        <f>if('Ingest Template'!A213="Standard",'Ingest Template'!R213&amp; "|2021-01-01",'Ingest Template'!R213)</f>
        <v>#N/A</v>
      </c>
      <c r="AL213" s="21"/>
      <c r="AM213" s="21"/>
    </row>
    <row r="214">
      <c r="A214" s="21"/>
      <c r="B214" s="21" t="str">
        <f>'Ingest Template'!B214&amp;IF('Ingest Template'!A214 = "Standard", " - DAR","")</f>
        <v/>
      </c>
      <c r="C214" s="26" t="s">
        <v>109</v>
      </c>
      <c r="D214" s="29" t="str">
        <f t="array" ref="D214">CONCATENATE(INDEX(DropDown!$H$2:$H$10,MATCH(1,COUNTIF('Ingest Template'!F214,"*"&amp;DropDown!$H$2:$H$10&amp;"*"),0)),CHAR(10),'Ingest Template'!G214)</f>
        <v>#N/A</v>
      </c>
      <c r="E214" s="21" t="str">
        <f>CONCATENATE('Ingest Template'!H214,CHAR(10),'Ingest Template'!I214,CHAR(10),'Ingest Template'!J214)</f>
        <v>
</v>
      </c>
      <c r="F214" s="26" t="str">
        <f>'Ingest Template'!H214</f>
        <v/>
      </c>
      <c r="G214" s="21"/>
      <c r="H214" s="29"/>
      <c r="I214" s="21"/>
      <c r="J214" s="29" t="str">
        <f t="array" ref="J214">iF('Ingest Template'!A214="Standard","Pristine Brand",INDEX(DropDown!$M$2:$M$392,MATCH('Ingest Template'!E214,DropDown!$J$2:$J$392,0)))</f>
        <v>#N/A</v>
      </c>
      <c r="K214" s="21" t="str">
        <f>iF('Ingest Template'!A214="Standard",'Ingest Template'!K214&amp;CHAR(10)&amp;'Ingest Template'!L214,"Competitive View")</f>
        <v>Competitive View</v>
      </c>
      <c r="L214" s="29" t="s">
        <v>146</v>
      </c>
      <c r="M214" s="37" t="str">
        <f>'Ingest Template'!D214</f>
        <v/>
      </c>
      <c r="N214" s="21"/>
      <c r="O214" s="21"/>
      <c r="P214" s="21"/>
      <c r="Q214" s="21"/>
      <c r="R214" s="21" t="str">
        <f>'Ingest Template'!E214</f>
        <v/>
      </c>
      <c r="S214" s="29" t="s">
        <v>153</v>
      </c>
      <c r="T214" s="21" t="str">
        <f>'Ingest Template'!T214</f>
        <v/>
      </c>
      <c r="U214" s="21" t="str">
        <f>'Ingest Template'!S214</f>
        <v/>
      </c>
      <c r="V214" s="21" t="str">
        <f>LOWER(SUBSTITUTE(SUBSTITUTE(SUBSTITUTE(SUBSTITUTE(SUBSTITUTE('Ingest Template'!U214,"https:",""),"www.",""),"/",""),"?hl=en",""),"instagram.com",""))</f>
        <v/>
      </c>
      <c r="W214" s="41" t="str">
        <f t="array" ref="W214">IF('Ingest Template'!V214="",(INDEX(DropDown!$L$2:$L$392,MATCH('Ingest Template'!E214,DropDown!$J$2:$J$392,0))&amp;"|"&amp;'Ingest Template'!B214),(INDEX(DropDown!$L$2:$L$392,MATCH('Ingest Template'!E214,DropDown!$J$2:$J$392,0))&amp;"|"&amp;'Ingest Template'!B214)&amp;CHAR(10)&amp;'Ingest Template'!V214)</f>
        <v>#N/A</v>
      </c>
      <c r="X214" s="41" t="str">
        <f>'Ingest Template'!W214</f>
        <v/>
      </c>
      <c r="Y214" s="21" t="str">
        <f>SUBSTITUTE(SUBSTITUTE(SUBSTITUTE('Ingest Template'!X214,"http:",""),"https:",""),"/","")</f>
        <v/>
      </c>
      <c r="Z214" s="21" t="str">
        <f t="array" ref="Z214">IF('Ingest Template'!A214="Standard",(IF(ISBLANK('Ingest Template'!AA214),"", 'Ingest Template'!AA214&amp;"|DAR")),(IF(ISBLANK('Ingest Template'!AA214),"", 'Ingest Template'!AA214&amp;"|Film Ops")))</f>
        <v/>
      </c>
      <c r="AA214" s="21"/>
      <c r="AB214" s="21" t="str">
        <f>'Ingest Template'!M214</f>
        <v/>
      </c>
      <c r="AC214" s="21" t="str">
        <f>'Ingest Template'!Y214</f>
        <v/>
      </c>
      <c r="AD214" s="21" t="str">
        <f>'Ingest Template'!C214</f>
        <v/>
      </c>
      <c r="AE214" s="21" t="str">
        <f>'Ingest Template'!Z214</f>
        <v/>
      </c>
      <c r="AF214" s="29"/>
      <c r="AG214" s="21" t="str">
        <f t="array" ref="AG214">IF('Ingest Template'!A214="Standard",(CONCATENATE(IF(ISBLANK('Ingest Template'!O214),"", 'Ingest Template'!O214&amp;"|DAR"),CHAR(10), IF(ISBLANK('Ingest Template'!P214),"", 'Ingest Template'!P214&amp;"|DAR"),CHAR(10), IF(ISBLANK('Ingest Template'!Q214),"", 'Ingest Template'!Q214&amp;"|DAR"))),(CONCATENATE(IF(ISBLANK('Ingest Template'!O214),"", 'Ingest Template'!O214&amp;"|Operations - Core Title"),CHAR(10), IF(ISBLANK('Ingest Template'!P214),"", 'Ingest Template'!P214&amp;"|Operations - Core Title"),CHAR(10), IF(ISBLANK('Ingest Template'!Q214),"", 'Ingest Template'!Q214&amp;"|Operations - Core Title"))))</f>
        <v>#|Operations - Core Title
#|Operations - Core Title
</v>
      </c>
      <c r="AH214" s="21"/>
      <c r="AI214" s="21"/>
      <c r="AJ214" s="53" t="str">
        <f>if('Ingest Template'!A214="Standard",'Ingest Template'!N214&amp; "|DAR|DAR|2021-01-01",'Ingest Template'!N214&amp; "|Operations - Core Title|Operations - Core Title")</f>
        <v>#N/A</v>
      </c>
      <c r="AK214" s="53" t="str">
        <f>if('Ingest Template'!A214="Standard",'Ingest Template'!R214&amp; "|2021-01-01",'Ingest Template'!R214)</f>
        <v>#N/A</v>
      </c>
      <c r="AL214" s="21"/>
      <c r="AM214" s="21"/>
    </row>
    <row r="215">
      <c r="A215" s="21"/>
      <c r="B215" s="21" t="str">
        <f>'Ingest Template'!B215&amp;IF('Ingest Template'!A215 = "Standard", " - DAR","")</f>
        <v/>
      </c>
      <c r="C215" s="26" t="s">
        <v>109</v>
      </c>
      <c r="D215" s="29" t="str">
        <f t="array" ref="D215">CONCATENATE(INDEX(DropDown!$H$2:$H$10,MATCH(1,COUNTIF('Ingest Template'!F215,"*"&amp;DropDown!$H$2:$H$10&amp;"*"),0)),CHAR(10),'Ingest Template'!G215)</f>
        <v>#N/A</v>
      </c>
      <c r="E215" s="21" t="str">
        <f>CONCATENATE('Ingest Template'!H215,CHAR(10),'Ingest Template'!I215,CHAR(10),'Ingest Template'!J215)</f>
        <v>
</v>
      </c>
      <c r="F215" s="26" t="str">
        <f>'Ingest Template'!H215</f>
        <v/>
      </c>
      <c r="G215" s="21"/>
      <c r="H215" s="29"/>
      <c r="I215" s="21"/>
      <c r="J215" s="29" t="str">
        <f t="array" ref="J215">iF('Ingest Template'!A215="Standard","Pristine Brand",INDEX(DropDown!$M$2:$M$392,MATCH('Ingest Template'!E215,DropDown!$J$2:$J$392,0)))</f>
        <v>#N/A</v>
      </c>
      <c r="K215" s="21" t="str">
        <f>iF('Ingest Template'!A215="Standard",'Ingest Template'!K215&amp;CHAR(10)&amp;'Ingest Template'!L215,"Competitive View")</f>
        <v>Competitive View</v>
      </c>
      <c r="L215" s="29" t="s">
        <v>146</v>
      </c>
      <c r="M215" s="37" t="str">
        <f>'Ingest Template'!D215</f>
        <v/>
      </c>
      <c r="N215" s="21"/>
      <c r="O215" s="21"/>
      <c r="P215" s="21"/>
      <c r="Q215" s="21"/>
      <c r="R215" s="21" t="str">
        <f>'Ingest Template'!E215</f>
        <v/>
      </c>
      <c r="S215" s="29" t="s">
        <v>153</v>
      </c>
      <c r="T215" s="21" t="str">
        <f>'Ingest Template'!T215</f>
        <v/>
      </c>
      <c r="U215" s="21" t="str">
        <f>'Ingest Template'!S215</f>
        <v/>
      </c>
      <c r="V215" s="21" t="str">
        <f>LOWER(SUBSTITUTE(SUBSTITUTE(SUBSTITUTE(SUBSTITUTE(SUBSTITUTE('Ingest Template'!U215,"https:",""),"www.",""),"/",""),"?hl=en",""),"instagram.com",""))</f>
        <v/>
      </c>
      <c r="W215" s="41" t="str">
        <f t="array" ref="W215">IF('Ingest Template'!V215="",(INDEX(DropDown!$L$2:$L$392,MATCH('Ingest Template'!E215,DropDown!$J$2:$J$392,0))&amp;"|"&amp;'Ingest Template'!B215),(INDEX(DropDown!$L$2:$L$392,MATCH('Ingest Template'!E215,DropDown!$J$2:$J$392,0))&amp;"|"&amp;'Ingest Template'!B215)&amp;CHAR(10)&amp;'Ingest Template'!V215)</f>
        <v>#N/A</v>
      </c>
      <c r="X215" s="41" t="str">
        <f>'Ingest Template'!W215</f>
        <v/>
      </c>
      <c r="Y215" s="21" t="str">
        <f>SUBSTITUTE(SUBSTITUTE(SUBSTITUTE('Ingest Template'!X215,"http:",""),"https:",""),"/","")</f>
        <v/>
      </c>
      <c r="Z215" s="21" t="str">
        <f t="array" ref="Z215">IF('Ingest Template'!A215="Standard",(IF(ISBLANK('Ingest Template'!AA215),"", 'Ingest Template'!AA215&amp;"|DAR")),(IF(ISBLANK('Ingest Template'!AA215),"", 'Ingest Template'!AA215&amp;"|Film Ops")))</f>
        <v/>
      </c>
      <c r="AA215" s="21"/>
      <c r="AB215" s="21" t="str">
        <f>'Ingest Template'!M215</f>
        <v/>
      </c>
      <c r="AC215" s="21" t="str">
        <f>'Ingest Template'!Y215</f>
        <v/>
      </c>
      <c r="AD215" s="21" t="str">
        <f>'Ingest Template'!C215</f>
        <v/>
      </c>
      <c r="AE215" s="21" t="str">
        <f>'Ingest Template'!Z215</f>
        <v/>
      </c>
      <c r="AF215" s="29"/>
      <c r="AG215" s="21" t="str">
        <f t="array" ref="AG215">IF('Ingest Template'!A215="Standard",(CONCATENATE(IF(ISBLANK('Ingest Template'!O215),"", 'Ingest Template'!O215&amp;"|DAR"),CHAR(10), IF(ISBLANK('Ingest Template'!P215),"", 'Ingest Template'!P215&amp;"|DAR"),CHAR(10), IF(ISBLANK('Ingest Template'!Q215),"", 'Ingest Template'!Q215&amp;"|DAR"))),(CONCATENATE(IF(ISBLANK('Ingest Template'!O215),"", 'Ingest Template'!O215&amp;"|Operations - Core Title"),CHAR(10), IF(ISBLANK('Ingest Template'!P215),"", 'Ingest Template'!P215&amp;"|Operations - Core Title"),CHAR(10), IF(ISBLANK('Ingest Template'!Q215),"", 'Ingest Template'!Q215&amp;"|Operations - Core Title"))))</f>
        <v>#|Operations - Core Title
#|Operations - Core Title
</v>
      </c>
      <c r="AH215" s="21"/>
      <c r="AI215" s="21"/>
      <c r="AJ215" s="53" t="str">
        <f>if('Ingest Template'!A215="Standard",'Ingest Template'!N215&amp; "|DAR|DAR|2021-01-01",'Ingest Template'!N215&amp; "|Operations - Core Title|Operations - Core Title")</f>
        <v>#N/A</v>
      </c>
      <c r="AK215" s="53" t="str">
        <f>if('Ingest Template'!A215="Standard",'Ingest Template'!R215&amp; "|2021-01-01",'Ingest Template'!R215)</f>
        <v>#N/A</v>
      </c>
      <c r="AL215" s="21"/>
      <c r="AM215" s="21"/>
    </row>
    <row r="216">
      <c r="A216" s="21"/>
      <c r="B216" s="21" t="str">
        <f>'Ingest Template'!B216&amp;IF('Ingest Template'!A216 = "Standard", " - DAR","")</f>
        <v/>
      </c>
      <c r="C216" s="26" t="s">
        <v>109</v>
      </c>
      <c r="D216" s="29" t="str">
        <f t="array" ref="D216">CONCATENATE(INDEX(DropDown!$H$2:$H$10,MATCH(1,COUNTIF('Ingest Template'!F216,"*"&amp;DropDown!$H$2:$H$10&amp;"*"),0)),CHAR(10),'Ingest Template'!G216)</f>
        <v>#N/A</v>
      </c>
      <c r="E216" s="21" t="str">
        <f>CONCATENATE('Ingest Template'!H216,CHAR(10),'Ingest Template'!I216,CHAR(10),'Ingest Template'!J216)</f>
        <v>
</v>
      </c>
      <c r="F216" s="26" t="str">
        <f>'Ingest Template'!H216</f>
        <v/>
      </c>
      <c r="G216" s="21"/>
      <c r="H216" s="29"/>
      <c r="I216" s="21"/>
      <c r="J216" s="29" t="str">
        <f t="array" ref="J216">iF('Ingest Template'!A216="Standard","Pristine Brand",INDEX(DropDown!$M$2:$M$392,MATCH('Ingest Template'!E216,DropDown!$J$2:$J$392,0)))</f>
        <v>#N/A</v>
      </c>
      <c r="K216" s="21" t="str">
        <f>iF('Ingest Template'!A216="Standard",'Ingest Template'!K216&amp;CHAR(10)&amp;'Ingest Template'!L216,"Competitive View")</f>
        <v>Competitive View</v>
      </c>
      <c r="L216" s="29" t="s">
        <v>146</v>
      </c>
      <c r="M216" s="37" t="str">
        <f>'Ingest Template'!D216</f>
        <v/>
      </c>
      <c r="N216" s="21"/>
      <c r="O216" s="21"/>
      <c r="P216" s="21"/>
      <c r="Q216" s="21"/>
      <c r="R216" s="21" t="str">
        <f>'Ingest Template'!E216</f>
        <v/>
      </c>
      <c r="S216" s="29" t="s">
        <v>153</v>
      </c>
      <c r="T216" s="21" t="str">
        <f>'Ingest Template'!T216</f>
        <v/>
      </c>
      <c r="U216" s="21" t="str">
        <f>'Ingest Template'!S216</f>
        <v/>
      </c>
      <c r="V216" s="21" t="str">
        <f>LOWER(SUBSTITUTE(SUBSTITUTE(SUBSTITUTE(SUBSTITUTE(SUBSTITUTE('Ingest Template'!U216,"https:",""),"www.",""),"/",""),"?hl=en",""),"instagram.com",""))</f>
        <v/>
      </c>
      <c r="W216" s="41" t="str">
        <f t="array" ref="W216">IF('Ingest Template'!V216="",(INDEX(DropDown!$L$2:$L$392,MATCH('Ingest Template'!E216,DropDown!$J$2:$J$392,0))&amp;"|"&amp;'Ingest Template'!B216),(INDEX(DropDown!$L$2:$L$392,MATCH('Ingest Template'!E216,DropDown!$J$2:$J$392,0))&amp;"|"&amp;'Ingest Template'!B216)&amp;CHAR(10)&amp;'Ingest Template'!V216)</f>
        <v>#N/A</v>
      </c>
      <c r="X216" s="41" t="str">
        <f>'Ingest Template'!W216</f>
        <v/>
      </c>
      <c r="Y216" s="21" t="str">
        <f>SUBSTITUTE(SUBSTITUTE(SUBSTITUTE('Ingest Template'!X216,"http:",""),"https:",""),"/","")</f>
        <v/>
      </c>
      <c r="Z216" s="21" t="str">
        <f t="array" ref="Z216">IF('Ingest Template'!A216="Standard",(IF(ISBLANK('Ingest Template'!AA216),"", 'Ingest Template'!AA216&amp;"|DAR")),(IF(ISBLANK('Ingest Template'!AA216),"", 'Ingest Template'!AA216&amp;"|Film Ops")))</f>
        <v/>
      </c>
      <c r="AA216" s="21"/>
      <c r="AB216" s="21" t="str">
        <f>'Ingest Template'!M216</f>
        <v/>
      </c>
      <c r="AC216" s="21" t="str">
        <f>'Ingest Template'!Y216</f>
        <v/>
      </c>
      <c r="AD216" s="21" t="str">
        <f>'Ingest Template'!C216</f>
        <v/>
      </c>
      <c r="AE216" s="21" t="str">
        <f>'Ingest Template'!Z216</f>
        <v/>
      </c>
      <c r="AF216" s="29"/>
      <c r="AG216" s="21" t="str">
        <f t="array" ref="AG216">IF('Ingest Template'!A216="Standard",(CONCATENATE(IF(ISBLANK('Ingest Template'!O216),"", 'Ingest Template'!O216&amp;"|DAR"),CHAR(10), IF(ISBLANK('Ingest Template'!P216),"", 'Ingest Template'!P216&amp;"|DAR"),CHAR(10), IF(ISBLANK('Ingest Template'!Q216),"", 'Ingest Template'!Q216&amp;"|DAR"))),(CONCATENATE(IF(ISBLANK('Ingest Template'!O216),"", 'Ingest Template'!O216&amp;"|Operations - Core Title"),CHAR(10), IF(ISBLANK('Ingest Template'!P216),"", 'Ingest Template'!P216&amp;"|Operations - Core Title"),CHAR(10), IF(ISBLANK('Ingest Template'!Q216),"", 'Ingest Template'!Q216&amp;"|Operations - Core Title"))))</f>
        <v>#|Operations - Core Title
#|Operations - Core Title
</v>
      </c>
      <c r="AH216" s="21"/>
      <c r="AI216" s="21"/>
      <c r="AJ216" s="53" t="str">
        <f>if('Ingest Template'!A216="Standard",'Ingest Template'!N216&amp; "|DAR|DAR|2021-01-01",'Ingest Template'!N216&amp; "|Operations - Core Title|Operations - Core Title")</f>
        <v>#N/A</v>
      </c>
      <c r="AK216" s="53" t="str">
        <f>if('Ingest Template'!A216="Standard",'Ingest Template'!R216&amp; "|2021-01-01",'Ingest Template'!R216)</f>
        <v>#N/A</v>
      </c>
      <c r="AL216" s="21"/>
      <c r="AM216" s="21"/>
    </row>
    <row r="217">
      <c r="A217" s="21"/>
      <c r="B217" s="21" t="str">
        <f>'Ingest Template'!B217&amp;IF('Ingest Template'!A217 = "Standard", " - DAR","")</f>
        <v/>
      </c>
      <c r="C217" s="26" t="s">
        <v>109</v>
      </c>
      <c r="D217" s="29" t="str">
        <f t="array" ref="D217">CONCATENATE(INDEX(DropDown!$H$2:$H$10,MATCH(1,COUNTIF('Ingest Template'!F217,"*"&amp;DropDown!$H$2:$H$10&amp;"*"),0)),CHAR(10),'Ingest Template'!G217)</f>
        <v>#N/A</v>
      </c>
      <c r="E217" s="21" t="str">
        <f>CONCATENATE('Ingest Template'!H217,CHAR(10),'Ingest Template'!I217,CHAR(10),'Ingest Template'!J217)</f>
        <v>
</v>
      </c>
      <c r="F217" s="26" t="str">
        <f>'Ingest Template'!H217</f>
        <v/>
      </c>
      <c r="G217" s="21"/>
      <c r="H217" s="29"/>
      <c r="I217" s="21"/>
      <c r="J217" s="29" t="str">
        <f t="array" ref="J217">iF('Ingest Template'!A217="Standard","Pristine Brand",INDEX(DropDown!$M$2:$M$392,MATCH('Ingest Template'!E217,DropDown!$J$2:$J$392,0)))</f>
        <v>#N/A</v>
      </c>
      <c r="K217" s="21" t="str">
        <f>iF('Ingest Template'!A217="Standard",'Ingest Template'!K217&amp;CHAR(10)&amp;'Ingest Template'!L217,"Competitive View")</f>
        <v>Competitive View</v>
      </c>
      <c r="L217" s="29" t="s">
        <v>146</v>
      </c>
      <c r="M217" s="37" t="str">
        <f>'Ingest Template'!D217</f>
        <v/>
      </c>
      <c r="N217" s="21"/>
      <c r="O217" s="21"/>
      <c r="P217" s="21"/>
      <c r="Q217" s="21"/>
      <c r="R217" s="21" t="str">
        <f>'Ingest Template'!E217</f>
        <v/>
      </c>
      <c r="S217" s="29" t="s">
        <v>153</v>
      </c>
      <c r="T217" s="21" t="str">
        <f>'Ingest Template'!T217</f>
        <v/>
      </c>
      <c r="U217" s="21" t="str">
        <f>'Ingest Template'!S217</f>
        <v/>
      </c>
      <c r="V217" s="21" t="str">
        <f>LOWER(SUBSTITUTE(SUBSTITUTE(SUBSTITUTE(SUBSTITUTE(SUBSTITUTE('Ingest Template'!U217,"https:",""),"www.",""),"/",""),"?hl=en",""),"instagram.com",""))</f>
        <v/>
      </c>
      <c r="W217" s="41" t="str">
        <f t="array" ref="W217">IF('Ingest Template'!V217="",(INDEX(DropDown!$L$2:$L$392,MATCH('Ingest Template'!E217,DropDown!$J$2:$J$392,0))&amp;"|"&amp;'Ingest Template'!B217),(INDEX(DropDown!$L$2:$L$392,MATCH('Ingest Template'!E217,DropDown!$J$2:$J$392,0))&amp;"|"&amp;'Ingest Template'!B217)&amp;CHAR(10)&amp;'Ingest Template'!V217)</f>
        <v>#N/A</v>
      </c>
      <c r="X217" s="41" t="str">
        <f>'Ingest Template'!W217</f>
        <v/>
      </c>
      <c r="Y217" s="21" t="str">
        <f>SUBSTITUTE(SUBSTITUTE(SUBSTITUTE('Ingest Template'!X217,"http:",""),"https:",""),"/","")</f>
        <v/>
      </c>
      <c r="Z217" s="21" t="str">
        <f t="array" ref="Z217">IF('Ingest Template'!A217="Standard",(IF(ISBLANK('Ingest Template'!AA217),"", 'Ingest Template'!AA217&amp;"|DAR")),(IF(ISBLANK('Ingest Template'!AA217),"", 'Ingest Template'!AA217&amp;"|Film Ops")))</f>
        <v/>
      </c>
      <c r="AA217" s="21"/>
      <c r="AB217" s="21" t="str">
        <f>'Ingest Template'!M217</f>
        <v/>
      </c>
      <c r="AC217" s="21" t="str">
        <f>'Ingest Template'!Y217</f>
        <v/>
      </c>
      <c r="AD217" s="21" t="str">
        <f>'Ingest Template'!C217</f>
        <v/>
      </c>
      <c r="AE217" s="21" t="str">
        <f>'Ingest Template'!Z217</f>
        <v/>
      </c>
      <c r="AF217" s="29"/>
      <c r="AG217" s="21" t="str">
        <f t="array" ref="AG217">IF('Ingest Template'!A217="Standard",(CONCATENATE(IF(ISBLANK('Ingest Template'!O217),"", 'Ingest Template'!O217&amp;"|DAR"),CHAR(10), IF(ISBLANK('Ingest Template'!P217),"", 'Ingest Template'!P217&amp;"|DAR"),CHAR(10), IF(ISBLANK('Ingest Template'!Q217),"", 'Ingest Template'!Q217&amp;"|DAR"))),(CONCATENATE(IF(ISBLANK('Ingest Template'!O217),"", 'Ingest Template'!O217&amp;"|Operations - Core Title"),CHAR(10), IF(ISBLANK('Ingest Template'!P217),"", 'Ingest Template'!P217&amp;"|Operations - Core Title"),CHAR(10), IF(ISBLANK('Ingest Template'!Q217),"", 'Ingest Template'!Q217&amp;"|Operations - Core Title"))))</f>
        <v>#|Operations - Core Title
#|Operations - Core Title
</v>
      </c>
      <c r="AH217" s="21"/>
      <c r="AI217" s="21"/>
      <c r="AJ217" s="53" t="str">
        <f>if('Ingest Template'!A217="Standard",'Ingest Template'!N217&amp; "|DAR|DAR|2021-01-01",'Ingest Template'!N217&amp; "|Operations - Core Title|Operations - Core Title")</f>
        <v>#N/A</v>
      </c>
      <c r="AK217" s="53" t="str">
        <f>if('Ingest Template'!A217="Standard",'Ingest Template'!R217&amp; "|2021-01-01",'Ingest Template'!R217)</f>
        <v>#N/A</v>
      </c>
      <c r="AL217" s="21"/>
      <c r="AM217" s="21"/>
    </row>
    <row r="218">
      <c r="A218" s="21"/>
      <c r="B218" s="21" t="str">
        <f>'Ingest Template'!B218&amp;IF('Ingest Template'!A218 = "Standard", " - DAR","")</f>
        <v/>
      </c>
      <c r="C218" s="26" t="s">
        <v>109</v>
      </c>
      <c r="D218" s="29" t="str">
        <f t="array" ref="D218">CONCATENATE(INDEX(DropDown!$H$2:$H$10,MATCH(1,COUNTIF('Ingest Template'!F218,"*"&amp;DropDown!$H$2:$H$10&amp;"*"),0)),CHAR(10),'Ingest Template'!G218)</f>
        <v>#N/A</v>
      </c>
      <c r="E218" s="21" t="str">
        <f>CONCATENATE('Ingest Template'!H218,CHAR(10),'Ingest Template'!I218,CHAR(10),'Ingest Template'!J218)</f>
        <v>
</v>
      </c>
      <c r="F218" s="26" t="str">
        <f>'Ingest Template'!H218</f>
        <v/>
      </c>
      <c r="G218" s="21"/>
      <c r="H218" s="29"/>
      <c r="I218" s="21"/>
      <c r="J218" s="29" t="str">
        <f t="array" ref="J218">iF('Ingest Template'!A218="Standard","Pristine Brand",INDEX(DropDown!$M$2:$M$392,MATCH('Ingest Template'!E218,DropDown!$J$2:$J$392,0)))</f>
        <v>#N/A</v>
      </c>
      <c r="K218" s="21" t="str">
        <f>iF('Ingest Template'!A218="Standard",'Ingest Template'!K218&amp;CHAR(10)&amp;'Ingest Template'!L218,"Competitive View")</f>
        <v>Competitive View</v>
      </c>
      <c r="L218" s="29" t="s">
        <v>146</v>
      </c>
      <c r="M218" s="37" t="str">
        <f>'Ingest Template'!D218</f>
        <v/>
      </c>
      <c r="N218" s="21"/>
      <c r="O218" s="21"/>
      <c r="P218" s="21"/>
      <c r="Q218" s="21"/>
      <c r="R218" s="21" t="str">
        <f>'Ingest Template'!E218</f>
        <v/>
      </c>
      <c r="S218" s="29" t="s">
        <v>153</v>
      </c>
      <c r="T218" s="21" t="str">
        <f>'Ingest Template'!T218</f>
        <v/>
      </c>
      <c r="U218" s="21" t="str">
        <f>'Ingest Template'!S218</f>
        <v/>
      </c>
      <c r="V218" s="21" t="str">
        <f>LOWER(SUBSTITUTE(SUBSTITUTE(SUBSTITUTE(SUBSTITUTE(SUBSTITUTE('Ingest Template'!U218,"https:",""),"www.",""),"/",""),"?hl=en",""),"instagram.com",""))</f>
        <v/>
      </c>
      <c r="W218" s="41" t="str">
        <f t="array" ref="W218">IF('Ingest Template'!V218="",(INDEX(DropDown!$L$2:$L$392,MATCH('Ingest Template'!E218,DropDown!$J$2:$J$392,0))&amp;"|"&amp;'Ingest Template'!B218),(INDEX(DropDown!$L$2:$L$392,MATCH('Ingest Template'!E218,DropDown!$J$2:$J$392,0))&amp;"|"&amp;'Ingest Template'!B218)&amp;CHAR(10)&amp;'Ingest Template'!V218)</f>
        <v>#N/A</v>
      </c>
      <c r="X218" s="41" t="str">
        <f>'Ingest Template'!W218</f>
        <v/>
      </c>
      <c r="Y218" s="21" t="str">
        <f>SUBSTITUTE(SUBSTITUTE(SUBSTITUTE('Ingest Template'!X218,"http:",""),"https:",""),"/","")</f>
        <v/>
      </c>
      <c r="Z218" s="21" t="str">
        <f t="array" ref="Z218">IF('Ingest Template'!A218="Standard",(IF(ISBLANK('Ingest Template'!AA218),"", 'Ingest Template'!AA218&amp;"|DAR")),(IF(ISBLANK('Ingest Template'!AA218),"", 'Ingest Template'!AA218&amp;"|Film Ops")))</f>
        <v/>
      </c>
      <c r="AA218" s="21"/>
      <c r="AB218" s="21" t="str">
        <f>'Ingest Template'!M218</f>
        <v/>
      </c>
      <c r="AC218" s="21" t="str">
        <f>'Ingest Template'!Y218</f>
        <v/>
      </c>
      <c r="AD218" s="21" t="str">
        <f>'Ingest Template'!C218</f>
        <v/>
      </c>
      <c r="AE218" s="21" t="str">
        <f>'Ingest Template'!Z218</f>
        <v/>
      </c>
      <c r="AF218" s="29"/>
      <c r="AG218" s="21" t="str">
        <f t="array" ref="AG218">IF('Ingest Template'!A218="Standard",(CONCATENATE(IF(ISBLANK('Ingest Template'!O218),"", 'Ingest Template'!O218&amp;"|DAR"),CHAR(10), IF(ISBLANK('Ingest Template'!P218),"", 'Ingest Template'!P218&amp;"|DAR"),CHAR(10), IF(ISBLANK('Ingest Template'!Q218),"", 'Ingest Template'!Q218&amp;"|DAR"))),(CONCATENATE(IF(ISBLANK('Ingest Template'!O218),"", 'Ingest Template'!O218&amp;"|Operations - Core Title"),CHAR(10), IF(ISBLANK('Ingest Template'!P218),"", 'Ingest Template'!P218&amp;"|Operations - Core Title"),CHAR(10), IF(ISBLANK('Ingest Template'!Q218),"", 'Ingest Template'!Q218&amp;"|Operations - Core Title"))))</f>
        <v>#|Operations - Core Title
#|Operations - Core Title
</v>
      </c>
      <c r="AH218" s="21"/>
      <c r="AI218" s="21"/>
      <c r="AJ218" s="53" t="str">
        <f>if('Ingest Template'!A218="Standard",'Ingest Template'!N218&amp; "|DAR|DAR|2021-01-01",'Ingest Template'!N218&amp; "|Operations - Core Title|Operations - Core Title")</f>
        <v>#N/A</v>
      </c>
      <c r="AK218" s="53" t="str">
        <f>if('Ingest Template'!A218="Standard",'Ingest Template'!R218&amp; "|2021-01-01",'Ingest Template'!R218)</f>
        <v>#N/A</v>
      </c>
      <c r="AL218" s="21"/>
      <c r="AM218" s="21"/>
    </row>
    <row r="219">
      <c r="A219" s="21"/>
      <c r="B219" s="21" t="str">
        <f>'Ingest Template'!B219&amp;IF('Ingest Template'!A219 = "Standard", " - DAR","")</f>
        <v/>
      </c>
      <c r="C219" s="26" t="s">
        <v>109</v>
      </c>
      <c r="D219" s="29" t="str">
        <f t="array" ref="D219">CONCATENATE(INDEX(DropDown!$H$2:$H$10,MATCH(1,COUNTIF('Ingest Template'!F219,"*"&amp;DropDown!$H$2:$H$10&amp;"*"),0)),CHAR(10),'Ingest Template'!G219)</f>
        <v>#N/A</v>
      </c>
      <c r="E219" s="21" t="str">
        <f>CONCATENATE('Ingest Template'!H219,CHAR(10),'Ingest Template'!I219,CHAR(10),'Ingest Template'!J219)</f>
        <v>
</v>
      </c>
      <c r="F219" s="26" t="str">
        <f>'Ingest Template'!H219</f>
        <v/>
      </c>
      <c r="G219" s="21"/>
      <c r="H219" s="29"/>
      <c r="I219" s="21"/>
      <c r="J219" s="29" t="str">
        <f t="array" ref="J219">iF('Ingest Template'!A219="Standard","Pristine Brand",INDEX(DropDown!$M$2:$M$392,MATCH('Ingest Template'!E219,DropDown!$J$2:$J$392,0)))</f>
        <v>#N/A</v>
      </c>
      <c r="K219" s="21" t="str">
        <f>iF('Ingest Template'!A219="Standard",'Ingest Template'!K219&amp;CHAR(10)&amp;'Ingest Template'!L219,"Competitive View")</f>
        <v>Competitive View</v>
      </c>
      <c r="L219" s="29" t="s">
        <v>146</v>
      </c>
      <c r="M219" s="37" t="str">
        <f>'Ingest Template'!D219</f>
        <v/>
      </c>
      <c r="N219" s="21"/>
      <c r="O219" s="21"/>
      <c r="P219" s="21"/>
      <c r="Q219" s="21"/>
      <c r="R219" s="21" t="str">
        <f>'Ingest Template'!E219</f>
        <v/>
      </c>
      <c r="S219" s="29" t="s">
        <v>153</v>
      </c>
      <c r="T219" s="21" t="str">
        <f>'Ingest Template'!T219</f>
        <v/>
      </c>
      <c r="U219" s="21" t="str">
        <f>'Ingest Template'!S219</f>
        <v/>
      </c>
      <c r="V219" s="21" t="str">
        <f>LOWER(SUBSTITUTE(SUBSTITUTE(SUBSTITUTE(SUBSTITUTE(SUBSTITUTE('Ingest Template'!U219,"https:",""),"www.",""),"/",""),"?hl=en",""),"instagram.com",""))</f>
        <v/>
      </c>
      <c r="W219" s="41" t="str">
        <f t="array" ref="W219">IF('Ingest Template'!V219="",(INDEX(DropDown!$L$2:$L$392,MATCH('Ingest Template'!E219,DropDown!$J$2:$J$392,0))&amp;"|"&amp;'Ingest Template'!B219),(INDEX(DropDown!$L$2:$L$392,MATCH('Ingest Template'!E219,DropDown!$J$2:$J$392,0))&amp;"|"&amp;'Ingest Template'!B219)&amp;CHAR(10)&amp;'Ingest Template'!V219)</f>
        <v>#N/A</v>
      </c>
      <c r="X219" s="41" t="str">
        <f>'Ingest Template'!W219</f>
        <v/>
      </c>
      <c r="Y219" s="21" t="str">
        <f>SUBSTITUTE(SUBSTITUTE(SUBSTITUTE('Ingest Template'!X219,"http:",""),"https:",""),"/","")</f>
        <v/>
      </c>
      <c r="Z219" s="21" t="str">
        <f t="array" ref="Z219">IF('Ingest Template'!A219="Standard",(IF(ISBLANK('Ingest Template'!AA219),"", 'Ingest Template'!AA219&amp;"|DAR")),(IF(ISBLANK('Ingest Template'!AA219),"", 'Ingest Template'!AA219&amp;"|Film Ops")))</f>
        <v/>
      </c>
      <c r="AA219" s="21"/>
      <c r="AB219" s="21" t="str">
        <f>'Ingest Template'!M219</f>
        <v/>
      </c>
      <c r="AC219" s="21" t="str">
        <f>'Ingest Template'!Y219</f>
        <v/>
      </c>
      <c r="AD219" s="21" t="str">
        <f>'Ingest Template'!C219</f>
        <v/>
      </c>
      <c r="AE219" s="21" t="str">
        <f>'Ingest Template'!Z219</f>
        <v/>
      </c>
      <c r="AF219" s="29"/>
      <c r="AG219" s="21" t="str">
        <f t="array" ref="AG219">IF('Ingest Template'!A219="Standard",(CONCATENATE(IF(ISBLANK('Ingest Template'!O219),"", 'Ingest Template'!O219&amp;"|DAR"),CHAR(10), IF(ISBLANK('Ingest Template'!P219),"", 'Ingest Template'!P219&amp;"|DAR"),CHAR(10), IF(ISBLANK('Ingest Template'!Q219),"", 'Ingest Template'!Q219&amp;"|DAR"))),(CONCATENATE(IF(ISBLANK('Ingest Template'!O219),"", 'Ingest Template'!O219&amp;"|Operations - Core Title"),CHAR(10), IF(ISBLANK('Ingest Template'!P219),"", 'Ingest Template'!P219&amp;"|Operations - Core Title"),CHAR(10), IF(ISBLANK('Ingest Template'!Q219),"", 'Ingest Template'!Q219&amp;"|Operations - Core Title"))))</f>
        <v>#|Operations - Core Title
#|Operations - Core Title
</v>
      </c>
      <c r="AH219" s="21"/>
      <c r="AI219" s="21"/>
      <c r="AJ219" s="53" t="str">
        <f>if('Ingest Template'!A219="Standard",'Ingest Template'!N219&amp; "|DAR|DAR|2021-01-01",'Ingest Template'!N219&amp; "|Operations - Core Title|Operations - Core Title")</f>
        <v>#N/A</v>
      </c>
      <c r="AK219" s="53" t="str">
        <f>if('Ingest Template'!A219="Standard",'Ingest Template'!R219&amp; "|2021-01-01",'Ingest Template'!R219)</f>
        <v>#N/A</v>
      </c>
      <c r="AL219" s="21"/>
      <c r="AM219" s="21"/>
    </row>
    <row r="220">
      <c r="A220" s="21"/>
      <c r="B220" s="21" t="str">
        <f>'Ingest Template'!B220&amp;IF('Ingest Template'!A220 = "Standard", " - DAR","")</f>
        <v/>
      </c>
      <c r="C220" s="26" t="s">
        <v>109</v>
      </c>
      <c r="D220" s="29" t="str">
        <f t="array" ref="D220">CONCATENATE(INDEX(DropDown!$H$2:$H$10,MATCH(1,COUNTIF('Ingest Template'!F220,"*"&amp;DropDown!$H$2:$H$10&amp;"*"),0)),CHAR(10),'Ingest Template'!G220)</f>
        <v>#N/A</v>
      </c>
      <c r="E220" s="21" t="str">
        <f>CONCATENATE('Ingest Template'!H220,CHAR(10),'Ingest Template'!I220,CHAR(10),'Ingest Template'!J220)</f>
        <v>
</v>
      </c>
      <c r="F220" s="26" t="str">
        <f>'Ingest Template'!H220</f>
        <v/>
      </c>
      <c r="G220" s="21"/>
      <c r="H220" s="29"/>
      <c r="I220" s="21"/>
      <c r="J220" s="29" t="str">
        <f t="array" ref="J220">iF('Ingest Template'!A220="Standard","Pristine Brand",INDEX(DropDown!$M$2:$M$392,MATCH('Ingest Template'!E220,DropDown!$J$2:$J$392,0)))</f>
        <v>#N/A</v>
      </c>
      <c r="K220" s="21" t="str">
        <f>iF('Ingest Template'!A220="Standard",'Ingest Template'!K220&amp;CHAR(10)&amp;'Ingest Template'!L220,"Competitive View")</f>
        <v>Competitive View</v>
      </c>
      <c r="L220" s="29" t="s">
        <v>146</v>
      </c>
      <c r="M220" s="37" t="str">
        <f>'Ingest Template'!D220</f>
        <v/>
      </c>
      <c r="N220" s="21"/>
      <c r="O220" s="21"/>
      <c r="P220" s="21"/>
      <c r="Q220" s="21"/>
      <c r="R220" s="21" t="str">
        <f>'Ingest Template'!E220</f>
        <v/>
      </c>
      <c r="S220" s="29" t="s">
        <v>153</v>
      </c>
      <c r="T220" s="21" t="str">
        <f>'Ingest Template'!T220</f>
        <v/>
      </c>
      <c r="U220" s="21" t="str">
        <f>'Ingest Template'!S220</f>
        <v/>
      </c>
      <c r="V220" s="21" t="str">
        <f>LOWER(SUBSTITUTE(SUBSTITUTE(SUBSTITUTE(SUBSTITUTE(SUBSTITUTE('Ingest Template'!U220,"https:",""),"www.",""),"/",""),"?hl=en",""),"instagram.com",""))</f>
        <v/>
      </c>
      <c r="W220" s="41" t="str">
        <f t="array" ref="W220">IF('Ingest Template'!V220="",(INDEX(DropDown!$L$2:$L$392,MATCH('Ingest Template'!E220,DropDown!$J$2:$J$392,0))&amp;"|"&amp;'Ingest Template'!B220),(INDEX(DropDown!$L$2:$L$392,MATCH('Ingest Template'!E220,DropDown!$J$2:$J$392,0))&amp;"|"&amp;'Ingest Template'!B220)&amp;CHAR(10)&amp;'Ingest Template'!V220)</f>
        <v>#N/A</v>
      </c>
      <c r="X220" s="41" t="str">
        <f>'Ingest Template'!W220</f>
        <v/>
      </c>
      <c r="Y220" s="21" t="str">
        <f>SUBSTITUTE(SUBSTITUTE(SUBSTITUTE('Ingest Template'!X220,"http:",""),"https:",""),"/","")</f>
        <v/>
      </c>
      <c r="Z220" s="21" t="str">
        <f t="array" ref="Z220">IF('Ingest Template'!A220="Standard",(IF(ISBLANK('Ingest Template'!AA220),"", 'Ingest Template'!AA220&amp;"|DAR")),(IF(ISBLANK('Ingest Template'!AA220),"", 'Ingest Template'!AA220&amp;"|Film Ops")))</f>
        <v/>
      </c>
      <c r="AA220" s="21"/>
      <c r="AB220" s="21" t="str">
        <f>'Ingest Template'!M220</f>
        <v/>
      </c>
      <c r="AC220" s="21" t="str">
        <f>'Ingest Template'!Y220</f>
        <v/>
      </c>
      <c r="AD220" s="21" t="str">
        <f>'Ingest Template'!C220</f>
        <v/>
      </c>
      <c r="AE220" s="21" t="str">
        <f>'Ingest Template'!Z220</f>
        <v/>
      </c>
      <c r="AF220" s="29"/>
      <c r="AG220" s="21" t="str">
        <f t="array" ref="AG220">IF('Ingest Template'!A220="Standard",(CONCATENATE(IF(ISBLANK('Ingest Template'!O220),"", 'Ingest Template'!O220&amp;"|DAR"),CHAR(10), IF(ISBLANK('Ingest Template'!P220),"", 'Ingest Template'!P220&amp;"|DAR"),CHAR(10), IF(ISBLANK('Ingest Template'!Q220),"", 'Ingest Template'!Q220&amp;"|DAR"))),(CONCATENATE(IF(ISBLANK('Ingest Template'!O220),"", 'Ingest Template'!O220&amp;"|Operations - Core Title"),CHAR(10), IF(ISBLANK('Ingest Template'!P220),"", 'Ingest Template'!P220&amp;"|Operations - Core Title"),CHAR(10), IF(ISBLANK('Ingest Template'!Q220),"", 'Ingest Template'!Q220&amp;"|Operations - Core Title"))))</f>
        <v>#|Operations - Core Title
#|Operations - Core Title
</v>
      </c>
      <c r="AH220" s="21"/>
      <c r="AI220" s="21"/>
      <c r="AJ220" s="53" t="str">
        <f>if('Ingest Template'!A220="Standard",'Ingest Template'!N220&amp; "|DAR|DAR|2021-01-01",'Ingest Template'!N220&amp; "|Operations - Core Title|Operations - Core Title")</f>
        <v>#N/A</v>
      </c>
      <c r="AK220" s="53" t="str">
        <f>if('Ingest Template'!A220="Standard",'Ingest Template'!R220&amp; "|2021-01-01",'Ingest Template'!R220)</f>
        <v>#N/A</v>
      </c>
      <c r="AL220" s="21"/>
      <c r="AM220" s="21"/>
    </row>
    <row r="221">
      <c r="A221" s="21"/>
      <c r="B221" s="21" t="str">
        <f>'Ingest Template'!B221&amp;IF('Ingest Template'!A221 = "Standard", " - DAR","")</f>
        <v/>
      </c>
      <c r="C221" s="26" t="s">
        <v>109</v>
      </c>
      <c r="D221" s="29" t="str">
        <f t="array" ref="D221">CONCATENATE(INDEX(DropDown!$H$2:$H$10,MATCH(1,COUNTIF('Ingest Template'!F221,"*"&amp;DropDown!$H$2:$H$10&amp;"*"),0)),CHAR(10),'Ingest Template'!G221)</f>
        <v>#N/A</v>
      </c>
      <c r="E221" s="21" t="str">
        <f>CONCATENATE('Ingest Template'!H221,CHAR(10),'Ingest Template'!I221,CHAR(10),'Ingest Template'!J221)</f>
        <v>
</v>
      </c>
      <c r="F221" s="26" t="str">
        <f>'Ingest Template'!H221</f>
        <v/>
      </c>
      <c r="G221" s="21"/>
      <c r="H221" s="29"/>
      <c r="I221" s="21"/>
      <c r="J221" s="29" t="str">
        <f t="array" ref="J221">iF('Ingest Template'!A221="Standard","Pristine Brand",INDEX(DropDown!$M$2:$M$392,MATCH('Ingest Template'!E221,DropDown!$J$2:$J$392,0)))</f>
        <v>#N/A</v>
      </c>
      <c r="K221" s="21" t="str">
        <f>iF('Ingest Template'!A221="Standard",'Ingest Template'!K221&amp;CHAR(10)&amp;'Ingest Template'!L221,"Competitive View")</f>
        <v>Competitive View</v>
      </c>
      <c r="L221" s="29" t="s">
        <v>146</v>
      </c>
      <c r="M221" s="37" t="str">
        <f>'Ingest Template'!D221</f>
        <v/>
      </c>
      <c r="N221" s="21"/>
      <c r="O221" s="21"/>
      <c r="P221" s="21"/>
      <c r="Q221" s="21"/>
      <c r="R221" s="21" t="str">
        <f>'Ingest Template'!E221</f>
        <v/>
      </c>
      <c r="S221" s="29" t="s">
        <v>153</v>
      </c>
      <c r="T221" s="21" t="str">
        <f>'Ingest Template'!T221</f>
        <v/>
      </c>
      <c r="U221" s="21" t="str">
        <f>'Ingest Template'!S221</f>
        <v/>
      </c>
      <c r="V221" s="21" t="str">
        <f>LOWER(SUBSTITUTE(SUBSTITUTE(SUBSTITUTE(SUBSTITUTE(SUBSTITUTE('Ingest Template'!U221,"https:",""),"www.",""),"/",""),"?hl=en",""),"instagram.com",""))</f>
        <v/>
      </c>
      <c r="W221" s="41" t="str">
        <f t="array" ref="W221">IF('Ingest Template'!V221="",(INDEX(DropDown!$L$2:$L$392,MATCH('Ingest Template'!E221,DropDown!$J$2:$J$392,0))&amp;"|"&amp;'Ingest Template'!B221),(INDEX(DropDown!$L$2:$L$392,MATCH('Ingest Template'!E221,DropDown!$J$2:$J$392,0))&amp;"|"&amp;'Ingest Template'!B221)&amp;CHAR(10)&amp;'Ingest Template'!V221)</f>
        <v>#N/A</v>
      </c>
      <c r="X221" s="41" t="str">
        <f>'Ingest Template'!W221</f>
        <v/>
      </c>
      <c r="Y221" s="21" t="str">
        <f>SUBSTITUTE(SUBSTITUTE(SUBSTITUTE('Ingest Template'!X221,"http:",""),"https:",""),"/","")</f>
        <v/>
      </c>
      <c r="Z221" s="21" t="str">
        <f t="array" ref="Z221">IF('Ingest Template'!A221="Standard",(IF(ISBLANK('Ingest Template'!AA221),"", 'Ingest Template'!AA221&amp;"|DAR")),(IF(ISBLANK('Ingest Template'!AA221),"", 'Ingest Template'!AA221&amp;"|Film Ops")))</f>
        <v/>
      </c>
      <c r="AA221" s="21"/>
      <c r="AB221" s="21" t="str">
        <f>'Ingest Template'!M221</f>
        <v/>
      </c>
      <c r="AC221" s="21" t="str">
        <f>'Ingest Template'!Y221</f>
        <v/>
      </c>
      <c r="AD221" s="21" t="str">
        <f>'Ingest Template'!C221</f>
        <v/>
      </c>
      <c r="AE221" s="21" t="str">
        <f>'Ingest Template'!Z221</f>
        <v/>
      </c>
      <c r="AF221" s="29"/>
      <c r="AG221" s="21" t="str">
        <f t="array" ref="AG221">IF('Ingest Template'!A221="Standard",(CONCATENATE(IF(ISBLANK('Ingest Template'!O221),"", 'Ingest Template'!O221&amp;"|DAR"),CHAR(10), IF(ISBLANK('Ingest Template'!P221),"", 'Ingest Template'!P221&amp;"|DAR"),CHAR(10), IF(ISBLANK('Ingest Template'!Q221),"", 'Ingest Template'!Q221&amp;"|DAR"))),(CONCATENATE(IF(ISBLANK('Ingest Template'!O221),"", 'Ingest Template'!O221&amp;"|Operations - Core Title"),CHAR(10), IF(ISBLANK('Ingest Template'!P221),"", 'Ingest Template'!P221&amp;"|Operations - Core Title"),CHAR(10), IF(ISBLANK('Ingest Template'!Q221),"", 'Ingest Template'!Q221&amp;"|Operations - Core Title"))))</f>
        <v>#|Operations - Core Title
#|Operations - Core Title
</v>
      </c>
      <c r="AH221" s="21"/>
      <c r="AI221" s="21"/>
      <c r="AJ221" s="53" t="str">
        <f>if('Ingest Template'!A221="Standard",'Ingest Template'!N221&amp; "|DAR|DAR|2021-01-01",'Ingest Template'!N221&amp; "|Operations - Core Title|Operations - Core Title")</f>
        <v>#N/A</v>
      </c>
      <c r="AK221" s="53" t="str">
        <f>if('Ingest Template'!A221="Standard",'Ingest Template'!R221&amp; "|2021-01-01",'Ingest Template'!R221)</f>
        <v>#N/A</v>
      </c>
      <c r="AL221" s="21"/>
      <c r="AM221" s="21"/>
    </row>
    <row r="222">
      <c r="A222" s="21"/>
      <c r="B222" s="21" t="str">
        <f>'Ingest Template'!B222&amp;IF('Ingest Template'!A222 = "Standard", " - DAR","")</f>
        <v/>
      </c>
      <c r="C222" s="26" t="s">
        <v>109</v>
      </c>
      <c r="D222" s="29" t="str">
        <f t="array" ref="D222">CONCATENATE(INDEX(DropDown!$H$2:$H$10,MATCH(1,COUNTIF('Ingest Template'!F222,"*"&amp;DropDown!$H$2:$H$10&amp;"*"),0)),CHAR(10),'Ingest Template'!G222)</f>
        <v>#N/A</v>
      </c>
      <c r="E222" s="21" t="str">
        <f>CONCATENATE('Ingest Template'!H222,CHAR(10),'Ingest Template'!I222,CHAR(10),'Ingest Template'!J222)</f>
        <v>
</v>
      </c>
      <c r="F222" s="26" t="str">
        <f>'Ingest Template'!H222</f>
        <v/>
      </c>
      <c r="G222" s="21"/>
      <c r="H222" s="29"/>
      <c r="I222" s="21"/>
      <c r="J222" s="29" t="str">
        <f t="array" ref="J222">iF('Ingest Template'!A222="Standard","Pristine Brand",INDEX(DropDown!$M$2:$M$392,MATCH('Ingest Template'!E222,DropDown!$J$2:$J$392,0)))</f>
        <v>#N/A</v>
      </c>
      <c r="K222" s="21" t="str">
        <f>iF('Ingest Template'!A222="Standard",'Ingest Template'!K222&amp;CHAR(10)&amp;'Ingest Template'!L222,"Competitive View")</f>
        <v>Competitive View</v>
      </c>
      <c r="L222" s="29" t="s">
        <v>146</v>
      </c>
      <c r="M222" s="37" t="str">
        <f>'Ingest Template'!D222</f>
        <v/>
      </c>
      <c r="N222" s="21"/>
      <c r="O222" s="21"/>
      <c r="P222" s="21"/>
      <c r="Q222" s="21"/>
      <c r="R222" s="21" t="str">
        <f>'Ingest Template'!E222</f>
        <v/>
      </c>
      <c r="S222" s="29" t="s">
        <v>153</v>
      </c>
      <c r="T222" s="21" t="str">
        <f>'Ingest Template'!T222</f>
        <v/>
      </c>
      <c r="U222" s="21" t="str">
        <f>'Ingest Template'!S222</f>
        <v/>
      </c>
      <c r="V222" s="21" t="str">
        <f>LOWER(SUBSTITUTE(SUBSTITUTE(SUBSTITUTE(SUBSTITUTE(SUBSTITUTE('Ingest Template'!U222,"https:",""),"www.",""),"/",""),"?hl=en",""),"instagram.com",""))</f>
        <v/>
      </c>
      <c r="W222" s="41" t="str">
        <f t="array" ref="W222">IF('Ingest Template'!V222="",(INDEX(DropDown!$L$2:$L$392,MATCH('Ingest Template'!E222,DropDown!$J$2:$J$392,0))&amp;"|"&amp;'Ingest Template'!B222),(INDEX(DropDown!$L$2:$L$392,MATCH('Ingest Template'!E222,DropDown!$J$2:$J$392,0))&amp;"|"&amp;'Ingest Template'!B222)&amp;CHAR(10)&amp;'Ingest Template'!V222)</f>
        <v>#N/A</v>
      </c>
      <c r="X222" s="41" t="str">
        <f>'Ingest Template'!W222</f>
        <v/>
      </c>
      <c r="Y222" s="21" t="str">
        <f>SUBSTITUTE(SUBSTITUTE(SUBSTITUTE('Ingest Template'!X222,"http:",""),"https:",""),"/","")</f>
        <v/>
      </c>
      <c r="Z222" s="21" t="str">
        <f t="array" ref="Z222">IF('Ingest Template'!A222="Standard",(IF(ISBLANK('Ingest Template'!AA222),"", 'Ingest Template'!AA222&amp;"|DAR")),(IF(ISBLANK('Ingest Template'!AA222),"", 'Ingest Template'!AA222&amp;"|Film Ops")))</f>
        <v/>
      </c>
      <c r="AA222" s="21"/>
      <c r="AB222" s="21" t="str">
        <f>'Ingest Template'!M222</f>
        <v/>
      </c>
      <c r="AC222" s="21" t="str">
        <f>'Ingest Template'!Y222</f>
        <v/>
      </c>
      <c r="AD222" s="21" t="str">
        <f>'Ingest Template'!C222</f>
        <v/>
      </c>
      <c r="AE222" s="21" t="str">
        <f>'Ingest Template'!Z222</f>
        <v/>
      </c>
      <c r="AF222" s="29"/>
      <c r="AG222" s="21" t="str">
        <f t="array" ref="AG222">IF('Ingest Template'!A222="Standard",(CONCATENATE(IF(ISBLANK('Ingest Template'!O222),"", 'Ingest Template'!O222&amp;"|DAR"),CHAR(10), IF(ISBLANK('Ingest Template'!P222),"", 'Ingest Template'!P222&amp;"|DAR"),CHAR(10), IF(ISBLANK('Ingest Template'!Q222),"", 'Ingest Template'!Q222&amp;"|DAR"))),(CONCATENATE(IF(ISBLANK('Ingest Template'!O222),"", 'Ingest Template'!O222&amp;"|Operations - Core Title"),CHAR(10), IF(ISBLANK('Ingest Template'!P222),"", 'Ingest Template'!P222&amp;"|Operations - Core Title"),CHAR(10), IF(ISBLANK('Ingest Template'!Q222),"", 'Ingest Template'!Q222&amp;"|Operations - Core Title"))))</f>
        <v>#|Operations - Core Title
#|Operations - Core Title
</v>
      </c>
      <c r="AH222" s="21"/>
      <c r="AI222" s="21"/>
      <c r="AJ222" s="53" t="str">
        <f>if('Ingest Template'!A222="Standard",'Ingest Template'!N222&amp; "|DAR|DAR|2021-01-01",'Ingest Template'!N222&amp; "|Operations - Core Title|Operations - Core Title")</f>
        <v>#N/A</v>
      </c>
      <c r="AK222" s="53" t="str">
        <f>if('Ingest Template'!A222="Standard",'Ingest Template'!R222&amp; "|2021-01-01",'Ingest Template'!R222)</f>
        <v>#N/A</v>
      </c>
      <c r="AL222" s="21"/>
      <c r="AM222" s="21"/>
    </row>
    <row r="223">
      <c r="A223" s="21"/>
      <c r="B223" s="21" t="str">
        <f>'Ingest Template'!B223&amp;IF('Ingest Template'!A223 = "Standard", " - DAR","")</f>
        <v/>
      </c>
      <c r="C223" s="26" t="s">
        <v>109</v>
      </c>
      <c r="D223" s="29" t="str">
        <f t="array" ref="D223">CONCATENATE(INDEX(DropDown!$H$2:$H$10,MATCH(1,COUNTIF('Ingest Template'!F223,"*"&amp;DropDown!$H$2:$H$10&amp;"*"),0)),CHAR(10),'Ingest Template'!G223)</f>
        <v>#N/A</v>
      </c>
      <c r="E223" s="21" t="str">
        <f>CONCATENATE('Ingest Template'!H223,CHAR(10),'Ingest Template'!I223,CHAR(10),'Ingest Template'!J223)</f>
        <v>
</v>
      </c>
      <c r="F223" s="26" t="str">
        <f>'Ingest Template'!H223</f>
        <v/>
      </c>
      <c r="G223" s="21"/>
      <c r="H223" s="29"/>
      <c r="I223" s="21"/>
      <c r="J223" s="29" t="str">
        <f t="array" ref="J223">iF('Ingest Template'!A223="Standard","Pristine Brand",INDEX(DropDown!$M$2:$M$392,MATCH('Ingest Template'!E223,DropDown!$J$2:$J$392,0)))</f>
        <v>#N/A</v>
      </c>
      <c r="K223" s="21" t="str">
        <f>iF('Ingest Template'!A223="Standard",'Ingest Template'!K223&amp;CHAR(10)&amp;'Ingest Template'!L223,"Competitive View")</f>
        <v>Competitive View</v>
      </c>
      <c r="L223" s="29" t="s">
        <v>146</v>
      </c>
      <c r="M223" s="37" t="str">
        <f>'Ingest Template'!D223</f>
        <v/>
      </c>
      <c r="N223" s="21"/>
      <c r="O223" s="21"/>
      <c r="P223" s="21"/>
      <c r="Q223" s="21"/>
      <c r="R223" s="21" t="str">
        <f>'Ingest Template'!E223</f>
        <v/>
      </c>
      <c r="S223" s="29" t="s">
        <v>153</v>
      </c>
      <c r="T223" s="21" t="str">
        <f>'Ingest Template'!T223</f>
        <v/>
      </c>
      <c r="U223" s="21" t="str">
        <f>'Ingest Template'!S223</f>
        <v/>
      </c>
      <c r="V223" s="21" t="str">
        <f>LOWER(SUBSTITUTE(SUBSTITUTE(SUBSTITUTE(SUBSTITUTE(SUBSTITUTE('Ingest Template'!U223,"https:",""),"www.",""),"/",""),"?hl=en",""),"instagram.com",""))</f>
        <v/>
      </c>
      <c r="W223" s="41" t="str">
        <f t="array" ref="W223">IF('Ingest Template'!V223="",(INDEX(DropDown!$L$2:$L$392,MATCH('Ingest Template'!E223,DropDown!$J$2:$J$392,0))&amp;"|"&amp;'Ingest Template'!B223),(INDEX(DropDown!$L$2:$L$392,MATCH('Ingest Template'!E223,DropDown!$J$2:$J$392,0))&amp;"|"&amp;'Ingest Template'!B223)&amp;CHAR(10)&amp;'Ingest Template'!V223)</f>
        <v>#N/A</v>
      </c>
      <c r="X223" s="41" t="str">
        <f>'Ingest Template'!W223</f>
        <v/>
      </c>
      <c r="Y223" s="21" t="str">
        <f>SUBSTITUTE(SUBSTITUTE(SUBSTITUTE('Ingest Template'!X223,"http:",""),"https:",""),"/","")</f>
        <v/>
      </c>
      <c r="Z223" s="21" t="str">
        <f t="array" ref="Z223">IF('Ingest Template'!A223="Standard",(IF(ISBLANK('Ingest Template'!AA223),"", 'Ingest Template'!AA223&amp;"|DAR")),(IF(ISBLANK('Ingest Template'!AA223),"", 'Ingest Template'!AA223&amp;"|Film Ops")))</f>
        <v/>
      </c>
      <c r="AA223" s="21"/>
      <c r="AB223" s="21" t="str">
        <f>'Ingest Template'!M223</f>
        <v/>
      </c>
      <c r="AC223" s="21" t="str">
        <f>'Ingest Template'!Y223</f>
        <v/>
      </c>
      <c r="AD223" s="21" t="str">
        <f>'Ingest Template'!C223</f>
        <v/>
      </c>
      <c r="AE223" s="21" t="str">
        <f>'Ingest Template'!Z223</f>
        <v/>
      </c>
      <c r="AF223" s="29"/>
      <c r="AG223" s="21" t="str">
        <f t="array" ref="AG223">IF('Ingest Template'!A223="Standard",(CONCATENATE(IF(ISBLANK('Ingest Template'!O223),"", 'Ingest Template'!O223&amp;"|DAR"),CHAR(10), IF(ISBLANK('Ingest Template'!P223),"", 'Ingest Template'!P223&amp;"|DAR"),CHAR(10), IF(ISBLANK('Ingest Template'!Q223),"", 'Ingest Template'!Q223&amp;"|DAR"))),(CONCATENATE(IF(ISBLANK('Ingest Template'!O223),"", 'Ingest Template'!O223&amp;"|Operations - Core Title"),CHAR(10), IF(ISBLANK('Ingest Template'!P223),"", 'Ingest Template'!P223&amp;"|Operations - Core Title"),CHAR(10), IF(ISBLANK('Ingest Template'!Q223),"", 'Ingest Template'!Q223&amp;"|Operations - Core Title"))))</f>
        <v>#|Operations - Core Title
#|Operations - Core Title
</v>
      </c>
      <c r="AH223" s="21"/>
      <c r="AI223" s="21"/>
      <c r="AJ223" s="53" t="str">
        <f>if('Ingest Template'!A223="Standard",'Ingest Template'!N223&amp; "|DAR|DAR|2021-01-01",'Ingest Template'!N223&amp; "|Operations - Core Title|Operations - Core Title")</f>
        <v>#N/A</v>
      </c>
      <c r="AK223" s="53" t="str">
        <f>if('Ingest Template'!A223="Standard",'Ingest Template'!R223&amp; "|2021-01-01",'Ingest Template'!R223)</f>
        <v>#N/A</v>
      </c>
      <c r="AL223" s="21"/>
      <c r="AM223" s="21"/>
    </row>
    <row r="224">
      <c r="A224" s="21"/>
      <c r="B224" s="21" t="str">
        <f>'Ingest Template'!B224&amp;IF('Ingest Template'!A224 = "Standard", " - DAR","")</f>
        <v/>
      </c>
      <c r="C224" s="26" t="s">
        <v>109</v>
      </c>
      <c r="D224" s="29" t="str">
        <f t="array" ref="D224">CONCATENATE(INDEX(DropDown!$H$2:$H$10,MATCH(1,COUNTIF('Ingest Template'!F224,"*"&amp;DropDown!$H$2:$H$10&amp;"*"),0)),CHAR(10),'Ingest Template'!G224)</f>
        <v>#N/A</v>
      </c>
      <c r="E224" s="21" t="str">
        <f>CONCATENATE('Ingest Template'!H224,CHAR(10),'Ingest Template'!I224,CHAR(10),'Ingest Template'!J224)</f>
        <v>
</v>
      </c>
      <c r="F224" s="26" t="str">
        <f>'Ingest Template'!H224</f>
        <v/>
      </c>
      <c r="G224" s="21"/>
      <c r="H224" s="29"/>
      <c r="I224" s="21"/>
      <c r="J224" s="29" t="str">
        <f t="array" ref="J224">iF('Ingest Template'!A224="Standard","Pristine Brand",INDEX(DropDown!$M$2:$M$392,MATCH('Ingest Template'!E224,DropDown!$J$2:$J$392,0)))</f>
        <v>#N/A</v>
      </c>
      <c r="K224" s="21" t="str">
        <f>iF('Ingest Template'!A224="Standard",'Ingest Template'!K224&amp;CHAR(10)&amp;'Ingest Template'!L224,"Competitive View")</f>
        <v>Competitive View</v>
      </c>
      <c r="L224" s="29" t="s">
        <v>146</v>
      </c>
      <c r="M224" s="37" t="str">
        <f>'Ingest Template'!D224</f>
        <v/>
      </c>
      <c r="N224" s="21"/>
      <c r="O224" s="21"/>
      <c r="P224" s="21"/>
      <c r="Q224" s="21"/>
      <c r="R224" s="21" t="str">
        <f>'Ingest Template'!E224</f>
        <v/>
      </c>
      <c r="S224" s="29" t="s">
        <v>153</v>
      </c>
      <c r="T224" s="21" t="str">
        <f>'Ingest Template'!T224</f>
        <v/>
      </c>
      <c r="U224" s="21" t="str">
        <f>'Ingest Template'!S224</f>
        <v/>
      </c>
      <c r="V224" s="21" t="str">
        <f>LOWER(SUBSTITUTE(SUBSTITUTE(SUBSTITUTE(SUBSTITUTE(SUBSTITUTE('Ingest Template'!U224,"https:",""),"www.",""),"/",""),"?hl=en",""),"instagram.com",""))</f>
        <v/>
      </c>
      <c r="W224" s="41" t="str">
        <f t="array" ref="W224">IF('Ingest Template'!V224="",(INDEX(DropDown!$L$2:$L$392,MATCH('Ingest Template'!E224,DropDown!$J$2:$J$392,0))&amp;"|"&amp;'Ingest Template'!B224),(INDEX(DropDown!$L$2:$L$392,MATCH('Ingest Template'!E224,DropDown!$J$2:$J$392,0))&amp;"|"&amp;'Ingest Template'!B224)&amp;CHAR(10)&amp;'Ingest Template'!V224)</f>
        <v>#N/A</v>
      </c>
      <c r="X224" s="41" t="str">
        <f>'Ingest Template'!W224</f>
        <v/>
      </c>
      <c r="Y224" s="21" t="str">
        <f>SUBSTITUTE(SUBSTITUTE(SUBSTITUTE('Ingest Template'!X224,"http:",""),"https:",""),"/","")</f>
        <v/>
      </c>
      <c r="Z224" s="21" t="str">
        <f t="array" ref="Z224">IF('Ingest Template'!A224="Standard",(IF(ISBLANK('Ingest Template'!AA224),"", 'Ingest Template'!AA224&amp;"|DAR")),(IF(ISBLANK('Ingest Template'!AA224),"", 'Ingest Template'!AA224&amp;"|Film Ops")))</f>
        <v/>
      </c>
      <c r="AA224" s="21"/>
      <c r="AB224" s="21" t="str">
        <f>'Ingest Template'!M224</f>
        <v/>
      </c>
      <c r="AC224" s="21" t="str">
        <f>'Ingest Template'!Y224</f>
        <v/>
      </c>
      <c r="AD224" s="21" t="str">
        <f>'Ingest Template'!C224</f>
        <v/>
      </c>
      <c r="AE224" s="21" t="str">
        <f>'Ingest Template'!Z224</f>
        <v/>
      </c>
      <c r="AF224" s="29"/>
      <c r="AG224" s="21" t="str">
        <f t="array" ref="AG224">IF('Ingest Template'!A224="Standard",(CONCATENATE(IF(ISBLANK('Ingest Template'!O224),"", 'Ingest Template'!O224&amp;"|DAR"),CHAR(10), IF(ISBLANK('Ingest Template'!P224),"", 'Ingest Template'!P224&amp;"|DAR"),CHAR(10), IF(ISBLANK('Ingest Template'!Q224),"", 'Ingest Template'!Q224&amp;"|DAR"))),(CONCATENATE(IF(ISBLANK('Ingest Template'!O224),"", 'Ingest Template'!O224&amp;"|Operations - Core Title"),CHAR(10), IF(ISBLANK('Ingest Template'!P224),"", 'Ingest Template'!P224&amp;"|Operations - Core Title"),CHAR(10), IF(ISBLANK('Ingest Template'!Q224),"", 'Ingest Template'!Q224&amp;"|Operations - Core Title"))))</f>
        <v>#|Operations - Core Title
#|Operations - Core Title
</v>
      </c>
      <c r="AH224" s="21"/>
      <c r="AI224" s="21"/>
      <c r="AJ224" s="53" t="str">
        <f>if('Ingest Template'!A224="Standard",'Ingest Template'!N224&amp; "|DAR|DAR|2021-01-01",'Ingest Template'!N224&amp; "|Operations - Core Title|Operations - Core Title")</f>
        <v>#N/A</v>
      </c>
      <c r="AK224" s="53" t="str">
        <f>if('Ingest Template'!A224="Standard",'Ingest Template'!R224&amp; "|2021-01-01",'Ingest Template'!R224)</f>
        <v>#N/A</v>
      </c>
      <c r="AL224" s="21"/>
      <c r="AM224" s="21"/>
    </row>
    <row r="225">
      <c r="A225" s="21"/>
      <c r="B225" s="21" t="str">
        <f>'Ingest Template'!B225&amp;IF('Ingest Template'!A225 = "Standard", " - DAR","")</f>
        <v/>
      </c>
      <c r="C225" s="26" t="s">
        <v>109</v>
      </c>
      <c r="D225" s="29" t="str">
        <f t="array" ref="D225">CONCATENATE(INDEX(DropDown!$H$2:$H$10,MATCH(1,COUNTIF('Ingest Template'!F225,"*"&amp;DropDown!$H$2:$H$10&amp;"*"),0)),CHAR(10),'Ingest Template'!G225)</f>
        <v>#N/A</v>
      </c>
      <c r="E225" s="21" t="str">
        <f>CONCATENATE('Ingest Template'!H225,CHAR(10),'Ingest Template'!I225,CHAR(10),'Ingest Template'!J225)</f>
        <v>
</v>
      </c>
      <c r="F225" s="26" t="str">
        <f>'Ingest Template'!H225</f>
        <v/>
      </c>
      <c r="G225" s="21"/>
      <c r="H225" s="29"/>
      <c r="I225" s="21"/>
      <c r="J225" s="29" t="str">
        <f t="array" ref="J225">iF('Ingest Template'!A225="Standard","Pristine Brand",INDEX(DropDown!$M$2:$M$392,MATCH('Ingest Template'!E225,DropDown!$J$2:$J$392,0)))</f>
        <v>#N/A</v>
      </c>
      <c r="K225" s="21" t="str">
        <f>iF('Ingest Template'!A225="Standard",'Ingest Template'!K225&amp;CHAR(10)&amp;'Ingest Template'!L225,"Competitive View")</f>
        <v>Competitive View</v>
      </c>
      <c r="L225" s="29" t="s">
        <v>146</v>
      </c>
      <c r="M225" s="37" t="str">
        <f>'Ingest Template'!D225</f>
        <v/>
      </c>
      <c r="N225" s="21"/>
      <c r="O225" s="21"/>
      <c r="P225" s="21"/>
      <c r="Q225" s="21"/>
      <c r="R225" s="21" t="str">
        <f>'Ingest Template'!E225</f>
        <v/>
      </c>
      <c r="S225" s="29" t="s">
        <v>153</v>
      </c>
      <c r="T225" s="21" t="str">
        <f>'Ingest Template'!T225</f>
        <v/>
      </c>
      <c r="U225" s="21" t="str">
        <f>'Ingest Template'!S225</f>
        <v/>
      </c>
      <c r="V225" s="21" t="str">
        <f>LOWER(SUBSTITUTE(SUBSTITUTE(SUBSTITUTE(SUBSTITUTE(SUBSTITUTE('Ingest Template'!U225,"https:",""),"www.",""),"/",""),"?hl=en",""),"instagram.com",""))</f>
        <v/>
      </c>
      <c r="W225" s="41" t="str">
        <f t="array" ref="W225">IF('Ingest Template'!V225="",(INDEX(DropDown!$L$2:$L$392,MATCH('Ingest Template'!E225,DropDown!$J$2:$J$392,0))&amp;"|"&amp;'Ingest Template'!B225),(INDEX(DropDown!$L$2:$L$392,MATCH('Ingest Template'!E225,DropDown!$J$2:$J$392,0))&amp;"|"&amp;'Ingest Template'!B225)&amp;CHAR(10)&amp;'Ingest Template'!V225)</f>
        <v>#N/A</v>
      </c>
      <c r="X225" s="41" t="str">
        <f>'Ingest Template'!W225</f>
        <v/>
      </c>
      <c r="Y225" s="21" t="str">
        <f>SUBSTITUTE(SUBSTITUTE(SUBSTITUTE('Ingest Template'!X225,"http:",""),"https:",""),"/","")</f>
        <v/>
      </c>
      <c r="Z225" s="21" t="str">
        <f t="array" ref="Z225">IF('Ingest Template'!A225="Standard",(IF(ISBLANK('Ingest Template'!AA225),"", 'Ingest Template'!AA225&amp;"|DAR")),(IF(ISBLANK('Ingest Template'!AA225),"", 'Ingest Template'!AA225&amp;"|Film Ops")))</f>
        <v/>
      </c>
      <c r="AA225" s="21"/>
      <c r="AB225" s="21" t="str">
        <f>'Ingest Template'!M225</f>
        <v/>
      </c>
      <c r="AC225" s="21" t="str">
        <f>'Ingest Template'!Y225</f>
        <v/>
      </c>
      <c r="AD225" s="21" t="str">
        <f>'Ingest Template'!C225</f>
        <v/>
      </c>
      <c r="AE225" s="21" t="str">
        <f>'Ingest Template'!Z225</f>
        <v/>
      </c>
      <c r="AF225" s="29"/>
      <c r="AG225" s="21" t="str">
        <f t="array" ref="AG225">IF('Ingest Template'!A225="Standard",(CONCATENATE(IF(ISBLANK('Ingest Template'!O225),"", 'Ingest Template'!O225&amp;"|DAR"),CHAR(10), IF(ISBLANK('Ingest Template'!P225),"", 'Ingest Template'!P225&amp;"|DAR"),CHAR(10), IF(ISBLANK('Ingest Template'!Q225),"", 'Ingest Template'!Q225&amp;"|DAR"))),(CONCATENATE(IF(ISBLANK('Ingest Template'!O225),"", 'Ingest Template'!O225&amp;"|Operations - Core Title"),CHAR(10), IF(ISBLANK('Ingest Template'!P225),"", 'Ingest Template'!P225&amp;"|Operations - Core Title"),CHAR(10), IF(ISBLANK('Ingest Template'!Q225),"", 'Ingest Template'!Q225&amp;"|Operations - Core Title"))))</f>
        <v>#|Operations - Core Title
#|Operations - Core Title
</v>
      </c>
      <c r="AH225" s="21"/>
      <c r="AI225" s="21"/>
      <c r="AJ225" s="53" t="str">
        <f>if('Ingest Template'!A225="Standard",'Ingest Template'!N225&amp; "|DAR|DAR|2021-01-01",'Ingest Template'!N225&amp; "|Operations - Core Title|Operations - Core Title")</f>
        <v>#N/A</v>
      </c>
      <c r="AK225" s="53" t="str">
        <f>if('Ingest Template'!A225="Standard",'Ingest Template'!R225&amp; "|2021-01-01",'Ingest Template'!R225)</f>
        <v>#N/A</v>
      </c>
      <c r="AL225" s="21"/>
      <c r="AM225" s="21"/>
    </row>
    <row r="226">
      <c r="A226" s="21"/>
      <c r="B226" s="21" t="str">
        <f>'Ingest Template'!B226&amp;IF('Ingest Template'!A226 = "Standard", " - DAR","")</f>
        <v/>
      </c>
      <c r="C226" s="26" t="s">
        <v>109</v>
      </c>
      <c r="D226" s="29" t="str">
        <f t="array" ref="D226">CONCATENATE(INDEX(DropDown!$H$2:$H$10,MATCH(1,COUNTIF('Ingest Template'!F226,"*"&amp;DropDown!$H$2:$H$10&amp;"*"),0)),CHAR(10),'Ingest Template'!G226)</f>
        <v>#N/A</v>
      </c>
      <c r="E226" s="21" t="str">
        <f>CONCATENATE('Ingest Template'!H226,CHAR(10),'Ingest Template'!I226,CHAR(10),'Ingest Template'!J226)</f>
        <v>
</v>
      </c>
      <c r="F226" s="26" t="str">
        <f>'Ingest Template'!H226</f>
        <v/>
      </c>
      <c r="G226" s="21"/>
      <c r="H226" s="29"/>
      <c r="I226" s="21"/>
      <c r="J226" s="29" t="str">
        <f t="array" ref="J226">iF('Ingest Template'!A226="Standard","Pristine Brand",INDEX(DropDown!$M$2:$M$392,MATCH('Ingest Template'!E226,DropDown!$J$2:$J$392,0)))</f>
        <v>#N/A</v>
      </c>
      <c r="K226" s="21" t="str">
        <f>iF('Ingest Template'!A226="Standard",'Ingest Template'!K226&amp;CHAR(10)&amp;'Ingest Template'!L226,"Competitive View")</f>
        <v>Competitive View</v>
      </c>
      <c r="L226" s="29" t="s">
        <v>146</v>
      </c>
      <c r="M226" s="37" t="str">
        <f>'Ingest Template'!D226</f>
        <v/>
      </c>
      <c r="N226" s="21"/>
      <c r="O226" s="21"/>
      <c r="P226" s="21"/>
      <c r="Q226" s="21"/>
      <c r="R226" s="21" t="str">
        <f>'Ingest Template'!E226</f>
        <v/>
      </c>
      <c r="S226" s="29" t="s">
        <v>153</v>
      </c>
      <c r="T226" s="21" t="str">
        <f>'Ingest Template'!T226</f>
        <v/>
      </c>
      <c r="U226" s="21" t="str">
        <f>'Ingest Template'!S226</f>
        <v/>
      </c>
      <c r="V226" s="21" t="str">
        <f>LOWER(SUBSTITUTE(SUBSTITUTE(SUBSTITUTE(SUBSTITUTE(SUBSTITUTE('Ingest Template'!U226,"https:",""),"www.",""),"/",""),"?hl=en",""),"instagram.com",""))</f>
        <v/>
      </c>
      <c r="W226" s="41" t="str">
        <f t="array" ref="W226">IF('Ingest Template'!V226="",(INDEX(DropDown!$L$2:$L$392,MATCH('Ingest Template'!E226,DropDown!$J$2:$J$392,0))&amp;"|"&amp;'Ingest Template'!B226),(INDEX(DropDown!$L$2:$L$392,MATCH('Ingest Template'!E226,DropDown!$J$2:$J$392,0))&amp;"|"&amp;'Ingest Template'!B226)&amp;CHAR(10)&amp;'Ingest Template'!V226)</f>
        <v>#N/A</v>
      </c>
      <c r="X226" s="41" t="str">
        <f>'Ingest Template'!W226</f>
        <v/>
      </c>
      <c r="Y226" s="21" t="str">
        <f>SUBSTITUTE(SUBSTITUTE(SUBSTITUTE('Ingest Template'!X226,"http:",""),"https:",""),"/","")</f>
        <v/>
      </c>
      <c r="Z226" s="21" t="str">
        <f t="array" ref="Z226">IF('Ingest Template'!A226="Standard",(IF(ISBLANK('Ingest Template'!AA226),"", 'Ingest Template'!AA226&amp;"|DAR")),(IF(ISBLANK('Ingest Template'!AA226),"", 'Ingest Template'!AA226&amp;"|Film Ops")))</f>
        <v/>
      </c>
      <c r="AA226" s="21"/>
      <c r="AB226" s="21" t="str">
        <f>'Ingest Template'!M226</f>
        <v/>
      </c>
      <c r="AC226" s="21" t="str">
        <f>'Ingest Template'!Y226</f>
        <v/>
      </c>
      <c r="AD226" s="21" t="str">
        <f>'Ingest Template'!C226</f>
        <v/>
      </c>
      <c r="AE226" s="21" t="str">
        <f>'Ingest Template'!Z226</f>
        <v/>
      </c>
      <c r="AF226" s="29"/>
      <c r="AG226" s="21" t="str">
        <f t="array" ref="AG226">IF('Ingest Template'!A226="Standard",(CONCATENATE(IF(ISBLANK('Ingest Template'!O226),"", 'Ingest Template'!O226&amp;"|DAR"),CHAR(10), IF(ISBLANK('Ingest Template'!P226),"", 'Ingest Template'!P226&amp;"|DAR"),CHAR(10), IF(ISBLANK('Ingest Template'!Q226),"", 'Ingest Template'!Q226&amp;"|DAR"))),(CONCATENATE(IF(ISBLANK('Ingest Template'!O226),"", 'Ingest Template'!O226&amp;"|Operations - Core Title"),CHAR(10), IF(ISBLANK('Ingest Template'!P226),"", 'Ingest Template'!P226&amp;"|Operations - Core Title"),CHAR(10), IF(ISBLANK('Ingest Template'!Q226),"", 'Ingest Template'!Q226&amp;"|Operations - Core Title"))))</f>
        <v>#|Operations - Core Title
#|Operations - Core Title
</v>
      </c>
      <c r="AH226" s="21"/>
      <c r="AI226" s="21"/>
      <c r="AJ226" s="53" t="str">
        <f>if('Ingest Template'!A226="Standard",'Ingest Template'!N226&amp; "|DAR|DAR|2021-01-01",'Ingest Template'!N226&amp; "|Operations - Core Title|Operations - Core Title")</f>
        <v>#N/A</v>
      </c>
      <c r="AK226" s="53" t="str">
        <f>if('Ingest Template'!A226="Standard",'Ingest Template'!R226&amp; "|2021-01-01",'Ingest Template'!R226)</f>
        <v>#N/A</v>
      </c>
      <c r="AL226" s="21"/>
      <c r="AM226" s="21"/>
    </row>
    <row r="227">
      <c r="A227" s="21"/>
      <c r="B227" s="21" t="str">
        <f>'Ingest Template'!B227&amp;IF('Ingest Template'!A227 = "Standard", " - DAR","")</f>
        <v/>
      </c>
      <c r="C227" s="26" t="s">
        <v>109</v>
      </c>
      <c r="D227" s="29" t="str">
        <f t="array" ref="D227">CONCATENATE(INDEX(DropDown!$H$2:$H$10,MATCH(1,COUNTIF('Ingest Template'!F227,"*"&amp;DropDown!$H$2:$H$10&amp;"*"),0)),CHAR(10),'Ingest Template'!G227)</f>
        <v>#N/A</v>
      </c>
      <c r="E227" s="21" t="str">
        <f>CONCATENATE('Ingest Template'!H227,CHAR(10),'Ingest Template'!I227,CHAR(10),'Ingest Template'!J227)</f>
        <v>
</v>
      </c>
      <c r="F227" s="26" t="str">
        <f>'Ingest Template'!H227</f>
        <v/>
      </c>
      <c r="G227" s="21"/>
      <c r="H227" s="29"/>
      <c r="I227" s="21"/>
      <c r="J227" s="29" t="str">
        <f t="array" ref="J227">iF('Ingest Template'!A227="Standard","Pristine Brand",INDEX(DropDown!$M$2:$M$392,MATCH('Ingest Template'!E227,DropDown!$J$2:$J$392,0)))</f>
        <v>#N/A</v>
      </c>
      <c r="K227" s="21" t="str">
        <f>iF('Ingest Template'!A227="Standard",'Ingest Template'!K227&amp;CHAR(10)&amp;'Ingest Template'!L227,"Competitive View")</f>
        <v>Competitive View</v>
      </c>
      <c r="L227" s="29" t="s">
        <v>146</v>
      </c>
      <c r="M227" s="37" t="str">
        <f>'Ingest Template'!D227</f>
        <v/>
      </c>
      <c r="N227" s="21"/>
      <c r="O227" s="21"/>
      <c r="P227" s="21"/>
      <c r="Q227" s="21"/>
      <c r="R227" s="21" t="str">
        <f>'Ingest Template'!E227</f>
        <v/>
      </c>
      <c r="S227" s="29" t="s">
        <v>153</v>
      </c>
      <c r="T227" s="21" t="str">
        <f>'Ingest Template'!T227</f>
        <v/>
      </c>
      <c r="U227" s="21" t="str">
        <f>'Ingest Template'!S227</f>
        <v/>
      </c>
      <c r="V227" s="21" t="str">
        <f>LOWER(SUBSTITUTE(SUBSTITUTE(SUBSTITUTE(SUBSTITUTE(SUBSTITUTE('Ingest Template'!U227,"https:",""),"www.",""),"/",""),"?hl=en",""),"instagram.com",""))</f>
        <v/>
      </c>
      <c r="W227" s="41" t="str">
        <f t="array" ref="W227">IF('Ingest Template'!V227="",(INDEX(DropDown!$L$2:$L$392,MATCH('Ingest Template'!E227,DropDown!$J$2:$J$392,0))&amp;"|"&amp;'Ingest Template'!B227),(INDEX(DropDown!$L$2:$L$392,MATCH('Ingest Template'!E227,DropDown!$J$2:$J$392,0))&amp;"|"&amp;'Ingest Template'!B227)&amp;CHAR(10)&amp;'Ingest Template'!V227)</f>
        <v>#N/A</v>
      </c>
      <c r="X227" s="41" t="str">
        <f>'Ingest Template'!W227</f>
        <v/>
      </c>
      <c r="Y227" s="21" t="str">
        <f>SUBSTITUTE(SUBSTITUTE(SUBSTITUTE('Ingest Template'!X227,"http:",""),"https:",""),"/","")</f>
        <v/>
      </c>
      <c r="Z227" s="21" t="str">
        <f t="array" ref="Z227">IF('Ingest Template'!A227="Standard",(IF(ISBLANK('Ingest Template'!AA227),"", 'Ingest Template'!AA227&amp;"|DAR")),(IF(ISBLANK('Ingest Template'!AA227),"", 'Ingest Template'!AA227&amp;"|Film Ops")))</f>
        <v/>
      </c>
      <c r="AA227" s="21"/>
      <c r="AB227" s="21" t="str">
        <f>'Ingest Template'!M227</f>
        <v/>
      </c>
      <c r="AC227" s="21" t="str">
        <f>'Ingest Template'!Y227</f>
        <v/>
      </c>
      <c r="AD227" s="21" t="str">
        <f>'Ingest Template'!C227</f>
        <v/>
      </c>
      <c r="AE227" s="21" t="str">
        <f>'Ingest Template'!Z227</f>
        <v/>
      </c>
      <c r="AF227" s="29"/>
      <c r="AG227" s="21" t="str">
        <f t="array" ref="AG227">IF('Ingest Template'!A227="Standard",(CONCATENATE(IF(ISBLANK('Ingest Template'!O227),"", 'Ingest Template'!O227&amp;"|DAR"),CHAR(10), IF(ISBLANK('Ingest Template'!P227),"", 'Ingest Template'!P227&amp;"|DAR"),CHAR(10), IF(ISBLANK('Ingest Template'!Q227),"", 'Ingest Template'!Q227&amp;"|DAR"))),(CONCATENATE(IF(ISBLANK('Ingest Template'!O227),"", 'Ingest Template'!O227&amp;"|Operations - Core Title"),CHAR(10), IF(ISBLANK('Ingest Template'!P227),"", 'Ingest Template'!P227&amp;"|Operations - Core Title"),CHAR(10), IF(ISBLANK('Ingest Template'!Q227),"", 'Ingest Template'!Q227&amp;"|Operations - Core Title"))))</f>
        <v>#|Operations - Core Title
#|Operations - Core Title
</v>
      </c>
      <c r="AH227" s="21"/>
      <c r="AI227" s="21"/>
      <c r="AJ227" s="53" t="str">
        <f>if('Ingest Template'!A227="Standard",'Ingest Template'!N227&amp; "|DAR|DAR|2021-01-01",'Ingest Template'!N227&amp; "|Operations - Core Title|Operations - Core Title")</f>
        <v>#N/A</v>
      </c>
      <c r="AK227" s="53" t="str">
        <f>if('Ingest Template'!A227="Standard",'Ingest Template'!R227&amp; "|2021-01-01",'Ingest Template'!R227)</f>
        <v>#N/A</v>
      </c>
      <c r="AL227" s="21"/>
      <c r="AM227" s="21"/>
    </row>
    <row r="228">
      <c r="A228" s="21"/>
      <c r="B228" s="21" t="str">
        <f>'Ingest Template'!B228&amp;IF('Ingest Template'!A228 = "Standard", " - DAR","")</f>
        <v/>
      </c>
      <c r="C228" s="26" t="s">
        <v>109</v>
      </c>
      <c r="D228" s="29" t="str">
        <f t="array" ref="D228">CONCATENATE(INDEX(DropDown!$H$2:$H$10,MATCH(1,COUNTIF('Ingest Template'!F228,"*"&amp;DropDown!$H$2:$H$10&amp;"*"),0)),CHAR(10),'Ingest Template'!G228)</f>
        <v>#N/A</v>
      </c>
      <c r="E228" s="21" t="str">
        <f>CONCATENATE('Ingest Template'!H228,CHAR(10),'Ingest Template'!I228,CHAR(10),'Ingest Template'!J228)</f>
        <v>
</v>
      </c>
      <c r="F228" s="26" t="str">
        <f>'Ingest Template'!H228</f>
        <v/>
      </c>
      <c r="G228" s="21"/>
      <c r="H228" s="29"/>
      <c r="I228" s="21"/>
      <c r="J228" s="29" t="str">
        <f t="array" ref="J228">iF('Ingest Template'!A228="Standard","Pristine Brand",INDEX(DropDown!$M$2:$M$392,MATCH('Ingest Template'!E228,DropDown!$J$2:$J$392,0)))</f>
        <v>#N/A</v>
      </c>
      <c r="K228" s="21" t="str">
        <f>iF('Ingest Template'!A228="Standard",'Ingest Template'!K228&amp;CHAR(10)&amp;'Ingest Template'!L228,"Competitive View")</f>
        <v>Competitive View</v>
      </c>
      <c r="L228" s="29" t="s">
        <v>146</v>
      </c>
      <c r="M228" s="37" t="str">
        <f>'Ingest Template'!D228</f>
        <v/>
      </c>
      <c r="N228" s="21"/>
      <c r="O228" s="21"/>
      <c r="P228" s="21"/>
      <c r="Q228" s="21"/>
      <c r="R228" s="21" t="str">
        <f>'Ingest Template'!E228</f>
        <v/>
      </c>
      <c r="S228" s="29" t="s">
        <v>153</v>
      </c>
      <c r="T228" s="21" t="str">
        <f>'Ingest Template'!T228</f>
        <v/>
      </c>
      <c r="U228" s="21" t="str">
        <f>'Ingest Template'!S228</f>
        <v/>
      </c>
      <c r="V228" s="21" t="str">
        <f>LOWER(SUBSTITUTE(SUBSTITUTE(SUBSTITUTE(SUBSTITUTE(SUBSTITUTE('Ingest Template'!U228,"https:",""),"www.",""),"/",""),"?hl=en",""),"instagram.com",""))</f>
        <v/>
      </c>
      <c r="W228" s="41" t="str">
        <f t="array" ref="W228">IF('Ingest Template'!V228="",(INDEX(DropDown!$L$2:$L$392,MATCH('Ingest Template'!E228,DropDown!$J$2:$J$392,0))&amp;"|"&amp;'Ingest Template'!B228),(INDEX(DropDown!$L$2:$L$392,MATCH('Ingest Template'!E228,DropDown!$J$2:$J$392,0))&amp;"|"&amp;'Ingest Template'!B228)&amp;CHAR(10)&amp;'Ingest Template'!V228)</f>
        <v>#N/A</v>
      </c>
      <c r="X228" s="41" t="str">
        <f>'Ingest Template'!W228</f>
        <v/>
      </c>
      <c r="Y228" s="21" t="str">
        <f>SUBSTITUTE(SUBSTITUTE(SUBSTITUTE('Ingest Template'!X228,"http:",""),"https:",""),"/","")</f>
        <v/>
      </c>
      <c r="Z228" s="21" t="str">
        <f t="array" ref="Z228">IF('Ingest Template'!A228="Standard",(IF(ISBLANK('Ingest Template'!AA228),"", 'Ingest Template'!AA228&amp;"|DAR")),(IF(ISBLANK('Ingest Template'!AA228),"", 'Ingest Template'!AA228&amp;"|Film Ops")))</f>
        <v/>
      </c>
      <c r="AA228" s="21"/>
      <c r="AB228" s="21" t="str">
        <f>'Ingest Template'!M228</f>
        <v/>
      </c>
      <c r="AC228" s="21" t="str">
        <f>'Ingest Template'!Y228</f>
        <v/>
      </c>
      <c r="AD228" s="21" t="str">
        <f>'Ingest Template'!C228</f>
        <v/>
      </c>
      <c r="AE228" s="21" t="str">
        <f>'Ingest Template'!Z228</f>
        <v/>
      </c>
      <c r="AF228" s="29"/>
      <c r="AG228" s="21" t="str">
        <f t="array" ref="AG228">IF('Ingest Template'!A228="Standard",(CONCATENATE(IF(ISBLANK('Ingest Template'!O228),"", 'Ingest Template'!O228&amp;"|DAR"),CHAR(10), IF(ISBLANK('Ingest Template'!P228),"", 'Ingest Template'!P228&amp;"|DAR"),CHAR(10), IF(ISBLANK('Ingest Template'!Q228),"", 'Ingest Template'!Q228&amp;"|DAR"))),(CONCATENATE(IF(ISBLANK('Ingest Template'!O228),"", 'Ingest Template'!O228&amp;"|Operations - Core Title"),CHAR(10), IF(ISBLANK('Ingest Template'!P228),"", 'Ingest Template'!P228&amp;"|Operations - Core Title"),CHAR(10), IF(ISBLANK('Ingest Template'!Q228),"", 'Ingest Template'!Q228&amp;"|Operations - Core Title"))))</f>
        <v>#|Operations - Core Title
#|Operations - Core Title
</v>
      </c>
      <c r="AH228" s="21"/>
      <c r="AI228" s="21"/>
      <c r="AJ228" s="53" t="str">
        <f>if('Ingest Template'!A228="Standard",'Ingest Template'!N228&amp; "|DAR|DAR|2021-01-01",'Ingest Template'!N228&amp; "|Operations - Core Title|Operations - Core Title")</f>
        <v>#N/A</v>
      </c>
      <c r="AK228" s="53" t="str">
        <f>if('Ingest Template'!A228="Standard",'Ingest Template'!R228&amp; "|2021-01-01",'Ingest Template'!R228)</f>
        <v>#N/A</v>
      </c>
      <c r="AL228" s="21"/>
      <c r="AM228" s="21"/>
    </row>
    <row r="229">
      <c r="A229" s="21"/>
      <c r="B229" s="21" t="str">
        <f>'Ingest Template'!B229&amp;IF('Ingest Template'!A229 = "Standard", " - DAR","")</f>
        <v/>
      </c>
      <c r="C229" s="26" t="s">
        <v>109</v>
      </c>
      <c r="D229" s="29" t="str">
        <f t="array" ref="D229">CONCATENATE(INDEX(DropDown!$H$2:$H$10,MATCH(1,COUNTIF('Ingest Template'!F229,"*"&amp;DropDown!$H$2:$H$10&amp;"*"),0)),CHAR(10),'Ingest Template'!G229)</f>
        <v>#N/A</v>
      </c>
      <c r="E229" s="21" t="str">
        <f>CONCATENATE('Ingest Template'!H229,CHAR(10),'Ingest Template'!I229,CHAR(10),'Ingest Template'!J229)</f>
        <v>
</v>
      </c>
      <c r="F229" s="26" t="str">
        <f>'Ingest Template'!H229</f>
        <v/>
      </c>
      <c r="G229" s="21"/>
      <c r="H229" s="29"/>
      <c r="I229" s="21"/>
      <c r="J229" s="29" t="str">
        <f t="array" ref="J229">iF('Ingest Template'!A229="Standard","Pristine Brand",INDEX(DropDown!$M$2:$M$392,MATCH('Ingest Template'!E229,DropDown!$J$2:$J$392,0)))</f>
        <v>#N/A</v>
      </c>
      <c r="K229" s="21" t="str">
        <f>iF('Ingest Template'!A229="Standard",'Ingest Template'!K229&amp;CHAR(10)&amp;'Ingest Template'!L229,"Competitive View")</f>
        <v>Competitive View</v>
      </c>
      <c r="L229" s="29" t="s">
        <v>146</v>
      </c>
      <c r="M229" s="37" t="str">
        <f>'Ingest Template'!D229</f>
        <v/>
      </c>
      <c r="N229" s="21"/>
      <c r="O229" s="21"/>
      <c r="P229" s="21"/>
      <c r="Q229" s="21"/>
      <c r="R229" s="21" t="str">
        <f>'Ingest Template'!E229</f>
        <v/>
      </c>
      <c r="S229" s="29" t="s">
        <v>153</v>
      </c>
      <c r="T229" s="21" t="str">
        <f>'Ingest Template'!T229</f>
        <v/>
      </c>
      <c r="U229" s="21" t="str">
        <f>'Ingest Template'!S229</f>
        <v/>
      </c>
      <c r="V229" s="21" t="str">
        <f>LOWER(SUBSTITUTE(SUBSTITUTE(SUBSTITUTE(SUBSTITUTE(SUBSTITUTE('Ingest Template'!U229,"https:",""),"www.",""),"/",""),"?hl=en",""),"instagram.com",""))</f>
        <v/>
      </c>
      <c r="W229" s="41" t="str">
        <f t="array" ref="W229">IF('Ingest Template'!V229="",(INDEX(DropDown!$L$2:$L$392,MATCH('Ingest Template'!E229,DropDown!$J$2:$J$392,0))&amp;"|"&amp;'Ingest Template'!B229),(INDEX(DropDown!$L$2:$L$392,MATCH('Ingest Template'!E229,DropDown!$J$2:$J$392,0))&amp;"|"&amp;'Ingest Template'!B229)&amp;CHAR(10)&amp;'Ingest Template'!V229)</f>
        <v>#N/A</v>
      </c>
      <c r="X229" s="41" t="str">
        <f>'Ingest Template'!W229</f>
        <v/>
      </c>
      <c r="Y229" s="21" t="str">
        <f>SUBSTITUTE(SUBSTITUTE(SUBSTITUTE('Ingest Template'!X229,"http:",""),"https:",""),"/","")</f>
        <v/>
      </c>
      <c r="Z229" s="21" t="str">
        <f t="array" ref="Z229">IF('Ingest Template'!A229="Standard",(IF(ISBLANK('Ingest Template'!AA229),"", 'Ingest Template'!AA229&amp;"|DAR")),(IF(ISBLANK('Ingest Template'!AA229),"", 'Ingest Template'!AA229&amp;"|Film Ops")))</f>
        <v/>
      </c>
      <c r="AA229" s="21"/>
      <c r="AB229" s="21" t="str">
        <f>'Ingest Template'!M229</f>
        <v/>
      </c>
      <c r="AC229" s="21" t="str">
        <f>'Ingest Template'!Y229</f>
        <v/>
      </c>
      <c r="AD229" s="21" t="str">
        <f>'Ingest Template'!C229</f>
        <v/>
      </c>
      <c r="AE229" s="21" t="str">
        <f>'Ingest Template'!Z229</f>
        <v/>
      </c>
      <c r="AF229" s="29"/>
      <c r="AG229" s="21" t="str">
        <f t="array" ref="AG229">IF('Ingest Template'!A229="Standard",(CONCATENATE(IF(ISBLANK('Ingest Template'!O229),"", 'Ingest Template'!O229&amp;"|DAR"),CHAR(10), IF(ISBLANK('Ingest Template'!P229),"", 'Ingest Template'!P229&amp;"|DAR"),CHAR(10), IF(ISBLANK('Ingest Template'!Q229),"", 'Ingest Template'!Q229&amp;"|DAR"))),(CONCATENATE(IF(ISBLANK('Ingest Template'!O229),"", 'Ingest Template'!O229&amp;"|Operations - Core Title"),CHAR(10), IF(ISBLANK('Ingest Template'!P229),"", 'Ingest Template'!P229&amp;"|Operations - Core Title"),CHAR(10), IF(ISBLANK('Ingest Template'!Q229),"", 'Ingest Template'!Q229&amp;"|Operations - Core Title"))))</f>
        <v>#|Operations - Core Title
#|Operations - Core Title
</v>
      </c>
      <c r="AH229" s="21"/>
      <c r="AI229" s="21"/>
      <c r="AJ229" s="53" t="str">
        <f>if('Ingest Template'!A229="Standard",'Ingest Template'!N229&amp; "|DAR|DAR|2021-01-01",'Ingest Template'!N229&amp; "|Operations - Core Title|Operations - Core Title")</f>
        <v>#N/A</v>
      </c>
      <c r="AK229" s="53" t="str">
        <f>if('Ingest Template'!A229="Standard",'Ingest Template'!R229&amp; "|2021-01-01",'Ingest Template'!R229)</f>
        <v>#N/A</v>
      </c>
      <c r="AL229" s="21"/>
      <c r="AM229" s="21"/>
    </row>
    <row r="230">
      <c r="A230" s="21"/>
      <c r="B230" s="21" t="str">
        <f>'Ingest Template'!B230&amp;IF('Ingest Template'!A230 = "Standard", " - DAR","")</f>
        <v/>
      </c>
      <c r="C230" s="26" t="s">
        <v>109</v>
      </c>
      <c r="D230" s="29" t="str">
        <f t="array" ref="D230">CONCATENATE(INDEX(DropDown!$H$2:$H$10,MATCH(1,COUNTIF('Ingest Template'!F230,"*"&amp;DropDown!$H$2:$H$10&amp;"*"),0)),CHAR(10),'Ingest Template'!G230)</f>
        <v>#N/A</v>
      </c>
      <c r="E230" s="21" t="str">
        <f>CONCATENATE('Ingest Template'!H230,CHAR(10),'Ingest Template'!I230,CHAR(10),'Ingest Template'!J230)</f>
        <v>
</v>
      </c>
      <c r="F230" s="26" t="str">
        <f>'Ingest Template'!H230</f>
        <v/>
      </c>
      <c r="G230" s="21"/>
      <c r="H230" s="29"/>
      <c r="I230" s="21"/>
      <c r="J230" s="29" t="str">
        <f t="array" ref="J230">iF('Ingest Template'!A230="Standard","Pristine Brand",INDEX(DropDown!$M$2:$M$392,MATCH('Ingest Template'!E230,DropDown!$J$2:$J$392,0)))</f>
        <v>#N/A</v>
      </c>
      <c r="K230" s="21" t="str">
        <f>iF('Ingest Template'!A230="Standard",'Ingest Template'!K230&amp;CHAR(10)&amp;'Ingest Template'!L230,"Competitive View")</f>
        <v>Competitive View</v>
      </c>
      <c r="L230" s="29" t="s">
        <v>146</v>
      </c>
      <c r="M230" s="37" t="str">
        <f>'Ingest Template'!D230</f>
        <v/>
      </c>
      <c r="N230" s="21"/>
      <c r="O230" s="21"/>
      <c r="P230" s="21"/>
      <c r="Q230" s="21"/>
      <c r="R230" s="21" t="str">
        <f>'Ingest Template'!E230</f>
        <v/>
      </c>
      <c r="S230" s="29" t="s">
        <v>153</v>
      </c>
      <c r="T230" s="21" t="str">
        <f>'Ingest Template'!T230</f>
        <v/>
      </c>
      <c r="U230" s="21" t="str">
        <f>'Ingest Template'!S230</f>
        <v/>
      </c>
      <c r="V230" s="21" t="str">
        <f>LOWER(SUBSTITUTE(SUBSTITUTE(SUBSTITUTE(SUBSTITUTE(SUBSTITUTE('Ingest Template'!U230,"https:",""),"www.",""),"/",""),"?hl=en",""),"instagram.com",""))</f>
        <v/>
      </c>
      <c r="W230" s="41" t="str">
        <f t="array" ref="W230">IF('Ingest Template'!V230="",(INDEX(DropDown!$L$2:$L$392,MATCH('Ingest Template'!E230,DropDown!$J$2:$J$392,0))&amp;"|"&amp;'Ingest Template'!B230),(INDEX(DropDown!$L$2:$L$392,MATCH('Ingest Template'!E230,DropDown!$J$2:$J$392,0))&amp;"|"&amp;'Ingest Template'!B230)&amp;CHAR(10)&amp;'Ingest Template'!V230)</f>
        <v>#N/A</v>
      </c>
      <c r="X230" s="41" t="str">
        <f>'Ingest Template'!W230</f>
        <v/>
      </c>
      <c r="Y230" s="21" t="str">
        <f>SUBSTITUTE(SUBSTITUTE(SUBSTITUTE('Ingest Template'!X230,"http:",""),"https:",""),"/","")</f>
        <v/>
      </c>
      <c r="Z230" s="21" t="str">
        <f t="array" ref="Z230">IF('Ingest Template'!A230="Standard",(IF(ISBLANK('Ingest Template'!AA230),"", 'Ingest Template'!AA230&amp;"|DAR")),(IF(ISBLANK('Ingest Template'!AA230),"", 'Ingest Template'!AA230&amp;"|Film Ops")))</f>
        <v/>
      </c>
      <c r="AA230" s="21"/>
      <c r="AB230" s="21" t="str">
        <f>'Ingest Template'!M230</f>
        <v/>
      </c>
      <c r="AC230" s="21" t="str">
        <f>'Ingest Template'!Y230</f>
        <v/>
      </c>
      <c r="AD230" s="21" t="str">
        <f>'Ingest Template'!C230</f>
        <v/>
      </c>
      <c r="AE230" s="21" t="str">
        <f>'Ingest Template'!Z230</f>
        <v/>
      </c>
      <c r="AF230" s="29"/>
      <c r="AG230" s="21" t="str">
        <f t="array" ref="AG230">IF('Ingest Template'!A230="Standard",(CONCATENATE(IF(ISBLANK('Ingest Template'!O230),"", 'Ingest Template'!O230&amp;"|DAR"),CHAR(10), IF(ISBLANK('Ingest Template'!P230),"", 'Ingest Template'!P230&amp;"|DAR"),CHAR(10), IF(ISBLANK('Ingest Template'!Q230),"", 'Ingest Template'!Q230&amp;"|DAR"))),(CONCATENATE(IF(ISBLANK('Ingest Template'!O230),"", 'Ingest Template'!O230&amp;"|Operations - Core Title"),CHAR(10), IF(ISBLANK('Ingest Template'!P230),"", 'Ingest Template'!P230&amp;"|Operations - Core Title"),CHAR(10), IF(ISBLANK('Ingest Template'!Q230),"", 'Ingest Template'!Q230&amp;"|Operations - Core Title"))))</f>
        <v>#|Operations - Core Title
#|Operations - Core Title
</v>
      </c>
      <c r="AH230" s="21"/>
      <c r="AI230" s="21"/>
      <c r="AJ230" s="53" t="str">
        <f>if('Ingest Template'!A230="Standard",'Ingest Template'!N230&amp; "|DAR|DAR|2021-01-01",'Ingest Template'!N230&amp; "|Operations - Core Title|Operations - Core Title")</f>
        <v>#N/A</v>
      </c>
      <c r="AK230" s="53" t="str">
        <f>if('Ingest Template'!A230="Standard",'Ingest Template'!R230&amp; "|2021-01-01",'Ingest Template'!R230)</f>
        <v>#N/A</v>
      </c>
      <c r="AL230" s="21"/>
      <c r="AM230" s="21"/>
    </row>
    <row r="231">
      <c r="A231" s="21"/>
      <c r="B231" s="21" t="str">
        <f>'Ingest Template'!B231&amp;IF('Ingest Template'!A231 = "Standard", " - DAR","")</f>
        <v/>
      </c>
      <c r="C231" s="26" t="s">
        <v>109</v>
      </c>
      <c r="D231" s="29" t="str">
        <f t="array" ref="D231">CONCATENATE(INDEX(DropDown!$H$2:$H$10,MATCH(1,COUNTIF('Ingest Template'!F231,"*"&amp;DropDown!$H$2:$H$10&amp;"*"),0)),CHAR(10),'Ingest Template'!G231)</f>
        <v>#N/A</v>
      </c>
      <c r="E231" s="21" t="str">
        <f>CONCATENATE('Ingest Template'!H231,CHAR(10),'Ingest Template'!I231,CHAR(10),'Ingest Template'!J231)</f>
        <v>
</v>
      </c>
      <c r="F231" s="26" t="str">
        <f>'Ingest Template'!H231</f>
        <v/>
      </c>
      <c r="G231" s="21"/>
      <c r="H231" s="29"/>
      <c r="I231" s="21"/>
      <c r="J231" s="29" t="str">
        <f t="array" ref="J231">iF('Ingest Template'!A231="Standard","Pristine Brand",INDEX(DropDown!$M$2:$M$392,MATCH('Ingest Template'!E231,DropDown!$J$2:$J$392,0)))</f>
        <v>#N/A</v>
      </c>
      <c r="K231" s="21" t="str">
        <f>iF('Ingest Template'!A231="Standard",'Ingest Template'!K231&amp;CHAR(10)&amp;'Ingest Template'!L231,"Competitive View")</f>
        <v>Competitive View</v>
      </c>
      <c r="L231" s="29" t="s">
        <v>146</v>
      </c>
      <c r="M231" s="37" t="str">
        <f>'Ingest Template'!D231</f>
        <v/>
      </c>
      <c r="N231" s="21"/>
      <c r="O231" s="21"/>
      <c r="P231" s="21"/>
      <c r="Q231" s="21"/>
      <c r="R231" s="21" t="str">
        <f>'Ingest Template'!E231</f>
        <v/>
      </c>
      <c r="S231" s="29" t="s">
        <v>153</v>
      </c>
      <c r="T231" s="21" t="str">
        <f>'Ingest Template'!T231</f>
        <v/>
      </c>
      <c r="U231" s="21" t="str">
        <f>'Ingest Template'!S231</f>
        <v/>
      </c>
      <c r="V231" s="21" t="str">
        <f>LOWER(SUBSTITUTE(SUBSTITUTE(SUBSTITUTE(SUBSTITUTE(SUBSTITUTE('Ingest Template'!U231,"https:",""),"www.",""),"/",""),"?hl=en",""),"instagram.com",""))</f>
        <v/>
      </c>
      <c r="W231" s="41" t="str">
        <f t="array" ref="W231">IF('Ingest Template'!V231="",(INDEX(DropDown!$L$2:$L$392,MATCH('Ingest Template'!E231,DropDown!$J$2:$J$392,0))&amp;"|"&amp;'Ingest Template'!B231),(INDEX(DropDown!$L$2:$L$392,MATCH('Ingest Template'!E231,DropDown!$J$2:$J$392,0))&amp;"|"&amp;'Ingest Template'!B231)&amp;CHAR(10)&amp;'Ingest Template'!V231)</f>
        <v>#N/A</v>
      </c>
      <c r="X231" s="41" t="str">
        <f>'Ingest Template'!W231</f>
        <v/>
      </c>
      <c r="Y231" s="21" t="str">
        <f>SUBSTITUTE(SUBSTITUTE(SUBSTITUTE('Ingest Template'!X231,"http:",""),"https:",""),"/","")</f>
        <v/>
      </c>
      <c r="Z231" s="21" t="str">
        <f t="array" ref="Z231">IF('Ingest Template'!A231="Standard",(IF(ISBLANK('Ingest Template'!AA231),"", 'Ingest Template'!AA231&amp;"|DAR")),(IF(ISBLANK('Ingest Template'!AA231),"", 'Ingest Template'!AA231&amp;"|Film Ops")))</f>
        <v/>
      </c>
      <c r="AA231" s="21"/>
      <c r="AB231" s="21" t="str">
        <f>'Ingest Template'!M231</f>
        <v/>
      </c>
      <c r="AC231" s="21" t="str">
        <f>'Ingest Template'!Y231</f>
        <v/>
      </c>
      <c r="AD231" s="21" t="str">
        <f>'Ingest Template'!C231</f>
        <v/>
      </c>
      <c r="AE231" s="21" t="str">
        <f>'Ingest Template'!Z231</f>
        <v/>
      </c>
      <c r="AF231" s="29"/>
      <c r="AG231" s="21" t="str">
        <f t="array" ref="AG231">IF('Ingest Template'!A231="Standard",(CONCATENATE(IF(ISBLANK('Ingest Template'!O231),"", 'Ingest Template'!O231&amp;"|DAR"),CHAR(10), IF(ISBLANK('Ingest Template'!P231),"", 'Ingest Template'!P231&amp;"|DAR"),CHAR(10), IF(ISBLANK('Ingest Template'!Q231),"", 'Ingest Template'!Q231&amp;"|DAR"))),(CONCATENATE(IF(ISBLANK('Ingest Template'!O231),"", 'Ingest Template'!O231&amp;"|Operations - Core Title"),CHAR(10), IF(ISBLANK('Ingest Template'!P231),"", 'Ingest Template'!P231&amp;"|Operations - Core Title"),CHAR(10), IF(ISBLANK('Ingest Template'!Q231),"", 'Ingest Template'!Q231&amp;"|Operations - Core Title"))))</f>
        <v>#|Operations - Core Title
#|Operations - Core Title
</v>
      </c>
      <c r="AH231" s="21"/>
      <c r="AI231" s="21"/>
      <c r="AJ231" s="53" t="str">
        <f>if('Ingest Template'!A231="Standard",'Ingest Template'!N231&amp; "|DAR|DAR|2021-01-01",'Ingest Template'!N231&amp; "|Operations - Core Title|Operations - Core Title")</f>
        <v>#N/A</v>
      </c>
      <c r="AK231" s="53" t="str">
        <f>if('Ingest Template'!A231="Standard",'Ingest Template'!R231&amp; "|2021-01-01",'Ingest Template'!R231)</f>
        <v>#N/A</v>
      </c>
      <c r="AL231" s="21"/>
      <c r="AM231" s="21"/>
    </row>
    <row r="232">
      <c r="A232" s="21"/>
      <c r="B232" s="21" t="str">
        <f>'Ingest Template'!B232&amp;IF('Ingest Template'!A232 = "Standard", " - DAR","")</f>
        <v/>
      </c>
      <c r="C232" s="26" t="s">
        <v>109</v>
      </c>
      <c r="D232" s="29" t="str">
        <f t="array" ref="D232">CONCATENATE(INDEX(DropDown!$H$2:$H$10,MATCH(1,COUNTIF('Ingest Template'!F232,"*"&amp;DropDown!$H$2:$H$10&amp;"*"),0)),CHAR(10),'Ingest Template'!G232)</f>
        <v>#N/A</v>
      </c>
      <c r="E232" s="21" t="str">
        <f>CONCATENATE('Ingest Template'!H232,CHAR(10),'Ingest Template'!I232,CHAR(10),'Ingest Template'!J232)</f>
        <v>
</v>
      </c>
      <c r="F232" s="26" t="str">
        <f>'Ingest Template'!H232</f>
        <v/>
      </c>
      <c r="G232" s="21"/>
      <c r="H232" s="29"/>
      <c r="I232" s="21"/>
      <c r="J232" s="29" t="str">
        <f t="array" ref="J232">iF('Ingest Template'!A232="Standard","Pristine Brand",INDEX(DropDown!$M$2:$M$392,MATCH('Ingest Template'!E232,DropDown!$J$2:$J$392,0)))</f>
        <v>#N/A</v>
      </c>
      <c r="K232" s="21" t="str">
        <f>iF('Ingest Template'!A232="Standard",'Ingest Template'!K232&amp;CHAR(10)&amp;'Ingest Template'!L232,"Competitive View")</f>
        <v>Competitive View</v>
      </c>
      <c r="L232" s="29" t="s">
        <v>146</v>
      </c>
      <c r="M232" s="37" t="str">
        <f>'Ingest Template'!D232</f>
        <v/>
      </c>
      <c r="N232" s="21"/>
      <c r="O232" s="21"/>
      <c r="P232" s="21"/>
      <c r="Q232" s="21"/>
      <c r="R232" s="21" t="str">
        <f>'Ingest Template'!E232</f>
        <v/>
      </c>
      <c r="S232" s="29" t="s">
        <v>153</v>
      </c>
      <c r="T232" s="21" t="str">
        <f>'Ingest Template'!T232</f>
        <v/>
      </c>
      <c r="U232" s="21" t="str">
        <f>'Ingest Template'!S232</f>
        <v/>
      </c>
      <c r="V232" s="21" t="str">
        <f>LOWER(SUBSTITUTE(SUBSTITUTE(SUBSTITUTE(SUBSTITUTE(SUBSTITUTE('Ingest Template'!U232,"https:",""),"www.",""),"/",""),"?hl=en",""),"instagram.com",""))</f>
        <v/>
      </c>
      <c r="W232" s="41" t="str">
        <f t="array" ref="W232">IF('Ingest Template'!V232="",(INDEX(DropDown!$L$2:$L$392,MATCH('Ingest Template'!E232,DropDown!$J$2:$J$392,0))&amp;"|"&amp;'Ingest Template'!B232),(INDEX(DropDown!$L$2:$L$392,MATCH('Ingest Template'!E232,DropDown!$J$2:$J$392,0))&amp;"|"&amp;'Ingest Template'!B232)&amp;CHAR(10)&amp;'Ingest Template'!V232)</f>
        <v>#N/A</v>
      </c>
      <c r="X232" s="41" t="str">
        <f>'Ingest Template'!W232</f>
        <v/>
      </c>
      <c r="Y232" s="21" t="str">
        <f>SUBSTITUTE(SUBSTITUTE(SUBSTITUTE('Ingest Template'!X232,"http:",""),"https:",""),"/","")</f>
        <v/>
      </c>
      <c r="Z232" s="21" t="str">
        <f t="array" ref="Z232">IF('Ingest Template'!A232="Standard",(IF(ISBLANK('Ingest Template'!AA232),"", 'Ingest Template'!AA232&amp;"|DAR")),(IF(ISBLANK('Ingest Template'!AA232),"", 'Ingest Template'!AA232&amp;"|Film Ops")))</f>
        <v/>
      </c>
      <c r="AA232" s="21"/>
      <c r="AB232" s="21" t="str">
        <f>'Ingest Template'!M232</f>
        <v/>
      </c>
      <c r="AC232" s="21" t="str">
        <f>'Ingest Template'!Y232</f>
        <v/>
      </c>
      <c r="AD232" s="21" t="str">
        <f>'Ingest Template'!C232</f>
        <v/>
      </c>
      <c r="AE232" s="21" t="str">
        <f>'Ingest Template'!Z232</f>
        <v/>
      </c>
      <c r="AF232" s="29"/>
      <c r="AG232" s="21" t="str">
        <f t="array" ref="AG232">IF('Ingest Template'!A232="Standard",(CONCATENATE(IF(ISBLANK('Ingest Template'!O232),"", 'Ingest Template'!O232&amp;"|DAR"),CHAR(10), IF(ISBLANK('Ingest Template'!P232),"", 'Ingest Template'!P232&amp;"|DAR"),CHAR(10), IF(ISBLANK('Ingest Template'!Q232),"", 'Ingest Template'!Q232&amp;"|DAR"))),(CONCATENATE(IF(ISBLANK('Ingest Template'!O232),"", 'Ingest Template'!O232&amp;"|Operations - Core Title"),CHAR(10), IF(ISBLANK('Ingest Template'!P232),"", 'Ingest Template'!P232&amp;"|Operations - Core Title"),CHAR(10), IF(ISBLANK('Ingest Template'!Q232),"", 'Ingest Template'!Q232&amp;"|Operations - Core Title"))))</f>
        <v>#|Operations - Core Title
#|Operations - Core Title
</v>
      </c>
      <c r="AH232" s="21"/>
      <c r="AI232" s="21"/>
      <c r="AJ232" s="53" t="str">
        <f>if('Ingest Template'!A232="Standard",'Ingest Template'!N232&amp; "|DAR|DAR|2021-01-01",'Ingest Template'!N232&amp; "|Operations - Core Title|Operations - Core Title")</f>
        <v>#N/A</v>
      </c>
      <c r="AK232" s="53" t="str">
        <f>if('Ingest Template'!A232="Standard",'Ingest Template'!R232&amp; "|2021-01-01",'Ingest Template'!R232)</f>
        <v>#N/A</v>
      </c>
      <c r="AL232" s="21"/>
      <c r="AM232" s="21"/>
    </row>
    <row r="233">
      <c r="A233" s="21"/>
      <c r="B233" s="21" t="str">
        <f>'Ingest Template'!B233&amp;IF('Ingest Template'!A233 = "Standard", " - DAR","")</f>
        <v/>
      </c>
      <c r="C233" s="26" t="s">
        <v>109</v>
      </c>
      <c r="D233" s="29" t="str">
        <f t="array" ref="D233">CONCATENATE(INDEX(DropDown!$H$2:$H$10,MATCH(1,COUNTIF('Ingest Template'!F233,"*"&amp;DropDown!$H$2:$H$10&amp;"*"),0)),CHAR(10),'Ingest Template'!G233)</f>
        <v>#N/A</v>
      </c>
      <c r="E233" s="21" t="str">
        <f>CONCATENATE('Ingest Template'!H233,CHAR(10),'Ingest Template'!I233,CHAR(10),'Ingest Template'!J233)</f>
        <v>
</v>
      </c>
      <c r="F233" s="26" t="str">
        <f>'Ingest Template'!H233</f>
        <v/>
      </c>
      <c r="G233" s="21"/>
      <c r="H233" s="29"/>
      <c r="I233" s="21"/>
      <c r="J233" s="29" t="str">
        <f t="array" ref="J233">iF('Ingest Template'!A233="Standard","Pristine Brand",INDEX(DropDown!$M$2:$M$392,MATCH('Ingest Template'!E233,DropDown!$J$2:$J$392,0)))</f>
        <v>#N/A</v>
      </c>
      <c r="K233" s="21" t="str">
        <f>iF('Ingest Template'!A233="Standard",'Ingest Template'!K233&amp;CHAR(10)&amp;'Ingest Template'!L233,"Competitive View")</f>
        <v>Competitive View</v>
      </c>
      <c r="L233" s="29" t="s">
        <v>146</v>
      </c>
      <c r="M233" s="37" t="str">
        <f>'Ingest Template'!D233</f>
        <v/>
      </c>
      <c r="N233" s="21"/>
      <c r="O233" s="21"/>
      <c r="P233" s="21"/>
      <c r="Q233" s="21"/>
      <c r="R233" s="21" t="str">
        <f>'Ingest Template'!E233</f>
        <v/>
      </c>
      <c r="S233" s="29" t="s">
        <v>153</v>
      </c>
      <c r="T233" s="21" t="str">
        <f>'Ingest Template'!T233</f>
        <v/>
      </c>
      <c r="U233" s="21" t="str">
        <f>'Ingest Template'!S233</f>
        <v/>
      </c>
      <c r="V233" s="21" t="str">
        <f>LOWER(SUBSTITUTE(SUBSTITUTE(SUBSTITUTE(SUBSTITUTE(SUBSTITUTE('Ingest Template'!U233,"https:",""),"www.",""),"/",""),"?hl=en",""),"instagram.com",""))</f>
        <v/>
      </c>
      <c r="W233" s="41" t="str">
        <f t="array" ref="W233">IF('Ingest Template'!V233="",(INDEX(DropDown!$L$2:$L$392,MATCH('Ingest Template'!E233,DropDown!$J$2:$J$392,0))&amp;"|"&amp;'Ingest Template'!B233),(INDEX(DropDown!$L$2:$L$392,MATCH('Ingest Template'!E233,DropDown!$J$2:$J$392,0))&amp;"|"&amp;'Ingest Template'!B233)&amp;CHAR(10)&amp;'Ingest Template'!V233)</f>
        <v>#N/A</v>
      </c>
      <c r="X233" s="41" t="str">
        <f>'Ingest Template'!W233</f>
        <v/>
      </c>
      <c r="Y233" s="21" t="str">
        <f>SUBSTITUTE(SUBSTITUTE(SUBSTITUTE('Ingest Template'!X233,"http:",""),"https:",""),"/","")</f>
        <v/>
      </c>
      <c r="Z233" s="21" t="str">
        <f t="array" ref="Z233">IF('Ingest Template'!A233="Standard",(IF(ISBLANK('Ingest Template'!AA233),"", 'Ingest Template'!AA233&amp;"|DAR")),(IF(ISBLANK('Ingest Template'!AA233),"", 'Ingest Template'!AA233&amp;"|Film Ops")))</f>
        <v/>
      </c>
      <c r="AA233" s="21"/>
      <c r="AB233" s="21" t="str">
        <f>'Ingest Template'!M233</f>
        <v/>
      </c>
      <c r="AC233" s="21" t="str">
        <f>'Ingest Template'!Y233</f>
        <v/>
      </c>
      <c r="AD233" s="21" t="str">
        <f>'Ingest Template'!C233</f>
        <v/>
      </c>
      <c r="AE233" s="21" t="str">
        <f>'Ingest Template'!Z233</f>
        <v/>
      </c>
      <c r="AF233" s="29"/>
      <c r="AG233" s="21" t="str">
        <f t="array" ref="AG233">IF('Ingest Template'!A233="Standard",(CONCATENATE(IF(ISBLANK('Ingest Template'!O233),"", 'Ingest Template'!O233&amp;"|DAR"),CHAR(10), IF(ISBLANK('Ingest Template'!P233),"", 'Ingest Template'!P233&amp;"|DAR"),CHAR(10), IF(ISBLANK('Ingest Template'!Q233),"", 'Ingest Template'!Q233&amp;"|DAR"))),(CONCATENATE(IF(ISBLANK('Ingest Template'!O233),"", 'Ingest Template'!O233&amp;"|Operations - Core Title"),CHAR(10), IF(ISBLANK('Ingest Template'!P233),"", 'Ingest Template'!P233&amp;"|Operations - Core Title"),CHAR(10), IF(ISBLANK('Ingest Template'!Q233),"", 'Ingest Template'!Q233&amp;"|Operations - Core Title"))))</f>
        <v>#|Operations - Core Title
#|Operations - Core Title
</v>
      </c>
      <c r="AH233" s="21"/>
      <c r="AI233" s="21"/>
      <c r="AJ233" s="53" t="str">
        <f>if('Ingest Template'!A233="Standard",'Ingest Template'!N233&amp; "|DAR|DAR|2021-01-01",'Ingest Template'!N233&amp; "|Operations - Core Title|Operations - Core Title")</f>
        <v>#N/A</v>
      </c>
      <c r="AK233" s="53" t="str">
        <f>if('Ingest Template'!A233="Standard",'Ingest Template'!R233&amp; "|2021-01-01",'Ingest Template'!R233)</f>
        <v>#N/A</v>
      </c>
      <c r="AL233" s="21"/>
      <c r="AM233" s="21"/>
    </row>
    <row r="234">
      <c r="A234" s="21"/>
      <c r="B234" s="21" t="str">
        <f>'Ingest Template'!B234&amp;IF('Ingest Template'!A234 = "Standard", " - DAR","")</f>
        <v/>
      </c>
      <c r="C234" s="26" t="s">
        <v>109</v>
      </c>
      <c r="D234" s="29" t="str">
        <f t="array" ref="D234">CONCATENATE(INDEX(DropDown!$H$2:$H$10,MATCH(1,COUNTIF('Ingest Template'!F234,"*"&amp;DropDown!$H$2:$H$10&amp;"*"),0)),CHAR(10),'Ingest Template'!G234)</f>
        <v>#N/A</v>
      </c>
      <c r="E234" s="21" t="str">
        <f>CONCATENATE('Ingest Template'!H234,CHAR(10),'Ingest Template'!I234,CHAR(10),'Ingest Template'!J234)</f>
        <v>
</v>
      </c>
      <c r="F234" s="26" t="str">
        <f>'Ingest Template'!H234</f>
        <v/>
      </c>
      <c r="G234" s="21"/>
      <c r="H234" s="29"/>
      <c r="I234" s="21"/>
      <c r="J234" s="29" t="str">
        <f t="array" ref="J234">iF('Ingest Template'!A234="Standard","Pristine Brand",INDEX(DropDown!$M$2:$M$392,MATCH('Ingest Template'!E234,DropDown!$J$2:$J$392,0)))</f>
        <v>#N/A</v>
      </c>
      <c r="K234" s="21" t="str">
        <f>iF('Ingest Template'!A234="Standard",'Ingest Template'!K234&amp;CHAR(10)&amp;'Ingest Template'!L234,"Competitive View")</f>
        <v>Competitive View</v>
      </c>
      <c r="L234" s="29" t="s">
        <v>146</v>
      </c>
      <c r="M234" s="37" t="str">
        <f>'Ingest Template'!D234</f>
        <v/>
      </c>
      <c r="N234" s="21"/>
      <c r="O234" s="21"/>
      <c r="P234" s="21"/>
      <c r="Q234" s="21"/>
      <c r="R234" s="21" t="str">
        <f>'Ingest Template'!E234</f>
        <v/>
      </c>
      <c r="S234" s="29" t="s">
        <v>153</v>
      </c>
      <c r="T234" s="21" t="str">
        <f>'Ingest Template'!T234</f>
        <v/>
      </c>
      <c r="U234" s="21" t="str">
        <f>'Ingest Template'!S234</f>
        <v/>
      </c>
      <c r="V234" s="21" t="str">
        <f>LOWER(SUBSTITUTE(SUBSTITUTE(SUBSTITUTE(SUBSTITUTE(SUBSTITUTE('Ingest Template'!U234,"https:",""),"www.",""),"/",""),"?hl=en",""),"instagram.com",""))</f>
        <v/>
      </c>
      <c r="W234" s="41" t="str">
        <f t="array" ref="W234">IF('Ingest Template'!V234="",(INDEX(DropDown!$L$2:$L$392,MATCH('Ingest Template'!E234,DropDown!$J$2:$J$392,0))&amp;"|"&amp;'Ingest Template'!B234),(INDEX(DropDown!$L$2:$L$392,MATCH('Ingest Template'!E234,DropDown!$J$2:$J$392,0))&amp;"|"&amp;'Ingest Template'!B234)&amp;CHAR(10)&amp;'Ingest Template'!V234)</f>
        <v>#N/A</v>
      </c>
      <c r="X234" s="41" t="str">
        <f>'Ingest Template'!W234</f>
        <v/>
      </c>
      <c r="Y234" s="21" t="str">
        <f>SUBSTITUTE(SUBSTITUTE(SUBSTITUTE('Ingest Template'!X234,"http:",""),"https:",""),"/","")</f>
        <v/>
      </c>
      <c r="Z234" s="21" t="str">
        <f t="array" ref="Z234">IF('Ingest Template'!A234="Standard",(IF(ISBLANK('Ingest Template'!AA234),"", 'Ingest Template'!AA234&amp;"|DAR")),(IF(ISBLANK('Ingest Template'!AA234),"", 'Ingest Template'!AA234&amp;"|Film Ops")))</f>
        <v/>
      </c>
      <c r="AA234" s="21"/>
      <c r="AB234" s="21" t="str">
        <f>'Ingest Template'!M234</f>
        <v/>
      </c>
      <c r="AC234" s="21" t="str">
        <f>'Ingest Template'!Y234</f>
        <v/>
      </c>
      <c r="AD234" s="21" t="str">
        <f>'Ingest Template'!C234</f>
        <v/>
      </c>
      <c r="AE234" s="21" t="str">
        <f>'Ingest Template'!Z234</f>
        <v/>
      </c>
      <c r="AF234" s="29"/>
      <c r="AG234" s="21" t="str">
        <f t="array" ref="AG234">IF('Ingest Template'!A234="Standard",(CONCATENATE(IF(ISBLANK('Ingest Template'!O234),"", 'Ingest Template'!O234&amp;"|DAR"),CHAR(10), IF(ISBLANK('Ingest Template'!P234),"", 'Ingest Template'!P234&amp;"|DAR"),CHAR(10), IF(ISBLANK('Ingest Template'!Q234),"", 'Ingest Template'!Q234&amp;"|DAR"))),(CONCATENATE(IF(ISBLANK('Ingest Template'!O234),"", 'Ingest Template'!O234&amp;"|Operations - Core Title"),CHAR(10), IF(ISBLANK('Ingest Template'!P234),"", 'Ingest Template'!P234&amp;"|Operations - Core Title"),CHAR(10), IF(ISBLANK('Ingest Template'!Q234),"", 'Ingest Template'!Q234&amp;"|Operations - Core Title"))))</f>
        <v>#|Operations - Core Title
#|Operations - Core Title
</v>
      </c>
      <c r="AH234" s="21"/>
      <c r="AI234" s="21"/>
      <c r="AJ234" s="53" t="str">
        <f>if('Ingest Template'!A234="Standard",'Ingest Template'!N234&amp; "|DAR|DAR|2021-01-01",'Ingest Template'!N234&amp; "|Operations - Core Title|Operations - Core Title")</f>
        <v>#N/A</v>
      </c>
      <c r="AK234" s="53" t="str">
        <f>if('Ingest Template'!A234="Standard",'Ingest Template'!R234&amp; "|2021-01-01",'Ingest Template'!R234)</f>
        <v>#N/A</v>
      </c>
      <c r="AL234" s="21"/>
      <c r="AM234" s="21"/>
    </row>
    <row r="235">
      <c r="A235" s="21"/>
      <c r="B235" s="21" t="str">
        <f>'Ingest Template'!B235&amp;IF('Ingest Template'!A235 = "Standard", " - DAR","")</f>
        <v/>
      </c>
      <c r="C235" s="26" t="s">
        <v>109</v>
      </c>
      <c r="D235" s="29" t="str">
        <f t="array" ref="D235">CONCATENATE(INDEX(DropDown!$H$2:$H$10,MATCH(1,COUNTIF('Ingest Template'!F235,"*"&amp;DropDown!$H$2:$H$10&amp;"*"),0)),CHAR(10),'Ingest Template'!G235)</f>
        <v>#N/A</v>
      </c>
      <c r="E235" s="21" t="str">
        <f>CONCATENATE('Ingest Template'!H235,CHAR(10),'Ingest Template'!I235,CHAR(10),'Ingest Template'!J235)</f>
        <v>
</v>
      </c>
      <c r="F235" s="26" t="str">
        <f>'Ingest Template'!H235</f>
        <v/>
      </c>
      <c r="G235" s="21"/>
      <c r="H235" s="29"/>
      <c r="I235" s="21"/>
      <c r="J235" s="29" t="str">
        <f t="array" ref="J235">iF('Ingest Template'!A235="Standard","Pristine Brand",INDEX(DropDown!$M$2:$M$392,MATCH('Ingest Template'!E235,DropDown!$J$2:$J$392,0)))</f>
        <v>#N/A</v>
      </c>
      <c r="K235" s="21" t="str">
        <f>iF('Ingest Template'!A235="Standard",'Ingest Template'!K235&amp;CHAR(10)&amp;'Ingest Template'!L235,"Competitive View")</f>
        <v>Competitive View</v>
      </c>
      <c r="L235" s="29" t="s">
        <v>146</v>
      </c>
      <c r="M235" s="37" t="str">
        <f>'Ingest Template'!D235</f>
        <v/>
      </c>
      <c r="N235" s="21"/>
      <c r="O235" s="21"/>
      <c r="P235" s="21"/>
      <c r="Q235" s="21"/>
      <c r="R235" s="21" t="str">
        <f>'Ingest Template'!E235</f>
        <v/>
      </c>
      <c r="S235" s="29" t="s">
        <v>153</v>
      </c>
      <c r="T235" s="21" t="str">
        <f>'Ingest Template'!T235</f>
        <v/>
      </c>
      <c r="U235" s="21" t="str">
        <f>'Ingest Template'!S235</f>
        <v/>
      </c>
      <c r="V235" s="21" t="str">
        <f>LOWER(SUBSTITUTE(SUBSTITUTE(SUBSTITUTE(SUBSTITUTE(SUBSTITUTE('Ingest Template'!U235,"https:",""),"www.",""),"/",""),"?hl=en",""),"instagram.com",""))</f>
        <v/>
      </c>
      <c r="W235" s="41" t="str">
        <f t="array" ref="W235">IF('Ingest Template'!V235="",(INDEX(DropDown!$L$2:$L$392,MATCH('Ingest Template'!E235,DropDown!$J$2:$J$392,0))&amp;"|"&amp;'Ingest Template'!B235),(INDEX(DropDown!$L$2:$L$392,MATCH('Ingest Template'!E235,DropDown!$J$2:$J$392,0))&amp;"|"&amp;'Ingest Template'!B235)&amp;CHAR(10)&amp;'Ingest Template'!V235)</f>
        <v>#N/A</v>
      </c>
      <c r="X235" s="41" t="str">
        <f>'Ingest Template'!W235</f>
        <v/>
      </c>
      <c r="Y235" s="21" t="str">
        <f>SUBSTITUTE(SUBSTITUTE(SUBSTITUTE('Ingest Template'!X235,"http:",""),"https:",""),"/","")</f>
        <v/>
      </c>
      <c r="Z235" s="21" t="str">
        <f t="array" ref="Z235">IF('Ingest Template'!A235="Standard",(IF(ISBLANK('Ingest Template'!AA235),"", 'Ingest Template'!AA235&amp;"|DAR")),(IF(ISBLANK('Ingest Template'!AA235),"", 'Ingest Template'!AA235&amp;"|Film Ops")))</f>
        <v/>
      </c>
      <c r="AA235" s="21"/>
      <c r="AB235" s="21" t="str">
        <f>'Ingest Template'!M235</f>
        <v/>
      </c>
      <c r="AC235" s="21" t="str">
        <f>'Ingest Template'!Y235</f>
        <v/>
      </c>
      <c r="AD235" s="21" t="str">
        <f>'Ingest Template'!C235</f>
        <v/>
      </c>
      <c r="AE235" s="21" t="str">
        <f>'Ingest Template'!Z235</f>
        <v/>
      </c>
      <c r="AF235" s="29"/>
      <c r="AG235" s="21" t="str">
        <f t="array" ref="AG235">IF('Ingest Template'!A235="Standard",(CONCATENATE(IF(ISBLANK('Ingest Template'!O235),"", 'Ingest Template'!O235&amp;"|DAR"),CHAR(10), IF(ISBLANK('Ingest Template'!P235),"", 'Ingest Template'!P235&amp;"|DAR"),CHAR(10), IF(ISBLANK('Ingest Template'!Q235),"", 'Ingest Template'!Q235&amp;"|DAR"))),(CONCATENATE(IF(ISBLANK('Ingest Template'!O235),"", 'Ingest Template'!O235&amp;"|Operations - Core Title"),CHAR(10), IF(ISBLANK('Ingest Template'!P235),"", 'Ingest Template'!P235&amp;"|Operations - Core Title"),CHAR(10), IF(ISBLANK('Ingest Template'!Q235),"", 'Ingest Template'!Q235&amp;"|Operations - Core Title"))))</f>
        <v>#|Operations - Core Title
#|Operations - Core Title
</v>
      </c>
      <c r="AH235" s="21"/>
      <c r="AI235" s="21"/>
      <c r="AJ235" s="53" t="str">
        <f>if('Ingest Template'!A235="Standard",'Ingest Template'!N235&amp; "|DAR|DAR|2021-01-01",'Ingest Template'!N235&amp; "|Operations - Core Title|Operations - Core Title")</f>
        <v>#N/A</v>
      </c>
      <c r="AK235" s="53" t="str">
        <f>if('Ingest Template'!A235="Standard",'Ingest Template'!R235&amp; "|2021-01-01",'Ingest Template'!R235)</f>
        <v>#N/A</v>
      </c>
      <c r="AL235" s="21"/>
      <c r="AM235" s="21"/>
    </row>
    <row r="236">
      <c r="A236" s="21"/>
      <c r="B236" s="21" t="str">
        <f>'Ingest Template'!B236&amp;IF('Ingest Template'!A236 = "Standard", " - DAR","")</f>
        <v/>
      </c>
      <c r="C236" s="26" t="s">
        <v>109</v>
      </c>
      <c r="D236" s="29" t="str">
        <f t="array" ref="D236">CONCATENATE(INDEX(DropDown!$H$2:$H$10,MATCH(1,COUNTIF('Ingest Template'!F236,"*"&amp;DropDown!$H$2:$H$10&amp;"*"),0)),CHAR(10),'Ingest Template'!G236)</f>
        <v>#N/A</v>
      </c>
      <c r="E236" s="21" t="str">
        <f>CONCATENATE('Ingest Template'!H236,CHAR(10),'Ingest Template'!I236,CHAR(10),'Ingest Template'!J236)</f>
        <v>
</v>
      </c>
      <c r="F236" s="26" t="str">
        <f>'Ingest Template'!H236</f>
        <v/>
      </c>
      <c r="G236" s="21"/>
      <c r="H236" s="29"/>
      <c r="I236" s="21"/>
      <c r="J236" s="29" t="str">
        <f t="array" ref="J236">iF('Ingest Template'!A236="Standard","Pristine Brand",INDEX(DropDown!$M$2:$M$392,MATCH('Ingest Template'!E236,DropDown!$J$2:$J$392,0)))</f>
        <v>#N/A</v>
      </c>
      <c r="K236" s="21" t="str">
        <f>iF('Ingest Template'!A236="Standard",'Ingest Template'!K236&amp;CHAR(10)&amp;'Ingest Template'!L236,"Competitive View")</f>
        <v>Competitive View</v>
      </c>
      <c r="L236" s="29" t="s">
        <v>146</v>
      </c>
      <c r="M236" s="37" t="str">
        <f>'Ingest Template'!D236</f>
        <v/>
      </c>
      <c r="N236" s="21"/>
      <c r="O236" s="21"/>
      <c r="P236" s="21"/>
      <c r="Q236" s="21"/>
      <c r="R236" s="21" t="str">
        <f>'Ingest Template'!E236</f>
        <v/>
      </c>
      <c r="S236" s="29" t="s">
        <v>153</v>
      </c>
      <c r="T236" s="21" t="str">
        <f>'Ingest Template'!T236</f>
        <v/>
      </c>
      <c r="U236" s="21" t="str">
        <f>'Ingest Template'!S236</f>
        <v/>
      </c>
      <c r="V236" s="21" t="str">
        <f>LOWER(SUBSTITUTE(SUBSTITUTE(SUBSTITUTE(SUBSTITUTE(SUBSTITUTE('Ingest Template'!U236,"https:",""),"www.",""),"/",""),"?hl=en",""),"instagram.com",""))</f>
        <v/>
      </c>
      <c r="W236" s="41" t="str">
        <f t="array" ref="W236">IF('Ingest Template'!V236="",(INDEX(DropDown!$L$2:$L$392,MATCH('Ingest Template'!E236,DropDown!$J$2:$J$392,0))&amp;"|"&amp;'Ingest Template'!B236),(INDEX(DropDown!$L$2:$L$392,MATCH('Ingest Template'!E236,DropDown!$J$2:$J$392,0))&amp;"|"&amp;'Ingest Template'!B236)&amp;CHAR(10)&amp;'Ingest Template'!V236)</f>
        <v>#N/A</v>
      </c>
      <c r="X236" s="41" t="str">
        <f>'Ingest Template'!W236</f>
        <v/>
      </c>
      <c r="Y236" s="21" t="str">
        <f>SUBSTITUTE(SUBSTITUTE(SUBSTITUTE('Ingest Template'!X236,"http:",""),"https:",""),"/","")</f>
        <v/>
      </c>
      <c r="Z236" s="21" t="str">
        <f t="array" ref="Z236">IF('Ingest Template'!A236="Standard",(IF(ISBLANK('Ingest Template'!AA236),"", 'Ingest Template'!AA236&amp;"|DAR")),(IF(ISBLANK('Ingest Template'!AA236),"", 'Ingest Template'!AA236&amp;"|Film Ops")))</f>
        <v/>
      </c>
      <c r="AA236" s="21"/>
      <c r="AB236" s="21" t="str">
        <f>'Ingest Template'!M236</f>
        <v/>
      </c>
      <c r="AC236" s="21" t="str">
        <f>'Ingest Template'!Y236</f>
        <v/>
      </c>
      <c r="AD236" s="21" t="str">
        <f>'Ingest Template'!C236</f>
        <v/>
      </c>
      <c r="AE236" s="21" t="str">
        <f>'Ingest Template'!Z236</f>
        <v/>
      </c>
      <c r="AF236" s="29"/>
      <c r="AG236" s="21" t="str">
        <f t="array" ref="AG236">IF('Ingest Template'!A236="Standard",(CONCATENATE(IF(ISBLANK('Ingest Template'!O236),"", 'Ingest Template'!O236&amp;"|DAR"),CHAR(10), IF(ISBLANK('Ingest Template'!P236),"", 'Ingest Template'!P236&amp;"|DAR"),CHAR(10), IF(ISBLANK('Ingest Template'!Q236),"", 'Ingest Template'!Q236&amp;"|DAR"))),(CONCATENATE(IF(ISBLANK('Ingest Template'!O236),"", 'Ingest Template'!O236&amp;"|Operations - Core Title"),CHAR(10), IF(ISBLANK('Ingest Template'!P236),"", 'Ingest Template'!P236&amp;"|Operations - Core Title"),CHAR(10), IF(ISBLANK('Ingest Template'!Q236),"", 'Ingest Template'!Q236&amp;"|Operations - Core Title"))))</f>
        <v>#|Operations - Core Title
#|Operations - Core Title
</v>
      </c>
      <c r="AH236" s="21"/>
      <c r="AI236" s="21"/>
      <c r="AJ236" s="53" t="str">
        <f>if('Ingest Template'!A236="Standard",'Ingest Template'!N236&amp; "|DAR|DAR|2021-01-01",'Ingest Template'!N236&amp; "|Operations - Core Title|Operations - Core Title")</f>
        <v>#N/A</v>
      </c>
      <c r="AK236" s="53" t="str">
        <f>if('Ingest Template'!A236="Standard",'Ingest Template'!R236&amp; "|2021-01-01",'Ingest Template'!R236)</f>
        <v>#N/A</v>
      </c>
      <c r="AL236" s="21"/>
      <c r="AM236" s="21"/>
    </row>
    <row r="237">
      <c r="A237" s="21"/>
      <c r="B237" s="21" t="str">
        <f>'Ingest Template'!B237&amp;IF('Ingest Template'!A237 = "Standard", " - DAR","")</f>
        <v/>
      </c>
      <c r="C237" s="26" t="s">
        <v>109</v>
      </c>
      <c r="D237" s="29" t="str">
        <f t="array" ref="D237">CONCATENATE(INDEX(DropDown!$H$2:$H$10,MATCH(1,COUNTIF('Ingest Template'!F237,"*"&amp;DropDown!$H$2:$H$10&amp;"*"),0)),CHAR(10),'Ingest Template'!G237)</f>
        <v>#N/A</v>
      </c>
      <c r="E237" s="21" t="str">
        <f>CONCATENATE('Ingest Template'!H237,CHAR(10),'Ingest Template'!I237,CHAR(10),'Ingest Template'!J237)</f>
        <v>
</v>
      </c>
      <c r="F237" s="26" t="str">
        <f>'Ingest Template'!H237</f>
        <v/>
      </c>
      <c r="G237" s="21"/>
      <c r="H237" s="29"/>
      <c r="I237" s="21"/>
      <c r="J237" s="29" t="str">
        <f t="array" ref="J237">iF('Ingest Template'!A237="Standard","Pristine Brand",INDEX(DropDown!$M$2:$M$392,MATCH('Ingest Template'!E237,DropDown!$J$2:$J$392,0)))</f>
        <v>#N/A</v>
      </c>
      <c r="K237" s="21" t="str">
        <f>iF('Ingest Template'!A237="Standard",'Ingest Template'!K237&amp;CHAR(10)&amp;'Ingest Template'!L237,"Competitive View")</f>
        <v>Competitive View</v>
      </c>
      <c r="L237" s="29" t="s">
        <v>146</v>
      </c>
      <c r="M237" s="37" t="str">
        <f>'Ingest Template'!D237</f>
        <v/>
      </c>
      <c r="N237" s="21"/>
      <c r="O237" s="21"/>
      <c r="P237" s="21"/>
      <c r="Q237" s="21"/>
      <c r="R237" s="21" t="str">
        <f>'Ingest Template'!E237</f>
        <v/>
      </c>
      <c r="S237" s="29" t="s">
        <v>153</v>
      </c>
      <c r="T237" s="21" t="str">
        <f>'Ingest Template'!T237</f>
        <v/>
      </c>
      <c r="U237" s="21" t="str">
        <f>'Ingest Template'!S237</f>
        <v/>
      </c>
      <c r="V237" s="21" t="str">
        <f>LOWER(SUBSTITUTE(SUBSTITUTE(SUBSTITUTE(SUBSTITUTE(SUBSTITUTE('Ingest Template'!U237,"https:",""),"www.",""),"/",""),"?hl=en",""),"instagram.com",""))</f>
        <v/>
      </c>
      <c r="W237" s="41" t="str">
        <f t="array" ref="W237">IF('Ingest Template'!V237="",(INDEX(DropDown!$L$2:$L$392,MATCH('Ingest Template'!E237,DropDown!$J$2:$J$392,0))&amp;"|"&amp;'Ingest Template'!B237),(INDEX(DropDown!$L$2:$L$392,MATCH('Ingest Template'!E237,DropDown!$J$2:$J$392,0))&amp;"|"&amp;'Ingest Template'!B237)&amp;CHAR(10)&amp;'Ingest Template'!V237)</f>
        <v>#N/A</v>
      </c>
      <c r="X237" s="41" t="str">
        <f>'Ingest Template'!W237</f>
        <v/>
      </c>
      <c r="Y237" s="21" t="str">
        <f>SUBSTITUTE(SUBSTITUTE(SUBSTITUTE('Ingest Template'!X237,"http:",""),"https:",""),"/","")</f>
        <v/>
      </c>
      <c r="Z237" s="21" t="str">
        <f t="array" ref="Z237">IF('Ingest Template'!A237="Standard",(IF(ISBLANK('Ingest Template'!AA237),"", 'Ingest Template'!AA237&amp;"|DAR")),(IF(ISBLANK('Ingest Template'!AA237),"", 'Ingest Template'!AA237&amp;"|Film Ops")))</f>
        <v/>
      </c>
      <c r="AA237" s="21"/>
      <c r="AB237" s="21" t="str">
        <f>'Ingest Template'!M237</f>
        <v/>
      </c>
      <c r="AC237" s="21" t="str">
        <f>'Ingest Template'!Y237</f>
        <v/>
      </c>
      <c r="AD237" s="21" t="str">
        <f>'Ingest Template'!C237</f>
        <v/>
      </c>
      <c r="AE237" s="21" t="str">
        <f>'Ingest Template'!Z237</f>
        <v/>
      </c>
      <c r="AF237" s="29"/>
      <c r="AG237" s="21" t="str">
        <f t="array" ref="AG237">IF('Ingest Template'!A237="Standard",(CONCATENATE(IF(ISBLANK('Ingest Template'!O237),"", 'Ingest Template'!O237&amp;"|DAR"),CHAR(10), IF(ISBLANK('Ingest Template'!P237),"", 'Ingest Template'!P237&amp;"|DAR"),CHAR(10), IF(ISBLANK('Ingest Template'!Q237),"", 'Ingest Template'!Q237&amp;"|DAR"))),(CONCATENATE(IF(ISBLANK('Ingest Template'!O237),"", 'Ingest Template'!O237&amp;"|Operations - Core Title"),CHAR(10), IF(ISBLANK('Ingest Template'!P237),"", 'Ingest Template'!P237&amp;"|Operations - Core Title"),CHAR(10), IF(ISBLANK('Ingest Template'!Q237),"", 'Ingest Template'!Q237&amp;"|Operations - Core Title"))))</f>
        <v>#|Operations - Core Title
#|Operations - Core Title
</v>
      </c>
      <c r="AH237" s="21"/>
      <c r="AI237" s="21"/>
      <c r="AJ237" s="53" t="str">
        <f>if('Ingest Template'!A237="Standard",'Ingest Template'!N237&amp; "|DAR|DAR|2021-01-01",'Ingest Template'!N237&amp; "|Operations - Core Title|Operations - Core Title")</f>
        <v>#N/A</v>
      </c>
      <c r="AK237" s="53" t="str">
        <f>if('Ingest Template'!A237="Standard",'Ingest Template'!R237&amp; "|2021-01-01",'Ingest Template'!R237)</f>
        <v>#N/A</v>
      </c>
      <c r="AL237" s="21"/>
      <c r="AM237" s="21"/>
    </row>
    <row r="238">
      <c r="A238" s="21"/>
      <c r="B238" s="21" t="str">
        <f>'Ingest Template'!B238&amp;IF('Ingest Template'!A238 = "Standard", " - DAR","")</f>
        <v/>
      </c>
      <c r="C238" s="26" t="s">
        <v>109</v>
      </c>
      <c r="D238" s="29" t="str">
        <f t="array" ref="D238">CONCATENATE(INDEX(DropDown!$H$2:$H$10,MATCH(1,COUNTIF('Ingest Template'!F238,"*"&amp;DropDown!$H$2:$H$10&amp;"*"),0)),CHAR(10),'Ingest Template'!G238)</f>
        <v>#N/A</v>
      </c>
      <c r="E238" s="21" t="str">
        <f>CONCATENATE('Ingest Template'!H238,CHAR(10),'Ingest Template'!I238,CHAR(10),'Ingest Template'!J238)</f>
        <v>
</v>
      </c>
      <c r="F238" s="26" t="str">
        <f>'Ingest Template'!H238</f>
        <v/>
      </c>
      <c r="G238" s="21"/>
      <c r="H238" s="29"/>
      <c r="I238" s="21"/>
      <c r="J238" s="29" t="str">
        <f t="array" ref="J238">iF('Ingest Template'!A238="Standard","Pristine Brand",INDEX(DropDown!$M$2:$M$392,MATCH('Ingest Template'!E238,DropDown!$J$2:$J$392,0)))</f>
        <v>#N/A</v>
      </c>
      <c r="K238" s="21" t="str">
        <f>iF('Ingest Template'!A238="Standard",'Ingest Template'!K238&amp;CHAR(10)&amp;'Ingest Template'!L238,"Competitive View")</f>
        <v>Competitive View</v>
      </c>
      <c r="L238" s="29" t="s">
        <v>146</v>
      </c>
      <c r="M238" s="37" t="str">
        <f>'Ingest Template'!D238</f>
        <v/>
      </c>
      <c r="N238" s="21"/>
      <c r="O238" s="21"/>
      <c r="P238" s="21"/>
      <c r="Q238" s="21"/>
      <c r="R238" s="21" t="str">
        <f>'Ingest Template'!E238</f>
        <v/>
      </c>
      <c r="S238" s="29" t="s">
        <v>153</v>
      </c>
      <c r="T238" s="21" t="str">
        <f>'Ingest Template'!T238</f>
        <v/>
      </c>
      <c r="U238" s="21" t="str">
        <f>'Ingest Template'!S238</f>
        <v/>
      </c>
      <c r="V238" s="21" t="str">
        <f>LOWER(SUBSTITUTE(SUBSTITUTE(SUBSTITUTE(SUBSTITUTE(SUBSTITUTE('Ingest Template'!U238,"https:",""),"www.",""),"/",""),"?hl=en",""),"instagram.com",""))</f>
        <v/>
      </c>
      <c r="W238" s="41" t="str">
        <f t="array" ref="W238">IF('Ingest Template'!V238="",(INDEX(DropDown!$L$2:$L$392,MATCH('Ingest Template'!E238,DropDown!$J$2:$J$392,0))&amp;"|"&amp;'Ingest Template'!B238),(INDEX(DropDown!$L$2:$L$392,MATCH('Ingest Template'!E238,DropDown!$J$2:$J$392,0))&amp;"|"&amp;'Ingest Template'!B238)&amp;CHAR(10)&amp;'Ingest Template'!V238)</f>
        <v>#N/A</v>
      </c>
      <c r="X238" s="41" t="str">
        <f>'Ingest Template'!W238</f>
        <v/>
      </c>
      <c r="Y238" s="21" t="str">
        <f>SUBSTITUTE(SUBSTITUTE(SUBSTITUTE('Ingest Template'!X238,"http:",""),"https:",""),"/","")</f>
        <v/>
      </c>
      <c r="Z238" s="21" t="str">
        <f t="array" ref="Z238">IF('Ingest Template'!A238="Standard",(IF(ISBLANK('Ingest Template'!AA238),"", 'Ingest Template'!AA238&amp;"|DAR")),(IF(ISBLANK('Ingest Template'!AA238),"", 'Ingest Template'!AA238&amp;"|Film Ops")))</f>
        <v/>
      </c>
      <c r="AA238" s="21"/>
      <c r="AB238" s="21" t="str">
        <f>'Ingest Template'!M238</f>
        <v/>
      </c>
      <c r="AC238" s="21" t="str">
        <f>'Ingest Template'!Y238</f>
        <v/>
      </c>
      <c r="AD238" s="21" t="str">
        <f>'Ingest Template'!C238</f>
        <v/>
      </c>
      <c r="AE238" s="21" t="str">
        <f>'Ingest Template'!Z238</f>
        <v/>
      </c>
      <c r="AF238" s="29"/>
      <c r="AG238" s="21" t="str">
        <f t="array" ref="AG238">IF('Ingest Template'!A238="Standard",(CONCATENATE(IF(ISBLANK('Ingest Template'!O238),"", 'Ingest Template'!O238&amp;"|DAR"),CHAR(10), IF(ISBLANK('Ingest Template'!P238),"", 'Ingest Template'!P238&amp;"|DAR"),CHAR(10), IF(ISBLANK('Ingest Template'!Q238),"", 'Ingest Template'!Q238&amp;"|DAR"))),(CONCATENATE(IF(ISBLANK('Ingest Template'!O238),"", 'Ingest Template'!O238&amp;"|Operations - Core Title"),CHAR(10), IF(ISBLANK('Ingest Template'!P238),"", 'Ingest Template'!P238&amp;"|Operations - Core Title"),CHAR(10), IF(ISBLANK('Ingest Template'!Q238),"", 'Ingest Template'!Q238&amp;"|Operations - Core Title"))))</f>
        <v>#|Operations - Core Title
#|Operations - Core Title
</v>
      </c>
      <c r="AH238" s="21"/>
      <c r="AI238" s="21"/>
      <c r="AJ238" s="53" t="str">
        <f>if('Ingest Template'!A238="Standard",'Ingest Template'!N238&amp; "|DAR|DAR|2021-01-01",'Ingest Template'!N238&amp; "|Operations - Core Title|Operations - Core Title")</f>
        <v>#N/A</v>
      </c>
      <c r="AK238" s="53" t="str">
        <f>if('Ingest Template'!A238="Standard",'Ingest Template'!R238&amp; "|2021-01-01",'Ingest Template'!R238)</f>
        <v>#N/A</v>
      </c>
      <c r="AL238" s="21"/>
      <c r="AM238" s="21"/>
    </row>
    <row r="239">
      <c r="A239" s="21"/>
      <c r="B239" s="21" t="str">
        <f>'Ingest Template'!B239&amp;IF('Ingest Template'!A239 = "Standard", " - DAR","")</f>
        <v/>
      </c>
      <c r="C239" s="26" t="s">
        <v>109</v>
      </c>
      <c r="D239" s="29" t="str">
        <f t="array" ref="D239">CONCATENATE(INDEX(DropDown!$H$2:$H$10,MATCH(1,COUNTIF('Ingest Template'!F239,"*"&amp;DropDown!$H$2:$H$10&amp;"*"),0)),CHAR(10),'Ingest Template'!G239)</f>
        <v>#N/A</v>
      </c>
      <c r="E239" s="21" t="str">
        <f>CONCATENATE('Ingest Template'!H239,CHAR(10),'Ingest Template'!I239,CHAR(10),'Ingest Template'!J239)</f>
        <v>
</v>
      </c>
      <c r="F239" s="26" t="str">
        <f>'Ingest Template'!H239</f>
        <v/>
      </c>
      <c r="G239" s="21"/>
      <c r="H239" s="29"/>
      <c r="I239" s="21"/>
      <c r="J239" s="29" t="str">
        <f t="array" ref="J239">iF('Ingest Template'!A239="Standard","Pristine Brand",INDEX(DropDown!$M$2:$M$392,MATCH('Ingest Template'!E239,DropDown!$J$2:$J$392,0)))</f>
        <v>#N/A</v>
      </c>
      <c r="K239" s="21" t="str">
        <f>iF('Ingest Template'!A239="Standard",'Ingest Template'!K239&amp;CHAR(10)&amp;'Ingest Template'!L239,"Competitive View")</f>
        <v>Competitive View</v>
      </c>
      <c r="L239" s="29" t="s">
        <v>146</v>
      </c>
      <c r="M239" s="37" t="str">
        <f>'Ingest Template'!D239</f>
        <v/>
      </c>
      <c r="N239" s="21"/>
      <c r="O239" s="21"/>
      <c r="P239" s="21"/>
      <c r="Q239" s="21"/>
      <c r="R239" s="21" t="str">
        <f>'Ingest Template'!E239</f>
        <v/>
      </c>
      <c r="S239" s="29" t="s">
        <v>153</v>
      </c>
      <c r="T239" s="21" t="str">
        <f>'Ingest Template'!T239</f>
        <v/>
      </c>
      <c r="U239" s="21" t="str">
        <f>'Ingest Template'!S239</f>
        <v/>
      </c>
      <c r="V239" s="21" t="str">
        <f>LOWER(SUBSTITUTE(SUBSTITUTE(SUBSTITUTE(SUBSTITUTE(SUBSTITUTE('Ingest Template'!U239,"https:",""),"www.",""),"/",""),"?hl=en",""),"instagram.com",""))</f>
        <v/>
      </c>
      <c r="W239" s="41" t="str">
        <f t="array" ref="W239">IF('Ingest Template'!V239="",(INDEX(DropDown!$L$2:$L$392,MATCH('Ingest Template'!E239,DropDown!$J$2:$J$392,0))&amp;"|"&amp;'Ingest Template'!B239),(INDEX(DropDown!$L$2:$L$392,MATCH('Ingest Template'!E239,DropDown!$J$2:$J$392,0))&amp;"|"&amp;'Ingest Template'!B239)&amp;CHAR(10)&amp;'Ingest Template'!V239)</f>
        <v>#N/A</v>
      </c>
      <c r="X239" s="41" t="str">
        <f>'Ingest Template'!W239</f>
        <v/>
      </c>
      <c r="Y239" s="21" t="str">
        <f>SUBSTITUTE(SUBSTITUTE(SUBSTITUTE('Ingest Template'!X239,"http:",""),"https:",""),"/","")</f>
        <v/>
      </c>
      <c r="Z239" s="21" t="str">
        <f t="array" ref="Z239">IF('Ingest Template'!A239="Standard",(IF(ISBLANK('Ingest Template'!AA239),"", 'Ingest Template'!AA239&amp;"|DAR")),(IF(ISBLANK('Ingest Template'!AA239),"", 'Ingest Template'!AA239&amp;"|Film Ops")))</f>
        <v/>
      </c>
      <c r="AA239" s="21"/>
      <c r="AB239" s="21" t="str">
        <f>'Ingest Template'!M239</f>
        <v/>
      </c>
      <c r="AC239" s="21" t="str">
        <f>'Ingest Template'!Y239</f>
        <v/>
      </c>
      <c r="AD239" s="21" t="str">
        <f>'Ingest Template'!C239</f>
        <v/>
      </c>
      <c r="AE239" s="21" t="str">
        <f>'Ingest Template'!Z239</f>
        <v/>
      </c>
      <c r="AF239" s="29"/>
      <c r="AG239" s="21" t="str">
        <f t="array" ref="AG239">IF('Ingest Template'!A239="Standard",(CONCATENATE(IF(ISBLANK('Ingest Template'!O239),"", 'Ingest Template'!O239&amp;"|DAR"),CHAR(10), IF(ISBLANK('Ingest Template'!P239),"", 'Ingest Template'!P239&amp;"|DAR"),CHAR(10), IF(ISBLANK('Ingest Template'!Q239),"", 'Ingest Template'!Q239&amp;"|DAR"))),(CONCATENATE(IF(ISBLANK('Ingest Template'!O239),"", 'Ingest Template'!O239&amp;"|Operations - Core Title"),CHAR(10), IF(ISBLANK('Ingest Template'!P239),"", 'Ingest Template'!P239&amp;"|Operations - Core Title"),CHAR(10), IF(ISBLANK('Ingest Template'!Q239),"", 'Ingest Template'!Q239&amp;"|Operations - Core Title"))))</f>
        <v>#|Operations - Core Title
#|Operations - Core Title
</v>
      </c>
      <c r="AH239" s="21"/>
      <c r="AI239" s="21"/>
      <c r="AJ239" s="53" t="str">
        <f>if('Ingest Template'!A239="Standard",'Ingest Template'!N239&amp; "|DAR|DAR|2021-01-01",'Ingest Template'!N239&amp; "|Operations - Core Title|Operations - Core Title")</f>
        <v>#N/A</v>
      </c>
      <c r="AK239" s="53" t="str">
        <f>if('Ingest Template'!A239="Standard",'Ingest Template'!R239&amp; "|2021-01-01",'Ingest Template'!R239)</f>
        <v>#N/A</v>
      </c>
      <c r="AL239" s="21"/>
      <c r="AM239" s="21"/>
    </row>
    <row r="240">
      <c r="A240" s="21"/>
      <c r="B240" s="21" t="str">
        <f>'Ingest Template'!B240&amp;IF('Ingest Template'!A240 = "Standard", " - DAR","")</f>
        <v/>
      </c>
      <c r="C240" s="26" t="s">
        <v>109</v>
      </c>
      <c r="D240" s="29" t="str">
        <f t="array" ref="D240">CONCATENATE(INDEX(DropDown!$H$2:$H$10,MATCH(1,COUNTIF('Ingest Template'!F240,"*"&amp;DropDown!$H$2:$H$10&amp;"*"),0)),CHAR(10),'Ingest Template'!G240)</f>
        <v>#N/A</v>
      </c>
      <c r="E240" s="21" t="str">
        <f>CONCATENATE('Ingest Template'!H240,CHAR(10),'Ingest Template'!I240,CHAR(10),'Ingest Template'!J240)</f>
        <v>
</v>
      </c>
      <c r="F240" s="26" t="str">
        <f>'Ingest Template'!H240</f>
        <v/>
      </c>
      <c r="G240" s="21"/>
      <c r="H240" s="29"/>
      <c r="I240" s="21"/>
      <c r="J240" s="29" t="str">
        <f t="array" ref="J240">iF('Ingest Template'!A240="Standard","Pristine Brand",INDEX(DropDown!$M$2:$M$392,MATCH('Ingest Template'!E240,DropDown!$J$2:$J$392,0)))</f>
        <v>#N/A</v>
      </c>
      <c r="K240" s="21" t="str">
        <f>iF('Ingest Template'!A240="Standard",'Ingest Template'!K240&amp;CHAR(10)&amp;'Ingest Template'!L240,"Competitive View")</f>
        <v>Competitive View</v>
      </c>
      <c r="L240" s="29" t="s">
        <v>146</v>
      </c>
      <c r="M240" s="37" t="str">
        <f>'Ingest Template'!D240</f>
        <v/>
      </c>
      <c r="N240" s="21"/>
      <c r="O240" s="21"/>
      <c r="P240" s="21"/>
      <c r="Q240" s="21"/>
      <c r="R240" s="21" t="str">
        <f>'Ingest Template'!E240</f>
        <v/>
      </c>
      <c r="S240" s="29" t="s">
        <v>153</v>
      </c>
      <c r="T240" s="21" t="str">
        <f>'Ingest Template'!T240</f>
        <v/>
      </c>
      <c r="U240" s="21" t="str">
        <f>'Ingest Template'!S240</f>
        <v/>
      </c>
      <c r="V240" s="21" t="str">
        <f>LOWER(SUBSTITUTE(SUBSTITUTE(SUBSTITUTE(SUBSTITUTE(SUBSTITUTE('Ingest Template'!U240,"https:",""),"www.",""),"/",""),"?hl=en",""),"instagram.com",""))</f>
        <v/>
      </c>
      <c r="W240" s="41" t="str">
        <f t="array" ref="W240">IF('Ingest Template'!V240="",(INDEX(DropDown!$L$2:$L$392,MATCH('Ingest Template'!E240,DropDown!$J$2:$J$392,0))&amp;"|"&amp;'Ingest Template'!B240),(INDEX(DropDown!$L$2:$L$392,MATCH('Ingest Template'!E240,DropDown!$J$2:$J$392,0))&amp;"|"&amp;'Ingest Template'!B240)&amp;CHAR(10)&amp;'Ingest Template'!V240)</f>
        <v>#N/A</v>
      </c>
      <c r="X240" s="41" t="str">
        <f>'Ingest Template'!W240</f>
        <v/>
      </c>
      <c r="Y240" s="21" t="str">
        <f>SUBSTITUTE(SUBSTITUTE(SUBSTITUTE('Ingest Template'!X240,"http:",""),"https:",""),"/","")</f>
        <v/>
      </c>
      <c r="Z240" s="21" t="str">
        <f t="array" ref="Z240">IF('Ingest Template'!A240="Standard",(IF(ISBLANK('Ingest Template'!AA240),"", 'Ingest Template'!AA240&amp;"|DAR")),(IF(ISBLANK('Ingest Template'!AA240),"", 'Ingest Template'!AA240&amp;"|Film Ops")))</f>
        <v/>
      </c>
      <c r="AA240" s="21"/>
      <c r="AB240" s="21" t="str">
        <f>'Ingest Template'!M240</f>
        <v/>
      </c>
      <c r="AC240" s="21" t="str">
        <f>'Ingest Template'!Y240</f>
        <v/>
      </c>
      <c r="AD240" s="21" t="str">
        <f>'Ingest Template'!C240</f>
        <v/>
      </c>
      <c r="AE240" s="21" t="str">
        <f>'Ingest Template'!Z240</f>
        <v/>
      </c>
      <c r="AF240" s="29"/>
      <c r="AG240" s="21" t="str">
        <f t="array" ref="AG240">IF('Ingest Template'!A240="Standard",(CONCATENATE(IF(ISBLANK('Ingest Template'!O240),"", 'Ingest Template'!O240&amp;"|DAR"),CHAR(10), IF(ISBLANK('Ingest Template'!P240),"", 'Ingest Template'!P240&amp;"|DAR"),CHAR(10), IF(ISBLANK('Ingest Template'!Q240),"", 'Ingest Template'!Q240&amp;"|DAR"))),(CONCATENATE(IF(ISBLANK('Ingest Template'!O240),"", 'Ingest Template'!O240&amp;"|Operations - Core Title"),CHAR(10), IF(ISBLANK('Ingest Template'!P240),"", 'Ingest Template'!P240&amp;"|Operations - Core Title"),CHAR(10), IF(ISBLANK('Ingest Template'!Q240),"", 'Ingest Template'!Q240&amp;"|Operations - Core Title"))))</f>
        <v>#|Operations - Core Title
#|Operations - Core Title
</v>
      </c>
      <c r="AH240" s="21"/>
      <c r="AI240" s="21"/>
      <c r="AJ240" s="53" t="str">
        <f>if('Ingest Template'!A240="Standard",'Ingest Template'!N240&amp; "|DAR|DAR|2021-01-01",'Ingest Template'!N240&amp; "|Operations - Core Title|Operations - Core Title")</f>
        <v>#N/A</v>
      </c>
      <c r="AK240" s="53" t="str">
        <f>if('Ingest Template'!A240="Standard",'Ingest Template'!R240&amp; "|2021-01-01",'Ingest Template'!R240)</f>
        <v>#N/A</v>
      </c>
      <c r="AL240" s="21"/>
      <c r="AM240" s="21"/>
    </row>
    <row r="241">
      <c r="A241" s="21"/>
      <c r="B241" s="21" t="str">
        <f>'Ingest Template'!B241&amp;IF('Ingest Template'!A241 = "Standard", " - DAR","")</f>
        <v/>
      </c>
      <c r="C241" s="26" t="s">
        <v>109</v>
      </c>
      <c r="D241" s="29" t="str">
        <f t="array" ref="D241">CONCATENATE(INDEX(DropDown!$H$2:$H$10,MATCH(1,COUNTIF('Ingest Template'!F241,"*"&amp;DropDown!$H$2:$H$10&amp;"*"),0)),CHAR(10),'Ingest Template'!G241)</f>
        <v>#N/A</v>
      </c>
      <c r="E241" s="21" t="str">
        <f>CONCATENATE('Ingest Template'!H241,CHAR(10),'Ingest Template'!I241,CHAR(10),'Ingest Template'!J241)</f>
        <v>
</v>
      </c>
      <c r="F241" s="26" t="str">
        <f>'Ingest Template'!H241</f>
        <v/>
      </c>
      <c r="G241" s="21"/>
      <c r="H241" s="29"/>
      <c r="I241" s="21"/>
      <c r="J241" s="29" t="str">
        <f t="array" ref="J241">iF('Ingest Template'!A241="Standard","Pristine Brand",INDEX(DropDown!$M$2:$M$392,MATCH('Ingest Template'!E241,DropDown!$J$2:$J$392,0)))</f>
        <v>#N/A</v>
      </c>
      <c r="K241" s="21" t="str">
        <f>iF('Ingest Template'!A241="Standard",'Ingest Template'!K241&amp;CHAR(10)&amp;'Ingest Template'!L241,"Competitive View")</f>
        <v>Competitive View</v>
      </c>
      <c r="L241" s="29" t="s">
        <v>146</v>
      </c>
      <c r="M241" s="37" t="str">
        <f>'Ingest Template'!D241</f>
        <v/>
      </c>
      <c r="N241" s="21"/>
      <c r="O241" s="21"/>
      <c r="P241" s="21"/>
      <c r="Q241" s="21"/>
      <c r="R241" s="21" t="str">
        <f>'Ingest Template'!E241</f>
        <v/>
      </c>
      <c r="S241" s="29" t="s">
        <v>153</v>
      </c>
      <c r="T241" s="21" t="str">
        <f>'Ingest Template'!T241</f>
        <v/>
      </c>
      <c r="U241" s="21" t="str">
        <f>'Ingest Template'!S241</f>
        <v/>
      </c>
      <c r="V241" s="21" t="str">
        <f>LOWER(SUBSTITUTE(SUBSTITUTE(SUBSTITUTE(SUBSTITUTE(SUBSTITUTE('Ingest Template'!U241,"https:",""),"www.",""),"/",""),"?hl=en",""),"instagram.com",""))</f>
        <v/>
      </c>
      <c r="W241" s="41" t="str">
        <f t="array" ref="W241">IF('Ingest Template'!V241="",(INDEX(DropDown!$L$2:$L$392,MATCH('Ingest Template'!E241,DropDown!$J$2:$J$392,0))&amp;"|"&amp;'Ingest Template'!B241),(INDEX(DropDown!$L$2:$L$392,MATCH('Ingest Template'!E241,DropDown!$J$2:$J$392,0))&amp;"|"&amp;'Ingest Template'!B241)&amp;CHAR(10)&amp;'Ingest Template'!V241)</f>
        <v>#N/A</v>
      </c>
      <c r="X241" s="41" t="str">
        <f>'Ingest Template'!W241</f>
        <v/>
      </c>
      <c r="Y241" s="21" t="str">
        <f>SUBSTITUTE(SUBSTITUTE(SUBSTITUTE('Ingest Template'!X241,"http:",""),"https:",""),"/","")</f>
        <v/>
      </c>
      <c r="Z241" s="21" t="str">
        <f t="array" ref="Z241">IF('Ingest Template'!A241="Standard",(IF(ISBLANK('Ingest Template'!AA241),"", 'Ingest Template'!AA241&amp;"|DAR")),(IF(ISBLANK('Ingest Template'!AA241),"", 'Ingest Template'!AA241&amp;"|Film Ops")))</f>
        <v/>
      </c>
      <c r="AA241" s="21"/>
      <c r="AB241" s="21" t="str">
        <f>'Ingest Template'!M241</f>
        <v/>
      </c>
      <c r="AC241" s="21" t="str">
        <f>'Ingest Template'!Y241</f>
        <v/>
      </c>
      <c r="AD241" s="21" t="str">
        <f>'Ingest Template'!C241</f>
        <v/>
      </c>
      <c r="AE241" s="21" t="str">
        <f>'Ingest Template'!Z241</f>
        <v/>
      </c>
      <c r="AF241" s="29"/>
      <c r="AG241" s="21" t="str">
        <f t="array" ref="AG241">IF('Ingest Template'!A241="Standard",(CONCATENATE(IF(ISBLANK('Ingest Template'!O241),"", 'Ingest Template'!O241&amp;"|DAR"),CHAR(10), IF(ISBLANK('Ingest Template'!P241),"", 'Ingest Template'!P241&amp;"|DAR"),CHAR(10), IF(ISBLANK('Ingest Template'!Q241),"", 'Ingest Template'!Q241&amp;"|DAR"))),(CONCATENATE(IF(ISBLANK('Ingest Template'!O241),"", 'Ingest Template'!O241&amp;"|Operations - Core Title"),CHAR(10), IF(ISBLANK('Ingest Template'!P241),"", 'Ingest Template'!P241&amp;"|Operations - Core Title"),CHAR(10), IF(ISBLANK('Ingest Template'!Q241),"", 'Ingest Template'!Q241&amp;"|Operations - Core Title"))))</f>
        <v>#|Operations - Core Title
#|Operations - Core Title
</v>
      </c>
      <c r="AH241" s="21"/>
      <c r="AI241" s="21"/>
      <c r="AJ241" s="53" t="str">
        <f>if('Ingest Template'!A241="Standard",'Ingest Template'!N241&amp; "|DAR|DAR|2021-01-01",'Ingest Template'!N241&amp; "|Operations - Core Title|Operations - Core Title")</f>
        <v>#N/A</v>
      </c>
      <c r="AK241" s="53" t="str">
        <f>if('Ingest Template'!A241="Standard",'Ingest Template'!R241&amp; "|2021-01-01",'Ingest Template'!R241)</f>
        <v>#N/A</v>
      </c>
      <c r="AL241" s="21"/>
      <c r="AM241" s="21"/>
    </row>
    <row r="242">
      <c r="A242" s="21"/>
      <c r="B242" s="21" t="str">
        <f>'Ingest Template'!B242&amp;IF('Ingest Template'!A242 = "Standard", " - DAR","")</f>
        <v/>
      </c>
      <c r="C242" s="26" t="s">
        <v>109</v>
      </c>
      <c r="D242" s="29" t="str">
        <f t="array" ref="D242">CONCATENATE(INDEX(DropDown!$H$2:$H$10,MATCH(1,COUNTIF('Ingest Template'!F242,"*"&amp;DropDown!$H$2:$H$10&amp;"*"),0)),CHAR(10),'Ingest Template'!G242)</f>
        <v>#N/A</v>
      </c>
      <c r="E242" s="21" t="str">
        <f>CONCATENATE('Ingest Template'!H242,CHAR(10),'Ingest Template'!I242,CHAR(10),'Ingest Template'!J242)</f>
        <v>
</v>
      </c>
      <c r="F242" s="26" t="str">
        <f>'Ingest Template'!H242</f>
        <v/>
      </c>
      <c r="G242" s="21"/>
      <c r="H242" s="29"/>
      <c r="I242" s="21"/>
      <c r="J242" s="29" t="str">
        <f t="array" ref="J242">iF('Ingest Template'!A242="Standard","Pristine Brand",INDEX(DropDown!$M$2:$M$392,MATCH('Ingest Template'!E242,DropDown!$J$2:$J$392,0)))</f>
        <v>#N/A</v>
      </c>
      <c r="K242" s="21" t="str">
        <f>iF('Ingest Template'!A242="Standard",'Ingest Template'!K242&amp;CHAR(10)&amp;'Ingest Template'!L242,"Competitive View")</f>
        <v>Competitive View</v>
      </c>
      <c r="L242" s="29" t="s">
        <v>146</v>
      </c>
      <c r="M242" s="37" t="str">
        <f>'Ingest Template'!D242</f>
        <v/>
      </c>
      <c r="N242" s="21"/>
      <c r="O242" s="21"/>
      <c r="P242" s="21"/>
      <c r="Q242" s="21"/>
      <c r="R242" s="21" t="str">
        <f>'Ingest Template'!E242</f>
        <v/>
      </c>
      <c r="S242" s="29" t="s">
        <v>153</v>
      </c>
      <c r="T242" s="21" t="str">
        <f>'Ingest Template'!T242</f>
        <v/>
      </c>
      <c r="U242" s="21" t="str">
        <f>'Ingest Template'!S242</f>
        <v/>
      </c>
      <c r="V242" s="21" t="str">
        <f>LOWER(SUBSTITUTE(SUBSTITUTE(SUBSTITUTE(SUBSTITUTE(SUBSTITUTE('Ingest Template'!U242,"https:",""),"www.",""),"/",""),"?hl=en",""),"instagram.com",""))</f>
        <v/>
      </c>
      <c r="W242" s="41" t="str">
        <f t="array" ref="W242">IF('Ingest Template'!V242="",(INDEX(DropDown!$L$2:$L$392,MATCH('Ingest Template'!E242,DropDown!$J$2:$J$392,0))&amp;"|"&amp;'Ingest Template'!B242),(INDEX(DropDown!$L$2:$L$392,MATCH('Ingest Template'!E242,DropDown!$J$2:$J$392,0))&amp;"|"&amp;'Ingest Template'!B242)&amp;CHAR(10)&amp;'Ingest Template'!V242)</f>
        <v>#N/A</v>
      </c>
      <c r="X242" s="41" t="str">
        <f>'Ingest Template'!W242</f>
        <v/>
      </c>
      <c r="Y242" s="21" t="str">
        <f>SUBSTITUTE(SUBSTITUTE(SUBSTITUTE('Ingest Template'!X242,"http:",""),"https:",""),"/","")</f>
        <v/>
      </c>
      <c r="Z242" s="21" t="str">
        <f t="array" ref="Z242">IF('Ingest Template'!A242="Standard",(IF(ISBLANK('Ingest Template'!AA242),"", 'Ingest Template'!AA242&amp;"|DAR")),(IF(ISBLANK('Ingest Template'!AA242),"", 'Ingest Template'!AA242&amp;"|Film Ops")))</f>
        <v/>
      </c>
      <c r="AA242" s="21"/>
      <c r="AB242" s="21" t="str">
        <f>'Ingest Template'!M242</f>
        <v/>
      </c>
      <c r="AC242" s="21" t="str">
        <f>'Ingest Template'!Y242</f>
        <v/>
      </c>
      <c r="AD242" s="21" t="str">
        <f>'Ingest Template'!C242</f>
        <v/>
      </c>
      <c r="AE242" s="21" t="str">
        <f>'Ingest Template'!Z242</f>
        <v/>
      </c>
      <c r="AF242" s="29"/>
      <c r="AG242" s="21" t="str">
        <f t="array" ref="AG242">IF('Ingest Template'!A242="Standard",(CONCATENATE(IF(ISBLANK('Ingest Template'!O242),"", 'Ingest Template'!O242&amp;"|DAR"),CHAR(10), IF(ISBLANK('Ingest Template'!P242),"", 'Ingest Template'!P242&amp;"|DAR"),CHAR(10), IF(ISBLANK('Ingest Template'!Q242),"", 'Ingest Template'!Q242&amp;"|DAR"))),(CONCATENATE(IF(ISBLANK('Ingest Template'!O242),"", 'Ingest Template'!O242&amp;"|Operations - Core Title"),CHAR(10), IF(ISBLANK('Ingest Template'!P242),"", 'Ingest Template'!P242&amp;"|Operations - Core Title"),CHAR(10), IF(ISBLANK('Ingest Template'!Q242),"", 'Ingest Template'!Q242&amp;"|Operations - Core Title"))))</f>
        <v>#|Operations - Core Title
#|Operations - Core Title
</v>
      </c>
      <c r="AH242" s="21"/>
      <c r="AI242" s="21"/>
      <c r="AJ242" s="53" t="str">
        <f>if('Ingest Template'!A242="Standard",'Ingest Template'!N242&amp; "|DAR|DAR|2021-01-01",'Ingest Template'!N242&amp; "|Operations - Core Title|Operations - Core Title")</f>
        <v>#N/A</v>
      </c>
      <c r="AK242" s="53" t="str">
        <f>if('Ingest Template'!A242="Standard",'Ingest Template'!R242&amp; "|2021-01-01",'Ingest Template'!R242)</f>
        <v>#N/A</v>
      </c>
      <c r="AL242" s="21"/>
      <c r="AM242" s="21"/>
    </row>
    <row r="243">
      <c r="A243" s="21"/>
      <c r="B243" s="21" t="str">
        <f>'Ingest Template'!B243&amp;IF('Ingest Template'!A243 = "Standard", " - DAR","")</f>
        <v/>
      </c>
      <c r="C243" s="26" t="s">
        <v>109</v>
      </c>
      <c r="D243" s="29" t="str">
        <f t="array" ref="D243">CONCATENATE(INDEX(DropDown!$H$2:$H$10,MATCH(1,COUNTIF('Ingest Template'!F243,"*"&amp;DropDown!$H$2:$H$10&amp;"*"),0)),CHAR(10),'Ingest Template'!G243)</f>
        <v>#N/A</v>
      </c>
      <c r="E243" s="21" t="str">
        <f>CONCATENATE('Ingest Template'!H243,CHAR(10),'Ingest Template'!I243,CHAR(10),'Ingest Template'!J243)</f>
        <v>
</v>
      </c>
      <c r="F243" s="26" t="str">
        <f>'Ingest Template'!H243</f>
        <v/>
      </c>
      <c r="G243" s="21"/>
      <c r="H243" s="29"/>
      <c r="I243" s="21"/>
      <c r="J243" s="29" t="str">
        <f t="array" ref="J243">iF('Ingest Template'!A243="Standard","Pristine Brand",INDEX(DropDown!$M$2:$M$392,MATCH('Ingest Template'!E243,DropDown!$J$2:$J$392,0)))</f>
        <v>#N/A</v>
      </c>
      <c r="K243" s="21" t="str">
        <f>iF('Ingest Template'!A243="Standard",'Ingest Template'!K243&amp;CHAR(10)&amp;'Ingest Template'!L243,"Competitive View")</f>
        <v>Competitive View</v>
      </c>
      <c r="L243" s="29" t="s">
        <v>146</v>
      </c>
      <c r="M243" s="37" t="str">
        <f>'Ingest Template'!D243</f>
        <v/>
      </c>
      <c r="N243" s="21"/>
      <c r="O243" s="21"/>
      <c r="P243" s="21"/>
      <c r="Q243" s="21"/>
      <c r="R243" s="21" t="str">
        <f>'Ingest Template'!E243</f>
        <v/>
      </c>
      <c r="S243" s="29" t="s">
        <v>153</v>
      </c>
      <c r="T243" s="21" t="str">
        <f>'Ingest Template'!T243</f>
        <v/>
      </c>
      <c r="U243" s="21" t="str">
        <f>'Ingest Template'!S243</f>
        <v/>
      </c>
      <c r="V243" s="21" t="str">
        <f>LOWER(SUBSTITUTE(SUBSTITUTE(SUBSTITUTE(SUBSTITUTE(SUBSTITUTE('Ingest Template'!U243,"https:",""),"www.",""),"/",""),"?hl=en",""),"instagram.com",""))</f>
        <v/>
      </c>
      <c r="W243" s="41" t="str">
        <f t="array" ref="W243">IF('Ingest Template'!V243="",(INDEX(DropDown!$L$2:$L$392,MATCH('Ingest Template'!E243,DropDown!$J$2:$J$392,0))&amp;"|"&amp;'Ingest Template'!B243),(INDEX(DropDown!$L$2:$L$392,MATCH('Ingest Template'!E243,DropDown!$J$2:$J$392,0))&amp;"|"&amp;'Ingest Template'!B243)&amp;CHAR(10)&amp;'Ingest Template'!V243)</f>
        <v>#N/A</v>
      </c>
      <c r="X243" s="41" t="str">
        <f>'Ingest Template'!W243</f>
        <v/>
      </c>
      <c r="Y243" s="21" t="str">
        <f>SUBSTITUTE(SUBSTITUTE(SUBSTITUTE('Ingest Template'!X243,"http:",""),"https:",""),"/","")</f>
        <v/>
      </c>
      <c r="Z243" s="21" t="str">
        <f t="array" ref="Z243">IF('Ingest Template'!A243="Standard",(IF(ISBLANK('Ingest Template'!AA243),"", 'Ingest Template'!AA243&amp;"|DAR")),(IF(ISBLANK('Ingest Template'!AA243),"", 'Ingest Template'!AA243&amp;"|Film Ops")))</f>
        <v/>
      </c>
      <c r="AA243" s="21"/>
      <c r="AB243" s="21" t="str">
        <f>'Ingest Template'!M243</f>
        <v/>
      </c>
      <c r="AC243" s="21" t="str">
        <f>'Ingest Template'!Y243</f>
        <v/>
      </c>
      <c r="AD243" s="21" t="str">
        <f>'Ingest Template'!C243</f>
        <v/>
      </c>
      <c r="AE243" s="21" t="str">
        <f>'Ingest Template'!Z243</f>
        <v/>
      </c>
      <c r="AF243" s="29"/>
      <c r="AG243" s="21" t="str">
        <f t="array" ref="AG243">IF('Ingest Template'!A243="Standard",(CONCATENATE(IF(ISBLANK('Ingest Template'!O243),"", 'Ingest Template'!O243&amp;"|DAR"),CHAR(10), IF(ISBLANK('Ingest Template'!P243),"", 'Ingest Template'!P243&amp;"|DAR"),CHAR(10), IF(ISBLANK('Ingest Template'!Q243),"", 'Ingest Template'!Q243&amp;"|DAR"))),(CONCATENATE(IF(ISBLANK('Ingest Template'!O243),"", 'Ingest Template'!O243&amp;"|Operations - Core Title"),CHAR(10), IF(ISBLANK('Ingest Template'!P243),"", 'Ingest Template'!P243&amp;"|Operations - Core Title"),CHAR(10), IF(ISBLANK('Ingest Template'!Q243),"", 'Ingest Template'!Q243&amp;"|Operations - Core Title"))))</f>
        <v>#|Operations - Core Title
#|Operations - Core Title
</v>
      </c>
      <c r="AH243" s="21"/>
      <c r="AI243" s="21"/>
      <c r="AJ243" s="53" t="str">
        <f>if('Ingest Template'!A243="Standard",'Ingest Template'!N243&amp; "|DAR|DAR|2021-01-01",'Ingest Template'!N243&amp; "|Operations - Core Title|Operations - Core Title")</f>
        <v>#N/A</v>
      </c>
      <c r="AK243" s="53" t="str">
        <f>if('Ingest Template'!A243="Standard",'Ingest Template'!R243&amp; "|2021-01-01",'Ingest Template'!R243)</f>
        <v>#N/A</v>
      </c>
      <c r="AL243" s="21"/>
      <c r="AM243" s="21"/>
    </row>
    <row r="244">
      <c r="A244" s="21"/>
      <c r="B244" s="21" t="str">
        <f>'Ingest Template'!B244&amp;IF('Ingest Template'!A244 = "Standard", " - DAR","")</f>
        <v/>
      </c>
      <c r="C244" s="26" t="s">
        <v>109</v>
      </c>
      <c r="D244" s="29" t="str">
        <f t="array" ref="D244">CONCATENATE(INDEX(DropDown!$H$2:$H$10,MATCH(1,COUNTIF('Ingest Template'!F244,"*"&amp;DropDown!$H$2:$H$10&amp;"*"),0)),CHAR(10),'Ingest Template'!G244)</f>
        <v>#N/A</v>
      </c>
      <c r="E244" s="21" t="str">
        <f>CONCATENATE('Ingest Template'!H244,CHAR(10),'Ingest Template'!I244,CHAR(10),'Ingest Template'!J244)</f>
        <v>
</v>
      </c>
      <c r="F244" s="26" t="str">
        <f>'Ingest Template'!H244</f>
        <v/>
      </c>
      <c r="G244" s="21"/>
      <c r="H244" s="29"/>
      <c r="I244" s="21"/>
      <c r="J244" s="29" t="str">
        <f t="array" ref="J244">iF('Ingest Template'!A244="Standard","Pristine Brand",INDEX(DropDown!$M$2:$M$392,MATCH('Ingest Template'!E244,DropDown!$J$2:$J$392,0)))</f>
        <v>#N/A</v>
      </c>
      <c r="K244" s="21" t="str">
        <f>iF('Ingest Template'!A244="Standard",'Ingest Template'!K244&amp;CHAR(10)&amp;'Ingest Template'!L244,"Competitive View")</f>
        <v>Competitive View</v>
      </c>
      <c r="L244" s="29" t="s">
        <v>146</v>
      </c>
      <c r="M244" s="37" t="str">
        <f>'Ingest Template'!D244</f>
        <v/>
      </c>
      <c r="N244" s="21"/>
      <c r="O244" s="21"/>
      <c r="P244" s="21"/>
      <c r="Q244" s="21"/>
      <c r="R244" s="21" t="str">
        <f>'Ingest Template'!E244</f>
        <v/>
      </c>
      <c r="S244" s="29" t="s">
        <v>153</v>
      </c>
      <c r="T244" s="21" t="str">
        <f>'Ingest Template'!T244</f>
        <v/>
      </c>
      <c r="U244" s="21" t="str">
        <f>'Ingest Template'!S244</f>
        <v/>
      </c>
      <c r="V244" s="21" t="str">
        <f>LOWER(SUBSTITUTE(SUBSTITUTE(SUBSTITUTE(SUBSTITUTE(SUBSTITUTE('Ingest Template'!U244,"https:",""),"www.",""),"/",""),"?hl=en",""),"instagram.com",""))</f>
        <v/>
      </c>
      <c r="W244" s="41" t="str">
        <f t="array" ref="W244">IF('Ingest Template'!V244="",(INDEX(DropDown!$L$2:$L$392,MATCH('Ingest Template'!E244,DropDown!$J$2:$J$392,0))&amp;"|"&amp;'Ingest Template'!B244),(INDEX(DropDown!$L$2:$L$392,MATCH('Ingest Template'!E244,DropDown!$J$2:$J$392,0))&amp;"|"&amp;'Ingest Template'!B244)&amp;CHAR(10)&amp;'Ingest Template'!V244)</f>
        <v>#N/A</v>
      </c>
      <c r="X244" s="41" t="str">
        <f>'Ingest Template'!W244</f>
        <v/>
      </c>
      <c r="Y244" s="21" t="str">
        <f>SUBSTITUTE(SUBSTITUTE(SUBSTITUTE('Ingest Template'!X244,"http:",""),"https:",""),"/","")</f>
        <v/>
      </c>
      <c r="Z244" s="21" t="str">
        <f t="array" ref="Z244">IF('Ingest Template'!A244="Standard",(IF(ISBLANK('Ingest Template'!AA244),"", 'Ingest Template'!AA244&amp;"|DAR")),(IF(ISBLANK('Ingest Template'!AA244),"", 'Ingest Template'!AA244&amp;"|Film Ops")))</f>
        <v/>
      </c>
      <c r="AA244" s="21"/>
      <c r="AB244" s="21" t="str">
        <f>'Ingest Template'!M244</f>
        <v/>
      </c>
      <c r="AC244" s="21" t="str">
        <f>'Ingest Template'!Y244</f>
        <v/>
      </c>
      <c r="AD244" s="21" t="str">
        <f>'Ingest Template'!C244</f>
        <v/>
      </c>
      <c r="AE244" s="21" t="str">
        <f>'Ingest Template'!Z244</f>
        <v/>
      </c>
      <c r="AF244" s="29"/>
      <c r="AG244" s="21" t="str">
        <f t="array" ref="AG244">IF('Ingest Template'!A244="Standard",(CONCATENATE(IF(ISBLANK('Ingest Template'!O244),"", 'Ingest Template'!O244&amp;"|DAR"),CHAR(10), IF(ISBLANK('Ingest Template'!P244),"", 'Ingest Template'!P244&amp;"|DAR"),CHAR(10), IF(ISBLANK('Ingest Template'!Q244),"", 'Ingest Template'!Q244&amp;"|DAR"))),(CONCATENATE(IF(ISBLANK('Ingest Template'!O244),"", 'Ingest Template'!O244&amp;"|Operations - Core Title"),CHAR(10), IF(ISBLANK('Ingest Template'!P244),"", 'Ingest Template'!P244&amp;"|Operations - Core Title"),CHAR(10), IF(ISBLANK('Ingest Template'!Q244),"", 'Ingest Template'!Q244&amp;"|Operations - Core Title"))))</f>
        <v>#|Operations - Core Title
#|Operations - Core Title
</v>
      </c>
      <c r="AH244" s="21"/>
      <c r="AI244" s="21"/>
      <c r="AJ244" s="53" t="str">
        <f>if('Ingest Template'!A244="Standard",'Ingest Template'!N244&amp; "|DAR|DAR|2021-01-01",'Ingest Template'!N244&amp; "|Operations - Core Title|Operations - Core Title")</f>
        <v>#N/A</v>
      </c>
      <c r="AK244" s="53" t="str">
        <f>if('Ingest Template'!A244="Standard",'Ingest Template'!R244&amp; "|2021-01-01",'Ingest Template'!R244)</f>
        <v>#N/A</v>
      </c>
      <c r="AL244" s="21"/>
      <c r="AM244" s="21"/>
    </row>
    <row r="245">
      <c r="A245" s="21"/>
      <c r="B245" s="21" t="str">
        <f>'Ingest Template'!B245&amp;IF('Ingest Template'!A245 = "Standard", " - DAR","")</f>
        <v/>
      </c>
      <c r="C245" s="26" t="s">
        <v>109</v>
      </c>
      <c r="D245" s="29" t="str">
        <f t="array" ref="D245">CONCATENATE(INDEX(DropDown!$H$2:$H$10,MATCH(1,COUNTIF('Ingest Template'!F245,"*"&amp;DropDown!$H$2:$H$10&amp;"*"),0)),CHAR(10),'Ingest Template'!G245)</f>
        <v>#N/A</v>
      </c>
      <c r="E245" s="21" t="str">
        <f>CONCATENATE('Ingest Template'!H245,CHAR(10),'Ingest Template'!I245,CHAR(10),'Ingest Template'!J245)</f>
        <v>
</v>
      </c>
      <c r="F245" s="26" t="str">
        <f>'Ingest Template'!H245</f>
        <v/>
      </c>
      <c r="G245" s="21"/>
      <c r="H245" s="29"/>
      <c r="I245" s="21"/>
      <c r="J245" s="29" t="str">
        <f t="array" ref="J245">iF('Ingest Template'!A245="Standard","Pristine Brand",INDEX(DropDown!$M$2:$M$392,MATCH('Ingest Template'!E245,DropDown!$J$2:$J$392,0)))</f>
        <v>#N/A</v>
      </c>
      <c r="K245" s="21" t="str">
        <f>iF('Ingest Template'!A245="Standard",'Ingest Template'!K245&amp;CHAR(10)&amp;'Ingest Template'!L245,"Competitive View")</f>
        <v>Competitive View</v>
      </c>
      <c r="L245" s="29" t="s">
        <v>146</v>
      </c>
      <c r="M245" s="37" t="str">
        <f>'Ingest Template'!D245</f>
        <v/>
      </c>
      <c r="N245" s="21"/>
      <c r="O245" s="21"/>
      <c r="P245" s="21"/>
      <c r="Q245" s="21"/>
      <c r="R245" s="21" t="str">
        <f>'Ingest Template'!E245</f>
        <v/>
      </c>
      <c r="S245" s="29" t="s">
        <v>153</v>
      </c>
      <c r="T245" s="21" t="str">
        <f>'Ingest Template'!T245</f>
        <v/>
      </c>
      <c r="U245" s="21" t="str">
        <f>'Ingest Template'!S245</f>
        <v/>
      </c>
      <c r="V245" s="21" t="str">
        <f>LOWER(SUBSTITUTE(SUBSTITUTE(SUBSTITUTE(SUBSTITUTE(SUBSTITUTE('Ingest Template'!U245,"https:",""),"www.",""),"/",""),"?hl=en",""),"instagram.com",""))</f>
        <v/>
      </c>
      <c r="W245" s="41" t="str">
        <f t="array" ref="W245">IF('Ingest Template'!V245="",(INDEX(DropDown!$L$2:$L$392,MATCH('Ingest Template'!E245,DropDown!$J$2:$J$392,0))&amp;"|"&amp;'Ingest Template'!B245),(INDEX(DropDown!$L$2:$L$392,MATCH('Ingest Template'!E245,DropDown!$J$2:$J$392,0))&amp;"|"&amp;'Ingest Template'!B245)&amp;CHAR(10)&amp;'Ingest Template'!V245)</f>
        <v>#N/A</v>
      </c>
      <c r="X245" s="41" t="str">
        <f>'Ingest Template'!W245</f>
        <v/>
      </c>
      <c r="Y245" s="21" t="str">
        <f>SUBSTITUTE(SUBSTITUTE(SUBSTITUTE('Ingest Template'!X245,"http:",""),"https:",""),"/","")</f>
        <v/>
      </c>
      <c r="Z245" s="21" t="str">
        <f t="array" ref="Z245">IF('Ingest Template'!A245="Standard",(IF(ISBLANK('Ingest Template'!AA245),"", 'Ingest Template'!AA245&amp;"|DAR")),(IF(ISBLANK('Ingest Template'!AA245),"", 'Ingest Template'!AA245&amp;"|Film Ops")))</f>
        <v/>
      </c>
      <c r="AA245" s="21"/>
      <c r="AB245" s="21" t="str">
        <f>'Ingest Template'!M245</f>
        <v/>
      </c>
      <c r="AC245" s="21" t="str">
        <f>'Ingest Template'!Y245</f>
        <v/>
      </c>
      <c r="AD245" s="21" t="str">
        <f>'Ingest Template'!C245</f>
        <v/>
      </c>
      <c r="AE245" s="21" t="str">
        <f>'Ingest Template'!Z245</f>
        <v/>
      </c>
      <c r="AF245" s="29"/>
      <c r="AG245" s="21" t="str">
        <f t="array" ref="AG245">IF('Ingest Template'!A245="Standard",(CONCATENATE(IF(ISBLANK('Ingest Template'!O245),"", 'Ingest Template'!O245&amp;"|DAR"),CHAR(10), IF(ISBLANK('Ingest Template'!P245),"", 'Ingest Template'!P245&amp;"|DAR"),CHAR(10), IF(ISBLANK('Ingest Template'!Q245),"", 'Ingest Template'!Q245&amp;"|DAR"))),(CONCATENATE(IF(ISBLANK('Ingest Template'!O245),"", 'Ingest Template'!O245&amp;"|Operations - Core Title"),CHAR(10), IF(ISBLANK('Ingest Template'!P245),"", 'Ingest Template'!P245&amp;"|Operations - Core Title"),CHAR(10), IF(ISBLANK('Ingest Template'!Q245),"", 'Ingest Template'!Q245&amp;"|Operations - Core Title"))))</f>
        <v>#|Operations - Core Title
#|Operations - Core Title
</v>
      </c>
      <c r="AH245" s="21"/>
      <c r="AI245" s="21"/>
      <c r="AJ245" s="53" t="str">
        <f>if('Ingest Template'!A245="Standard",'Ingest Template'!N245&amp; "|DAR|DAR|2021-01-01",'Ingest Template'!N245&amp; "|Operations - Core Title|Operations - Core Title")</f>
        <v>#N/A</v>
      </c>
      <c r="AK245" s="53" t="str">
        <f>if('Ingest Template'!A245="Standard",'Ingest Template'!R245&amp; "|2021-01-01",'Ingest Template'!R245)</f>
        <v>#N/A</v>
      </c>
      <c r="AL245" s="21"/>
      <c r="AM245" s="21"/>
    </row>
    <row r="246">
      <c r="A246" s="21"/>
      <c r="B246" s="21" t="str">
        <f>'Ingest Template'!B246&amp;IF('Ingest Template'!A246 = "Standard", " - DAR","")</f>
        <v/>
      </c>
      <c r="C246" s="26" t="s">
        <v>109</v>
      </c>
      <c r="D246" s="29" t="str">
        <f t="array" ref="D246">CONCATENATE(INDEX(DropDown!$H$2:$H$10,MATCH(1,COUNTIF('Ingest Template'!F246,"*"&amp;DropDown!$H$2:$H$10&amp;"*"),0)),CHAR(10),'Ingest Template'!G246)</f>
        <v>#N/A</v>
      </c>
      <c r="E246" s="21" t="str">
        <f>CONCATENATE('Ingest Template'!H246,CHAR(10),'Ingest Template'!I246,CHAR(10),'Ingest Template'!J246)</f>
        <v>
</v>
      </c>
      <c r="F246" s="26" t="str">
        <f>'Ingest Template'!H246</f>
        <v/>
      </c>
      <c r="G246" s="21"/>
      <c r="H246" s="29"/>
      <c r="I246" s="21"/>
      <c r="J246" s="29" t="str">
        <f t="array" ref="J246">iF('Ingest Template'!A246="Standard","Pristine Brand",INDEX(DropDown!$M$2:$M$392,MATCH('Ingest Template'!E246,DropDown!$J$2:$J$392,0)))</f>
        <v>#N/A</v>
      </c>
      <c r="K246" s="21" t="str">
        <f>iF('Ingest Template'!A246="Standard",'Ingest Template'!K246&amp;CHAR(10)&amp;'Ingest Template'!L246,"Competitive View")</f>
        <v>Competitive View</v>
      </c>
      <c r="L246" s="29" t="s">
        <v>146</v>
      </c>
      <c r="M246" s="37" t="str">
        <f>'Ingest Template'!D246</f>
        <v/>
      </c>
      <c r="N246" s="21"/>
      <c r="O246" s="21"/>
      <c r="P246" s="21"/>
      <c r="Q246" s="21"/>
      <c r="R246" s="21" t="str">
        <f>'Ingest Template'!E246</f>
        <v/>
      </c>
      <c r="S246" s="29" t="s">
        <v>153</v>
      </c>
      <c r="T246" s="21" t="str">
        <f>'Ingest Template'!T246</f>
        <v/>
      </c>
      <c r="U246" s="21" t="str">
        <f>'Ingest Template'!S246</f>
        <v/>
      </c>
      <c r="V246" s="21" t="str">
        <f>LOWER(SUBSTITUTE(SUBSTITUTE(SUBSTITUTE(SUBSTITUTE(SUBSTITUTE('Ingest Template'!U246,"https:",""),"www.",""),"/",""),"?hl=en",""),"instagram.com",""))</f>
        <v/>
      </c>
      <c r="W246" s="41" t="str">
        <f t="array" ref="W246">IF('Ingest Template'!V246="",(INDEX(DropDown!$L$2:$L$392,MATCH('Ingest Template'!E246,DropDown!$J$2:$J$392,0))&amp;"|"&amp;'Ingest Template'!B246),(INDEX(DropDown!$L$2:$L$392,MATCH('Ingest Template'!E246,DropDown!$J$2:$J$392,0))&amp;"|"&amp;'Ingest Template'!B246)&amp;CHAR(10)&amp;'Ingest Template'!V246)</f>
        <v>#N/A</v>
      </c>
      <c r="X246" s="41" t="str">
        <f>'Ingest Template'!W246</f>
        <v/>
      </c>
      <c r="Y246" s="21" t="str">
        <f>SUBSTITUTE(SUBSTITUTE(SUBSTITUTE('Ingest Template'!X246,"http:",""),"https:",""),"/","")</f>
        <v/>
      </c>
      <c r="Z246" s="21" t="str">
        <f t="array" ref="Z246">IF('Ingest Template'!A246="Standard",(IF(ISBLANK('Ingest Template'!AA246),"", 'Ingest Template'!AA246&amp;"|DAR")),(IF(ISBLANK('Ingest Template'!AA246),"", 'Ingest Template'!AA246&amp;"|Film Ops")))</f>
        <v/>
      </c>
      <c r="AA246" s="21"/>
      <c r="AB246" s="21" t="str">
        <f>'Ingest Template'!M246</f>
        <v/>
      </c>
      <c r="AC246" s="21" t="str">
        <f>'Ingest Template'!Y246</f>
        <v/>
      </c>
      <c r="AD246" s="21" t="str">
        <f>'Ingest Template'!C246</f>
        <v/>
      </c>
      <c r="AE246" s="21" t="str">
        <f>'Ingest Template'!Z246</f>
        <v/>
      </c>
      <c r="AF246" s="29"/>
      <c r="AG246" s="21" t="str">
        <f t="array" ref="AG246">IF('Ingest Template'!A246="Standard",(CONCATENATE(IF(ISBLANK('Ingest Template'!O246),"", 'Ingest Template'!O246&amp;"|DAR"),CHAR(10), IF(ISBLANK('Ingest Template'!P246),"", 'Ingest Template'!P246&amp;"|DAR"),CHAR(10), IF(ISBLANK('Ingest Template'!Q246),"", 'Ingest Template'!Q246&amp;"|DAR"))),(CONCATENATE(IF(ISBLANK('Ingest Template'!O246),"", 'Ingest Template'!O246&amp;"|Operations - Core Title"),CHAR(10), IF(ISBLANK('Ingest Template'!P246),"", 'Ingest Template'!P246&amp;"|Operations - Core Title"),CHAR(10), IF(ISBLANK('Ingest Template'!Q246),"", 'Ingest Template'!Q246&amp;"|Operations - Core Title"))))</f>
        <v>#|Operations - Core Title
#|Operations - Core Title
</v>
      </c>
      <c r="AH246" s="21"/>
      <c r="AI246" s="21"/>
      <c r="AJ246" s="53" t="str">
        <f>if('Ingest Template'!A246="Standard",'Ingest Template'!N246&amp; "|DAR|DAR|2021-01-01",'Ingest Template'!N246&amp; "|Operations - Core Title|Operations - Core Title")</f>
        <v>#N/A</v>
      </c>
      <c r="AK246" s="53" t="str">
        <f>if('Ingest Template'!A246="Standard",'Ingest Template'!R246&amp; "|2021-01-01",'Ingest Template'!R246)</f>
        <v>#N/A</v>
      </c>
      <c r="AL246" s="21"/>
      <c r="AM246" s="21"/>
    </row>
    <row r="247">
      <c r="A247" s="21"/>
      <c r="B247" s="21" t="str">
        <f>'Ingest Template'!B247&amp;IF('Ingest Template'!A247 = "Standard", " - DAR","")</f>
        <v/>
      </c>
      <c r="C247" s="26" t="s">
        <v>109</v>
      </c>
      <c r="D247" s="29" t="str">
        <f t="array" ref="D247">CONCATENATE(INDEX(DropDown!$H$2:$H$10,MATCH(1,COUNTIF('Ingest Template'!F247,"*"&amp;DropDown!$H$2:$H$10&amp;"*"),0)),CHAR(10),'Ingest Template'!G247)</f>
        <v>#N/A</v>
      </c>
      <c r="E247" s="21" t="str">
        <f>CONCATENATE('Ingest Template'!H247,CHAR(10),'Ingest Template'!I247,CHAR(10),'Ingest Template'!J247)</f>
        <v>
</v>
      </c>
      <c r="F247" s="26" t="str">
        <f>'Ingest Template'!H247</f>
        <v/>
      </c>
      <c r="G247" s="21"/>
      <c r="H247" s="29"/>
      <c r="I247" s="21"/>
      <c r="J247" s="29" t="str">
        <f t="array" ref="J247">iF('Ingest Template'!A247="Standard","Pristine Brand",INDEX(DropDown!$M$2:$M$392,MATCH('Ingest Template'!E247,DropDown!$J$2:$J$392,0)))</f>
        <v>#N/A</v>
      </c>
      <c r="K247" s="21" t="str">
        <f>iF('Ingest Template'!A247="Standard",'Ingest Template'!K247&amp;CHAR(10)&amp;'Ingest Template'!L247,"Competitive View")</f>
        <v>Competitive View</v>
      </c>
      <c r="L247" s="29" t="s">
        <v>146</v>
      </c>
      <c r="M247" s="37" t="str">
        <f>'Ingest Template'!D247</f>
        <v/>
      </c>
      <c r="N247" s="21"/>
      <c r="O247" s="21"/>
      <c r="P247" s="21"/>
      <c r="Q247" s="21"/>
      <c r="R247" s="21" t="str">
        <f>'Ingest Template'!E247</f>
        <v/>
      </c>
      <c r="S247" s="29" t="s">
        <v>153</v>
      </c>
      <c r="T247" s="21" t="str">
        <f>'Ingest Template'!T247</f>
        <v/>
      </c>
      <c r="U247" s="21" t="str">
        <f>'Ingest Template'!S247</f>
        <v/>
      </c>
      <c r="V247" s="21" t="str">
        <f>LOWER(SUBSTITUTE(SUBSTITUTE(SUBSTITUTE(SUBSTITUTE(SUBSTITUTE('Ingest Template'!U247,"https:",""),"www.",""),"/",""),"?hl=en",""),"instagram.com",""))</f>
        <v/>
      </c>
      <c r="W247" s="41" t="str">
        <f t="array" ref="W247">IF('Ingest Template'!V247="",(INDEX(DropDown!$L$2:$L$392,MATCH('Ingest Template'!E247,DropDown!$J$2:$J$392,0))&amp;"|"&amp;'Ingest Template'!B247),(INDEX(DropDown!$L$2:$L$392,MATCH('Ingest Template'!E247,DropDown!$J$2:$J$392,0))&amp;"|"&amp;'Ingest Template'!B247)&amp;CHAR(10)&amp;'Ingest Template'!V247)</f>
        <v>#N/A</v>
      </c>
      <c r="X247" s="41" t="str">
        <f>'Ingest Template'!W247</f>
        <v/>
      </c>
      <c r="Y247" s="21" t="str">
        <f>SUBSTITUTE(SUBSTITUTE(SUBSTITUTE('Ingest Template'!X247,"http:",""),"https:",""),"/","")</f>
        <v/>
      </c>
      <c r="Z247" s="21" t="str">
        <f t="array" ref="Z247">IF('Ingest Template'!A247="Standard",(IF(ISBLANK('Ingest Template'!AA247),"", 'Ingest Template'!AA247&amp;"|DAR")),(IF(ISBLANK('Ingest Template'!AA247),"", 'Ingest Template'!AA247&amp;"|Film Ops")))</f>
        <v/>
      </c>
      <c r="AA247" s="21"/>
      <c r="AB247" s="21" t="str">
        <f>'Ingest Template'!M247</f>
        <v/>
      </c>
      <c r="AC247" s="21" t="str">
        <f>'Ingest Template'!Y247</f>
        <v/>
      </c>
      <c r="AD247" s="21" t="str">
        <f>'Ingest Template'!C247</f>
        <v/>
      </c>
      <c r="AE247" s="21" t="str">
        <f>'Ingest Template'!Z247</f>
        <v/>
      </c>
      <c r="AF247" s="29"/>
      <c r="AG247" s="21" t="str">
        <f t="array" ref="AG247">IF('Ingest Template'!A247="Standard",(CONCATENATE(IF(ISBLANK('Ingest Template'!O247),"", 'Ingest Template'!O247&amp;"|DAR"),CHAR(10), IF(ISBLANK('Ingest Template'!P247),"", 'Ingest Template'!P247&amp;"|DAR"),CHAR(10), IF(ISBLANK('Ingest Template'!Q247),"", 'Ingest Template'!Q247&amp;"|DAR"))),(CONCATENATE(IF(ISBLANK('Ingest Template'!O247),"", 'Ingest Template'!O247&amp;"|Operations - Core Title"),CHAR(10), IF(ISBLANK('Ingest Template'!P247),"", 'Ingest Template'!P247&amp;"|Operations - Core Title"),CHAR(10), IF(ISBLANK('Ingest Template'!Q247),"", 'Ingest Template'!Q247&amp;"|Operations - Core Title"))))</f>
        <v>#|Operations - Core Title
#|Operations - Core Title
</v>
      </c>
      <c r="AH247" s="21"/>
      <c r="AI247" s="21"/>
      <c r="AJ247" s="53" t="str">
        <f>if('Ingest Template'!A247="Standard",'Ingest Template'!N247&amp; "|DAR|DAR|2021-01-01",'Ingest Template'!N247&amp; "|Operations - Core Title|Operations - Core Title")</f>
        <v>#N/A</v>
      </c>
      <c r="AK247" s="53" t="str">
        <f>if('Ingest Template'!A247="Standard",'Ingest Template'!R247&amp; "|2021-01-01",'Ingest Template'!R247)</f>
        <v>#N/A</v>
      </c>
      <c r="AL247" s="21"/>
      <c r="AM247" s="21"/>
    </row>
    <row r="248">
      <c r="A248" s="21"/>
      <c r="B248" s="21" t="str">
        <f>'Ingest Template'!B248&amp;IF('Ingest Template'!A248 = "Standard", " - DAR","")</f>
        <v/>
      </c>
      <c r="C248" s="26" t="s">
        <v>109</v>
      </c>
      <c r="D248" s="29" t="str">
        <f t="array" ref="D248">CONCATENATE(INDEX(DropDown!$H$2:$H$10,MATCH(1,COUNTIF('Ingest Template'!F248,"*"&amp;DropDown!$H$2:$H$10&amp;"*"),0)),CHAR(10),'Ingest Template'!G248)</f>
        <v>#N/A</v>
      </c>
      <c r="E248" s="21" t="str">
        <f>CONCATENATE('Ingest Template'!H248,CHAR(10),'Ingest Template'!I248,CHAR(10),'Ingest Template'!J248)</f>
        <v>
</v>
      </c>
      <c r="F248" s="26" t="str">
        <f>'Ingest Template'!H248</f>
        <v/>
      </c>
      <c r="G248" s="21"/>
      <c r="H248" s="29"/>
      <c r="I248" s="21"/>
      <c r="J248" s="29" t="str">
        <f t="array" ref="J248">iF('Ingest Template'!A248="Standard","Pristine Brand",INDEX(DropDown!$M$2:$M$392,MATCH('Ingest Template'!E248,DropDown!$J$2:$J$392,0)))</f>
        <v>#N/A</v>
      </c>
      <c r="K248" s="21" t="str">
        <f>iF('Ingest Template'!A248="Standard",'Ingest Template'!K248&amp;CHAR(10)&amp;'Ingest Template'!L248,"Competitive View")</f>
        <v>Competitive View</v>
      </c>
      <c r="L248" s="29" t="s">
        <v>146</v>
      </c>
      <c r="M248" s="37" t="str">
        <f>'Ingest Template'!D248</f>
        <v/>
      </c>
      <c r="N248" s="21"/>
      <c r="O248" s="21"/>
      <c r="P248" s="21"/>
      <c r="Q248" s="21"/>
      <c r="R248" s="21" t="str">
        <f>'Ingest Template'!E248</f>
        <v/>
      </c>
      <c r="S248" s="29" t="s">
        <v>153</v>
      </c>
      <c r="T248" s="21" t="str">
        <f>'Ingest Template'!T248</f>
        <v/>
      </c>
      <c r="U248" s="21" t="str">
        <f>'Ingest Template'!S248</f>
        <v/>
      </c>
      <c r="V248" s="21" t="str">
        <f>LOWER(SUBSTITUTE(SUBSTITUTE(SUBSTITUTE(SUBSTITUTE(SUBSTITUTE('Ingest Template'!U248,"https:",""),"www.",""),"/",""),"?hl=en",""),"instagram.com",""))</f>
        <v/>
      </c>
      <c r="W248" s="41" t="str">
        <f t="array" ref="W248">IF('Ingest Template'!V248="",(INDEX(DropDown!$L$2:$L$392,MATCH('Ingest Template'!E248,DropDown!$J$2:$J$392,0))&amp;"|"&amp;'Ingest Template'!B248),(INDEX(DropDown!$L$2:$L$392,MATCH('Ingest Template'!E248,DropDown!$J$2:$J$392,0))&amp;"|"&amp;'Ingest Template'!B248)&amp;CHAR(10)&amp;'Ingest Template'!V248)</f>
        <v>#N/A</v>
      </c>
      <c r="X248" s="41" t="str">
        <f>'Ingest Template'!W248</f>
        <v/>
      </c>
      <c r="Y248" s="21" t="str">
        <f>SUBSTITUTE(SUBSTITUTE(SUBSTITUTE('Ingest Template'!X248,"http:",""),"https:",""),"/","")</f>
        <v/>
      </c>
      <c r="Z248" s="21" t="str">
        <f t="array" ref="Z248">IF('Ingest Template'!A248="Standard",(IF(ISBLANK('Ingest Template'!AA248),"", 'Ingest Template'!AA248&amp;"|DAR")),(IF(ISBLANK('Ingest Template'!AA248),"", 'Ingest Template'!AA248&amp;"|Film Ops")))</f>
        <v/>
      </c>
      <c r="AA248" s="21"/>
      <c r="AB248" s="21" t="str">
        <f>'Ingest Template'!M248</f>
        <v/>
      </c>
      <c r="AC248" s="21" t="str">
        <f>'Ingest Template'!Y248</f>
        <v/>
      </c>
      <c r="AD248" s="21" t="str">
        <f>'Ingest Template'!C248</f>
        <v/>
      </c>
      <c r="AE248" s="21" t="str">
        <f>'Ingest Template'!Z248</f>
        <v/>
      </c>
      <c r="AF248" s="29"/>
      <c r="AG248" s="21" t="str">
        <f t="array" ref="AG248">IF('Ingest Template'!A248="Standard",(CONCATENATE(IF(ISBLANK('Ingest Template'!O248),"", 'Ingest Template'!O248&amp;"|DAR"),CHAR(10), IF(ISBLANK('Ingest Template'!P248),"", 'Ingest Template'!P248&amp;"|DAR"),CHAR(10), IF(ISBLANK('Ingest Template'!Q248),"", 'Ingest Template'!Q248&amp;"|DAR"))),(CONCATENATE(IF(ISBLANK('Ingest Template'!O248),"", 'Ingest Template'!O248&amp;"|Operations - Core Title"),CHAR(10), IF(ISBLANK('Ingest Template'!P248),"", 'Ingest Template'!P248&amp;"|Operations - Core Title"),CHAR(10), IF(ISBLANK('Ingest Template'!Q248),"", 'Ingest Template'!Q248&amp;"|Operations - Core Title"))))</f>
        <v>#|Operations - Core Title
#|Operations - Core Title
</v>
      </c>
      <c r="AH248" s="21"/>
      <c r="AI248" s="21"/>
      <c r="AJ248" s="53" t="str">
        <f>if('Ingest Template'!A248="Standard",'Ingest Template'!N248&amp; "|DAR|DAR|2021-01-01",'Ingest Template'!N248&amp; "|Operations - Core Title|Operations - Core Title")</f>
        <v>#N/A</v>
      </c>
      <c r="AK248" s="53" t="str">
        <f>if('Ingest Template'!A248="Standard",'Ingest Template'!R248&amp; "|2021-01-01",'Ingest Template'!R248)</f>
        <v>#N/A</v>
      </c>
      <c r="AL248" s="21"/>
      <c r="AM248" s="21"/>
    </row>
    <row r="249">
      <c r="A249" s="21"/>
      <c r="B249" s="21" t="str">
        <f>'Ingest Template'!B249&amp;IF('Ingest Template'!A249 = "Standard", " - DAR","")</f>
        <v/>
      </c>
      <c r="C249" s="26" t="s">
        <v>109</v>
      </c>
      <c r="D249" s="29" t="str">
        <f t="array" ref="D249">CONCATENATE(INDEX(DropDown!$H$2:$H$10,MATCH(1,COUNTIF('Ingest Template'!F249,"*"&amp;DropDown!$H$2:$H$10&amp;"*"),0)),CHAR(10),'Ingest Template'!G249)</f>
        <v>#N/A</v>
      </c>
      <c r="E249" s="21" t="str">
        <f>CONCATENATE('Ingest Template'!H249,CHAR(10),'Ingest Template'!I249,CHAR(10),'Ingest Template'!J249)</f>
        <v>
</v>
      </c>
      <c r="F249" s="26" t="str">
        <f>'Ingest Template'!H249</f>
        <v/>
      </c>
      <c r="G249" s="21"/>
      <c r="H249" s="29"/>
      <c r="I249" s="21"/>
      <c r="J249" s="29" t="str">
        <f t="array" ref="J249">iF('Ingest Template'!A249="Standard","Pristine Brand",INDEX(DropDown!$M$2:$M$392,MATCH('Ingest Template'!E249,DropDown!$J$2:$J$392,0)))</f>
        <v>#N/A</v>
      </c>
      <c r="K249" s="21" t="str">
        <f>iF('Ingest Template'!A249="Standard",'Ingest Template'!K249&amp;CHAR(10)&amp;'Ingest Template'!L249,"Competitive View")</f>
        <v>Competitive View</v>
      </c>
      <c r="L249" s="29" t="s">
        <v>146</v>
      </c>
      <c r="M249" s="37" t="str">
        <f>'Ingest Template'!D249</f>
        <v/>
      </c>
      <c r="N249" s="21"/>
      <c r="O249" s="21"/>
      <c r="P249" s="21"/>
      <c r="Q249" s="21"/>
      <c r="R249" s="21" t="str">
        <f>'Ingest Template'!E249</f>
        <v/>
      </c>
      <c r="S249" s="29" t="s">
        <v>153</v>
      </c>
      <c r="T249" s="21" t="str">
        <f>'Ingest Template'!T249</f>
        <v/>
      </c>
      <c r="U249" s="21" t="str">
        <f>'Ingest Template'!S249</f>
        <v/>
      </c>
      <c r="V249" s="21" t="str">
        <f>LOWER(SUBSTITUTE(SUBSTITUTE(SUBSTITUTE(SUBSTITUTE(SUBSTITUTE('Ingest Template'!U249,"https:",""),"www.",""),"/",""),"?hl=en",""),"instagram.com",""))</f>
        <v/>
      </c>
      <c r="W249" s="41" t="str">
        <f t="array" ref="W249">IF('Ingest Template'!V249="",(INDEX(DropDown!$L$2:$L$392,MATCH('Ingest Template'!E249,DropDown!$J$2:$J$392,0))&amp;"|"&amp;'Ingest Template'!B249),(INDEX(DropDown!$L$2:$L$392,MATCH('Ingest Template'!E249,DropDown!$J$2:$J$392,0))&amp;"|"&amp;'Ingest Template'!B249)&amp;CHAR(10)&amp;'Ingest Template'!V249)</f>
        <v>#N/A</v>
      </c>
      <c r="X249" s="41" t="str">
        <f>'Ingest Template'!W249</f>
        <v/>
      </c>
      <c r="Y249" s="21" t="str">
        <f>SUBSTITUTE(SUBSTITUTE(SUBSTITUTE('Ingest Template'!X249,"http:",""),"https:",""),"/","")</f>
        <v/>
      </c>
      <c r="Z249" s="21" t="str">
        <f t="array" ref="Z249">IF('Ingest Template'!A249="Standard",(IF(ISBLANK('Ingest Template'!AA249),"", 'Ingest Template'!AA249&amp;"|DAR")),(IF(ISBLANK('Ingest Template'!AA249),"", 'Ingest Template'!AA249&amp;"|Film Ops")))</f>
        <v/>
      </c>
      <c r="AA249" s="21"/>
      <c r="AB249" s="21" t="str">
        <f>'Ingest Template'!M249</f>
        <v/>
      </c>
      <c r="AC249" s="21" t="str">
        <f>'Ingest Template'!Y249</f>
        <v/>
      </c>
      <c r="AD249" s="21" t="str">
        <f>'Ingest Template'!C249</f>
        <v/>
      </c>
      <c r="AE249" s="21" t="str">
        <f>'Ingest Template'!Z249</f>
        <v/>
      </c>
      <c r="AF249" s="29"/>
      <c r="AG249" s="21" t="str">
        <f t="array" ref="AG249">IF('Ingest Template'!A249="Standard",(CONCATENATE(IF(ISBLANK('Ingest Template'!O249),"", 'Ingest Template'!O249&amp;"|DAR"),CHAR(10), IF(ISBLANK('Ingest Template'!P249),"", 'Ingest Template'!P249&amp;"|DAR"),CHAR(10), IF(ISBLANK('Ingest Template'!Q249),"", 'Ingest Template'!Q249&amp;"|DAR"))),(CONCATENATE(IF(ISBLANK('Ingest Template'!O249),"", 'Ingest Template'!O249&amp;"|Operations - Core Title"),CHAR(10), IF(ISBLANK('Ingest Template'!P249),"", 'Ingest Template'!P249&amp;"|Operations - Core Title"),CHAR(10), IF(ISBLANK('Ingest Template'!Q249),"", 'Ingest Template'!Q249&amp;"|Operations - Core Title"))))</f>
        <v>#|Operations - Core Title
#|Operations - Core Title
</v>
      </c>
      <c r="AH249" s="21"/>
      <c r="AI249" s="21"/>
      <c r="AJ249" s="53" t="str">
        <f>if('Ingest Template'!A249="Standard",'Ingest Template'!N249&amp; "|DAR|DAR|2021-01-01",'Ingest Template'!N249&amp; "|Operations - Core Title|Operations - Core Title")</f>
        <v>#N/A</v>
      </c>
      <c r="AK249" s="53" t="str">
        <f>if('Ingest Template'!A249="Standard",'Ingest Template'!R249&amp; "|2021-01-01",'Ingest Template'!R249)</f>
        <v>#N/A</v>
      </c>
      <c r="AL249" s="21"/>
      <c r="AM249" s="21"/>
    </row>
    <row r="250">
      <c r="A250" s="21"/>
      <c r="B250" s="21" t="str">
        <f>'Ingest Template'!B250&amp;IF('Ingest Template'!A250 = "Standard", " - DAR","")</f>
        <v/>
      </c>
      <c r="C250" s="26" t="s">
        <v>109</v>
      </c>
      <c r="D250" s="29" t="str">
        <f t="array" ref="D250">CONCATENATE(INDEX(DropDown!$H$2:$H$10,MATCH(1,COUNTIF('Ingest Template'!F250,"*"&amp;DropDown!$H$2:$H$10&amp;"*"),0)),CHAR(10),'Ingest Template'!G250)</f>
        <v>#N/A</v>
      </c>
      <c r="E250" s="21" t="str">
        <f>CONCATENATE('Ingest Template'!H250,CHAR(10),'Ingest Template'!I250,CHAR(10),'Ingest Template'!J250)</f>
        <v>
</v>
      </c>
      <c r="F250" s="26" t="str">
        <f>'Ingest Template'!H250</f>
        <v/>
      </c>
      <c r="G250" s="21"/>
      <c r="H250" s="29"/>
      <c r="I250" s="21"/>
      <c r="J250" s="29" t="str">
        <f t="array" ref="J250">iF('Ingest Template'!A250="Standard","Pristine Brand",INDEX(DropDown!$M$2:$M$392,MATCH('Ingest Template'!E250,DropDown!$J$2:$J$392,0)))</f>
        <v>#N/A</v>
      </c>
      <c r="K250" s="21" t="str">
        <f>iF('Ingest Template'!A250="Standard",'Ingest Template'!K250&amp;CHAR(10)&amp;'Ingest Template'!L250,"Competitive View")</f>
        <v>Competitive View</v>
      </c>
      <c r="L250" s="29" t="s">
        <v>146</v>
      </c>
      <c r="M250" s="37" t="str">
        <f>'Ingest Template'!D250</f>
        <v/>
      </c>
      <c r="N250" s="21"/>
      <c r="O250" s="21"/>
      <c r="P250" s="21"/>
      <c r="Q250" s="21"/>
      <c r="R250" s="21" t="str">
        <f>'Ingest Template'!E250</f>
        <v/>
      </c>
      <c r="S250" s="29" t="s">
        <v>153</v>
      </c>
      <c r="T250" s="21" t="str">
        <f>'Ingest Template'!T250</f>
        <v/>
      </c>
      <c r="U250" s="21" t="str">
        <f>'Ingest Template'!S250</f>
        <v/>
      </c>
      <c r="V250" s="21" t="str">
        <f>LOWER(SUBSTITUTE(SUBSTITUTE(SUBSTITUTE(SUBSTITUTE(SUBSTITUTE('Ingest Template'!U250,"https:",""),"www.",""),"/",""),"?hl=en",""),"instagram.com",""))</f>
        <v/>
      </c>
      <c r="W250" s="41" t="str">
        <f t="array" ref="W250">IF('Ingest Template'!V250="",(INDEX(DropDown!$L$2:$L$392,MATCH('Ingest Template'!E250,DropDown!$J$2:$J$392,0))&amp;"|"&amp;'Ingest Template'!B250),(INDEX(DropDown!$L$2:$L$392,MATCH('Ingest Template'!E250,DropDown!$J$2:$J$392,0))&amp;"|"&amp;'Ingest Template'!B250)&amp;CHAR(10)&amp;'Ingest Template'!V250)</f>
        <v>#N/A</v>
      </c>
      <c r="X250" s="41" t="str">
        <f>'Ingest Template'!W250</f>
        <v/>
      </c>
      <c r="Y250" s="21" t="str">
        <f>SUBSTITUTE(SUBSTITUTE(SUBSTITUTE('Ingest Template'!X250,"http:",""),"https:",""),"/","")</f>
        <v/>
      </c>
      <c r="Z250" s="21" t="str">
        <f t="array" ref="Z250">IF('Ingest Template'!A250="Standard",(IF(ISBLANK('Ingest Template'!AA250),"", 'Ingest Template'!AA250&amp;"|DAR")),(IF(ISBLANK('Ingest Template'!AA250),"", 'Ingest Template'!AA250&amp;"|Film Ops")))</f>
        <v/>
      </c>
      <c r="AA250" s="21"/>
      <c r="AB250" s="21" t="str">
        <f>'Ingest Template'!M250</f>
        <v/>
      </c>
      <c r="AC250" s="21" t="str">
        <f>'Ingest Template'!Y250</f>
        <v/>
      </c>
      <c r="AD250" s="21" t="str">
        <f>'Ingest Template'!C250</f>
        <v/>
      </c>
      <c r="AE250" s="21" t="str">
        <f>'Ingest Template'!Z250</f>
        <v/>
      </c>
      <c r="AF250" s="29"/>
      <c r="AG250" s="21" t="str">
        <f t="array" ref="AG250">IF('Ingest Template'!A250="Standard",(CONCATENATE(IF(ISBLANK('Ingest Template'!O250),"", 'Ingest Template'!O250&amp;"|DAR"),CHAR(10), IF(ISBLANK('Ingest Template'!P250),"", 'Ingest Template'!P250&amp;"|DAR"),CHAR(10), IF(ISBLANK('Ingest Template'!Q250),"", 'Ingest Template'!Q250&amp;"|DAR"))),(CONCATENATE(IF(ISBLANK('Ingest Template'!O250),"", 'Ingest Template'!O250&amp;"|Operations - Core Title"),CHAR(10), IF(ISBLANK('Ingest Template'!P250),"", 'Ingest Template'!P250&amp;"|Operations - Core Title"),CHAR(10), IF(ISBLANK('Ingest Template'!Q250),"", 'Ingest Template'!Q250&amp;"|Operations - Core Title"))))</f>
        <v>#|Operations - Core Title
#|Operations - Core Title
</v>
      </c>
      <c r="AH250" s="21"/>
      <c r="AI250" s="21"/>
      <c r="AJ250" s="53" t="str">
        <f>if('Ingest Template'!A250="Standard",'Ingest Template'!N250&amp; "|DAR|DAR|2021-01-01",'Ingest Template'!N250&amp; "|Operations - Core Title|Operations - Core Title")</f>
        <v>#N/A</v>
      </c>
      <c r="AK250" s="53" t="str">
        <f>if('Ingest Template'!A250="Standard",'Ingest Template'!R250&amp; "|2021-01-01",'Ingest Template'!R250)</f>
        <v>#N/A</v>
      </c>
      <c r="AL250" s="21"/>
      <c r="AM250" s="21"/>
    </row>
    <row r="251">
      <c r="A251" s="21"/>
      <c r="B251" s="21" t="str">
        <f>'Ingest Template'!B251&amp;IF('Ingest Template'!A251 = "Standard", " - DAR","")</f>
        <v/>
      </c>
      <c r="C251" s="26" t="s">
        <v>109</v>
      </c>
      <c r="D251" s="29" t="str">
        <f t="array" ref="D251">CONCATENATE(INDEX(DropDown!$H$2:$H$10,MATCH(1,COUNTIF('Ingest Template'!F251,"*"&amp;DropDown!$H$2:$H$10&amp;"*"),0)),CHAR(10),'Ingest Template'!G251)</f>
        <v>#N/A</v>
      </c>
      <c r="E251" s="21" t="str">
        <f>CONCATENATE('Ingest Template'!H251,CHAR(10),'Ingest Template'!I251,CHAR(10),'Ingest Template'!J251)</f>
        <v>
</v>
      </c>
      <c r="F251" s="26" t="str">
        <f>'Ingest Template'!H251</f>
        <v/>
      </c>
      <c r="G251" s="21"/>
      <c r="H251" s="29"/>
      <c r="I251" s="21"/>
      <c r="J251" s="29" t="str">
        <f t="array" ref="J251">iF('Ingest Template'!A251="Standard","Pristine Brand",INDEX(DropDown!$M$2:$M$392,MATCH('Ingest Template'!E251,DropDown!$J$2:$J$392,0)))</f>
        <v>#N/A</v>
      </c>
      <c r="K251" s="21" t="str">
        <f>iF('Ingest Template'!A251="Standard",'Ingest Template'!K251&amp;CHAR(10)&amp;'Ingest Template'!L251,"Competitive View")</f>
        <v>Competitive View</v>
      </c>
      <c r="L251" s="29" t="s">
        <v>146</v>
      </c>
      <c r="M251" s="37" t="str">
        <f>'Ingest Template'!D251</f>
        <v/>
      </c>
      <c r="N251" s="21"/>
      <c r="O251" s="21"/>
      <c r="P251" s="21"/>
      <c r="Q251" s="21"/>
      <c r="R251" s="21" t="str">
        <f>'Ingest Template'!E251</f>
        <v/>
      </c>
      <c r="S251" s="29" t="s">
        <v>153</v>
      </c>
      <c r="T251" s="21" t="str">
        <f>'Ingest Template'!T251</f>
        <v/>
      </c>
      <c r="U251" s="21" t="str">
        <f>'Ingest Template'!S251</f>
        <v/>
      </c>
      <c r="V251" s="21" t="str">
        <f>LOWER(SUBSTITUTE(SUBSTITUTE(SUBSTITUTE(SUBSTITUTE(SUBSTITUTE('Ingest Template'!U251,"https:",""),"www.",""),"/",""),"?hl=en",""),"instagram.com",""))</f>
        <v/>
      </c>
      <c r="W251" s="41" t="str">
        <f t="array" ref="W251">IF('Ingest Template'!V251="",(INDEX(DropDown!$L$2:$L$392,MATCH('Ingest Template'!E251,DropDown!$J$2:$J$392,0))&amp;"|"&amp;'Ingest Template'!B251),(INDEX(DropDown!$L$2:$L$392,MATCH('Ingest Template'!E251,DropDown!$J$2:$J$392,0))&amp;"|"&amp;'Ingest Template'!B251)&amp;CHAR(10)&amp;'Ingest Template'!V251)</f>
        <v>#N/A</v>
      </c>
      <c r="X251" s="41" t="str">
        <f>'Ingest Template'!W251</f>
        <v/>
      </c>
      <c r="Y251" s="21" t="str">
        <f>SUBSTITUTE(SUBSTITUTE(SUBSTITUTE('Ingest Template'!X251,"http:",""),"https:",""),"/","")</f>
        <v/>
      </c>
      <c r="Z251" s="21" t="str">
        <f t="array" ref="Z251">IF('Ingest Template'!A251="Standard",(IF(ISBLANK('Ingest Template'!AA251),"", 'Ingest Template'!AA251&amp;"|DAR")),(IF(ISBLANK('Ingest Template'!AA251),"", 'Ingest Template'!AA251&amp;"|Film Ops")))</f>
        <v/>
      </c>
      <c r="AA251" s="21"/>
      <c r="AB251" s="21" t="str">
        <f>'Ingest Template'!M251</f>
        <v/>
      </c>
      <c r="AC251" s="21" t="str">
        <f>'Ingest Template'!Y251</f>
        <v/>
      </c>
      <c r="AD251" s="21" t="str">
        <f>'Ingest Template'!C251</f>
        <v/>
      </c>
      <c r="AE251" s="21" t="str">
        <f>'Ingest Template'!Z251</f>
        <v/>
      </c>
      <c r="AF251" s="29"/>
      <c r="AG251" s="21" t="str">
        <f t="array" ref="AG251">IF('Ingest Template'!A251="Standard",(CONCATENATE(IF(ISBLANK('Ingest Template'!O251),"", 'Ingest Template'!O251&amp;"|DAR"),CHAR(10), IF(ISBLANK('Ingest Template'!P251),"", 'Ingest Template'!P251&amp;"|DAR"),CHAR(10), IF(ISBLANK('Ingest Template'!Q251),"", 'Ingest Template'!Q251&amp;"|DAR"))),(CONCATENATE(IF(ISBLANK('Ingest Template'!O251),"", 'Ingest Template'!O251&amp;"|Operations - Core Title"),CHAR(10), IF(ISBLANK('Ingest Template'!P251),"", 'Ingest Template'!P251&amp;"|Operations - Core Title"),CHAR(10), IF(ISBLANK('Ingest Template'!Q251),"", 'Ingest Template'!Q251&amp;"|Operations - Core Title"))))</f>
        <v>#|Operations - Core Title
#|Operations - Core Title
</v>
      </c>
      <c r="AH251" s="21"/>
      <c r="AI251" s="21"/>
      <c r="AJ251" s="53" t="str">
        <f>if('Ingest Template'!A251="Standard",'Ingest Template'!N251&amp; "|DAR|DAR|2021-01-01",'Ingest Template'!N251&amp; "|Operations - Core Title|Operations - Core Title")</f>
        <v>#N/A</v>
      </c>
      <c r="AK251" s="53" t="str">
        <f>if('Ingest Template'!A251="Standard",'Ingest Template'!R251&amp; "|2021-01-01",'Ingest Template'!R251)</f>
        <v>#N/A</v>
      </c>
      <c r="AL251" s="21"/>
      <c r="AM251" s="21"/>
    </row>
    <row r="252">
      <c r="A252" s="21"/>
      <c r="B252" s="21" t="str">
        <f>'Ingest Template'!B252&amp;IF('Ingest Template'!A252 = "Standard", " - DAR","")</f>
        <v/>
      </c>
      <c r="C252" s="26" t="s">
        <v>109</v>
      </c>
      <c r="D252" s="29" t="str">
        <f t="array" ref="D252">CONCATENATE(INDEX(DropDown!$H$2:$H$10,MATCH(1,COUNTIF('Ingest Template'!F252,"*"&amp;DropDown!$H$2:$H$10&amp;"*"),0)),CHAR(10),'Ingest Template'!G252)</f>
        <v>#N/A</v>
      </c>
      <c r="E252" s="21" t="str">
        <f>CONCATENATE('Ingest Template'!H252,CHAR(10),'Ingest Template'!I252,CHAR(10),'Ingest Template'!J252)</f>
        <v>
</v>
      </c>
      <c r="F252" s="26" t="str">
        <f>'Ingest Template'!H252</f>
        <v/>
      </c>
      <c r="G252" s="21"/>
      <c r="H252" s="29"/>
      <c r="I252" s="21"/>
      <c r="J252" s="29" t="str">
        <f t="array" ref="J252">iF('Ingest Template'!A252="Standard","Pristine Brand",INDEX(DropDown!$M$2:$M$392,MATCH('Ingest Template'!E252,DropDown!$J$2:$J$392,0)))</f>
        <v>#N/A</v>
      </c>
      <c r="K252" s="21" t="str">
        <f>iF('Ingest Template'!A252="Standard",'Ingest Template'!K252&amp;CHAR(10)&amp;'Ingest Template'!L252,"Competitive View")</f>
        <v>Competitive View</v>
      </c>
      <c r="L252" s="29" t="s">
        <v>146</v>
      </c>
      <c r="M252" s="37" t="str">
        <f>'Ingest Template'!D252</f>
        <v/>
      </c>
      <c r="N252" s="21"/>
      <c r="O252" s="21"/>
      <c r="P252" s="21"/>
      <c r="Q252" s="21"/>
      <c r="R252" s="21" t="str">
        <f>'Ingest Template'!E252</f>
        <v/>
      </c>
      <c r="S252" s="29" t="s">
        <v>153</v>
      </c>
      <c r="T252" s="21" t="str">
        <f>'Ingest Template'!T252</f>
        <v/>
      </c>
      <c r="U252" s="21" t="str">
        <f>'Ingest Template'!S252</f>
        <v/>
      </c>
      <c r="V252" s="21" t="str">
        <f>LOWER(SUBSTITUTE(SUBSTITUTE(SUBSTITUTE(SUBSTITUTE(SUBSTITUTE('Ingest Template'!U252,"https:",""),"www.",""),"/",""),"?hl=en",""),"instagram.com",""))</f>
        <v/>
      </c>
      <c r="W252" s="41" t="str">
        <f t="array" ref="W252">IF('Ingest Template'!V252="",(INDEX(DropDown!$L$2:$L$392,MATCH('Ingest Template'!E252,DropDown!$J$2:$J$392,0))&amp;"|"&amp;'Ingest Template'!B252),(INDEX(DropDown!$L$2:$L$392,MATCH('Ingest Template'!E252,DropDown!$J$2:$J$392,0))&amp;"|"&amp;'Ingest Template'!B252)&amp;CHAR(10)&amp;'Ingest Template'!V252)</f>
        <v>#N/A</v>
      </c>
      <c r="X252" s="41" t="str">
        <f>'Ingest Template'!W252</f>
        <v/>
      </c>
      <c r="Y252" s="21" t="str">
        <f>SUBSTITUTE(SUBSTITUTE(SUBSTITUTE('Ingest Template'!X252,"http:",""),"https:",""),"/","")</f>
        <v/>
      </c>
      <c r="Z252" s="21" t="str">
        <f t="array" ref="Z252">IF('Ingest Template'!A252="Standard",(IF(ISBLANK('Ingest Template'!AA252),"", 'Ingest Template'!AA252&amp;"|DAR")),(IF(ISBLANK('Ingest Template'!AA252),"", 'Ingest Template'!AA252&amp;"|Film Ops")))</f>
        <v/>
      </c>
      <c r="AA252" s="21"/>
      <c r="AB252" s="21" t="str">
        <f>'Ingest Template'!M252</f>
        <v/>
      </c>
      <c r="AC252" s="21" t="str">
        <f>'Ingest Template'!Y252</f>
        <v/>
      </c>
      <c r="AD252" s="21" t="str">
        <f>'Ingest Template'!C252</f>
        <v/>
      </c>
      <c r="AE252" s="21" t="str">
        <f>'Ingest Template'!Z252</f>
        <v/>
      </c>
      <c r="AF252" s="29"/>
      <c r="AG252" s="21" t="str">
        <f t="array" ref="AG252">IF('Ingest Template'!A252="Standard",(CONCATENATE(IF(ISBLANK('Ingest Template'!O252),"", 'Ingest Template'!O252&amp;"|DAR"),CHAR(10), IF(ISBLANK('Ingest Template'!P252),"", 'Ingest Template'!P252&amp;"|DAR"),CHAR(10), IF(ISBLANK('Ingest Template'!Q252),"", 'Ingest Template'!Q252&amp;"|DAR"))),(CONCATENATE(IF(ISBLANK('Ingest Template'!O252),"", 'Ingest Template'!O252&amp;"|Operations - Core Title"),CHAR(10), IF(ISBLANK('Ingest Template'!P252),"", 'Ingest Template'!P252&amp;"|Operations - Core Title"),CHAR(10), IF(ISBLANK('Ingest Template'!Q252),"", 'Ingest Template'!Q252&amp;"|Operations - Core Title"))))</f>
        <v>#|Operations - Core Title
#|Operations - Core Title
</v>
      </c>
      <c r="AH252" s="21"/>
      <c r="AI252" s="21"/>
      <c r="AJ252" s="53" t="str">
        <f>if('Ingest Template'!A252="Standard",'Ingest Template'!N252&amp; "|DAR|DAR|2021-01-01",'Ingest Template'!N252&amp; "|Operations - Core Title|Operations - Core Title")</f>
        <v>#N/A</v>
      </c>
      <c r="AK252" s="53" t="str">
        <f>if('Ingest Template'!A252="Standard",'Ingest Template'!R252&amp; "|2021-01-01",'Ingest Template'!R252)</f>
        <v>#N/A</v>
      </c>
      <c r="AL252" s="21"/>
      <c r="AM252" s="21"/>
    </row>
    <row r="253">
      <c r="A253" s="21"/>
      <c r="B253" s="21" t="str">
        <f>'Ingest Template'!B253&amp;IF('Ingest Template'!A253 = "Standard", " - DAR","")</f>
        <v/>
      </c>
      <c r="C253" s="26" t="s">
        <v>109</v>
      </c>
      <c r="D253" s="29" t="str">
        <f t="array" ref="D253">CONCATENATE(INDEX(DropDown!$H$2:$H$10,MATCH(1,COUNTIF('Ingest Template'!F253,"*"&amp;DropDown!$H$2:$H$10&amp;"*"),0)),CHAR(10),'Ingest Template'!G253)</f>
        <v>#N/A</v>
      </c>
      <c r="E253" s="21" t="str">
        <f>CONCATENATE('Ingest Template'!H253,CHAR(10),'Ingest Template'!I253,CHAR(10),'Ingest Template'!J253)</f>
        <v>
</v>
      </c>
      <c r="F253" s="26" t="str">
        <f>'Ingest Template'!H253</f>
        <v/>
      </c>
      <c r="G253" s="21"/>
      <c r="H253" s="29"/>
      <c r="I253" s="21"/>
      <c r="J253" s="29" t="str">
        <f t="array" ref="J253">iF('Ingest Template'!A253="Standard","Pristine Brand",INDEX(DropDown!$M$2:$M$392,MATCH('Ingest Template'!E253,DropDown!$J$2:$J$392,0)))</f>
        <v>#N/A</v>
      </c>
      <c r="K253" s="21" t="str">
        <f>iF('Ingest Template'!A253="Standard",'Ingest Template'!K253&amp;CHAR(10)&amp;'Ingest Template'!L253,"Competitive View")</f>
        <v>Competitive View</v>
      </c>
      <c r="L253" s="29" t="s">
        <v>146</v>
      </c>
      <c r="M253" s="37" t="str">
        <f>'Ingest Template'!D253</f>
        <v/>
      </c>
      <c r="N253" s="21"/>
      <c r="O253" s="21"/>
      <c r="P253" s="21"/>
      <c r="Q253" s="21"/>
      <c r="R253" s="21" t="str">
        <f>'Ingest Template'!E253</f>
        <v/>
      </c>
      <c r="S253" s="29" t="s">
        <v>153</v>
      </c>
      <c r="T253" s="21" t="str">
        <f>'Ingest Template'!T253</f>
        <v/>
      </c>
      <c r="U253" s="21" t="str">
        <f>'Ingest Template'!S253</f>
        <v/>
      </c>
      <c r="V253" s="21" t="str">
        <f>LOWER(SUBSTITUTE(SUBSTITUTE(SUBSTITUTE(SUBSTITUTE(SUBSTITUTE('Ingest Template'!U253,"https:",""),"www.",""),"/",""),"?hl=en",""),"instagram.com",""))</f>
        <v/>
      </c>
      <c r="W253" s="41" t="str">
        <f t="array" ref="W253">IF('Ingest Template'!V253="",(INDEX(DropDown!$L$2:$L$392,MATCH('Ingest Template'!E253,DropDown!$J$2:$J$392,0))&amp;"|"&amp;'Ingest Template'!B253),(INDEX(DropDown!$L$2:$L$392,MATCH('Ingest Template'!E253,DropDown!$J$2:$J$392,0))&amp;"|"&amp;'Ingest Template'!B253)&amp;CHAR(10)&amp;'Ingest Template'!V253)</f>
        <v>#N/A</v>
      </c>
      <c r="X253" s="41" t="str">
        <f>'Ingest Template'!W253</f>
        <v/>
      </c>
      <c r="Y253" s="21" t="str">
        <f>SUBSTITUTE(SUBSTITUTE(SUBSTITUTE('Ingest Template'!X253,"http:",""),"https:",""),"/","")</f>
        <v/>
      </c>
      <c r="Z253" s="21" t="str">
        <f t="array" ref="Z253">IF('Ingest Template'!A253="Standard",(IF(ISBLANK('Ingest Template'!AA253),"", 'Ingest Template'!AA253&amp;"|DAR")),(IF(ISBLANK('Ingest Template'!AA253),"", 'Ingest Template'!AA253&amp;"|Film Ops")))</f>
        <v/>
      </c>
      <c r="AA253" s="21"/>
      <c r="AB253" s="21" t="str">
        <f>'Ingest Template'!M253</f>
        <v/>
      </c>
      <c r="AC253" s="21" t="str">
        <f>'Ingest Template'!Y253</f>
        <v/>
      </c>
      <c r="AD253" s="21" t="str">
        <f>'Ingest Template'!C253</f>
        <v/>
      </c>
      <c r="AE253" s="21" t="str">
        <f>'Ingest Template'!Z253</f>
        <v/>
      </c>
      <c r="AF253" s="29"/>
      <c r="AG253" s="21" t="str">
        <f t="array" ref="AG253">IF('Ingest Template'!A253="Standard",(CONCATENATE(IF(ISBLANK('Ingest Template'!O253),"", 'Ingest Template'!O253&amp;"|DAR"),CHAR(10), IF(ISBLANK('Ingest Template'!P253),"", 'Ingest Template'!P253&amp;"|DAR"),CHAR(10), IF(ISBLANK('Ingest Template'!Q253),"", 'Ingest Template'!Q253&amp;"|DAR"))),(CONCATENATE(IF(ISBLANK('Ingest Template'!O253),"", 'Ingest Template'!O253&amp;"|Operations - Core Title"),CHAR(10), IF(ISBLANK('Ingest Template'!P253),"", 'Ingest Template'!P253&amp;"|Operations - Core Title"),CHAR(10), IF(ISBLANK('Ingest Template'!Q253),"", 'Ingest Template'!Q253&amp;"|Operations - Core Title"))))</f>
        <v>#|Operations - Core Title
#|Operations - Core Title
</v>
      </c>
      <c r="AH253" s="21"/>
      <c r="AI253" s="21"/>
      <c r="AJ253" s="53" t="str">
        <f>if('Ingest Template'!A253="Standard",'Ingest Template'!N253&amp; "|DAR|DAR|2021-01-01",'Ingest Template'!N253&amp; "|Operations - Core Title|Operations - Core Title")</f>
        <v>#N/A</v>
      </c>
      <c r="AK253" s="53" t="str">
        <f>if('Ingest Template'!A253="Standard",'Ingest Template'!R253&amp; "|2021-01-01",'Ingest Template'!R253)</f>
        <v>#N/A</v>
      </c>
      <c r="AL253" s="21"/>
      <c r="AM253" s="21"/>
    </row>
    <row r="254">
      <c r="A254" s="21"/>
      <c r="B254" s="21" t="str">
        <f>'Ingest Template'!B254&amp;IF('Ingest Template'!A254 = "Standard", " - DAR","")</f>
        <v/>
      </c>
      <c r="C254" s="26" t="s">
        <v>109</v>
      </c>
      <c r="D254" s="29" t="str">
        <f t="array" ref="D254">CONCATENATE(INDEX(DropDown!$H$2:$H$10,MATCH(1,COUNTIF('Ingest Template'!F254,"*"&amp;DropDown!$H$2:$H$10&amp;"*"),0)),CHAR(10),'Ingest Template'!G254)</f>
        <v>#N/A</v>
      </c>
      <c r="E254" s="21" t="str">
        <f>CONCATENATE('Ingest Template'!H254,CHAR(10),'Ingest Template'!I254,CHAR(10),'Ingest Template'!J254)</f>
        <v>
</v>
      </c>
      <c r="F254" s="26" t="str">
        <f>'Ingest Template'!H254</f>
        <v/>
      </c>
      <c r="G254" s="21"/>
      <c r="H254" s="29"/>
      <c r="I254" s="21"/>
      <c r="J254" s="29" t="str">
        <f t="array" ref="J254">iF('Ingest Template'!A254="Standard","Pristine Brand",INDEX(DropDown!$M$2:$M$392,MATCH('Ingest Template'!E254,DropDown!$J$2:$J$392,0)))</f>
        <v>#N/A</v>
      </c>
      <c r="K254" s="21" t="str">
        <f>iF('Ingest Template'!A254="Standard",'Ingest Template'!K254&amp;CHAR(10)&amp;'Ingest Template'!L254,"Competitive View")</f>
        <v>Competitive View</v>
      </c>
      <c r="L254" s="29" t="s">
        <v>146</v>
      </c>
      <c r="M254" s="37" t="str">
        <f>'Ingest Template'!D254</f>
        <v/>
      </c>
      <c r="N254" s="21"/>
      <c r="O254" s="21"/>
      <c r="P254" s="21"/>
      <c r="Q254" s="21"/>
      <c r="R254" s="21" t="str">
        <f>'Ingest Template'!E254</f>
        <v/>
      </c>
      <c r="S254" s="29" t="s">
        <v>153</v>
      </c>
      <c r="T254" s="21" t="str">
        <f>'Ingest Template'!T254</f>
        <v/>
      </c>
      <c r="U254" s="21" t="str">
        <f>'Ingest Template'!S254</f>
        <v/>
      </c>
      <c r="V254" s="21" t="str">
        <f>LOWER(SUBSTITUTE(SUBSTITUTE(SUBSTITUTE(SUBSTITUTE(SUBSTITUTE('Ingest Template'!U254,"https:",""),"www.",""),"/",""),"?hl=en",""),"instagram.com",""))</f>
        <v/>
      </c>
      <c r="W254" s="41" t="str">
        <f t="array" ref="W254">IF('Ingest Template'!V254="",(INDEX(DropDown!$L$2:$L$392,MATCH('Ingest Template'!E254,DropDown!$J$2:$J$392,0))&amp;"|"&amp;'Ingest Template'!B254),(INDEX(DropDown!$L$2:$L$392,MATCH('Ingest Template'!E254,DropDown!$J$2:$J$392,0))&amp;"|"&amp;'Ingest Template'!B254)&amp;CHAR(10)&amp;'Ingest Template'!V254)</f>
        <v>#N/A</v>
      </c>
      <c r="X254" s="41" t="str">
        <f>'Ingest Template'!W254</f>
        <v/>
      </c>
      <c r="Y254" s="21" t="str">
        <f>SUBSTITUTE(SUBSTITUTE(SUBSTITUTE('Ingest Template'!X254,"http:",""),"https:",""),"/","")</f>
        <v/>
      </c>
      <c r="Z254" s="21" t="str">
        <f t="array" ref="Z254">IF('Ingest Template'!A254="Standard",(IF(ISBLANK('Ingest Template'!AA254),"", 'Ingest Template'!AA254&amp;"|DAR")),(IF(ISBLANK('Ingest Template'!AA254),"", 'Ingest Template'!AA254&amp;"|Film Ops")))</f>
        <v/>
      </c>
      <c r="AA254" s="21"/>
      <c r="AB254" s="21" t="str">
        <f>'Ingest Template'!M254</f>
        <v/>
      </c>
      <c r="AC254" s="21" t="str">
        <f>'Ingest Template'!Y254</f>
        <v/>
      </c>
      <c r="AD254" s="21" t="str">
        <f>'Ingest Template'!C254</f>
        <v/>
      </c>
      <c r="AE254" s="21" t="str">
        <f>'Ingest Template'!Z254</f>
        <v/>
      </c>
      <c r="AF254" s="29"/>
      <c r="AG254" s="21" t="str">
        <f t="array" ref="AG254">IF('Ingest Template'!A254="Standard",(CONCATENATE(IF(ISBLANK('Ingest Template'!O254),"", 'Ingest Template'!O254&amp;"|DAR"),CHAR(10), IF(ISBLANK('Ingest Template'!P254),"", 'Ingest Template'!P254&amp;"|DAR"),CHAR(10), IF(ISBLANK('Ingest Template'!Q254),"", 'Ingest Template'!Q254&amp;"|DAR"))),(CONCATENATE(IF(ISBLANK('Ingest Template'!O254),"", 'Ingest Template'!O254&amp;"|Operations - Core Title"),CHAR(10), IF(ISBLANK('Ingest Template'!P254),"", 'Ingest Template'!P254&amp;"|Operations - Core Title"),CHAR(10), IF(ISBLANK('Ingest Template'!Q254),"", 'Ingest Template'!Q254&amp;"|Operations - Core Title"))))</f>
        <v>#|Operations - Core Title
#|Operations - Core Title
</v>
      </c>
      <c r="AH254" s="21"/>
      <c r="AI254" s="21"/>
      <c r="AJ254" s="53" t="str">
        <f>if('Ingest Template'!A254="Standard",'Ingest Template'!N254&amp; "|DAR|DAR|2021-01-01",'Ingest Template'!N254&amp; "|Operations - Core Title|Operations - Core Title")</f>
        <v>#N/A</v>
      </c>
      <c r="AK254" s="53" t="str">
        <f>if('Ingest Template'!A254="Standard",'Ingest Template'!R254&amp; "|2021-01-01",'Ingest Template'!R254)</f>
        <v>#N/A</v>
      </c>
      <c r="AL254" s="21"/>
      <c r="AM254" s="21"/>
    </row>
    <row r="255">
      <c r="A255" s="21"/>
      <c r="B255" s="21" t="str">
        <f>'Ingest Template'!B255&amp;IF('Ingest Template'!A255 = "Standard", " - DAR","")</f>
        <v/>
      </c>
      <c r="C255" s="26" t="s">
        <v>109</v>
      </c>
      <c r="D255" s="29" t="str">
        <f t="array" ref="D255">CONCATENATE(INDEX(DropDown!$H$2:$H$10,MATCH(1,COUNTIF('Ingest Template'!F255,"*"&amp;DropDown!$H$2:$H$10&amp;"*"),0)),CHAR(10),'Ingest Template'!G255)</f>
        <v>#N/A</v>
      </c>
      <c r="E255" s="21" t="str">
        <f>CONCATENATE('Ingest Template'!H255,CHAR(10),'Ingest Template'!I255,CHAR(10),'Ingest Template'!J255)</f>
        <v>
</v>
      </c>
      <c r="F255" s="26" t="str">
        <f>'Ingest Template'!H255</f>
        <v/>
      </c>
      <c r="G255" s="21"/>
      <c r="H255" s="29"/>
      <c r="I255" s="21"/>
      <c r="J255" s="29" t="str">
        <f t="array" ref="J255">iF('Ingest Template'!A255="Standard","Pristine Brand",INDEX(DropDown!$M$2:$M$392,MATCH('Ingest Template'!E255,DropDown!$J$2:$J$392,0)))</f>
        <v>#N/A</v>
      </c>
      <c r="K255" s="21" t="str">
        <f>iF('Ingest Template'!A255="Standard",'Ingest Template'!K255&amp;CHAR(10)&amp;'Ingest Template'!L255,"Competitive View")</f>
        <v>Competitive View</v>
      </c>
      <c r="L255" s="29" t="s">
        <v>146</v>
      </c>
      <c r="M255" s="37" t="str">
        <f>'Ingest Template'!D255</f>
        <v/>
      </c>
      <c r="N255" s="21"/>
      <c r="O255" s="21"/>
      <c r="P255" s="21"/>
      <c r="Q255" s="21"/>
      <c r="R255" s="21" t="str">
        <f>'Ingest Template'!E255</f>
        <v/>
      </c>
      <c r="S255" s="29" t="s">
        <v>153</v>
      </c>
      <c r="T255" s="21" t="str">
        <f>'Ingest Template'!T255</f>
        <v/>
      </c>
      <c r="U255" s="21" t="str">
        <f>'Ingest Template'!S255</f>
        <v/>
      </c>
      <c r="V255" s="21" t="str">
        <f>LOWER(SUBSTITUTE(SUBSTITUTE(SUBSTITUTE(SUBSTITUTE(SUBSTITUTE('Ingest Template'!U255,"https:",""),"www.",""),"/",""),"?hl=en",""),"instagram.com",""))</f>
        <v/>
      </c>
      <c r="W255" s="41" t="str">
        <f t="array" ref="W255">IF('Ingest Template'!V255="",(INDEX(DropDown!$L$2:$L$392,MATCH('Ingest Template'!E255,DropDown!$J$2:$J$392,0))&amp;"|"&amp;'Ingest Template'!B255),(INDEX(DropDown!$L$2:$L$392,MATCH('Ingest Template'!E255,DropDown!$J$2:$J$392,0))&amp;"|"&amp;'Ingest Template'!B255)&amp;CHAR(10)&amp;'Ingest Template'!V255)</f>
        <v>#N/A</v>
      </c>
      <c r="X255" s="41" t="str">
        <f>'Ingest Template'!W255</f>
        <v/>
      </c>
      <c r="Y255" s="21" t="str">
        <f>SUBSTITUTE(SUBSTITUTE(SUBSTITUTE('Ingest Template'!X255,"http:",""),"https:",""),"/","")</f>
        <v/>
      </c>
      <c r="Z255" s="21" t="str">
        <f t="array" ref="Z255">IF('Ingest Template'!A255="Standard",(IF(ISBLANK('Ingest Template'!AA255),"", 'Ingest Template'!AA255&amp;"|DAR")),(IF(ISBLANK('Ingest Template'!AA255),"", 'Ingest Template'!AA255&amp;"|Film Ops")))</f>
        <v/>
      </c>
      <c r="AA255" s="21"/>
      <c r="AB255" s="21" t="str">
        <f>'Ingest Template'!M255</f>
        <v/>
      </c>
      <c r="AC255" s="21" t="str">
        <f>'Ingest Template'!Y255</f>
        <v/>
      </c>
      <c r="AD255" s="21" t="str">
        <f>'Ingest Template'!C255</f>
        <v/>
      </c>
      <c r="AE255" s="21" t="str">
        <f>'Ingest Template'!Z255</f>
        <v/>
      </c>
      <c r="AF255" s="29"/>
      <c r="AG255" s="21" t="str">
        <f t="array" ref="AG255">IF('Ingest Template'!A255="Standard",(CONCATENATE(IF(ISBLANK('Ingest Template'!O255),"", 'Ingest Template'!O255&amp;"|DAR"),CHAR(10), IF(ISBLANK('Ingest Template'!P255),"", 'Ingest Template'!P255&amp;"|DAR"),CHAR(10), IF(ISBLANK('Ingest Template'!Q255),"", 'Ingest Template'!Q255&amp;"|DAR"))),(CONCATENATE(IF(ISBLANK('Ingest Template'!O255),"", 'Ingest Template'!O255&amp;"|Operations - Core Title"),CHAR(10), IF(ISBLANK('Ingest Template'!P255),"", 'Ingest Template'!P255&amp;"|Operations - Core Title"),CHAR(10), IF(ISBLANK('Ingest Template'!Q255),"", 'Ingest Template'!Q255&amp;"|Operations - Core Title"))))</f>
        <v>#|Operations - Core Title
#|Operations - Core Title
</v>
      </c>
      <c r="AH255" s="21"/>
      <c r="AI255" s="21"/>
      <c r="AJ255" s="53" t="str">
        <f>if('Ingest Template'!A255="Standard",'Ingest Template'!N255&amp; "|DAR|DAR|2021-01-01",'Ingest Template'!N255&amp; "|Operations - Core Title|Operations - Core Title")</f>
        <v>#N/A</v>
      </c>
      <c r="AK255" s="53" t="str">
        <f>if('Ingest Template'!A255="Standard",'Ingest Template'!R255&amp; "|2021-01-01",'Ingest Template'!R255)</f>
        <v>#N/A</v>
      </c>
      <c r="AL255" s="21"/>
      <c r="AM255" s="21"/>
    </row>
    <row r="256">
      <c r="A256" s="21"/>
      <c r="B256" s="21" t="str">
        <f>'Ingest Template'!B256&amp;IF('Ingest Template'!A256 = "Standard", " - DAR","")</f>
        <v/>
      </c>
      <c r="C256" s="26" t="s">
        <v>109</v>
      </c>
      <c r="D256" s="29" t="str">
        <f t="array" ref="D256">CONCATENATE(INDEX(DropDown!$H$2:$H$10,MATCH(1,COUNTIF('Ingest Template'!F256,"*"&amp;DropDown!$H$2:$H$10&amp;"*"),0)),CHAR(10),'Ingest Template'!G256)</f>
        <v>#N/A</v>
      </c>
      <c r="E256" s="21" t="str">
        <f>CONCATENATE('Ingest Template'!H256,CHAR(10),'Ingest Template'!I256,CHAR(10),'Ingest Template'!J256)</f>
        <v>
</v>
      </c>
      <c r="F256" s="26" t="str">
        <f>'Ingest Template'!H256</f>
        <v/>
      </c>
      <c r="G256" s="21"/>
      <c r="H256" s="29"/>
      <c r="I256" s="21"/>
      <c r="J256" s="29" t="str">
        <f t="array" ref="J256">iF('Ingest Template'!A256="Standard","Pristine Brand",INDEX(DropDown!$M$2:$M$392,MATCH('Ingest Template'!E256,DropDown!$J$2:$J$392,0)))</f>
        <v>#N/A</v>
      </c>
      <c r="K256" s="21" t="str">
        <f>iF('Ingest Template'!A256="Standard",'Ingest Template'!K256&amp;CHAR(10)&amp;'Ingest Template'!L256,"Competitive View")</f>
        <v>Competitive View</v>
      </c>
      <c r="L256" s="29" t="s">
        <v>146</v>
      </c>
      <c r="M256" s="37" t="str">
        <f>'Ingest Template'!D256</f>
        <v/>
      </c>
      <c r="N256" s="21"/>
      <c r="O256" s="21"/>
      <c r="P256" s="21"/>
      <c r="Q256" s="21"/>
      <c r="R256" s="21" t="str">
        <f>'Ingest Template'!E256</f>
        <v/>
      </c>
      <c r="S256" s="29" t="s">
        <v>153</v>
      </c>
      <c r="T256" s="21" t="str">
        <f>'Ingest Template'!T256</f>
        <v/>
      </c>
      <c r="U256" s="21" t="str">
        <f>'Ingest Template'!S256</f>
        <v/>
      </c>
      <c r="V256" s="21" t="str">
        <f>LOWER(SUBSTITUTE(SUBSTITUTE(SUBSTITUTE(SUBSTITUTE(SUBSTITUTE('Ingest Template'!U256,"https:",""),"www.",""),"/",""),"?hl=en",""),"instagram.com",""))</f>
        <v/>
      </c>
      <c r="W256" s="41" t="str">
        <f t="array" ref="W256">IF('Ingest Template'!V256="",(INDEX(DropDown!$L$2:$L$392,MATCH('Ingest Template'!E256,DropDown!$J$2:$J$392,0))&amp;"|"&amp;'Ingest Template'!B256),(INDEX(DropDown!$L$2:$L$392,MATCH('Ingest Template'!E256,DropDown!$J$2:$J$392,0))&amp;"|"&amp;'Ingest Template'!B256)&amp;CHAR(10)&amp;'Ingest Template'!V256)</f>
        <v>#N/A</v>
      </c>
      <c r="X256" s="41" t="str">
        <f>'Ingest Template'!W256</f>
        <v/>
      </c>
      <c r="Y256" s="21" t="str">
        <f>SUBSTITUTE(SUBSTITUTE(SUBSTITUTE('Ingest Template'!X256,"http:",""),"https:",""),"/","")</f>
        <v/>
      </c>
      <c r="Z256" s="21" t="str">
        <f t="array" ref="Z256">IF('Ingest Template'!A256="Standard",(IF(ISBLANK('Ingest Template'!AA256),"", 'Ingest Template'!AA256&amp;"|DAR")),(IF(ISBLANK('Ingest Template'!AA256),"", 'Ingest Template'!AA256&amp;"|Film Ops")))</f>
        <v/>
      </c>
      <c r="AA256" s="21"/>
      <c r="AB256" s="21" t="str">
        <f>'Ingest Template'!M256</f>
        <v/>
      </c>
      <c r="AC256" s="21" t="str">
        <f>'Ingest Template'!Y256</f>
        <v/>
      </c>
      <c r="AD256" s="21" t="str">
        <f>'Ingest Template'!C256</f>
        <v/>
      </c>
      <c r="AE256" s="21" t="str">
        <f>'Ingest Template'!Z256</f>
        <v/>
      </c>
      <c r="AF256" s="29"/>
      <c r="AG256" s="21" t="str">
        <f t="array" ref="AG256">IF('Ingest Template'!A256="Standard",(CONCATENATE(IF(ISBLANK('Ingest Template'!O256),"", 'Ingest Template'!O256&amp;"|DAR"),CHAR(10), IF(ISBLANK('Ingest Template'!P256),"", 'Ingest Template'!P256&amp;"|DAR"),CHAR(10), IF(ISBLANK('Ingest Template'!Q256),"", 'Ingest Template'!Q256&amp;"|DAR"))),(CONCATENATE(IF(ISBLANK('Ingest Template'!O256),"", 'Ingest Template'!O256&amp;"|Operations - Core Title"),CHAR(10), IF(ISBLANK('Ingest Template'!P256),"", 'Ingest Template'!P256&amp;"|Operations - Core Title"),CHAR(10), IF(ISBLANK('Ingest Template'!Q256),"", 'Ingest Template'!Q256&amp;"|Operations - Core Title"))))</f>
        <v>#|Operations - Core Title
#|Operations - Core Title
</v>
      </c>
      <c r="AH256" s="21"/>
      <c r="AI256" s="21"/>
      <c r="AJ256" s="53" t="str">
        <f>if('Ingest Template'!A256="Standard",'Ingest Template'!N256&amp; "|DAR|DAR|2021-01-01",'Ingest Template'!N256&amp; "|Operations - Core Title|Operations - Core Title")</f>
        <v>#N/A</v>
      </c>
      <c r="AK256" s="53" t="str">
        <f>if('Ingest Template'!A256="Standard",'Ingest Template'!R256&amp; "|2021-01-01",'Ingest Template'!R256)</f>
        <v>#N/A</v>
      </c>
      <c r="AL256" s="21"/>
      <c r="AM256" s="21"/>
    </row>
    <row r="257">
      <c r="A257" s="21"/>
      <c r="B257" s="21" t="str">
        <f>'Ingest Template'!B257&amp;IF('Ingest Template'!A257 = "Standard", " - DAR","")</f>
        <v/>
      </c>
      <c r="C257" s="26" t="s">
        <v>109</v>
      </c>
      <c r="D257" s="29" t="str">
        <f t="array" ref="D257">CONCATENATE(INDEX(DropDown!$H$2:$H$10,MATCH(1,COUNTIF('Ingest Template'!F257,"*"&amp;DropDown!$H$2:$H$10&amp;"*"),0)),CHAR(10),'Ingest Template'!G257)</f>
        <v>#N/A</v>
      </c>
      <c r="E257" s="21" t="str">
        <f>CONCATENATE('Ingest Template'!H257,CHAR(10),'Ingest Template'!I257,CHAR(10),'Ingest Template'!J257)</f>
        <v>
</v>
      </c>
      <c r="F257" s="26" t="str">
        <f>'Ingest Template'!H257</f>
        <v/>
      </c>
      <c r="G257" s="21"/>
      <c r="H257" s="29"/>
      <c r="I257" s="21"/>
      <c r="J257" s="29" t="str">
        <f t="array" ref="J257">iF('Ingest Template'!A257="Standard","Pristine Brand",INDEX(DropDown!$M$2:$M$392,MATCH('Ingest Template'!E257,DropDown!$J$2:$J$392,0)))</f>
        <v>#N/A</v>
      </c>
      <c r="K257" s="21" t="str">
        <f>iF('Ingest Template'!A257="Standard",'Ingest Template'!K257&amp;CHAR(10)&amp;'Ingest Template'!L257,"Competitive View")</f>
        <v>Competitive View</v>
      </c>
      <c r="L257" s="29" t="s">
        <v>146</v>
      </c>
      <c r="M257" s="37" t="str">
        <f>'Ingest Template'!D257</f>
        <v/>
      </c>
      <c r="N257" s="21"/>
      <c r="O257" s="21"/>
      <c r="P257" s="21"/>
      <c r="Q257" s="21"/>
      <c r="R257" s="21" t="str">
        <f>'Ingest Template'!E257</f>
        <v/>
      </c>
      <c r="S257" s="29" t="s">
        <v>153</v>
      </c>
      <c r="T257" s="21" t="str">
        <f>'Ingest Template'!T257</f>
        <v/>
      </c>
      <c r="U257" s="21" t="str">
        <f>'Ingest Template'!S257</f>
        <v/>
      </c>
      <c r="V257" s="21" t="str">
        <f>LOWER(SUBSTITUTE(SUBSTITUTE(SUBSTITUTE(SUBSTITUTE(SUBSTITUTE('Ingest Template'!U257,"https:",""),"www.",""),"/",""),"?hl=en",""),"instagram.com",""))</f>
        <v/>
      </c>
      <c r="W257" s="41" t="str">
        <f t="array" ref="W257">IF('Ingest Template'!V257="",(INDEX(DropDown!$L$2:$L$392,MATCH('Ingest Template'!E257,DropDown!$J$2:$J$392,0))&amp;"|"&amp;'Ingest Template'!B257),(INDEX(DropDown!$L$2:$L$392,MATCH('Ingest Template'!E257,DropDown!$J$2:$J$392,0))&amp;"|"&amp;'Ingest Template'!B257)&amp;CHAR(10)&amp;'Ingest Template'!V257)</f>
        <v>#N/A</v>
      </c>
      <c r="X257" s="41" t="str">
        <f>'Ingest Template'!W257</f>
        <v/>
      </c>
      <c r="Y257" s="21" t="str">
        <f>SUBSTITUTE(SUBSTITUTE(SUBSTITUTE('Ingest Template'!X257,"http:",""),"https:",""),"/","")</f>
        <v/>
      </c>
      <c r="Z257" s="21" t="str">
        <f t="array" ref="Z257">IF('Ingest Template'!A257="Standard",(IF(ISBLANK('Ingest Template'!AA257),"", 'Ingest Template'!AA257&amp;"|DAR")),(IF(ISBLANK('Ingest Template'!AA257),"", 'Ingest Template'!AA257&amp;"|Film Ops")))</f>
        <v/>
      </c>
      <c r="AA257" s="21"/>
      <c r="AB257" s="21" t="str">
        <f>'Ingest Template'!M257</f>
        <v/>
      </c>
      <c r="AC257" s="21" t="str">
        <f>'Ingest Template'!Y257</f>
        <v/>
      </c>
      <c r="AD257" s="21" t="str">
        <f>'Ingest Template'!C257</f>
        <v/>
      </c>
      <c r="AE257" s="21" t="str">
        <f>'Ingest Template'!Z257</f>
        <v/>
      </c>
      <c r="AF257" s="29"/>
      <c r="AG257" s="21" t="str">
        <f t="array" ref="AG257">IF('Ingest Template'!A257="Standard",(CONCATENATE(IF(ISBLANK('Ingest Template'!O257),"", 'Ingest Template'!O257&amp;"|DAR"),CHAR(10), IF(ISBLANK('Ingest Template'!P257),"", 'Ingest Template'!P257&amp;"|DAR"),CHAR(10), IF(ISBLANK('Ingest Template'!Q257),"", 'Ingest Template'!Q257&amp;"|DAR"))),(CONCATENATE(IF(ISBLANK('Ingest Template'!O257),"", 'Ingest Template'!O257&amp;"|Operations - Core Title"),CHAR(10), IF(ISBLANK('Ingest Template'!P257),"", 'Ingest Template'!P257&amp;"|Operations - Core Title"),CHAR(10), IF(ISBLANK('Ingest Template'!Q257),"", 'Ingest Template'!Q257&amp;"|Operations - Core Title"))))</f>
        <v>#|Operations - Core Title
#|Operations - Core Title
</v>
      </c>
      <c r="AH257" s="21"/>
      <c r="AI257" s="21"/>
      <c r="AJ257" s="53" t="str">
        <f>if('Ingest Template'!A257="Standard",'Ingest Template'!N257&amp; "|DAR|DAR|2021-01-01",'Ingest Template'!N257&amp; "|Operations - Core Title|Operations - Core Title")</f>
        <v>#N/A</v>
      </c>
      <c r="AK257" s="53" t="str">
        <f>if('Ingest Template'!A257="Standard",'Ingest Template'!R257&amp; "|2021-01-01",'Ingest Template'!R257)</f>
        <v>#N/A</v>
      </c>
      <c r="AL257" s="21"/>
      <c r="AM257" s="21"/>
    </row>
    <row r="258">
      <c r="A258" s="21"/>
      <c r="B258" s="21" t="str">
        <f>'Ingest Template'!B258&amp;IF('Ingest Template'!A258 = "Standard", " - DAR","")</f>
        <v/>
      </c>
      <c r="C258" s="26" t="s">
        <v>109</v>
      </c>
      <c r="D258" s="29" t="str">
        <f t="array" ref="D258">CONCATENATE(INDEX(DropDown!$H$2:$H$10,MATCH(1,COUNTIF('Ingest Template'!F258,"*"&amp;DropDown!$H$2:$H$10&amp;"*"),0)),CHAR(10),'Ingest Template'!G258)</f>
        <v>#N/A</v>
      </c>
      <c r="E258" s="21" t="str">
        <f>CONCATENATE('Ingest Template'!H258,CHAR(10),'Ingest Template'!I258,CHAR(10),'Ingest Template'!J258)</f>
        <v>
</v>
      </c>
      <c r="F258" s="26" t="str">
        <f>'Ingest Template'!H258</f>
        <v/>
      </c>
      <c r="G258" s="21"/>
      <c r="H258" s="29"/>
      <c r="I258" s="21"/>
      <c r="J258" s="29" t="str">
        <f t="array" ref="J258">iF('Ingest Template'!A258="Standard","Pristine Brand",INDEX(DropDown!$M$2:$M$392,MATCH('Ingest Template'!E258,DropDown!$J$2:$J$392,0)))</f>
        <v>#N/A</v>
      </c>
      <c r="K258" s="21" t="str">
        <f>iF('Ingest Template'!A258="Standard",'Ingest Template'!K258&amp;CHAR(10)&amp;'Ingest Template'!L258,"Competitive View")</f>
        <v>Competitive View</v>
      </c>
      <c r="L258" s="29" t="s">
        <v>146</v>
      </c>
      <c r="M258" s="37" t="str">
        <f>'Ingest Template'!D258</f>
        <v/>
      </c>
      <c r="N258" s="21"/>
      <c r="O258" s="21"/>
      <c r="P258" s="21"/>
      <c r="Q258" s="21"/>
      <c r="R258" s="21" t="str">
        <f>'Ingest Template'!E258</f>
        <v/>
      </c>
      <c r="S258" s="29" t="s">
        <v>153</v>
      </c>
      <c r="T258" s="21" t="str">
        <f>'Ingest Template'!T258</f>
        <v/>
      </c>
      <c r="U258" s="21" t="str">
        <f>'Ingest Template'!S258</f>
        <v/>
      </c>
      <c r="V258" s="21" t="str">
        <f>LOWER(SUBSTITUTE(SUBSTITUTE(SUBSTITUTE(SUBSTITUTE(SUBSTITUTE('Ingest Template'!U258,"https:",""),"www.",""),"/",""),"?hl=en",""),"instagram.com",""))</f>
        <v/>
      </c>
      <c r="W258" s="41" t="str">
        <f t="array" ref="W258">IF('Ingest Template'!V258="",(INDEX(DropDown!$L$2:$L$392,MATCH('Ingest Template'!E258,DropDown!$J$2:$J$392,0))&amp;"|"&amp;'Ingest Template'!B258),(INDEX(DropDown!$L$2:$L$392,MATCH('Ingest Template'!E258,DropDown!$J$2:$J$392,0))&amp;"|"&amp;'Ingest Template'!B258)&amp;CHAR(10)&amp;'Ingest Template'!V258)</f>
        <v>#N/A</v>
      </c>
      <c r="X258" s="41" t="str">
        <f>'Ingest Template'!W258</f>
        <v/>
      </c>
      <c r="Y258" s="21" t="str">
        <f>SUBSTITUTE(SUBSTITUTE(SUBSTITUTE('Ingest Template'!X258,"http:",""),"https:",""),"/","")</f>
        <v/>
      </c>
      <c r="Z258" s="21" t="str">
        <f t="array" ref="Z258">IF('Ingest Template'!A258="Standard",(IF(ISBLANK('Ingest Template'!AA258),"", 'Ingest Template'!AA258&amp;"|DAR")),(IF(ISBLANK('Ingest Template'!AA258),"", 'Ingest Template'!AA258&amp;"|Film Ops")))</f>
        <v/>
      </c>
      <c r="AA258" s="21"/>
      <c r="AB258" s="21" t="str">
        <f>'Ingest Template'!M258</f>
        <v/>
      </c>
      <c r="AC258" s="21" t="str">
        <f>'Ingest Template'!Y258</f>
        <v/>
      </c>
      <c r="AD258" s="21" t="str">
        <f>'Ingest Template'!C258</f>
        <v/>
      </c>
      <c r="AE258" s="21" t="str">
        <f>'Ingest Template'!Z258</f>
        <v/>
      </c>
      <c r="AF258" s="29"/>
      <c r="AG258" s="21" t="str">
        <f t="array" ref="AG258">IF('Ingest Template'!A258="Standard",(CONCATENATE(IF(ISBLANK('Ingest Template'!O258),"", 'Ingest Template'!O258&amp;"|DAR"),CHAR(10), IF(ISBLANK('Ingest Template'!P258),"", 'Ingest Template'!P258&amp;"|DAR"),CHAR(10), IF(ISBLANK('Ingest Template'!Q258),"", 'Ingest Template'!Q258&amp;"|DAR"))),(CONCATENATE(IF(ISBLANK('Ingest Template'!O258),"", 'Ingest Template'!O258&amp;"|Operations - Core Title"),CHAR(10), IF(ISBLANK('Ingest Template'!P258),"", 'Ingest Template'!P258&amp;"|Operations - Core Title"),CHAR(10), IF(ISBLANK('Ingest Template'!Q258),"", 'Ingest Template'!Q258&amp;"|Operations - Core Title"))))</f>
        <v>#|Operations - Core Title
#|Operations - Core Title
</v>
      </c>
      <c r="AH258" s="21"/>
      <c r="AI258" s="21"/>
      <c r="AJ258" s="53" t="str">
        <f>if('Ingest Template'!A258="Standard",'Ingest Template'!N258&amp; "|DAR|DAR|2021-01-01",'Ingest Template'!N258&amp; "|Operations - Core Title|Operations - Core Title")</f>
        <v>#N/A</v>
      </c>
      <c r="AK258" s="53" t="str">
        <f>if('Ingest Template'!A258="Standard",'Ingest Template'!R258&amp; "|2021-01-01",'Ingest Template'!R258)</f>
        <v>#N/A</v>
      </c>
      <c r="AL258" s="21"/>
      <c r="AM258" s="21"/>
    </row>
    <row r="259">
      <c r="A259" s="21"/>
      <c r="B259" s="21" t="str">
        <f>'Ingest Template'!B259&amp;IF('Ingest Template'!A259 = "Standard", " - DAR","")</f>
        <v/>
      </c>
      <c r="C259" s="26" t="s">
        <v>109</v>
      </c>
      <c r="D259" s="29" t="str">
        <f t="array" ref="D259">CONCATENATE(INDEX(DropDown!$H$2:$H$10,MATCH(1,COUNTIF('Ingest Template'!F259,"*"&amp;DropDown!$H$2:$H$10&amp;"*"),0)),CHAR(10),'Ingest Template'!G259)</f>
        <v>#N/A</v>
      </c>
      <c r="E259" s="21" t="str">
        <f>CONCATENATE('Ingest Template'!H259,CHAR(10),'Ingest Template'!I259,CHAR(10),'Ingest Template'!J259)</f>
        <v>
</v>
      </c>
      <c r="F259" s="26" t="str">
        <f>'Ingest Template'!H259</f>
        <v/>
      </c>
      <c r="G259" s="21"/>
      <c r="H259" s="29"/>
      <c r="I259" s="21"/>
      <c r="J259" s="29" t="str">
        <f t="array" ref="J259">iF('Ingest Template'!A259="Standard","Pristine Brand",INDEX(DropDown!$M$2:$M$392,MATCH('Ingest Template'!E259,DropDown!$J$2:$J$392,0)))</f>
        <v>#N/A</v>
      </c>
      <c r="K259" s="21" t="str">
        <f>iF('Ingest Template'!A259="Standard",'Ingest Template'!K259&amp;CHAR(10)&amp;'Ingest Template'!L259,"Competitive View")</f>
        <v>Competitive View</v>
      </c>
      <c r="L259" s="29" t="s">
        <v>146</v>
      </c>
      <c r="M259" s="37" t="str">
        <f>'Ingest Template'!D259</f>
        <v/>
      </c>
      <c r="N259" s="21"/>
      <c r="O259" s="21"/>
      <c r="P259" s="21"/>
      <c r="Q259" s="21"/>
      <c r="R259" s="21" t="str">
        <f>'Ingest Template'!E259</f>
        <v/>
      </c>
      <c r="S259" s="29" t="s">
        <v>153</v>
      </c>
      <c r="T259" s="21" t="str">
        <f>'Ingest Template'!T259</f>
        <v/>
      </c>
      <c r="U259" s="21" t="str">
        <f>'Ingest Template'!S259</f>
        <v/>
      </c>
      <c r="V259" s="21" t="str">
        <f>LOWER(SUBSTITUTE(SUBSTITUTE(SUBSTITUTE(SUBSTITUTE(SUBSTITUTE('Ingest Template'!U259,"https:",""),"www.",""),"/",""),"?hl=en",""),"instagram.com",""))</f>
        <v/>
      </c>
      <c r="W259" s="41" t="str">
        <f t="array" ref="W259">IF('Ingest Template'!V259="",(INDEX(DropDown!$L$2:$L$392,MATCH('Ingest Template'!E259,DropDown!$J$2:$J$392,0))&amp;"|"&amp;'Ingest Template'!B259),(INDEX(DropDown!$L$2:$L$392,MATCH('Ingest Template'!E259,DropDown!$J$2:$J$392,0))&amp;"|"&amp;'Ingest Template'!B259)&amp;CHAR(10)&amp;'Ingest Template'!V259)</f>
        <v>#N/A</v>
      </c>
      <c r="X259" s="41" t="str">
        <f>'Ingest Template'!W259</f>
        <v/>
      </c>
      <c r="Y259" s="21" t="str">
        <f>SUBSTITUTE(SUBSTITUTE(SUBSTITUTE('Ingest Template'!X259,"http:",""),"https:",""),"/","")</f>
        <v/>
      </c>
      <c r="Z259" s="21" t="str">
        <f t="array" ref="Z259">IF('Ingest Template'!A259="Standard",(IF(ISBLANK('Ingest Template'!AA259),"", 'Ingest Template'!AA259&amp;"|DAR")),(IF(ISBLANK('Ingest Template'!AA259),"", 'Ingest Template'!AA259&amp;"|Film Ops")))</f>
        <v/>
      </c>
      <c r="AA259" s="21"/>
      <c r="AB259" s="21" t="str">
        <f>'Ingest Template'!M259</f>
        <v/>
      </c>
      <c r="AC259" s="21" t="str">
        <f>'Ingest Template'!Y259</f>
        <v/>
      </c>
      <c r="AD259" s="21" t="str">
        <f>'Ingest Template'!C259</f>
        <v/>
      </c>
      <c r="AE259" s="21" t="str">
        <f>'Ingest Template'!Z259</f>
        <v/>
      </c>
      <c r="AF259" s="29"/>
      <c r="AG259" s="21" t="str">
        <f t="array" ref="AG259">IF('Ingest Template'!A259="Standard",(CONCATENATE(IF(ISBLANK('Ingest Template'!O259),"", 'Ingest Template'!O259&amp;"|DAR"),CHAR(10), IF(ISBLANK('Ingest Template'!P259),"", 'Ingest Template'!P259&amp;"|DAR"),CHAR(10), IF(ISBLANK('Ingest Template'!Q259),"", 'Ingest Template'!Q259&amp;"|DAR"))),(CONCATENATE(IF(ISBLANK('Ingest Template'!O259),"", 'Ingest Template'!O259&amp;"|Operations - Core Title"),CHAR(10), IF(ISBLANK('Ingest Template'!P259),"", 'Ingest Template'!P259&amp;"|Operations - Core Title"),CHAR(10), IF(ISBLANK('Ingest Template'!Q259),"", 'Ingest Template'!Q259&amp;"|Operations - Core Title"))))</f>
        <v>#|Operations - Core Title
#|Operations - Core Title
</v>
      </c>
      <c r="AH259" s="21"/>
      <c r="AI259" s="21"/>
      <c r="AJ259" s="53" t="str">
        <f>if('Ingest Template'!A259="Standard",'Ingest Template'!N259&amp; "|DAR|DAR|2021-01-01",'Ingest Template'!N259&amp; "|Operations - Core Title|Operations - Core Title")</f>
        <v>#N/A</v>
      </c>
      <c r="AK259" s="53" t="str">
        <f>if('Ingest Template'!A259="Standard",'Ingest Template'!R259&amp; "|2021-01-01",'Ingest Template'!R259)</f>
        <v>#N/A</v>
      </c>
      <c r="AL259" s="21"/>
      <c r="AM259" s="21"/>
    </row>
    <row r="260">
      <c r="A260" s="21"/>
      <c r="B260" s="21" t="str">
        <f>'Ingest Template'!B260&amp;IF('Ingest Template'!A260 = "Standard", " - DAR","")</f>
        <v/>
      </c>
      <c r="C260" s="26" t="s">
        <v>109</v>
      </c>
      <c r="D260" s="29" t="str">
        <f t="array" ref="D260">CONCATENATE(INDEX(DropDown!$H$2:$H$10,MATCH(1,COUNTIF('Ingest Template'!F260,"*"&amp;DropDown!$H$2:$H$10&amp;"*"),0)),CHAR(10),'Ingest Template'!G260)</f>
        <v>#N/A</v>
      </c>
      <c r="E260" s="21" t="str">
        <f>CONCATENATE('Ingest Template'!H260,CHAR(10),'Ingest Template'!I260,CHAR(10),'Ingest Template'!J260)</f>
        <v>
</v>
      </c>
      <c r="F260" s="26" t="str">
        <f>'Ingest Template'!H260</f>
        <v/>
      </c>
      <c r="G260" s="21"/>
      <c r="H260" s="29"/>
      <c r="I260" s="21"/>
      <c r="J260" s="29" t="str">
        <f t="array" ref="J260">iF('Ingest Template'!A260="Standard","Pristine Brand",INDEX(DropDown!$M$2:$M$392,MATCH('Ingest Template'!E260,DropDown!$J$2:$J$392,0)))</f>
        <v>#N/A</v>
      </c>
      <c r="K260" s="21" t="str">
        <f>iF('Ingest Template'!A260="Standard",'Ingest Template'!K260&amp;CHAR(10)&amp;'Ingest Template'!L260,"Competitive View")</f>
        <v>Competitive View</v>
      </c>
      <c r="L260" s="29" t="s">
        <v>146</v>
      </c>
      <c r="M260" s="37" t="str">
        <f>'Ingest Template'!D260</f>
        <v/>
      </c>
      <c r="N260" s="21"/>
      <c r="O260" s="21"/>
      <c r="P260" s="21"/>
      <c r="Q260" s="21"/>
      <c r="R260" s="21" t="str">
        <f>'Ingest Template'!E260</f>
        <v/>
      </c>
      <c r="S260" s="29" t="s">
        <v>153</v>
      </c>
      <c r="T260" s="21" t="str">
        <f>'Ingest Template'!T260</f>
        <v/>
      </c>
      <c r="U260" s="21" t="str">
        <f>'Ingest Template'!S260</f>
        <v/>
      </c>
      <c r="V260" s="21" t="str">
        <f>LOWER(SUBSTITUTE(SUBSTITUTE(SUBSTITUTE(SUBSTITUTE(SUBSTITUTE('Ingest Template'!U260,"https:",""),"www.",""),"/",""),"?hl=en",""),"instagram.com",""))</f>
        <v/>
      </c>
      <c r="W260" s="41" t="str">
        <f t="array" ref="W260">IF('Ingest Template'!V260="",(INDEX(DropDown!$L$2:$L$392,MATCH('Ingest Template'!E260,DropDown!$J$2:$J$392,0))&amp;"|"&amp;'Ingest Template'!B260),(INDEX(DropDown!$L$2:$L$392,MATCH('Ingest Template'!E260,DropDown!$J$2:$J$392,0))&amp;"|"&amp;'Ingest Template'!B260)&amp;CHAR(10)&amp;'Ingest Template'!V260)</f>
        <v>#N/A</v>
      </c>
      <c r="X260" s="41" t="str">
        <f>'Ingest Template'!W260</f>
        <v/>
      </c>
      <c r="Y260" s="21" t="str">
        <f>SUBSTITUTE(SUBSTITUTE(SUBSTITUTE('Ingest Template'!X260,"http:",""),"https:",""),"/","")</f>
        <v/>
      </c>
      <c r="Z260" s="21" t="str">
        <f t="array" ref="Z260">IF('Ingest Template'!A260="Standard",(IF(ISBLANK('Ingest Template'!AA260),"", 'Ingest Template'!AA260&amp;"|DAR")),(IF(ISBLANK('Ingest Template'!AA260),"", 'Ingest Template'!AA260&amp;"|Film Ops")))</f>
        <v/>
      </c>
      <c r="AA260" s="21"/>
      <c r="AB260" s="21" t="str">
        <f>'Ingest Template'!M260</f>
        <v/>
      </c>
      <c r="AC260" s="21" t="str">
        <f>'Ingest Template'!Y260</f>
        <v/>
      </c>
      <c r="AD260" s="21" t="str">
        <f>'Ingest Template'!C260</f>
        <v/>
      </c>
      <c r="AE260" s="21" t="str">
        <f>'Ingest Template'!Z260</f>
        <v/>
      </c>
      <c r="AF260" s="29"/>
      <c r="AG260" s="21" t="str">
        <f t="array" ref="AG260">IF('Ingest Template'!A260="Standard",(CONCATENATE(IF(ISBLANK('Ingest Template'!O260),"", 'Ingest Template'!O260&amp;"|DAR"),CHAR(10), IF(ISBLANK('Ingest Template'!P260),"", 'Ingest Template'!P260&amp;"|DAR"),CHAR(10), IF(ISBLANK('Ingest Template'!Q260),"", 'Ingest Template'!Q260&amp;"|DAR"))),(CONCATENATE(IF(ISBLANK('Ingest Template'!O260),"", 'Ingest Template'!O260&amp;"|Operations - Core Title"),CHAR(10), IF(ISBLANK('Ingest Template'!P260),"", 'Ingest Template'!P260&amp;"|Operations - Core Title"),CHAR(10), IF(ISBLANK('Ingest Template'!Q260),"", 'Ingest Template'!Q260&amp;"|Operations - Core Title"))))</f>
        <v>#|Operations - Core Title
#|Operations - Core Title
</v>
      </c>
      <c r="AH260" s="21"/>
      <c r="AI260" s="21"/>
      <c r="AJ260" s="53" t="str">
        <f>if('Ingest Template'!A260="Standard",'Ingest Template'!N260&amp; "|DAR|DAR|2021-01-01",'Ingest Template'!N260&amp; "|Operations - Core Title|Operations - Core Title")</f>
        <v>#N/A</v>
      </c>
      <c r="AK260" s="53" t="str">
        <f>if('Ingest Template'!A260="Standard",'Ingest Template'!R260&amp; "|2021-01-01",'Ingest Template'!R260)</f>
        <v>#N/A</v>
      </c>
      <c r="AL260" s="21"/>
      <c r="AM260" s="21"/>
    </row>
    <row r="261">
      <c r="A261" s="21"/>
      <c r="B261" s="21" t="str">
        <f>'Ingest Template'!B261&amp;IF('Ingest Template'!A261 = "Standard", " - DAR","")</f>
        <v/>
      </c>
      <c r="C261" s="26" t="s">
        <v>109</v>
      </c>
      <c r="D261" s="29" t="str">
        <f t="array" ref="D261">CONCATENATE(INDEX(DropDown!$H$2:$H$10,MATCH(1,COUNTIF('Ingest Template'!F261,"*"&amp;DropDown!$H$2:$H$10&amp;"*"),0)),CHAR(10),'Ingest Template'!G261)</f>
        <v>#N/A</v>
      </c>
      <c r="E261" s="21" t="str">
        <f>CONCATENATE('Ingest Template'!H261,CHAR(10),'Ingest Template'!I261,CHAR(10),'Ingest Template'!J261)</f>
        <v>
</v>
      </c>
      <c r="F261" s="26" t="str">
        <f>'Ingest Template'!H261</f>
        <v/>
      </c>
      <c r="G261" s="21"/>
      <c r="H261" s="29"/>
      <c r="I261" s="21"/>
      <c r="J261" s="29" t="str">
        <f t="array" ref="J261">iF('Ingest Template'!A261="Standard","Pristine Brand",INDEX(DropDown!$M$2:$M$392,MATCH('Ingest Template'!E261,DropDown!$J$2:$J$392,0)))</f>
        <v>#N/A</v>
      </c>
      <c r="K261" s="21" t="str">
        <f>iF('Ingest Template'!A261="Standard",'Ingest Template'!K261&amp;CHAR(10)&amp;'Ingest Template'!L261,"Competitive View")</f>
        <v>Competitive View</v>
      </c>
      <c r="L261" s="29" t="s">
        <v>146</v>
      </c>
      <c r="M261" s="37" t="str">
        <f>'Ingest Template'!D261</f>
        <v/>
      </c>
      <c r="N261" s="21"/>
      <c r="O261" s="21"/>
      <c r="P261" s="21"/>
      <c r="Q261" s="21"/>
      <c r="R261" s="21" t="str">
        <f>'Ingest Template'!E261</f>
        <v/>
      </c>
      <c r="S261" s="29" t="s">
        <v>153</v>
      </c>
      <c r="T261" s="21" t="str">
        <f>'Ingest Template'!T261</f>
        <v/>
      </c>
      <c r="U261" s="21" t="str">
        <f>'Ingest Template'!S261</f>
        <v/>
      </c>
      <c r="V261" s="21" t="str">
        <f>LOWER(SUBSTITUTE(SUBSTITUTE(SUBSTITUTE(SUBSTITUTE(SUBSTITUTE('Ingest Template'!U261,"https:",""),"www.",""),"/",""),"?hl=en",""),"instagram.com",""))</f>
        <v/>
      </c>
      <c r="W261" s="41" t="str">
        <f t="array" ref="W261">IF('Ingest Template'!V261="",(INDEX(DropDown!$L$2:$L$392,MATCH('Ingest Template'!E261,DropDown!$J$2:$J$392,0))&amp;"|"&amp;'Ingest Template'!B261),(INDEX(DropDown!$L$2:$L$392,MATCH('Ingest Template'!E261,DropDown!$J$2:$J$392,0))&amp;"|"&amp;'Ingest Template'!B261)&amp;CHAR(10)&amp;'Ingest Template'!V261)</f>
        <v>#N/A</v>
      </c>
      <c r="X261" s="41" t="str">
        <f>'Ingest Template'!W261</f>
        <v/>
      </c>
      <c r="Y261" s="21" t="str">
        <f>SUBSTITUTE(SUBSTITUTE(SUBSTITUTE('Ingest Template'!X261,"http:",""),"https:",""),"/","")</f>
        <v/>
      </c>
      <c r="Z261" s="21" t="str">
        <f t="array" ref="Z261">IF('Ingest Template'!A261="Standard",(IF(ISBLANK('Ingest Template'!AA261),"", 'Ingest Template'!AA261&amp;"|DAR")),(IF(ISBLANK('Ingest Template'!AA261),"", 'Ingest Template'!AA261&amp;"|Film Ops")))</f>
        <v/>
      </c>
      <c r="AA261" s="21"/>
      <c r="AB261" s="21" t="str">
        <f>'Ingest Template'!M261</f>
        <v/>
      </c>
      <c r="AC261" s="21" t="str">
        <f>'Ingest Template'!Y261</f>
        <v/>
      </c>
      <c r="AD261" s="21" t="str">
        <f>'Ingest Template'!C261</f>
        <v/>
      </c>
      <c r="AE261" s="21" t="str">
        <f>'Ingest Template'!Z261</f>
        <v/>
      </c>
      <c r="AF261" s="29"/>
      <c r="AG261" s="21" t="str">
        <f t="array" ref="AG261">IF('Ingest Template'!A261="Standard",(CONCATENATE(IF(ISBLANK('Ingest Template'!O261),"", 'Ingest Template'!O261&amp;"|DAR"),CHAR(10), IF(ISBLANK('Ingest Template'!P261),"", 'Ingest Template'!P261&amp;"|DAR"),CHAR(10), IF(ISBLANK('Ingest Template'!Q261),"", 'Ingest Template'!Q261&amp;"|DAR"))),(CONCATENATE(IF(ISBLANK('Ingest Template'!O261),"", 'Ingest Template'!O261&amp;"|Operations - Core Title"),CHAR(10), IF(ISBLANK('Ingest Template'!P261),"", 'Ingest Template'!P261&amp;"|Operations - Core Title"),CHAR(10), IF(ISBLANK('Ingest Template'!Q261),"", 'Ingest Template'!Q261&amp;"|Operations - Core Title"))))</f>
        <v>#|Operations - Core Title
#|Operations - Core Title
</v>
      </c>
      <c r="AH261" s="21"/>
      <c r="AI261" s="21"/>
      <c r="AJ261" s="53" t="str">
        <f>if('Ingest Template'!A261="Standard",'Ingest Template'!N261&amp; "|DAR|DAR|2021-01-01",'Ingest Template'!N261&amp; "|Operations - Core Title|Operations - Core Title")</f>
        <v>#N/A</v>
      </c>
      <c r="AK261" s="53" t="str">
        <f>if('Ingest Template'!A261="Standard",'Ingest Template'!R261&amp; "|2021-01-01",'Ingest Template'!R261)</f>
        <v>#N/A</v>
      </c>
      <c r="AL261" s="21"/>
      <c r="AM261" s="21"/>
    </row>
    <row r="262">
      <c r="A262" s="21"/>
      <c r="B262" s="21" t="str">
        <f>'Ingest Template'!B262&amp;IF('Ingest Template'!A262 = "Standard", " - DAR","")</f>
        <v/>
      </c>
      <c r="C262" s="26" t="s">
        <v>109</v>
      </c>
      <c r="D262" s="29" t="str">
        <f t="array" ref="D262">CONCATENATE(INDEX(DropDown!$H$2:$H$10,MATCH(1,COUNTIF('Ingest Template'!F262,"*"&amp;DropDown!$H$2:$H$10&amp;"*"),0)),CHAR(10),'Ingest Template'!G262)</f>
        <v>#N/A</v>
      </c>
      <c r="E262" s="21" t="str">
        <f>CONCATENATE('Ingest Template'!H262,CHAR(10),'Ingest Template'!I262,CHAR(10),'Ingest Template'!J262)</f>
        <v>
</v>
      </c>
      <c r="F262" s="26" t="str">
        <f>'Ingest Template'!H262</f>
        <v/>
      </c>
      <c r="G262" s="21"/>
      <c r="H262" s="29"/>
      <c r="I262" s="21"/>
      <c r="J262" s="29" t="str">
        <f t="array" ref="J262">iF('Ingest Template'!A262="Standard","Pristine Brand",INDEX(DropDown!$M$2:$M$392,MATCH('Ingest Template'!E262,DropDown!$J$2:$J$392,0)))</f>
        <v>#N/A</v>
      </c>
      <c r="K262" s="21" t="str">
        <f>iF('Ingest Template'!A262="Standard",'Ingest Template'!K262&amp;CHAR(10)&amp;'Ingest Template'!L262,"Competitive View")</f>
        <v>Competitive View</v>
      </c>
      <c r="L262" s="29" t="s">
        <v>146</v>
      </c>
      <c r="M262" s="37" t="str">
        <f>'Ingest Template'!D262</f>
        <v/>
      </c>
      <c r="N262" s="21"/>
      <c r="O262" s="21"/>
      <c r="P262" s="21"/>
      <c r="Q262" s="21"/>
      <c r="R262" s="21" t="str">
        <f>'Ingest Template'!E262</f>
        <v/>
      </c>
      <c r="S262" s="29" t="s">
        <v>153</v>
      </c>
      <c r="T262" s="21" t="str">
        <f>'Ingest Template'!T262</f>
        <v/>
      </c>
      <c r="U262" s="21" t="str">
        <f>'Ingest Template'!S262</f>
        <v/>
      </c>
      <c r="V262" s="21" t="str">
        <f>LOWER(SUBSTITUTE(SUBSTITUTE(SUBSTITUTE(SUBSTITUTE(SUBSTITUTE('Ingest Template'!U262,"https:",""),"www.",""),"/",""),"?hl=en",""),"instagram.com",""))</f>
        <v/>
      </c>
      <c r="W262" s="41" t="str">
        <f t="array" ref="W262">IF('Ingest Template'!V262="",(INDEX(DropDown!$L$2:$L$392,MATCH('Ingest Template'!E262,DropDown!$J$2:$J$392,0))&amp;"|"&amp;'Ingest Template'!B262),(INDEX(DropDown!$L$2:$L$392,MATCH('Ingest Template'!E262,DropDown!$J$2:$J$392,0))&amp;"|"&amp;'Ingest Template'!B262)&amp;CHAR(10)&amp;'Ingest Template'!V262)</f>
        <v>#N/A</v>
      </c>
      <c r="X262" s="41" t="str">
        <f>'Ingest Template'!W262</f>
        <v/>
      </c>
      <c r="Y262" s="21" t="str">
        <f>SUBSTITUTE(SUBSTITUTE(SUBSTITUTE('Ingest Template'!X262,"http:",""),"https:",""),"/","")</f>
        <v/>
      </c>
      <c r="Z262" s="21" t="str">
        <f t="array" ref="Z262">IF('Ingest Template'!A262="Standard",(IF(ISBLANK('Ingest Template'!AA262),"", 'Ingest Template'!AA262&amp;"|DAR")),(IF(ISBLANK('Ingest Template'!AA262),"", 'Ingest Template'!AA262&amp;"|Film Ops")))</f>
        <v/>
      </c>
      <c r="AA262" s="21"/>
      <c r="AB262" s="21" t="str">
        <f>'Ingest Template'!M262</f>
        <v/>
      </c>
      <c r="AC262" s="21" t="str">
        <f>'Ingest Template'!Y262</f>
        <v/>
      </c>
      <c r="AD262" s="21" t="str">
        <f>'Ingest Template'!C262</f>
        <v/>
      </c>
      <c r="AE262" s="21" t="str">
        <f>'Ingest Template'!Z262</f>
        <v/>
      </c>
      <c r="AF262" s="29"/>
      <c r="AG262" s="21" t="str">
        <f t="array" ref="AG262">IF('Ingest Template'!A262="Standard",(CONCATENATE(IF(ISBLANK('Ingest Template'!O262),"", 'Ingest Template'!O262&amp;"|DAR"),CHAR(10), IF(ISBLANK('Ingest Template'!P262),"", 'Ingest Template'!P262&amp;"|DAR"),CHAR(10), IF(ISBLANK('Ingest Template'!Q262),"", 'Ingest Template'!Q262&amp;"|DAR"))),(CONCATENATE(IF(ISBLANK('Ingest Template'!O262),"", 'Ingest Template'!O262&amp;"|Operations - Core Title"),CHAR(10), IF(ISBLANK('Ingest Template'!P262),"", 'Ingest Template'!P262&amp;"|Operations - Core Title"),CHAR(10), IF(ISBLANK('Ingest Template'!Q262),"", 'Ingest Template'!Q262&amp;"|Operations - Core Title"))))</f>
        <v>#|Operations - Core Title
#|Operations - Core Title
</v>
      </c>
      <c r="AH262" s="21"/>
      <c r="AI262" s="21"/>
      <c r="AJ262" s="53" t="str">
        <f>if('Ingest Template'!A262="Standard",'Ingest Template'!N262&amp; "|DAR|DAR|2021-01-01",'Ingest Template'!N262&amp; "|Operations - Core Title|Operations - Core Title")</f>
        <v>#N/A</v>
      </c>
      <c r="AK262" s="53" t="str">
        <f>if('Ingest Template'!A262="Standard",'Ingest Template'!R262&amp; "|2021-01-01",'Ingest Template'!R262)</f>
        <v>#N/A</v>
      </c>
      <c r="AL262" s="21"/>
      <c r="AM262" s="21"/>
    </row>
    <row r="263">
      <c r="A263" s="21"/>
      <c r="B263" s="21" t="str">
        <f>'Ingest Template'!B263&amp;IF('Ingest Template'!A263 = "Standard", " - DAR","")</f>
        <v/>
      </c>
      <c r="C263" s="26" t="s">
        <v>109</v>
      </c>
      <c r="D263" s="29" t="str">
        <f t="array" ref="D263">CONCATENATE(INDEX(DropDown!$H$2:$H$10,MATCH(1,COUNTIF('Ingest Template'!F263,"*"&amp;DropDown!$H$2:$H$10&amp;"*"),0)),CHAR(10),'Ingest Template'!G263)</f>
        <v>#N/A</v>
      </c>
      <c r="E263" s="21" t="str">
        <f>CONCATENATE('Ingest Template'!H263,CHAR(10),'Ingest Template'!I263,CHAR(10),'Ingest Template'!J263)</f>
        <v>
</v>
      </c>
      <c r="F263" s="26" t="str">
        <f>'Ingest Template'!H263</f>
        <v/>
      </c>
      <c r="G263" s="21"/>
      <c r="H263" s="29"/>
      <c r="I263" s="21"/>
      <c r="J263" s="29" t="str">
        <f t="array" ref="J263">iF('Ingest Template'!A263="Standard","Pristine Brand",INDEX(DropDown!$M$2:$M$392,MATCH('Ingest Template'!E263,DropDown!$J$2:$J$392,0)))</f>
        <v>#N/A</v>
      </c>
      <c r="K263" s="21" t="str">
        <f>iF('Ingest Template'!A263="Standard",'Ingest Template'!K263&amp;CHAR(10)&amp;'Ingest Template'!L263,"Competitive View")</f>
        <v>Competitive View</v>
      </c>
      <c r="L263" s="29" t="s">
        <v>146</v>
      </c>
      <c r="M263" s="37" t="str">
        <f>'Ingest Template'!D263</f>
        <v/>
      </c>
      <c r="N263" s="21"/>
      <c r="O263" s="21"/>
      <c r="P263" s="21"/>
      <c r="Q263" s="21"/>
      <c r="R263" s="21" t="str">
        <f>'Ingest Template'!E263</f>
        <v/>
      </c>
      <c r="S263" s="29" t="s">
        <v>153</v>
      </c>
      <c r="T263" s="21" t="str">
        <f>'Ingest Template'!T263</f>
        <v/>
      </c>
      <c r="U263" s="21" t="str">
        <f>'Ingest Template'!S263</f>
        <v/>
      </c>
      <c r="V263" s="21" t="str">
        <f>LOWER(SUBSTITUTE(SUBSTITUTE(SUBSTITUTE(SUBSTITUTE(SUBSTITUTE('Ingest Template'!U263,"https:",""),"www.",""),"/",""),"?hl=en",""),"instagram.com",""))</f>
        <v/>
      </c>
      <c r="W263" s="41" t="str">
        <f t="array" ref="W263">IF('Ingest Template'!V263="",(INDEX(DropDown!$L$2:$L$392,MATCH('Ingest Template'!E263,DropDown!$J$2:$J$392,0))&amp;"|"&amp;'Ingest Template'!B263),(INDEX(DropDown!$L$2:$L$392,MATCH('Ingest Template'!E263,DropDown!$J$2:$J$392,0))&amp;"|"&amp;'Ingest Template'!B263)&amp;CHAR(10)&amp;'Ingest Template'!V263)</f>
        <v>#N/A</v>
      </c>
      <c r="X263" s="41" t="str">
        <f>'Ingest Template'!W263</f>
        <v/>
      </c>
      <c r="Y263" s="21" t="str">
        <f>SUBSTITUTE(SUBSTITUTE(SUBSTITUTE('Ingest Template'!X263,"http:",""),"https:",""),"/","")</f>
        <v/>
      </c>
      <c r="Z263" s="21" t="str">
        <f t="array" ref="Z263">IF('Ingest Template'!A263="Standard",(IF(ISBLANK('Ingest Template'!AA263),"", 'Ingest Template'!AA263&amp;"|DAR")),(IF(ISBLANK('Ingest Template'!AA263),"", 'Ingest Template'!AA263&amp;"|Film Ops")))</f>
        <v/>
      </c>
      <c r="AA263" s="21"/>
      <c r="AB263" s="21" t="str">
        <f>'Ingest Template'!M263</f>
        <v/>
      </c>
      <c r="AC263" s="21" t="str">
        <f>'Ingest Template'!Y263</f>
        <v/>
      </c>
      <c r="AD263" s="21" t="str">
        <f>'Ingest Template'!C263</f>
        <v/>
      </c>
      <c r="AE263" s="21" t="str">
        <f>'Ingest Template'!Z263</f>
        <v/>
      </c>
      <c r="AF263" s="29"/>
      <c r="AG263" s="21" t="str">
        <f t="array" ref="AG263">IF('Ingest Template'!A263="Standard",(CONCATENATE(IF(ISBLANK('Ingest Template'!O263),"", 'Ingest Template'!O263&amp;"|DAR"),CHAR(10), IF(ISBLANK('Ingest Template'!P263),"", 'Ingest Template'!P263&amp;"|DAR"),CHAR(10), IF(ISBLANK('Ingest Template'!Q263),"", 'Ingest Template'!Q263&amp;"|DAR"))),(CONCATENATE(IF(ISBLANK('Ingest Template'!O263),"", 'Ingest Template'!O263&amp;"|Operations - Core Title"),CHAR(10), IF(ISBLANK('Ingest Template'!P263),"", 'Ingest Template'!P263&amp;"|Operations - Core Title"),CHAR(10), IF(ISBLANK('Ingest Template'!Q263),"", 'Ingest Template'!Q263&amp;"|Operations - Core Title"))))</f>
        <v>#|Operations - Core Title
#|Operations - Core Title
</v>
      </c>
      <c r="AH263" s="21"/>
      <c r="AI263" s="21"/>
      <c r="AJ263" s="53" t="str">
        <f>if('Ingest Template'!A263="Standard",'Ingest Template'!N263&amp; "|DAR|DAR|2021-01-01",'Ingest Template'!N263&amp; "|Operations - Core Title|Operations - Core Title")</f>
        <v>#N/A</v>
      </c>
      <c r="AK263" s="53" t="str">
        <f>if('Ingest Template'!A263="Standard",'Ingest Template'!R263&amp; "|2021-01-01",'Ingest Template'!R263)</f>
        <v>#N/A</v>
      </c>
      <c r="AL263" s="21"/>
      <c r="AM263" s="21"/>
    </row>
    <row r="264">
      <c r="A264" s="21"/>
      <c r="B264" s="21" t="str">
        <f>'Ingest Template'!B264&amp;IF('Ingest Template'!A264 = "Standard", " - DAR","")</f>
        <v/>
      </c>
      <c r="C264" s="26" t="s">
        <v>109</v>
      </c>
      <c r="D264" s="29" t="str">
        <f t="array" ref="D264">CONCATENATE(INDEX(DropDown!$H$2:$H$10,MATCH(1,COUNTIF('Ingest Template'!F264,"*"&amp;DropDown!$H$2:$H$10&amp;"*"),0)),CHAR(10),'Ingest Template'!G264)</f>
        <v>#N/A</v>
      </c>
      <c r="E264" s="21" t="str">
        <f>CONCATENATE('Ingest Template'!H264,CHAR(10),'Ingest Template'!I264,CHAR(10),'Ingest Template'!J264)</f>
        <v>
</v>
      </c>
      <c r="F264" s="26" t="str">
        <f>'Ingest Template'!H264</f>
        <v/>
      </c>
      <c r="G264" s="21"/>
      <c r="H264" s="29"/>
      <c r="I264" s="21"/>
      <c r="J264" s="29" t="str">
        <f t="array" ref="J264">iF('Ingest Template'!A264="Standard","Pristine Brand",INDEX(DropDown!$M$2:$M$392,MATCH('Ingest Template'!E264,DropDown!$J$2:$J$392,0)))</f>
        <v>#N/A</v>
      </c>
      <c r="K264" s="21" t="str">
        <f>iF('Ingest Template'!A264="Standard",'Ingest Template'!K264&amp;CHAR(10)&amp;'Ingest Template'!L264,"Competitive View")</f>
        <v>Competitive View</v>
      </c>
      <c r="L264" s="29" t="s">
        <v>146</v>
      </c>
      <c r="M264" s="37" t="str">
        <f>'Ingest Template'!D264</f>
        <v/>
      </c>
      <c r="N264" s="21"/>
      <c r="O264" s="21"/>
      <c r="P264" s="21"/>
      <c r="Q264" s="21"/>
      <c r="R264" s="21" t="str">
        <f>'Ingest Template'!E264</f>
        <v/>
      </c>
      <c r="S264" s="29" t="s">
        <v>153</v>
      </c>
      <c r="T264" s="21" t="str">
        <f>'Ingest Template'!T264</f>
        <v/>
      </c>
      <c r="U264" s="21" t="str">
        <f>'Ingest Template'!S264</f>
        <v/>
      </c>
      <c r="V264" s="21" t="str">
        <f>LOWER(SUBSTITUTE(SUBSTITUTE(SUBSTITUTE(SUBSTITUTE(SUBSTITUTE('Ingest Template'!U264,"https:",""),"www.",""),"/",""),"?hl=en",""),"instagram.com",""))</f>
        <v/>
      </c>
      <c r="W264" s="41" t="str">
        <f t="array" ref="W264">IF('Ingest Template'!V264="",(INDEX(DropDown!$L$2:$L$392,MATCH('Ingest Template'!E264,DropDown!$J$2:$J$392,0))&amp;"|"&amp;'Ingest Template'!B264),(INDEX(DropDown!$L$2:$L$392,MATCH('Ingest Template'!E264,DropDown!$J$2:$J$392,0))&amp;"|"&amp;'Ingest Template'!B264)&amp;CHAR(10)&amp;'Ingest Template'!V264)</f>
        <v>#N/A</v>
      </c>
      <c r="X264" s="41" t="str">
        <f>'Ingest Template'!W264</f>
        <v/>
      </c>
      <c r="Y264" s="21" t="str">
        <f>SUBSTITUTE(SUBSTITUTE(SUBSTITUTE('Ingest Template'!X264,"http:",""),"https:",""),"/","")</f>
        <v/>
      </c>
      <c r="Z264" s="21" t="str">
        <f t="array" ref="Z264">IF('Ingest Template'!A264="Standard",(IF(ISBLANK('Ingest Template'!AA264),"", 'Ingest Template'!AA264&amp;"|DAR")),(IF(ISBLANK('Ingest Template'!AA264),"", 'Ingest Template'!AA264&amp;"|Film Ops")))</f>
        <v/>
      </c>
      <c r="AA264" s="21"/>
      <c r="AB264" s="21" t="str">
        <f>'Ingest Template'!M264</f>
        <v/>
      </c>
      <c r="AC264" s="21" t="str">
        <f>'Ingest Template'!Y264</f>
        <v/>
      </c>
      <c r="AD264" s="21" t="str">
        <f>'Ingest Template'!C264</f>
        <v/>
      </c>
      <c r="AE264" s="21" t="str">
        <f>'Ingest Template'!Z264</f>
        <v/>
      </c>
      <c r="AF264" s="29"/>
      <c r="AG264" s="21" t="str">
        <f t="array" ref="AG264">IF('Ingest Template'!A264="Standard",(CONCATENATE(IF(ISBLANK('Ingest Template'!O264),"", 'Ingest Template'!O264&amp;"|DAR"),CHAR(10), IF(ISBLANK('Ingest Template'!P264),"", 'Ingest Template'!P264&amp;"|DAR"),CHAR(10), IF(ISBLANK('Ingest Template'!Q264),"", 'Ingest Template'!Q264&amp;"|DAR"))),(CONCATENATE(IF(ISBLANK('Ingest Template'!O264),"", 'Ingest Template'!O264&amp;"|Operations - Core Title"),CHAR(10), IF(ISBLANK('Ingest Template'!P264),"", 'Ingest Template'!P264&amp;"|Operations - Core Title"),CHAR(10), IF(ISBLANK('Ingest Template'!Q264),"", 'Ingest Template'!Q264&amp;"|Operations - Core Title"))))</f>
        <v>#|Operations - Core Title
#|Operations - Core Title
</v>
      </c>
      <c r="AH264" s="21"/>
      <c r="AI264" s="21"/>
      <c r="AJ264" s="53" t="str">
        <f>if('Ingest Template'!A264="Standard",'Ingest Template'!N264&amp; "|DAR|DAR|2021-01-01",'Ingest Template'!N264&amp; "|Operations - Core Title|Operations - Core Title")</f>
        <v>#N/A</v>
      </c>
      <c r="AK264" s="53" t="str">
        <f>if('Ingest Template'!A264="Standard",'Ingest Template'!R264&amp; "|2021-01-01",'Ingest Template'!R264)</f>
        <v>#N/A</v>
      </c>
      <c r="AL264" s="21"/>
      <c r="AM264" s="21"/>
    </row>
    <row r="265">
      <c r="A265" s="21"/>
      <c r="B265" s="21" t="str">
        <f>'Ingest Template'!B265&amp;IF('Ingest Template'!A265 = "Standard", " - DAR","")</f>
        <v/>
      </c>
      <c r="C265" s="26" t="s">
        <v>109</v>
      </c>
      <c r="D265" s="29" t="str">
        <f t="array" ref="D265">CONCATENATE(INDEX(DropDown!$H$2:$H$10,MATCH(1,COUNTIF('Ingest Template'!F265,"*"&amp;DropDown!$H$2:$H$10&amp;"*"),0)),CHAR(10),'Ingest Template'!G265)</f>
        <v>#N/A</v>
      </c>
      <c r="E265" s="21" t="str">
        <f>CONCATENATE('Ingest Template'!H265,CHAR(10),'Ingest Template'!I265,CHAR(10),'Ingest Template'!J265)</f>
        <v>
</v>
      </c>
      <c r="F265" s="26" t="str">
        <f>'Ingest Template'!H265</f>
        <v/>
      </c>
      <c r="G265" s="21"/>
      <c r="H265" s="29"/>
      <c r="I265" s="21"/>
      <c r="J265" s="29" t="str">
        <f t="array" ref="J265">iF('Ingest Template'!A265="Standard","Pristine Brand",INDEX(DropDown!$M$2:$M$392,MATCH('Ingest Template'!E265,DropDown!$J$2:$J$392,0)))</f>
        <v>#N/A</v>
      </c>
      <c r="K265" s="21" t="str">
        <f>iF('Ingest Template'!A265="Standard",'Ingest Template'!K265&amp;CHAR(10)&amp;'Ingest Template'!L265,"Competitive View")</f>
        <v>Competitive View</v>
      </c>
      <c r="L265" s="29" t="s">
        <v>146</v>
      </c>
      <c r="M265" s="37" t="str">
        <f>'Ingest Template'!D265</f>
        <v/>
      </c>
      <c r="N265" s="21"/>
      <c r="O265" s="21"/>
      <c r="P265" s="21"/>
      <c r="Q265" s="21"/>
      <c r="R265" s="21" t="str">
        <f>'Ingest Template'!E265</f>
        <v/>
      </c>
      <c r="S265" s="29" t="s">
        <v>153</v>
      </c>
      <c r="T265" s="21" t="str">
        <f>'Ingest Template'!T265</f>
        <v/>
      </c>
      <c r="U265" s="21" t="str">
        <f>'Ingest Template'!S265</f>
        <v/>
      </c>
      <c r="V265" s="21" t="str">
        <f>LOWER(SUBSTITUTE(SUBSTITUTE(SUBSTITUTE(SUBSTITUTE(SUBSTITUTE('Ingest Template'!U265,"https:",""),"www.",""),"/",""),"?hl=en",""),"instagram.com",""))</f>
        <v/>
      </c>
      <c r="W265" s="41" t="str">
        <f t="array" ref="W265">IF('Ingest Template'!V265="",(INDEX(DropDown!$L$2:$L$392,MATCH('Ingest Template'!E265,DropDown!$J$2:$J$392,0))&amp;"|"&amp;'Ingest Template'!B265),(INDEX(DropDown!$L$2:$L$392,MATCH('Ingest Template'!E265,DropDown!$J$2:$J$392,0))&amp;"|"&amp;'Ingest Template'!B265)&amp;CHAR(10)&amp;'Ingest Template'!V265)</f>
        <v>#N/A</v>
      </c>
      <c r="X265" s="41" t="str">
        <f>'Ingest Template'!W265</f>
        <v/>
      </c>
      <c r="Y265" s="21" t="str">
        <f>SUBSTITUTE(SUBSTITUTE(SUBSTITUTE('Ingest Template'!X265,"http:",""),"https:",""),"/","")</f>
        <v/>
      </c>
      <c r="Z265" s="21" t="str">
        <f t="array" ref="Z265">IF('Ingest Template'!A265="Standard",(IF(ISBLANK('Ingest Template'!AA265),"", 'Ingest Template'!AA265&amp;"|DAR")),(IF(ISBLANK('Ingest Template'!AA265),"", 'Ingest Template'!AA265&amp;"|Film Ops")))</f>
        <v/>
      </c>
      <c r="AA265" s="21"/>
      <c r="AB265" s="21" t="str">
        <f>'Ingest Template'!M265</f>
        <v/>
      </c>
      <c r="AC265" s="21" t="str">
        <f>'Ingest Template'!Y265</f>
        <v/>
      </c>
      <c r="AD265" s="21" t="str">
        <f>'Ingest Template'!C265</f>
        <v/>
      </c>
      <c r="AE265" s="21" t="str">
        <f>'Ingest Template'!Z265</f>
        <v/>
      </c>
      <c r="AF265" s="29"/>
      <c r="AG265" s="21" t="str">
        <f t="array" ref="AG265">IF('Ingest Template'!A265="Standard",(CONCATENATE(IF(ISBLANK('Ingest Template'!O265),"", 'Ingest Template'!O265&amp;"|DAR"),CHAR(10), IF(ISBLANK('Ingest Template'!P265),"", 'Ingest Template'!P265&amp;"|DAR"),CHAR(10), IF(ISBLANK('Ingest Template'!Q265),"", 'Ingest Template'!Q265&amp;"|DAR"))),(CONCATENATE(IF(ISBLANK('Ingest Template'!O265),"", 'Ingest Template'!O265&amp;"|Operations - Core Title"),CHAR(10), IF(ISBLANK('Ingest Template'!P265),"", 'Ingest Template'!P265&amp;"|Operations - Core Title"),CHAR(10), IF(ISBLANK('Ingest Template'!Q265),"", 'Ingest Template'!Q265&amp;"|Operations - Core Title"))))</f>
        <v>#|Operations - Core Title
#|Operations - Core Title
</v>
      </c>
      <c r="AH265" s="21"/>
      <c r="AI265" s="21"/>
      <c r="AJ265" s="53" t="str">
        <f>if('Ingest Template'!A265="Standard",'Ingest Template'!N265&amp; "|DAR|DAR|2021-01-01",'Ingest Template'!N265&amp; "|Operations - Core Title|Operations - Core Title")</f>
        <v>#N/A</v>
      </c>
      <c r="AK265" s="53" t="str">
        <f>if('Ingest Template'!A265="Standard",'Ingest Template'!R265&amp; "|2021-01-01",'Ingest Template'!R265)</f>
        <v>#N/A</v>
      </c>
      <c r="AL265" s="21"/>
      <c r="AM265" s="21"/>
    </row>
    <row r="266">
      <c r="A266" s="21"/>
      <c r="B266" s="21" t="str">
        <f>'Ingest Template'!B266&amp;IF('Ingest Template'!A266 = "Standard", " - DAR","")</f>
        <v/>
      </c>
      <c r="C266" s="26" t="s">
        <v>109</v>
      </c>
      <c r="D266" s="29" t="str">
        <f t="array" ref="D266">CONCATENATE(INDEX(DropDown!$H$2:$H$10,MATCH(1,COUNTIF('Ingest Template'!F266,"*"&amp;DropDown!$H$2:$H$10&amp;"*"),0)),CHAR(10),'Ingest Template'!G266)</f>
        <v>#N/A</v>
      </c>
      <c r="E266" s="21" t="str">
        <f>CONCATENATE('Ingest Template'!H266,CHAR(10),'Ingest Template'!I266,CHAR(10),'Ingest Template'!J266)</f>
        <v>
</v>
      </c>
      <c r="F266" s="26" t="str">
        <f>'Ingest Template'!H266</f>
        <v/>
      </c>
      <c r="G266" s="21"/>
      <c r="H266" s="29"/>
      <c r="I266" s="21"/>
      <c r="J266" s="29" t="str">
        <f t="array" ref="J266">iF('Ingest Template'!A266="Standard","Pristine Brand",INDEX(DropDown!$M$2:$M$392,MATCH('Ingest Template'!E266,DropDown!$J$2:$J$392,0)))</f>
        <v>#N/A</v>
      </c>
      <c r="K266" s="21" t="str">
        <f>iF('Ingest Template'!A266="Standard",'Ingest Template'!K266&amp;CHAR(10)&amp;'Ingest Template'!L266,"Competitive View")</f>
        <v>Competitive View</v>
      </c>
      <c r="L266" s="29" t="s">
        <v>146</v>
      </c>
      <c r="M266" s="37" t="str">
        <f>'Ingest Template'!D266</f>
        <v/>
      </c>
      <c r="N266" s="21"/>
      <c r="O266" s="21"/>
      <c r="P266" s="21"/>
      <c r="Q266" s="21"/>
      <c r="R266" s="21" t="str">
        <f>'Ingest Template'!E266</f>
        <v/>
      </c>
      <c r="S266" s="29" t="s">
        <v>153</v>
      </c>
      <c r="T266" s="21" t="str">
        <f>'Ingest Template'!T266</f>
        <v/>
      </c>
      <c r="U266" s="21" t="str">
        <f>'Ingest Template'!S266</f>
        <v/>
      </c>
      <c r="V266" s="21" t="str">
        <f>LOWER(SUBSTITUTE(SUBSTITUTE(SUBSTITUTE(SUBSTITUTE(SUBSTITUTE('Ingest Template'!U266,"https:",""),"www.",""),"/",""),"?hl=en",""),"instagram.com",""))</f>
        <v/>
      </c>
      <c r="W266" s="41" t="str">
        <f t="array" ref="W266">IF('Ingest Template'!V266="",(INDEX(DropDown!$L$2:$L$392,MATCH('Ingest Template'!E266,DropDown!$J$2:$J$392,0))&amp;"|"&amp;'Ingest Template'!B266),(INDEX(DropDown!$L$2:$L$392,MATCH('Ingest Template'!E266,DropDown!$J$2:$J$392,0))&amp;"|"&amp;'Ingest Template'!B266)&amp;CHAR(10)&amp;'Ingest Template'!V266)</f>
        <v>#N/A</v>
      </c>
      <c r="X266" s="41" t="str">
        <f>'Ingest Template'!W266</f>
        <v/>
      </c>
      <c r="Y266" s="21" t="str">
        <f>SUBSTITUTE(SUBSTITUTE(SUBSTITUTE('Ingest Template'!X266,"http:",""),"https:",""),"/","")</f>
        <v/>
      </c>
      <c r="Z266" s="21" t="str">
        <f t="array" ref="Z266">IF('Ingest Template'!A266="Standard",(IF(ISBLANK('Ingest Template'!AA266),"", 'Ingest Template'!AA266&amp;"|DAR")),(IF(ISBLANK('Ingest Template'!AA266),"", 'Ingest Template'!AA266&amp;"|Film Ops")))</f>
        <v/>
      </c>
      <c r="AA266" s="21"/>
      <c r="AB266" s="21" t="str">
        <f>'Ingest Template'!M266</f>
        <v/>
      </c>
      <c r="AC266" s="21" t="str">
        <f>'Ingest Template'!Y266</f>
        <v/>
      </c>
      <c r="AD266" s="21" t="str">
        <f>'Ingest Template'!C266</f>
        <v/>
      </c>
      <c r="AE266" s="21" t="str">
        <f>'Ingest Template'!Z266</f>
        <v/>
      </c>
      <c r="AF266" s="29"/>
      <c r="AG266" s="21" t="str">
        <f t="array" ref="AG266">IF('Ingest Template'!A266="Standard",(CONCATENATE(IF(ISBLANK('Ingest Template'!O266),"", 'Ingest Template'!O266&amp;"|DAR"),CHAR(10), IF(ISBLANK('Ingest Template'!P266),"", 'Ingest Template'!P266&amp;"|DAR"),CHAR(10), IF(ISBLANK('Ingest Template'!Q266),"", 'Ingest Template'!Q266&amp;"|DAR"))),(CONCATENATE(IF(ISBLANK('Ingest Template'!O266),"", 'Ingest Template'!O266&amp;"|Operations - Core Title"),CHAR(10), IF(ISBLANK('Ingest Template'!P266),"", 'Ingest Template'!P266&amp;"|Operations - Core Title"),CHAR(10), IF(ISBLANK('Ingest Template'!Q266),"", 'Ingest Template'!Q266&amp;"|Operations - Core Title"))))</f>
        <v>#|Operations - Core Title
#|Operations - Core Title
</v>
      </c>
      <c r="AH266" s="21"/>
      <c r="AI266" s="21"/>
      <c r="AJ266" s="53" t="str">
        <f>if('Ingest Template'!A266="Standard",'Ingest Template'!N266&amp; "|DAR|DAR|2021-01-01",'Ingest Template'!N266&amp; "|Operations - Core Title|Operations - Core Title")</f>
        <v>#N/A</v>
      </c>
      <c r="AK266" s="53" t="str">
        <f>if('Ingest Template'!A266="Standard",'Ingest Template'!R266&amp; "|2021-01-01",'Ingest Template'!R266)</f>
        <v>#N/A</v>
      </c>
      <c r="AL266" s="21"/>
      <c r="AM266" s="21"/>
    </row>
    <row r="267">
      <c r="A267" s="21"/>
      <c r="B267" s="21" t="str">
        <f>'Ingest Template'!B267&amp;IF('Ingest Template'!A267 = "Standard", " - DAR","")</f>
        <v/>
      </c>
      <c r="C267" s="26" t="s">
        <v>109</v>
      </c>
      <c r="D267" s="29" t="str">
        <f t="array" ref="D267">CONCATENATE(INDEX(DropDown!$H$2:$H$10,MATCH(1,COUNTIF('Ingest Template'!F267,"*"&amp;DropDown!$H$2:$H$10&amp;"*"),0)),CHAR(10),'Ingest Template'!G267)</f>
        <v>#N/A</v>
      </c>
      <c r="E267" s="21" t="str">
        <f>CONCATENATE('Ingest Template'!H267,CHAR(10),'Ingest Template'!I267,CHAR(10),'Ingest Template'!J267)</f>
        <v>
</v>
      </c>
      <c r="F267" s="26" t="str">
        <f>'Ingest Template'!H267</f>
        <v/>
      </c>
      <c r="G267" s="21"/>
      <c r="H267" s="29"/>
      <c r="I267" s="21"/>
      <c r="J267" s="29" t="str">
        <f t="array" ref="J267">iF('Ingest Template'!A267="Standard","Pristine Brand",INDEX(DropDown!$M$2:$M$392,MATCH('Ingest Template'!E267,DropDown!$J$2:$J$392,0)))</f>
        <v>#N/A</v>
      </c>
      <c r="K267" s="21" t="str">
        <f>iF('Ingest Template'!A267="Standard",'Ingest Template'!K267&amp;CHAR(10)&amp;'Ingest Template'!L267,"Competitive View")</f>
        <v>Competitive View</v>
      </c>
      <c r="L267" s="29" t="s">
        <v>146</v>
      </c>
      <c r="M267" s="37" t="str">
        <f>'Ingest Template'!D267</f>
        <v/>
      </c>
      <c r="N267" s="21"/>
      <c r="O267" s="21"/>
      <c r="P267" s="21"/>
      <c r="Q267" s="21"/>
      <c r="R267" s="21" t="str">
        <f>'Ingest Template'!E267</f>
        <v/>
      </c>
      <c r="S267" s="29" t="s">
        <v>153</v>
      </c>
      <c r="T267" s="21" t="str">
        <f>'Ingest Template'!T267</f>
        <v/>
      </c>
      <c r="U267" s="21" t="str">
        <f>'Ingest Template'!S267</f>
        <v/>
      </c>
      <c r="V267" s="21" t="str">
        <f>LOWER(SUBSTITUTE(SUBSTITUTE(SUBSTITUTE(SUBSTITUTE(SUBSTITUTE('Ingest Template'!U267,"https:",""),"www.",""),"/",""),"?hl=en",""),"instagram.com",""))</f>
        <v/>
      </c>
      <c r="W267" s="41" t="str">
        <f t="array" ref="W267">IF('Ingest Template'!V267="",(INDEX(DropDown!$L$2:$L$392,MATCH('Ingest Template'!E267,DropDown!$J$2:$J$392,0))&amp;"|"&amp;'Ingest Template'!B267),(INDEX(DropDown!$L$2:$L$392,MATCH('Ingest Template'!E267,DropDown!$J$2:$J$392,0))&amp;"|"&amp;'Ingest Template'!B267)&amp;CHAR(10)&amp;'Ingest Template'!V267)</f>
        <v>#N/A</v>
      </c>
      <c r="X267" s="41" t="str">
        <f>'Ingest Template'!W267</f>
        <v/>
      </c>
      <c r="Y267" s="21" t="str">
        <f>SUBSTITUTE(SUBSTITUTE(SUBSTITUTE('Ingest Template'!X267,"http:",""),"https:",""),"/","")</f>
        <v/>
      </c>
      <c r="Z267" s="21" t="str">
        <f t="array" ref="Z267">IF('Ingest Template'!A267="Standard",(IF(ISBLANK('Ingest Template'!AA267),"", 'Ingest Template'!AA267&amp;"|DAR")),(IF(ISBLANK('Ingest Template'!AA267),"", 'Ingest Template'!AA267&amp;"|Film Ops")))</f>
        <v/>
      </c>
      <c r="AA267" s="21"/>
      <c r="AB267" s="21" t="str">
        <f>'Ingest Template'!M267</f>
        <v/>
      </c>
      <c r="AC267" s="21" t="str">
        <f>'Ingest Template'!Y267</f>
        <v/>
      </c>
      <c r="AD267" s="21" t="str">
        <f>'Ingest Template'!C267</f>
        <v/>
      </c>
      <c r="AE267" s="21" t="str">
        <f>'Ingest Template'!Z267</f>
        <v/>
      </c>
      <c r="AF267" s="29"/>
      <c r="AG267" s="21" t="str">
        <f t="array" ref="AG267">IF('Ingest Template'!A267="Standard",(CONCATENATE(IF(ISBLANK('Ingest Template'!O267),"", 'Ingest Template'!O267&amp;"|DAR"),CHAR(10), IF(ISBLANK('Ingest Template'!P267),"", 'Ingest Template'!P267&amp;"|DAR"),CHAR(10), IF(ISBLANK('Ingest Template'!Q267),"", 'Ingest Template'!Q267&amp;"|DAR"))),(CONCATENATE(IF(ISBLANK('Ingest Template'!O267),"", 'Ingest Template'!O267&amp;"|Operations - Core Title"),CHAR(10), IF(ISBLANK('Ingest Template'!P267),"", 'Ingest Template'!P267&amp;"|Operations - Core Title"),CHAR(10), IF(ISBLANK('Ingest Template'!Q267),"", 'Ingest Template'!Q267&amp;"|Operations - Core Title"))))</f>
        <v>#|Operations - Core Title
#|Operations - Core Title
</v>
      </c>
      <c r="AH267" s="21"/>
      <c r="AI267" s="21"/>
      <c r="AJ267" s="53" t="str">
        <f>if('Ingest Template'!A267="Standard",'Ingest Template'!N267&amp; "|DAR|DAR|2021-01-01",'Ingest Template'!N267&amp; "|Operations - Core Title|Operations - Core Title")</f>
        <v>#N/A</v>
      </c>
      <c r="AK267" s="53" t="str">
        <f>if('Ingest Template'!A267="Standard",'Ingest Template'!R267&amp; "|2021-01-01",'Ingest Template'!R267)</f>
        <v>#N/A</v>
      </c>
      <c r="AL267" s="21"/>
      <c r="AM267" s="21"/>
    </row>
    <row r="268">
      <c r="A268" s="21"/>
      <c r="B268" s="21" t="str">
        <f>'Ingest Template'!B268&amp;IF('Ingest Template'!A268 = "Standard", " - DAR","")</f>
        <v/>
      </c>
      <c r="C268" s="26" t="s">
        <v>109</v>
      </c>
      <c r="D268" s="29" t="str">
        <f t="array" ref="D268">CONCATENATE(INDEX(DropDown!$H$2:$H$10,MATCH(1,COUNTIF('Ingest Template'!F268,"*"&amp;DropDown!$H$2:$H$10&amp;"*"),0)),CHAR(10),'Ingest Template'!G268)</f>
        <v>#N/A</v>
      </c>
      <c r="E268" s="21" t="str">
        <f>CONCATENATE('Ingest Template'!H268,CHAR(10),'Ingest Template'!I268,CHAR(10),'Ingest Template'!J268)</f>
        <v>
</v>
      </c>
      <c r="F268" s="26" t="str">
        <f>'Ingest Template'!H268</f>
        <v/>
      </c>
      <c r="G268" s="21"/>
      <c r="H268" s="29"/>
      <c r="I268" s="21"/>
      <c r="J268" s="29" t="str">
        <f t="array" ref="J268">iF('Ingest Template'!A268="Standard","Pristine Brand",INDEX(DropDown!$M$2:$M$392,MATCH('Ingest Template'!E268,DropDown!$J$2:$J$392,0)))</f>
        <v>#N/A</v>
      </c>
      <c r="K268" s="21" t="str">
        <f>iF('Ingest Template'!A268="Standard",'Ingest Template'!K268&amp;CHAR(10)&amp;'Ingest Template'!L268,"Competitive View")</f>
        <v>Competitive View</v>
      </c>
      <c r="L268" s="29" t="s">
        <v>146</v>
      </c>
      <c r="M268" s="37" t="str">
        <f>'Ingest Template'!D268</f>
        <v/>
      </c>
      <c r="N268" s="21"/>
      <c r="O268" s="21"/>
      <c r="P268" s="21"/>
      <c r="Q268" s="21"/>
      <c r="R268" s="21" t="str">
        <f>'Ingest Template'!E268</f>
        <v/>
      </c>
      <c r="S268" s="29" t="s">
        <v>153</v>
      </c>
      <c r="T268" s="21" t="str">
        <f>'Ingest Template'!T268</f>
        <v/>
      </c>
      <c r="U268" s="21" t="str">
        <f>'Ingest Template'!S268</f>
        <v/>
      </c>
      <c r="V268" s="21" t="str">
        <f>LOWER(SUBSTITUTE(SUBSTITUTE(SUBSTITUTE(SUBSTITUTE(SUBSTITUTE('Ingest Template'!U268,"https:",""),"www.",""),"/",""),"?hl=en",""),"instagram.com",""))</f>
        <v/>
      </c>
      <c r="W268" s="41" t="str">
        <f t="array" ref="W268">IF('Ingest Template'!V268="",(INDEX(DropDown!$L$2:$L$392,MATCH('Ingest Template'!E268,DropDown!$J$2:$J$392,0))&amp;"|"&amp;'Ingest Template'!B268),(INDEX(DropDown!$L$2:$L$392,MATCH('Ingest Template'!E268,DropDown!$J$2:$J$392,0))&amp;"|"&amp;'Ingest Template'!B268)&amp;CHAR(10)&amp;'Ingest Template'!V268)</f>
        <v>#N/A</v>
      </c>
      <c r="X268" s="41" t="str">
        <f>'Ingest Template'!W268</f>
        <v/>
      </c>
      <c r="Y268" s="21" t="str">
        <f>SUBSTITUTE(SUBSTITUTE(SUBSTITUTE('Ingest Template'!X268,"http:",""),"https:",""),"/","")</f>
        <v/>
      </c>
      <c r="Z268" s="21" t="str">
        <f t="array" ref="Z268">IF('Ingest Template'!A268="Standard",(IF(ISBLANK('Ingest Template'!AA268),"", 'Ingest Template'!AA268&amp;"|DAR")),(IF(ISBLANK('Ingest Template'!AA268),"", 'Ingest Template'!AA268&amp;"|Film Ops")))</f>
        <v/>
      </c>
      <c r="AA268" s="21"/>
      <c r="AB268" s="21" t="str">
        <f>'Ingest Template'!M268</f>
        <v/>
      </c>
      <c r="AC268" s="21" t="str">
        <f>'Ingest Template'!Y268</f>
        <v/>
      </c>
      <c r="AD268" s="21" t="str">
        <f>'Ingest Template'!C268</f>
        <v/>
      </c>
      <c r="AE268" s="21" t="str">
        <f>'Ingest Template'!Z268</f>
        <v/>
      </c>
      <c r="AF268" s="29"/>
      <c r="AG268" s="21" t="str">
        <f t="array" ref="AG268">IF('Ingest Template'!A268="Standard",(CONCATENATE(IF(ISBLANK('Ingest Template'!O268),"", 'Ingest Template'!O268&amp;"|DAR"),CHAR(10), IF(ISBLANK('Ingest Template'!P268),"", 'Ingest Template'!P268&amp;"|DAR"),CHAR(10), IF(ISBLANK('Ingest Template'!Q268),"", 'Ingest Template'!Q268&amp;"|DAR"))),(CONCATENATE(IF(ISBLANK('Ingest Template'!O268),"", 'Ingest Template'!O268&amp;"|Operations - Core Title"),CHAR(10), IF(ISBLANK('Ingest Template'!P268),"", 'Ingest Template'!P268&amp;"|Operations - Core Title"),CHAR(10), IF(ISBLANK('Ingest Template'!Q268),"", 'Ingest Template'!Q268&amp;"|Operations - Core Title"))))</f>
        <v>#|Operations - Core Title
#|Operations - Core Title
</v>
      </c>
      <c r="AH268" s="21"/>
      <c r="AI268" s="21"/>
      <c r="AJ268" s="53" t="str">
        <f>if('Ingest Template'!A268="Standard",'Ingest Template'!N268&amp; "|DAR|DAR|2021-01-01",'Ingest Template'!N268&amp; "|Operations - Core Title|Operations - Core Title")</f>
        <v>#N/A</v>
      </c>
      <c r="AK268" s="53" t="str">
        <f>if('Ingest Template'!A268="Standard",'Ingest Template'!R268&amp; "|2021-01-01",'Ingest Template'!R268)</f>
        <v>#N/A</v>
      </c>
      <c r="AL268" s="21"/>
      <c r="AM268" s="21"/>
    </row>
    <row r="269">
      <c r="A269" s="21"/>
      <c r="B269" s="21" t="str">
        <f>'Ingest Template'!B269&amp;IF('Ingest Template'!A269 = "Standard", " - DAR","")</f>
        <v/>
      </c>
      <c r="C269" s="26" t="s">
        <v>109</v>
      </c>
      <c r="D269" s="29" t="str">
        <f t="array" ref="D269">CONCATENATE(INDEX(DropDown!$H$2:$H$10,MATCH(1,COUNTIF('Ingest Template'!F269,"*"&amp;DropDown!$H$2:$H$10&amp;"*"),0)),CHAR(10),'Ingest Template'!G269)</f>
        <v>#N/A</v>
      </c>
      <c r="E269" s="21" t="str">
        <f>CONCATENATE('Ingest Template'!H269,CHAR(10),'Ingest Template'!I269,CHAR(10),'Ingest Template'!J269)</f>
        <v>
</v>
      </c>
      <c r="F269" s="26" t="str">
        <f>'Ingest Template'!H269</f>
        <v/>
      </c>
      <c r="G269" s="21"/>
      <c r="H269" s="29"/>
      <c r="I269" s="21"/>
      <c r="J269" s="29" t="str">
        <f t="array" ref="J269">iF('Ingest Template'!A269="Standard","Pristine Brand",INDEX(DropDown!$M$2:$M$392,MATCH('Ingest Template'!E269,DropDown!$J$2:$J$392,0)))</f>
        <v>#N/A</v>
      </c>
      <c r="K269" s="21" t="str">
        <f>iF('Ingest Template'!A269="Standard",'Ingest Template'!K269&amp;CHAR(10)&amp;'Ingest Template'!L269,"Competitive View")</f>
        <v>Competitive View</v>
      </c>
      <c r="L269" s="29" t="s">
        <v>146</v>
      </c>
      <c r="M269" s="37" t="str">
        <f>'Ingest Template'!D269</f>
        <v/>
      </c>
      <c r="N269" s="21"/>
      <c r="O269" s="21"/>
      <c r="P269" s="21"/>
      <c r="Q269" s="21"/>
      <c r="R269" s="21" t="str">
        <f>'Ingest Template'!E269</f>
        <v/>
      </c>
      <c r="S269" s="29" t="s">
        <v>153</v>
      </c>
      <c r="T269" s="21" t="str">
        <f>'Ingest Template'!T269</f>
        <v/>
      </c>
      <c r="U269" s="21" t="str">
        <f>'Ingest Template'!S269</f>
        <v/>
      </c>
      <c r="V269" s="21" t="str">
        <f>LOWER(SUBSTITUTE(SUBSTITUTE(SUBSTITUTE(SUBSTITUTE(SUBSTITUTE('Ingest Template'!U269,"https:",""),"www.",""),"/",""),"?hl=en",""),"instagram.com",""))</f>
        <v/>
      </c>
      <c r="W269" s="41" t="str">
        <f t="array" ref="W269">IF('Ingest Template'!V269="",(INDEX(DropDown!$L$2:$L$392,MATCH('Ingest Template'!E269,DropDown!$J$2:$J$392,0))&amp;"|"&amp;'Ingest Template'!B269),(INDEX(DropDown!$L$2:$L$392,MATCH('Ingest Template'!E269,DropDown!$J$2:$J$392,0))&amp;"|"&amp;'Ingest Template'!B269)&amp;CHAR(10)&amp;'Ingest Template'!V269)</f>
        <v>#N/A</v>
      </c>
      <c r="X269" s="41" t="str">
        <f>'Ingest Template'!W269</f>
        <v/>
      </c>
      <c r="Y269" s="21" t="str">
        <f>SUBSTITUTE(SUBSTITUTE(SUBSTITUTE('Ingest Template'!X269,"http:",""),"https:",""),"/","")</f>
        <v/>
      </c>
      <c r="Z269" s="21" t="str">
        <f t="array" ref="Z269">IF('Ingest Template'!A269="Standard",(IF(ISBLANK('Ingest Template'!AA269),"", 'Ingest Template'!AA269&amp;"|DAR")),(IF(ISBLANK('Ingest Template'!AA269),"", 'Ingest Template'!AA269&amp;"|Film Ops")))</f>
        <v/>
      </c>
      <c r="AA269" s="21"/>
      <c r="AB269" s="21" t="str">
        <f>'Ingest Template'!M269</f>
        <v/>
      </c>
      <c r="AC269" s="21" t="str">
        <f>'Ingest Template'!Y269</f>
        <v/>
      </c>
      <c r="AD269" s="21" t="str">
        <f>'Ingest Template'!C269</f>
        <v/>
      </c>
      <c r="AE269" s="21" t="str">
        <f>'Ingest Template'!Z269</f>
        <v/>
      </c>
      <c r="AF269" s="29"/>
      <c r="AG269" s="21" t="str">
        <f t="array" ref="AG269">IF('Ingest Template'!A269="Standard",(CONCATENATE(IF(ISBLANK('Ingest Template'!O269),"", 'Ingest Template'!O269&amp;"|DAR"),CHAR(10), IF(ISBLANK('Ingest Template'!P269),"", 'Ingest Template'!P269&amp;"|DAR"),CHAR(10), IF(ISBLANK('Ingest Template'!Q269),"", 'Ingest Template'!Q269&amp;"|DAR"))),(CONCATENATE(IF(ISBLANK('Ingest Template'!O269),"", 'Ingest Template'!O269&amp;"|Operations - Core Title"),CHAR(10), IF(ISBLANK('Ingest Template'!P269),"", 'Ingest Template'!P269&amp;"|Operations - Core Title"),CHAR(10), IF(ISBLANK('Ingest Template'!Q269),"", 'Ingest Template'!Q269&amp;"|Operations - Core Title"))))</f>
        <v>#|Operations - Core Title
#|Operations - Core Title
</v>
      </c>
      <c r="AH269" s="21"/>
      <c r="AI269" s="21"/>
      <c r="AJ269" s="53" t="str">
        <f>if('Ingest Template'!A269="Standard",'Ingest Template'!N269&amp; "|DAR|DAR|2021-01-01",'Ingest Template'!N269&amp; "|Operations - Core Title|Operations - Core Title")</f>
        <v>#N/A</v>
      </c>
      <c r="AK269" s="53" t="str">
        <f>if('Ingest Template'!A269="Standard",'Ingest Template'!R269&amp; "|2021-01-01",'Ingest Template'!R269)</f>
        <v>#N/A</v>
      </c>
      <c r="AL269" s="21"/>
      <c r="AM269" s="21"/>
    </row>
    <row r="270">
      <c r="A270" s="21"/>
      <c r="B270" s="21" t="str">
        <f>'Ingest Template'!B270&amp;IF('Ingest Template'!A270 = "Standard", " - DAR","")</f>
        <v/>
      </c>
      <c r="C270" s="26" t="s">
        <v>109</v>
      </c>
      <c r="D270" s="29" t="str">
        <f t="array" ref="D270">CONCATENATE(INDEX(DropDown!$H$2:$H$10,MATCH(1,COUNTIF('Ingest Template'!F270,"*"&amp;DropDown!$H$2:$H$10&amp;"*"),0)),CHAR(10),'Ingest Template'!G270)</f>
        <v>#N/A</v>
      </c>
      <c r="E270" s="21" t="str">
        <f>CONCATENATE('Ingest Template'!H270,CHAR(10),'Ingest Template'!I270,CHAR(10),'Ingest Template'!J270)</f>
        <v>
</v>
      </c>
      <c r="F270" s="26" t="str">
        <f>'Ingest Template'!H270</f>
        <v/>
      </c>
      <c r="G270" s="21"/>
      <c r="H270" s="29"/>
      <c r="I270" s="21"/>
      <c r="J270" s="29" t="str">
        <f t="array" ref="J270">iF('Ingest Template'!A270="Standard","Pristine Brand",INDEX(DropDown!$M$2:$M$392,MATCH('Ingest Template'!E270,DropDown!$J$2:$J$392,0)))</f>
        <v>#N/A</v>
      </c>
      <c r="K270" s="21" t="str">
        <f>iF('Ingest Template'!A270="Standard",'Ingest Template'!K270&amp;CHAR(10)&amp;'Ingest Template'!L270,"Competitive View")</f>
        <v>Competitive View</v>
      </c>
      <c r="L270" s="29" t="s">
        <v>146</v>
      </c>
      <c r="M270" s="37" t="str">
        <f>'Ingest Template'!D270</f>
        <v/>
      </c>
      <c r="N270" s="21"/>
      <c r="O270" s="21"/>
      <c r="P270" s="21"/>
      <c r="Q270" s="21"/>
      <c r="R270" s="21" t="str">
        <f>'Ingest Template'!E270</f>
        <v/>
      </c>
      <c r="S270" s="29" t="s">
        <v>153</v>
      </c>
      <c r="T270" s="21" t="str">
        <f>'Ingest Template'!T270</f>
        <v/>
      </c>
      <c r="U270" s="21" t="str">
        <f>'Ingest Template'!S270</f>
        <v/>
      </c>
      <c r="V270" s="21" t="str">
        <f>LOWER(SUBSTITUTE(SUBSTITUTE(SUBSTITUTE(SUBSTITUTE(SUBSTITUTE('Ingest Template'!U270,"https:",""),"www.",""),"/",""),"?hl=en",""),"instagram.com",""))</f>
        <v/>
      </c>
      <c r="W270" s="41" t="str">
        <f t="array" ref="W270">IF('Ingest Template'!V270="",(INDEX(DropDown!$L$2:$L$392,MATCH('Ingest Template'!E270,DropDown!$J$2:$J$392,0))&amp;"|"&amp;'Ingest Template'!B270),(INDEX(DropDown!$L$2:$L$392,MATCH('Ingest Template'!E270,DropDown!$J$2:$J$392,0))&amp;"|"&amp;'Ingest Template'!B270)&amp;CHAR(10)&amp;'Ingest Template'!V270)</f>
        <v>#N/A</v>
      </c>
      <c r="X270" s="41" t="str">
        <f>'Ingest Template'!W270</f>
        <v/>
      </c>
      <c r="Y270" s="21" t="str">
        <f>SUBSTITUTE(SUBSTITUTE(SUBSTITUTE('Ingest Template'!X270,"http:",""),"https:",""),"/","")</f>
        <v/>
      </c>
      <c r="Z270" s="21" t="str">
        <f t="array" ref="Z270">IF('Ingest Template'!A270="Standard",(IF(ISBLANK('Ingest Template'!AA270),"", 'Ingest Template'!AA270&amp;"|DAR")),(IF(ISBLANK('Ingest Template'!AA270),"", 'Ingest Template'!AA270&amp;"|Film Ops")))</f>
        <v/>
      </c>
      <c r="AA270" s="21"/>
      <c r="AB270" s="21" t="str">
        <f>'Ingest Template'!M270</f>
        <v/>
      </c>
      <c r="AC270" s="21" t="str">
        <f>'Ingest Template'!Y270</f>
        <v/>
      </c>
      <c r="AD270" s="21" t="str">
        <f>'Ingest Template'!C270</f>
        <v/>
      </c>
      <c r="AE270" s="21" t="str">
        <f>'Ingest Template'!Z270</f>
        <v/>
      </c>
      <c r="AF270" s="29"/>
      <c r="AG270" s="21" t="str">
        <f t="array" ref="AG270">IF('Ingest Template'!A270="Standard",(CONCATENATE(IF(ISBLANK('Ingest Template'!O270),"", 'Ingest Template'!O270&amp;"|DAR"),CHAR(10), IF(ISBLANK('Ingest Template'!P270),"", 'Ingest Template'!P270&amp;"|DAR"),CHAR(10), IF(ISBLANK('Ingest Template'!Q270),"", 'Ingest Template'!Q270&amp;"|DAR"))),(CONCATENATE(IF(ISBLANK('Ingest Template'!O270),"", 'Ingest Template'!O270&amp;"|Operations - Core Title"),CHAR(10), IF(ISBLANK('Ingest Template'!P270),"", 'Ingest Template'!P270&amp;"|Operations - Core Title"),CHAR(10), IF(ISBLANK('Ingest Template'!Q270),"", 'Ingest Template'!Q270&amp;"|Operations - Core Title"))))</f>
        <v>#|Operations - Core Title
#|Operations - Core Title
</v>
      </c>
      <c r="AH270" s="21"/>
      <c r="AI270" s="21"/>
      <c r="AJ270" s="53" t="str">
        <f>if('Ingest Template'!A270="Standard",'Ingest Template'!N270&amp; "|DAR|DAR|2021-01-01",'Ingest Template'!N270&amp; "|Operations - Core Title|Operations - Core Title")</f>
        <v>#N/A</v>
      </c>
      <c r="AK270" s="53" t="str">
        <f>if('Ingest Template'!A270="Standard",'Ingest Template'!R270&amp; "|2021-01-01",'Ingest Template'!R270)</f>
        <v>#N/A</v>
      </c>
      <c r="AL270" s="21"/>
      <c r="AM270" s="21"/>
    </row>
    <row r="271">
      <c r="A271" s="21"/>
      <c r="B271" s="21" t="str">
        <f>'Ingest Template'!B271&amp;IF('Ingest Template'!A271 = "Standard", " - DAR","")</f>
        <v/>
      </c>
      <c r="C271" s="26" t="s">
        <v>109</v>
      </c>
      <c r="D271" s="29" t="str">
        <f t="array" ref="D271">CONCATENATE(INDEX(DropDown!$H$2:$H$10,MATCH(1,COUNTIF('Ingest Template'!F271,"*"&amp;DropDown!$H$2:$H$10&amp;"*"),0)),CHAR(10),'Ingest Template'!G271)</f>
        <v>#N/A</v>
      </c>
      <c r="E271" s="21" t="str">
        <f>CONCATENATE('Ingest Template'!H271,CHAR(10),'Ingest Template'!I271,CHAR(10),'Ingest Template'!J271)</f>
        <v>
</v>
      </c>
      <c r="F271" s="26" t="str">
        <f>'Ingest Template'!H271</f>
        <v/>
      </c>
      <c r="G271" s="21"/>
      <c r="H271" s="29"/>
      <c r="I271" s="21"/>
      <c r="J271" s="29" t="str">
        <f t="array" ref="J271">iF('Ingest Template'!A271="Standard","Pristine Brand",INDEX(DropDown!$M$2:$M$392,MATCH('Ingest Template'!E271,DropDown!$J$2:$J$392,0)))</f>
        <v>#N/A</v>
      </c>
      <c r="K271" s="21" t="str">
        <f>iF('Ingest Template'!A271="Standard",'Ingest Template'!K271&amp;CHAR(10)&amp;'Ingest Template'!L271,"Competitive View")</f>
        <v>Competitive View</v>
      </c>
      <c r="L271" s="29" t="s">
        <v>146</v>
      </c>
      <c r="M271" s="37" t="str">
        <f>'Ingest Template'!D271</f>
        <v/>
      </c>
      <c r="N271" s="21"/>
      <c r="O271" s="21"/>
      <c r="P271" s="21"/>
      <c r="Q271" s="21"/>
      <c r="R271" s="21" t="str">
        <f>'Ingest Template'!E271</f>
        <v/>
      </c>
      <c r="S271" s="29" t="s">
        <v>153</v>
      </c>
      <c r="T271" s="21" t="str">
        <f>'Ingest Template'!T271</f>
        <v/>
      </c>
      <c r="U271" s="21" t="str">
        <f>'Ingest Template'!S271</f>
        <v/>
      </c>
      <c r="V271" s="21" t="str">
        <f>LOWER(SUBSTITUTE(SUBSTITUTE(SUBSTITUTE(SUBSTITUTE(SUBSTITUTE('Ingest Template'!U271,"https:",""),"www.",""),"/",""),"?hl=en",""),"instagram.com",""))</f>
        <v/>
      </c>
      <c r="W271" s="41" t="str">
        <f t="array" ref="W271">IF('Ingest Template'!V271="",(INDEX(DropDown!$L$2:$L$392,MATCH('Ingest Template'!E271,DropDown!$J$2:$J$392,0))&amp;"|"&amp;'Ingest Template'!B271),(INDEX(DropDown!$L$2:$L$392,MATCH('Ingest Template'!E271,DropDown!$J$2:$J$392,0))&amp;"|"&amp;'Ingest Template'!B271)&amp;CHAR(10)&amp;'Ingest Template'!V271)</f>
        <v>#N/A</v>
      </c>
      <c r="X271" s="41" t="str">
        <f>'Ingest Template'!W271</f>
        <v/>
      </c>
      <c r="Y271" s="21" t="str">
        <f>SUBSTITUTE(SUBSTITUTE(SUBSTITUTE('Ingest Template'!X271,"http:",""),"https:",""),"/","")</f>
        <v/>
      </c>
      <c r="Z271" s="21" t="str">
        <f t="array" ref="Z271">IF('Ingest Template'!A271="Standard",(IF(ISBLANK('Ingest Template'!AA271),"", 'Ingest Template'!AA271&amp;"|DAR")),(IF(ISBLANK('Ingest Template'!AA271),"", 'Ingest Template'!AA271&amp;"|Film Ops")))</f>
        <v/>
      </c>
      <c r="AA271" s="21"/>
      <c r="AB271" s="21" t="str">
        <f>'Ingest Template'!M271</f>
        <v/>
      </c>
      <c r="AC271" s="21" t="str">
        <f>'Ingest Template'!Y271</f>
        <v/>
      </c>
      <c r="AD271" s="21" t="str">
        <f>'Ingest Template'!C271</f>
        <v/>
      </c>
      <c r="AE271" s="21" t="str">
        <f>'Ingest Template'!Z271</f>
        <v/>
      </c>
      <c r="AF271" s="29"/>
      <c r="AG271" s="21" t="str">
        <f t="array" ref="AG271">IF('Ingest Template'!A271="Standard",(CONCATENATE(IF(ISBLANK('Ingest Template'!O271),"", 'Ingest Template'!O271&amp;"|DAR"),CHAR(10), IF(ISBLANK('Ingest Template'!P271),"", 'Ingest Template'!P271&amp;"|DAR"),CHAR(10), IF(ISBLANK('Ingest Template'!Q271),"", 'Ingest Template'!Q271&amp;"|DAR"))),(CONCATENATE(IF(ISBLANK('Ingest Template'!O271),"", 'Ingest Template'!O271&amp;"|Operations - Core Title"),CHAR(10), IF(ISBLANK('Ingest Template'!P271),"", 'Ingest Template'!P271&amp;"|Operations - Core Title"),CHAR(10), IF(ISBLANK('Ingest Template'!Q271),"", 'Ingest Template'!Q271&amp;"|Operations - Core Title"))))</f>
        <v>#|Operations - Core Title
#|Operations - Core Title
</v>
      </c>
      <c r="AH271" s="21"/>
      <c r="AI271" s="21"/>
      <c r="AJ271" s="53" t="str">
        <f>if('Ingest Template'!A271="Standard",'Ingest Template'!N271&amp; "|DAR|DAR|2021-01-01",'Ingest Template'!N271&amp; "|Operations - Core Title|Operations - Core Title")</f>
        <v>#N/A</v>
      </c>
      <c r="AK271" s="53" t="str">
        <f>if('Ingest Template'!A271="Standard",'Ingest Template'!R271&amp; "|2021-01-01",'Ingest Template'!R271)</f>
        <v>#N/A</v>
      </c>
      <c r="AL271" s="21"/>
      <c r="AM271" s="21"/>
    </row>
    <row r="272">
      <c r="A272" s="21"/>
      <c r="B272" s="21" t="str">
        <f>'Ingest Template'!B272&amp;IF('Ingest Template'!A272 = "Standard", " - DAR","")</f>
        <v/>
      </c>
      <c r="C272" s="26" t="s">
        <v>109</v>
      </c>
      <c r="D272" s="29" t="str">
        <f t="array" ref="D272">CONCATENATE(INDEX(DropDown!$H$2:$H$10,MATCH(1,COUNTIF('Ingest Template'!F272,"*"&amp;DropDown!$H$2:$H$10&amp;"*"),0)),CHAR(10),'Ingest Template'!G272)</f>
        <v>#N/A</v>
      </c>
      <c r="E272" s="21" t="str">
        <f>CONCATENATE('Ingest Template'!H272,CHAR(10),'Ingest Template'!I272,CHAR(10),'Ingest Template'!J272)</f>
        <v>
</v>
      </c>
      <c r="F272" s="26" t="str">
        <f>'Ingest Template'!H272</f>
        <v/>
      </c>
      <c r="G272" s="21"/>
      <c r="H272" s="29"/>
      <c r="I272" s="21"/>
      <c r="J272" s="29" t="str">
        <f t="array" ref="J272">iF('Ingest Template'!A272="Standard","Pristine Brand",INDEX(DropDown!$M$2:$M$392,MATCH('Ingest Template'!E272,DropDown!$J$2:$J$392,0)))</f>
        <v>#N/A</v>
      </c>
      <c r="K272" s="21" t="str">
        <f>iF('Ingest Template'!A272="Standard",'Ingest Template'!K272&amp;CHAR(10)&amp;'Ingest Template'!L272,"Competitive View")</f>
        <v>Competitive View</v>
      </c>
      <c r="L272" s="29" t="s">
        <v>146</v>
      </c>
      <c r="M272" s="37" t="str">
        <f>'Ingest Template'!D272</f>
        <v/>
      </c>
      <c r="N272" s="21"/>
      <c r="O272" s="21"/>
      <c r="P272" s="21"/>
      <c r="Q272" s="21"/>
      <c r="R272" s="21" t="str">
        <f>'Ingest Template'!E272</f>
        <v/>
      </c>
      <c r="S272" s="29" t="s">
        <v>153</v>
      </c>
      <c r="T272" s="21" t="str">
        <f>'Ingest Template'!T272</f>
        <v/>
      </c>
      <c r="U272" s="21" t="str">
        <f>'Ingest Template'!S272</f>
        <v/>
      </c>
      <c r="V272" s="21" t="str">
        <f>LOWER(SUBSTITUTE(SUBSTITUTE(SUBSTITUTE(SUBSTITUTE(SUBSTITUTE('Ingest Template'!U272,"https:",""),"www.",""),"/",""),"?hl=en",""),"instagram.com",""))</f>
        <v/>
      </c>
      <c r="W272" s="41" t="str">
        <f t="array" ref="W272">IF('Ingest Template'!V272="",(INDEX(DropDown!$L$2:$L$392,MATCH('Ingest Template'!E272,DropDown!$J$2:$J$392,0))&amp;"|"&amp;'Ingest Template'!B272),(INDEX(DropDown!$L$2:$L$392,MATCH('Ingest Template'!E272,DropDown!$J$2:$J$392,0))&amp;"|"&amp;'Ingest Template'!B272)&amp;CHAR(10)&amp;'Ingest Template'!V272)</f>
        <v>#N/A</v>
      </c>
      <c r="X272" s="41" t="str">
        <f>'Ingest Template'!W272</f>
        <v/>
      </c>
      <c r="Y272" s="21" t="str">
        <f>SUBSTITUTE(SUBSTITUTE(SUBSTITUTE('Ingest Template'!X272,"http:",""),"https:",""),"/","")</f>
        <v/>
      </c>
      <c r="Z272" s="21" t="str">
        <f t="array" ref="Z272">IF('Ingest Template'!A272="Standard",(IF(ISBLANK('Ingest Template'!AA272),"", 'Ingest Template'!AA272&amp;"|DAR")),(IF(ISBLANK('Ingest Template'!AA272),"", 'Ingest Template'!AA272&amp;"|Film Ops")))</f>
        <v/>
      </c>
      <c r="AA272" s="21"/>
      <c r="AB272" s="21" t="str">
        <f>'Ingest Template'!M272</f>
        <v/>
      </c>
      <c r="AC272" s="21" t="str">
        <f>'Ingest Template'!Y272</f>
        <v/>
      </c>
      <c r="AD272" s="21" t="str">
        <f>'Ingest Template'!C272</f>
        <v/>
      </c>
      <c r="AE272" s="21" t="str">
        <f>'Ingest Template'!Z272</f>
        <v/>
      </c>
      <c r="AF272" s="29"/>
      <c r="AG272" s="21" t="str">
        <f t="array" ref="AG272">IF('Ingest Template'!A272="Standard",(CONCATENATE(IF(ISBLANK('Ingest Template'!O272),"", 'Ingest Template'!O272&amp;"|DAR"),CHAR(10), IF(ISBLANK('Ingest Template'!P272),"", 'Ingest Template'!P272&amp;"|DAR"),CHAR(10), IF(ISBLANK('Ingest Template'!Q272),"", 'Ingest Template'!Q272&amp;"|DAR"))),(CONCATENATE(IF(ISBLANK('Ingest Template'!O272),"", 'Ingest Template'!O272&amp;"|Operations - Core Title"),CHAR(10), IF(ISBLANK('Ingest Template'!P272),"", 'Ingest Template'!P272&amp;"|Operations - Core Title"),CHAR(10), IF(ISBLANK('Ingest Template'!Q272),"", 'Ingest Template'!Q272&amp;"|Operations - Core Title"))))</f>
        <v>#|Operations - Core Title
#|Operations - Core Title
</v>
      </c>
      <c r="AH272" s="21"/>
      <c r="AI272" s="21"/>
      <c r="AJ272" s="53" t="str">
        <f>if('Ingest Template'!A272="Standard",'Ingest Template'!N272&amp; "|DAR|DAR|2021-01-01",'Ingest Template'!N272&amp; "|Operations - Core Title|Operations - Core Title")</f>
        <v>#N/A</v>
      </c>
      <c r="AK272" s="53" t="str">
        <f>if('Ingest Template'!A272="Standard",'Ingest Template'!R272&amp; "|2021-01-01",'Ingest Template'!R272)</f>
        <v>#N/A</v>
      </c>
      <c r="AL272" s="21"/>
      <c r="AM272" s="21"/>
    </row>
    <row r="273">
      <c r="A273" s="21"/>
      <c r="B273" s="21" t="str">
        <f>'Ingest Template'!B273&amp;IF('Ingest Template'!A273 = "Standard", " - DAR","")</f>
        <v/>
      </c>
      <c r="C273" s="26" t="s">
        <v>109</v>
      </c>
      <c r="D273" s="29" t="str">
        <f t="array" ref="D273">CONCATENATE(INDEX(DropDown!$H$2:$H$10,MATCH(1,COUNTIF('Ingest Template'!F273,"*"&amp;DropDown!$H$2:$H$10&amp;"*"),0)),CHAR(10),'Ingest Template'!G273)</f>
        <v>#N/A</v>
      </c>
      <c r="E273" s="21" t="str">
        <f>CONCATENATE('Ingest Template'!H273,CHAR(10),'Ingest Template'!I273,CHAR(10),'Ingest Template'!J273)</f>
        <v>
</v>
      </c>
      <c r="F273" s="26" t="str">
        <f>'Ingest Template'!H273</f>
        <v/>
      </c>
      <c r="G273" s="21"/>
      <c r="H273" s="29"/>
      <c r="I273" s="21"/>
      <c r="J273" s="29" t="str">
        <f t="array" ref="J273">iF('Ingest Template'!A273="Standard","Pristine Brand",INDEX(DropDown!$M$2:$M$392,MATCH('Ingest Template'!E273,DropDown!$J$2:$J$392,0)))</f>
        <v>#N/A</v>
      </c>
      <c r="K273" s="21" t="str">
        <f>iF('Ingest Template'!A273="Standard",'Ingest Template'!K273&amp;CHAR(10)&amp;'Ingest Template'!L273,"Competitive View")</f>
        <v>Competitive View</v>
      </c>
      <c r="L273" s="29" t="s">
        <v>146</v>
      </c>
      <c r="M273" s="37" t="str">
        <f>'Ingest Template'!D273</f>
        <v/>
      </c>
      <c r="N273" s="21"/>
      <c r="O273" s="21"/>
      <c r="P273" s="21"/>
      <c r="Q273" s="21"/>
      <c r="R273" s="21" t="str">
        <f>'Ingest Template'!E273</f>
        <v/>
      </c>
      <c r="S273" s="29" t="s">
        <v>153</v>
      </c>
      <c r="T273" s="21" t="str">
        <f>'Ingest Template'!T273</f>
        <v/>
      </c>
      <c r="U273" s="21" t="str">
        <f>'Ingest Template'!S273</f>
        <v/>
      </c>
      <c r="V273" s="21" t="str">
        <f>LOWER(SUBSTITUTE(SUBSTITUTE(SUBSTITUTE(SUBSTITUTE(SUBSTITUTE('Ingest Template'!U273,"https:",""),"www.",""),"/",""),"?hl=en",""),"instagram.com",""))</f>
        <v/>
      </c>
      <c r="W273" s="41" t="str">
        <f t="array" ref="W273">IF('Ingest Template'!V273="",(INDEX(DropDown!$L$2:$L$392,MATCH('Ingest Template'!E273,DropDown!$J$2:$J$392,0))&amp;"|"&amp;'Ingest Template'!B273),(INDEX(DropDown!$L$2:$L$392,MATCH('Ingest Template'!E273,DropDown!$J$2:$J$392,0))&amp;"|"&amp;'Ingest Template'!B273)&amp;CHAR(10)&amp;'Ingest Template'!V273)</f>
        <v>#N/A</v>
      </c>
      <c r="X273" s="41" t="str">
        <f>'Ingest Template'!W273</f>
        <v/>
      </c>
      <c r="Y273" s="21" t="str">
        <f>SUBSTITUTE(SUBSTITUTE(SUBSTITUTE('Ingest Template'!X273,"http:",""),"https:",""),"/","")</f>
        <v/>
      </c>
      <c r="Z273" s="21" t="str">
        <f t="array" ref="Z273">IF('Ingest Template'!A273="Standard",(IF(ISBLANK('Ingest Template'!AA273),"", 'Ingest Template'!AA273&amp;"|DAR")),(IF(ISBLANK('Ingest Template'!AA273),"", 'Ingest Template'!AA273&amp;"|Film Ops")))</f>
        <v/>
      </c>
      <c r="AA273" s="21"/>
      <c r="AB273" s="21" t="str">
        <f>'Ingest Template'!M273</f>
        <v/>
      </c>
      <c r="AC273" s="21" t="str">
        <f>'Ingest Template'!Y273</f>
        <v/>
      </c>
      <c r="AD273" s="21" t="str">
        <f>'Ingest Template'!C273</f>
        <v/>
      </c>
      <c r="AE273" s="21" t="str">
        <f>'Ingest Template'!Z273</f>
        <v/>
      </c>
      <c r="AF273" s="29"/>
      <c r="AG273" s="21" t="str">
        <f t="array" ref="AG273">IF('Ingest Template'!A273="Standard",(CONCATENATE(IF(ISBLANK('Ingest Template'!O273),"", 'Ingest Template'!O273&amp;"|DAR"),CHAR(10), IF(ISBLANK('Ingest Template'!P273),"", 'Ingest Template'!P273&amp;"|DAR"),CHAR(10), IF(ISBLANK('Ingest Template'!Q273),"", 'Ingest Template'!Q273&amp;"|DAR"))),(CONCATENATE(IF(ISBLANK('Ingest Template'!O273),"", 'Ingest Template'!O273&amp;"|Operations - Core Title"),CHAR(10), IF(ISBLANK('Ingest Template'!P273),"", 'Ingest Template'!P273&amp;"|Operations - Core Title"),CHAR(10), IF(ISBLANK('Ingest Template'!Q273),"", 'Ingest Template'!Q273&amp;"|Operations - Core Title"))))</f>
        <v>#|Operations - Core Title
#|Operations - Core Title
</v>
      </c>
      <c r="AH273" s="21"/>
      <c r="AI273" s="21"/>
      <c r="AJ273" s="53" t="str">
        <f>if('Ingest Template'!A273="Standard",'Ingest Template'!N273&amp; "|DAR|DAR|2021-01-01",'Ingest Template'!N273&amp; "|Operations - Core Title|Operations - Core Title")</f>
        <v>#N/A</v>
      </c>
      <c r="AK273" s="53" t="str">
        <f>if('Ingest Template'!A273="Standard",'Ingest Template'!R273&amp; "|2021-01-01",'Ingest Template'!R273)</f>
        <v>#N/A</v>
      </c>
      <c r="AL273" s="21"/>
      <c r="AM273" s="21"/>
    </row>
    <row r="274">
      <c r="A274" s="21"/>
      <c r="B274" s="21" t="str">
        <f>'Ingest Template'!B274&amp;IF('Ingest Template'!A274 = "Standard", " - DAR","")</f>
        <v/>
      </c>
      <c r="C274" s="26" t="s">
        <v>109</v>
      </c>
      <c r="D274" s="29" t="str">
        <f t="array" ref="D274">CONCATENATE(INDEX(DropDown!$H$2:$H$10,MATCH(1,COUNTIF('Ingest Template'!F274,"*"&amp;DropDown!$H$2:$H$10&amp;"*"),0)),CHAR(10),'Ingest Template'!G274)</f>
        <v>#N/A</v>
      </c>
      <c r="E274" s="21" t="str">
        <f>CONCATENATE('Ingest Template'!H274,CHAR(10),'Ingest Template'!I274,CHAR(10),'Ingest Template'!J274)</f>
        <v>
</v>
      </c>
      <c r="F274" s="26" t="str">
        <f>'Ingest Template'!H274</f>
        <v/>
      </c>
      <c r="G274" s="21"/>
      <c r="H274" s="29"/>
      <c r="I274" s="21"/>
      <c r="J274" s="29" t="str">
        <f t="array" ref="J274">iF('Ingest Template'!A274="Standard","Pristine Brand",INDEX(DropDown!$M$2:$M$392,MATCH('Ingest Template'!E274,DropDown!$J$2:$J$392,0)))</f>
        <v>#N/A</v>
      </c>
      <c r="K274" s="21" t="str">
        <f>iF('Ingest Template'!A274="Standard",'Ingest Template'!K274&amp;CHAR(10)&amp;'Ingest Template'!L274,"Competitive View")</f>
        <v>Competitive View</v>
      </c>
      <c r="L274" s="29" t="s">
        <v>146</v>
      </c>
      <c r="M274" s="37" t="str">
        <f>'Ingest Template'!D274</f>
        <v/>
      </c>
      <c r="N274" s="21"/>
      <c r="O274" s="21"/>
      <c r="P274" s="21"/>
      <c r="Q274" s="21"/>
      <c r="R274" s="21" t="str">
        <f>'Ingest Template'!E274</f>
        <v/>
      </c>
      <c r="S274" s="29" t="s">
        <v>153</v>
      </c>
      <c r="T274" s="21" t="str">
        <f>'Ingest Template'!T274</f>
        <v/>
      </c>
      <c r="U274" s="21" t="str">
        <f>'Ingest Template'!S274</f>
        <v/>
      </c>
      <c r="V274" s="21" t="str">
        <f>LOWER(SUBSTITUTE(SUBSTITUTE(SUBSTITUTE(SUBSTITUTE(SUBSTITUTE('Ingest Template'!U274,"https:",""),"www.",""),"/",""),"?hl=en",""),"instagram.com",""))</f>
        <v/>
      </c>
      <c r="W274" s="41" t="str">
        <f t="array" ref="W274">IF('Ingest Template'!V274="",(INDEX(DropDown!$L$2:$L$392,MATCH('Ingest Template'!E274,DropDown!$J$2:$J$392,0))&amp;"|"&amp;'Ingest Template'!B274),(INDEX(DropDown!$L$2:$L$392,MATCH('Ingest Template'!E274,DropDown!$J$2:$J$392,0))&amp;"|"&amp;'Ingest Template'!B274)&amp;CHAR(10)&amp;'Ingest Template'!V274)</f>
        <v>#N/A</v>
      </c>
      <c r="X274" s="41" t="str">
        <f>'Ingest Template'!W274</f>
        <v/>
      </c>
      <c r="Y274" s="21" t="str">
        <f>SUBSTITUTE(SUBSTITUTE(SUBSTITUTE('Ingest Template'!X274,"http:",""),"https:",""),"/","")</f>
        <v/>
      </c>
      <c r="Z274" s="21" t="str">
        <f t="array" ref="Z274">IF('Ingest Template'!A274="Standard",(IF(ISBLANK('Ingest Template'!AA274),"", 'Ingest Template'!AA274&amp;"|DAR")),(IF(ISBLANK('Ingest Template'!AA274),"", 'Ingest Template'!AA274&amp;"|Film Ops")))</f>
        <v/>
      </c>
      <c r="AA274" s="21"/>
      <c r="AB274" s="21" t="str">
        <f>'Ingest Template'!M274</f>
        <v/>
      </c>
      <c r="AC274" s="21" t="str">
        <f>'Ingest Template'!Y274</f>
        <v/>
      </c>
      <c r="AD274" s="21" t="str">
        <f>'Ingest Template'!C274</f>
        <v/>
      </c>
      <c r="AE274" s="21" t="str">
        <f>'Ingest Template'!Z274</f>
        <v/>
      </c>
      <c r="AF274" s="29"/>
      <c r="AG274" s="21" t="str">
        <f t="array" ref="AG274">IF('Ingest Template'!A274="Standard",(CONCATENATE(IF(ISBLANK('Ingest Template'!O274),"", 'Ingest Template'!O274&amp;"|DAR"),CHAR(10), IF(ISBLANK('Ingest Template'!P274),"", 'Ingest Template'!P274&amp;"|DAR"),CHAR(10), IF(ISBLANK('Ingest Template'!Q274),"", 'Ingest Template'!Q274&amp;"|DAR"))),(CONCATENATE(IF(ISBLANK('Ingest Template'!O274),"", 'Ingest Template'!O274&amp;"|Operations - Core Title"),CHAR(10), IF(ISBLANK('Ingest Template'!P274),"", 'Ingest Template'!P274&amp;"|Operations - Core Title"),CHAR(10), IF(ISBLANK('Ingest Template'!Q274),"", 'Ingest Template'!Q274&amp;"|Operations - Core Title"))))</f>
        <v>#|Operations - Core Title
#|Operations - Core Title
</v>
      </c>
      <c r="AH274" s="21"/>
      <c r="AI274" s="21"/>
      <c r="AJ274" s="53" t="str">
        <f>if('Ingest Template'!A274="Standard",'Ingest Template'!N274&amp; "|DAR|DAR|2021-01-01",'Ingest Template'!N274&amp; "|Operations - Core Title|Operations - Core Title")</f>
        <v>#N/A</v>
      </c>
      <c r="AK274" s="53" t="str">
        <f>if('Ingest Template'!A274="Standard",'Ingest Template'!R274&amp; "|2021-01-01",'Ingest Template'!R274)</f>
        <v>#N/A</v>
      </c>
      <c r="AL274" s="21"/>
      <c r="AM274" s="21"/>
    </row>
    <row r="275">
      <c r="A275" s="21"/>
      <c r="B275" s="21" t="str">
        <f>'Ingest Template'!B275&amp;IF('Ingest Template'!A275 = "Standard", " - DAR","")</f>
        <v/>
      </c>
      <c r="C275" s="26" t="s">
        <v>109</v>
      </c>
      <c r="D275" s="29" t="str">
        <f t="array" ref="D275">CONCATENATE(INDEX(DropDown!$H$2:$H$10,MATCH(1,COUNTIF('Ingest Template'!F275,"*"&amp;DropDown!$H$2:$H$10&amp;"*"),0)),CHAR(10),'Ingest Template'!G275)</f>
        <v>#N/A</v>
      </c>
      <c r="E275" s="21" t="str">
        <f>CONCATENATE('Ingest Template'!H275,CHAR(10),'Ingest Template'!I275,CHAR(10),'Ingest Template'!J275)</f>
        <v>
</v>
      </c>
      <c r="F275" s="26" t="str">
        <f>'Ingest Template'!H275</f>
        <v/>
      </c>
      <c r="G275" s="21"/>
      <c r="H275" s="29"/>
      <c r="I275" s="21"/>
      <c r="J275" s="29" t="str">
        <f t="array" ref="J275">iF('Ingest Template'!A275="Standard","Pristine Brand",INDEX(DropDown!$M$2:$M$392,MATCH('Ingest Template'!E275,DropDown!$J$2:$J$392,0)))</f>
        <v>#N/A</v>
      </c>
      <c r="K275" s="21" t="str">
        <f>iF('Ingest Template'!A275="Standard",'Ingest Template'!K275&amp;CHAR(10)&amp;'Ingest Template'!L275,"Competitive View")</f>
        <v>Competitive View</v>
      </c>
      <c r="L275" s="29" t="s">
        <v>146</v>
      </c>
      <c r="M275" s="37" t="str">
        <f>'Ingest Template'!D275</f>
        <v/>
      </c>
      <c r="N275" s="21"/>
      <c r="O275" s="21"/>
      <c r="P275" s="21"/>
      <c r="Q275" s="21"/>
      <c r="R275" s="21" t="str">
        <f>'Ingest Template'!E275</f>
        <v/>
      </c>
      <c r="S275" s="29" t="s">
        <v>153</v>
      </c>
      <c r="T275" s="21" t="str">
        <f>'Ingest Template'!T275</f>
        <v/>
      </c>
      <c r="U275" s="21" t="str">
        <f>'Ingest Template'!S275</f>
        <v/>
      </c>
      <c r="V275" s="21" t="str">
        <f>LOWER(SUBSTITUTE(SUBSTITUTE(SUBSTITUTE(SUBSTITUTE(SUBSTITUTE('Ingest Template'!U275,"https:",""),"www.",""),"/",""),"?hl=en",""),"instagram.com",""))</f>
        <v/>
      </c>
      <c r="W275" s="41" t="str">
        <f t="array" ref="W275">IF('Ingest Template'!V275="",(INDEX(DropDown!$L$2:$L$392,MATCH('Ingest Template'!E275,DropDown!$J$2:$J$392,0))&amp;"|"&amp;'Ingest Template'!B275),(INDEX(DropDown!$L$2:$L$392,MATCH('Ingest Template'!E275,DropDown!$J$2:$J$392,0))&amp;"|"&amp;'Ingest Template'!B275)&amp;CHAR(10)&amp;'Ingest Template'!V275)</f>
        <v>#N/A</v>
      </c>
      <c r="X275" s="41" t="str">
        <f>'Ingest Template'!W275</f>
        <v/>
      </c>
      <c r="Y275" s="21" t="str">
        <f>SUBSTITUTE(SUBSTITUTE(SUBSTITUTE('Ingest Template'!X275,"http:",""),"https:",""),"/","")</f>
        <v/>
      </c>
      <c r="Z275" s="21" t="str">
        <f t="array" ref="Z275">IF('Ingest Template'!A275="Standard",(IF(ISBLANK('Ingest Template'!AA275),"", 'Ingest Template'!AA275&amp;"|DAR")),(IF(ISBLANK('Ingest Template'!AA275),"", 'Ingest Template'!AA275&amp;"|Film Ops")))</f>
        <v/>
      </c>
      <c r="AA275" s="21"/>
      <c r="AB275" s="21" t="str">
        <f>'Ingest Template'!M275</f>
        <v/>
      </c>
      <c r="AC275" s="21" t="str">
        <f>'Ingest Template'!Y275</f>
        <v/>
      </c>
      <c r="AD275" s="21" t="str">
        <f>'Ingest Template'!C275</f>
        <v/>
      </c>
      <c r="AE275" s="21" t="str">
        <f>'Ingest Template'!Z275</f>
        <v/>
      </c>
      <c r="AF275" s="29"/>
      <c r="AG275" s="21" t="str">
        <f t="array" ref="AG275">IF('Ingest Template'!A275="Standard",(CONCATENATE(IF(ISBLANK('Ingest Template'!O275),"", 'Ingest Template'!O275&amp;"|DAR"),CHAR(10), IF(ISBLANK('Ingest Template'!P275),"", 'Ingest Template'!P275&amp;"|DAR"),CHAR(10), IF(ISBLANK('Ingest Template'!Q275),"", 'Ingest Template'!Q275&amp;"|DAR"))),(CONCATENATE(IF(ISBLANK('Ingest Template'!O275),"", 'Ingest Template'!O275&amp;"|Operations - Core Title"),CHAR(10), IF(ISBLANK('Ingest Template'!P275),"", 'Ingest Template'!P275&amp;"|Operations - Core Title"),CHAR(10), IF(ISBLANK('Ingest Template'!Q275),"", 'Ingest Template'!Q275&amp;"|Operations - Core Title"))))</f>
        <v>#|Operations - Core Title
#|Operations - Core Title
</v>
      </c>
      <c r="AH275" s="21"/>
      <c r="AI275" s="21"/>
      <c r="AJ275" s="53" t="str">
        <f>if('Ingest Template'!A275="Standard",'Ingest Template'!N275&amp; "|DAR|DAR|2021-01-01",'Ingest Template'!N275&amp; "|Operations - Core Title|Operations - Core Title")</f>
        <v>#N/A</v>
      </c>
      <c r="AK275" s="53" t="str">
        <f>if('Ingest Template'!A275="Standard",'Ingest Template'!R275&amp; "|2021-01-01",'Ingest Template'!R275)</f>
        <v>#N/A</v>
      </c>
      <c r="AL275" s="21"/>
      <c r="AM275" s="21"/>
    </row>
    <row r="276">
      <c r="A276" s="21"/>
      <c r="B276" s="21" t="str">
        <f>'Ingest Template'!B276&amp;IF('Ingest Template'!A276 = "Standard", " - DAR","")</f>
        <v/>
      </c>
      <c r="C276" s="26" t="s">
        <v>109</v>
      </c>
      <c r="D276" s="29" t="str">
        <f t="array" ref="D276">CONCATENATE(INDEX(DropDown!$H$2:$H$10,MATCH(1,COUNTIF('Ingest Template'!F276,"*"&amp;DropDown!$H$2:$H$10&amp;"*"),0)),CHAR(10),'Ingest Template'!G276)</f>
        <v>#N/A</v>
      </c>
      <c r="E276" s="21" t="str">
        <f>CONCATENATE('Ingest Template'!H276,CHAR(10),'Ingest Template'!I276,CHAR(10),'Ingest Template'!J276)</f>
        <v>
</v>
      </c>
      <c r="F276" s="26" t="str">
        <f>'Ingest Template'!H276</f>
        <v/>
      </c>
      <c r="G276" s="21"/>
      <c r="H276" s="29"/>
      <c r="I276" s="21"/>
      <c r="J276" s="29" t="str">
        <f t="array" ref="J276">iF('Ingest Template'!A276="Standard","Pristine Brand",INDEX(DropDown!$M$2:$M$392,MATCH('Ingest Template'!E276,DropDown!$J$2:$J$392,0)))</f>
        <v>#N/A</v>
      </c>
      <c r="K276" s="21" t="str">
        <f>iF('Ingest Template'!A276="Standard",'Ingest Template'!K276&amp;CHAR(10)&amp;'Ingest Template'!L276,"Competitive View")</f>
        <v>Competitive View</v>
      </c>
      <c r="L276" s="29" t="s">
        <v>146</v>
      </c>
      <c r="M276" s="37" t="str">
        <f>'Ingest Template'!D276</f>
        <v/>
      </c>
      <c r="N276" s="21"/>
      <c r="O276" s="21"/>
      <c r="P276" s="21"/>
      <c r="Q276" s="21"/>
      <c r="R276" s="21" t="str">
        <f>'Ingest Template'!E276</f>
        <v/>
      </c>
      <c r="S276" s="29" t="s">
        <v>153</v>
      </c>
      <c r="T276" s="21" t="str">
        <f>'Ingest Template'!T276</f>
        <v/>
      </c>
      <c r="U276" s="21" t="str">
        <f>'Ingest Template'!S276</f>
        <v/>
      </c>
      <c r="V276" s="21" t="str">
        <f>LOWER(SUBSTITUTE(SUBSTITUTE(SUBSTITUTE(SUBSTITUTE(SUBSTITUTE('Ingest Template'!U276,"https:",""),"www.",""),"/",""),"?hl=en",""),"instagram.com",""))</f>
        <v/>
      </c>
      <c r="W276" s="41" t="str">
        <f t="array" ref="W276">IF('Ingest Template'!V276="",(INDEX(DropDown!$L$2:$L$392,MATCH('Ingest Template'!E276,DropDown!$J$2:$J$392,0))&amp;"|"&amp;'Ingest Template'!B276),(INDEX(DropDown!$L$2:$L$392,MATCH('Ingest Template'!E276,DropDown!$J$2:$J$392,0))&amp;"|"&amp;'Ingest Template'!B276)&amp;CHAR(10)&amp;'Ingest Template'!V276)</f>
        <v>#N/A</v>
      </c>
      <c r="X276" s="41" t="str">
        <f>'Ingest Template'!W276</f>
        <v/>
      </c>
      <c r="Y276" s="21" t="str">
        <f>SUBSTITUTE(SUBSTITUTE(SUBSTITUTE('Ingest Template'!X276,"http:",""),"https:",""),"/","")</f>
        <v/>
      </c>
      <c r="Z276" s="21" t="str">
        <f t="array" ref="Z276">IF('Ingest Template'!A276="Standard",(IF(ISBLANK('Ingest Template'!AA276),"", 'Ingest Template'!AA276&amp;"|DAR")),(IF(ISBLANK('Ingest Template'!AA276),"", 'Ingest Template'!AA276&amp;"|Film Ops")))</f>
        <v/>
      </c>
      <c r="AA276" s="21"/>
      <c r="AB276" s="21" t="str">
        <f>'Ingest Template'!M276</f>
        <v/>
      </c>
      <c r="AC276" s="21" t="str">
        <f>'Ingest Template'!Y276</f>
        <v/>
      </c>
      <c r="AD276" s="21" t="str">
        <f>'Ingest Template'!C276</f>
        <v/>
      </c>
      <c r="AE276" s="21" t="str">
        <f>'Ingest Template'!Z276</f>
        <v/>
      </c>
      <c r="AF276" s="29"/>
      <c r="AG276" s="21" t="str">
        <f t="array" ref="AG276">IF('Ingest Template'!A276="Standard",(CONCATENATE(IF(ISBLANK('Ingest Template'!O276),"", 'Ingest Template'!O276&amp;"|DAR"),CHAR(10), IF(ISBLANK('Ingest Template'!P276),"", 'Ingest Template'!P276&amp;"|DAR"),CHAR(10), IF(ISBLANK('Ingest Template'!Q276),"", 'Ingest Template'!Q276&amp;"|DAR"))),(CONCATENATE(IF(ISBLANK('Ingest Template'!O276),"", 'Ingest Template'!O276&amp;"|Operations - Core Title"),CHAR(10), IF(ISBLANK('Ingest Template'!P276),"", 'Ingest Template'!P276&amp;"|Operations - Core Title"),CHAR(10), IF(ISBLANK('Ingest Template'!Q276),"", 'Ingest Template'!Q276&amp;"|Operations - Core Title"))))</f>
        <v>#|Operations - Core Title
#|Operations - Core Title
</v>
      </c>
      <c r="AH276" s="21"/>
      <c r="AI276" s="21"/>
      <c r="AJ276" s="53" t="str">
        <f>if('Ingest Template'!A276="Standard",'Ingest Template'!N276&amp; "|DAR|DAR|2021-01-01",'Ingest Template'!N276&amp; "|Operations - Core Title|Operations - Core Title")</f>
        <v>#N/A</v>
      </c>
      <c r="AK276" s="53" t="str">
        <f>if('Ingest Template'!A276="Standard",'Ingest Template'!R276&amp; "|2021-01-01",'Ingest Template'!R276)</f>
        <v>#N/A</v>
      </c>
      <c r="AL276" s="21"/>
      <c r="AM276" s="21"/>
    </row>
    <row r="277">
      <c r="A277" s="21"/>
      <c r="B277" s="21" t="str">
        <f>'Ingest Template'!B277&amp;IF('Ingest Template'!A277 = "Standard", " - DAR","")</f>
        <v/>
      </c>
      <c r="C277" s="26" t="s">
        <v>109</v>
      </c>
      <c r="D277" s="29" t="str">
        <f t="array" ref="D277">CONCATENATE(INDEX(DropDown!$H$2:$H$10,MATCH(1,COUNTIF('Ingest Template'!F277,"*"&amp;DropDown!$H$2:$H$10&amp;"*"),0)),CHAR(10),'Ingest Template'!G277)</f>
        <v>#N/A</v>
      </c>
      <c r="E277" s="21" t="str">
        <f>CONCATENATE('Ingest Template'!H277,CHAR(10),'Ingest Template'!I277,CHAR(10),'Ingest Template'!J277)</f>
        <v>
</v>
      </c>
      <c r="F277" s="26" t="str">
        <f>'Ingest Template'!H277</f>
        <v/>
      </c>
      <c r="G277" s="21"/>
      <c r="H277" s="29"/>
      <c r="I277" s="21"/>
      <c r="J277" s="29" t="str">
        <f t="array" ref="J277">iF('Ingest Template'!A277="Standard","Pristine Brand",INDEX(DropDown!$M$2:$M$392,MATCH('Ingest Template'!E277,DropDown!$J$2:$J$392,0)))</f>
        <v>#N/A</v>
      </c>
      <c r="K277" s="21" t="str">
        <f>iF('Ingest Template'!A277="Standard",'Ingest Template'!K277&amp;CHAR(10)&amp;'Ingest Template'!L277,"Competitive View")</f>
        <v>Competitive View</v>
      </c>
      <c r="L277" s="29" t="s">
        <v>146</v>
      </c>
      <c r="M277" s="37" t="str">
        <f>'Ingest Template'!D277</f>
        <v/>
      </c>
      <c r="N277" s="21"/>
      <c r="O277" s="21"/>
      <c r="P277" s="21"/>
      <c r="Q277" s="21"/>
      <c r="R277" s="21" t="str">
        <f>'Ingest Template'!E277</f>
        <v/>
      </c>
      <c r="S277" s="29" t="s">
        <v>153</v>
      </c>
      <c r="T277" s="21" t="str">
        <f>'Ingest Template'!T277</f>
        <v/>
      </c>
      <c r="U277" s="21" t="str">
        <f>'Ingest Template'!S277</f>
        <v/>
      </c>
      <c r="V277" s="21" t="str">
        <f>LOWER(SUBSTITUTE(SUBSTITUTE(SUBSTITUTE(SUBSTITUTE(SUBSTITUTE('Ingest Template'!U277,"https:",""),"www.",""),"/",""),"?hl=en",""),"instagram.com",""))</f>
        <v/>
      </c>
      <c r="W277" s="41" t="str">
        <f t="array" ref="W277">IF('Ingest Template'!V277="",(INDEX(DropDown!$L$2:$L$392,MATCH('Ingest Template'!E277,DropDown!$J$2:$J$392,0))&amp;"|"&amp;'Ingest Template'!B277),(INDEX(DropDown!$L$2:$L$392,MATCH('Ingest Template'!E277,DropDown!$J$2:$J$392,0))&amp;"|"&amp;'Ingest Template'!B277)&amp;CHAR(10)&amp;'Ingest Template'!V277)</f>
        <v>#N/A</v>
      </c>
      <c r="X277" s="41" t="str">
        <f>'Ingest Template'!W277</f>
        <v/>
      </c>
      <c r="Y277" s="21" t="str">
        <f>SUBSTITUTE(SUBSTITUTE(SUBSTITUTE('Ingest Template'!X277,"http:",""),"https:",""),"/","")</f>
        <v/>
      </c>
      <c r="Z277" s="21" t="str">
        <f t="array" ref="Z277">IF('Ingest Template'!A277="Standard",(IF(ISBLANK('Ingest Template'!AA277),"", 'Ingest Template'!AA277&amp;"|DAR")),(IF(ISBLANK('Ingest Template'!AA277),"", 'Ingest Template'!AA277&amp;"|Film Ops")))</f>
        <v/>
      </c>
      <c r="AA277" s="21"/>
      <c r="AB277" s="21" t="str">
        <f>'Ingest Template'!M277</f>
        <v/>
      </c>
      <c r="AC277" s="21" t="str">
        <f>'Ingest Template'!Y277</f>
        <v/>
      </c>
      <c r="AD277" s="21" t="str">
        <f>'Ingest Template'!C277</f>
        <v/>
      </c>
      <c r="AE277" s="21" t="str">
        <f>'Ingest Template'!Z277</f>
        <v/>
      </c>
      <c r="AF277" s="29"/>
      <c r="AG277" s="21" t="str">
        <f t="array" ref="AG277">IF('Ingest Template'!A277="Standard",(CONCATENATE(IF(ISBLANK('Ingest Template'!O277),"", 'Ingest Template'!O277&amp;"|DAR"),CHAR(10), IF(ISBLANK('Ingest Template'!P277),"", 'Ingest Template'!P277&amp;"|DAR"),CHAR(10), IF(ISBLANK('Ingest Template'!Q277),"", 'Ingest Template'!Q277&amp;"|DAR"))),(CONCATENATE(IF(ISBLANK('Ingest Template'!O277),"", 'Ingest Template'!O277&amp;"|Operations - Core Title"),CHAR(10), IF(ISBLANK('Ingest Template'!P277),"", 'Ingest Template'!P277&amp;"|Operations - Core Title"),CHAR(10), IF(ISBLANK('Ingest Template'!Q277),"", 'Ingest Template'!Q277&amp;"|Operations - Core Title"))))</f>
        <v>#|Operations - Core Title
#|Operations - Core Title
</v>
      </c>
      <c r="AH277" s="21"/>
      <c r="AI277" s="21"/>
      <c r="AJ277" s="53" t="str">
        <f>if('Ingest Template'!A277="Standard",'Ingest Template'!N277&amp; "|DAR|DAR|2021-01-01",'Ingest Template'!N277&amp; "|Operations - Core Title|Operations - Core Title")</f>
        <v>#N/A</v>
      </c>
      <c r="AK277" s="53" t="str">
        <f>if('Ingest Template'!A277="Standard",'Ingest Template'!R277&amp; "|2021-01-01",'Ingest Template'!R277)</f>
        <v>#N/A</v>
      </c>
      <c r="AL277" s="21"/>
      <c r="AM277" s="21"/>
    </row>
    <row r="278">
      <c r="A278" s="21"/>
      <c r="B278" s="21" t="str">
        <f>'Ingest Template'!B278&amp;IF('Ingest Template'!A278 = "Standard", " - DAR","")</f>
        <v/>
      </c>
      <c r="C278" s="26" t="s">
        <v>109</v>
      </c>
      <c r="D278" s="29" t="str">
        <f t="array" ref="D278">CONCATENATE(INDEX(DropDown!$H$2:$H$10,MATCH(1,COUNTIF('Ingest Template'!F278,"*"&amp;DropDown!$H$2:$H$10&amp;"*"),0)),CHAR(10),'Ingest Template'!G278)</f>
        <v>#N/A</v>
      </c>
      <c r="E278" s="21" t="str">
        <f>CONCATENATE('Ingest Template'!H278,CHAR(10),'Ingest Template'!I278,CHAR(10),'Ingest Template'!J278)</f>
        <v>
</v>
      </c>
      <c r="F278" s="26" t="str">
        <f>'Ingest Template'!H278</f>
        <v/>
      </c>
      <c r="G278" s="21"/>
      <c r="H278" s="29"/>
      <c r="I278" s="21"/>
      <c r="J278" s="29" t="str">
        <f t="array" ref="J278">iF('Ingest Template'!A278="Standard","Pristine Brand",INDEX(DropDown!$M$2:$M$392,MATCH('Ingest Template'!E278,DropDown!$J$2:$J$392,0)))</f>
        <v>#N/A</v>
      </c>
      <c r="K278" s="21" t="str">
        <f>iF('Ingest Template'!A278="Standard",'Ingest Template'!K278&amp;CHAR(10)&amp;'Ingest Template'!L278,"Competitive View")</f>
        <v>Competitive View</v>
      </c>
      <c r="L278" s="29" t="s">
        <v>146</v>
      </c>
      <c r="M278" s="37" t="str">
        <f>'Ingest Template'!D278</f>
        <v/>
      </c>
      <c r="N278" s="21"/>
      <c r="O278" s="21"/>
      <c r="P278" s="21"/>
      <c r="Q278" s="21"/>
      <c r="R278" s="21" t="str">
        <f>'Ingest Template'!E278</f>
        <v/>
      </c>
      <c r="S278" s="29" t="s">
        <v>153</v>
      </c>
      <c r="T278" s="21" t="str">
        <f>'Ingest Template'!T278</f>
        <v/>
      </c>
      <c r="U278" s="21" t="str">
        <f>'Ingest Template'!S278</f>
        <v/>
      </c>
      <c r="V278" s="21" t="str">
        <f>LOWER(SUBSTITUTE(SUBSTITUTE(SUBSTITUTE(SUBSTITUTE(SUBSTITUTE('Ingest Template'!U278,"https:",""),"www.",""),"/",""),"?hl=en",""),"instagram.com",""))</f>
        <v/>
      </c>
      <c r="W278" s="41" t="str">
        <f t="array" ref="W278">IF('Ingest Template'!V278="",(INDEX(DropDown!$L$2:$L$392,MATCH('Ingest Template'!E278,DropDown!$J$2:$J$392,0))&amp;"|"&amp;'Ingest Template'!B278),(INDEX(DropDown!$L$2:$L$392,MATCH('Ingest Template'!E278,DropDown!$J$2:$J$392,0))&amp;"|"&amp;'Ingest Template'!B278)&amp;CHAR(10)&amp;'Ingest Template'!V278)</f>
        <v>#N/A</v>
      </c>
      <c r="X278" s="41" t="str">
        <f>'Ingest Template'!W278</f>
        <v/>
      </c>
      <c r="Y278" s="21" t="str">
        <f>SUBSTITUTE(SUBSTITUTE(SUBSTITUTE('Ingest Template'!X278,"http:",""),"https:",""),"/","")</f>
        <v/>
      </c>
      <c r="Z278" s="21" t="str">
        <f t="array" ref="Z278">IF('Ingest Template'!A278="Standard",(IF(ISBLANK('Ingest Template'!AA278),"", 'Ingest Template'!AA278&amp;"|DAR")),(IF(ISBLANK('Ingest Template'!AA278),"", 'Ingest Template'!AA278&amp;"|Film Ops")))</f>
        <v/>
      </c>
      <c r="AA278" s="21"/>
      <c r="AB278" s="21" t="str">
        <f>'Ingest Template'!M278</f>
        <v/>
      </c>
      <c r="AC278" s="21" t="str">
        <f>'Ingest Template'!Y278</f>
        <v/>
      </c>
      <c r="AD278" s="21" t="str">
        <f>'Ingest Template'!C278</f>
        <v/>
      </c>
      <c r="AE278" s="21" t="str">
        <f>'Ingest Template'!Z278</f>
        <v/>
      </c>
      <c r="AF278" s="29"/>
      <c r="AG278" s="21" t="str">
        <f t="array" ref="AG278">IF('Ingest Template'!A278="Standard",(CONCATENATE(IF(ISBLANK('Ingest Template'!O278),"", 'Ingest Template'!O278&amp;"|DAR"),CHAR(10), IF(ISBLANK('Ingest Template'!P278),"", 'Ingest Template'!P278&amp;"|DAR"),CHAR(10), IF(ISBLANK('Ingest Template'!Q278),"", 'Ingest Template'!Q278&amp;"|DAR"))),(CONCATENATE(IF(ISBLANK('Ingest Template'!O278),"", 'Ingest Template'!O278&amp;"|Operations - Core Title"),CHAR(10), IF(ISBLANK('Ingest Template'!P278),"", 'Ingest Template'!P278&amp;"|Operations - Core Title"),CHAR(10), IF(ISBLANK('Ingest Template'!Q278),"", 'Ingest Template'!Q278&amp;"|Operations - Core Title"))))</f>
        <v>#|Operations - Core Title
#|Operations - Core Title
</v>
      </c>
      <c r="AH278" s="21"/>
      <c r="AI278" s="21"/>
      <c r="AJ278" s="53" t="str">
        <f>if('Ingest Template'!A278="Standard",'Ingest Template'!N278&amp; "|DAR|DAR|2021-01-01",'Ingest Template'!N278&amp; "|Operations - Core Title|Operations - Core Title")</f>
        <v>#N/A</v>
      </c>
      <c r="AK278" s="53" t="str">
        <f>if('Ingest Template'!A278="Standard",'Ingest Template'!R278&amp; "|2021-01-01",'Ingest Template'!R278)</f>
        <v>#N/A</v>
      </c>
      <c r="AL278" s="21"/>
      <c r="AM278" s="21"/>
    </row>
    <row r="279">
      <c r="A279" s="21"/>
      <c r="B279" s="21" t="str">
        <f>'Ingest Template'!B279&amp;IF('Ingest Template'!A279 = "Standard", " - DAR","")</f>
        <v/>
      </c>
      <c r="C279" s="26" t="s">
        <v>109</v>
      </c>
      <c r="D279" s="29" t="str">
        <f t="array" ref="D279">CONCATENATE(INDEX(DropDown!$H$2:$H$10,MATCH(1,COUNTIF('Ingest Template'!F279,"*"&amp;DropDown!$H$2:$H$10&amp;"*"),0)),CHAR(10),'Ingest Template'!G279)</f>
        <v>#N/A</v>
      </c>
      <c r="E279" s="21" t="str">
        <f>CONCATENATE('Ingest Template'!H279,CHAR(10),'Ingest Template'!I279,CHAR(10),'Ingest Template'!J279)</f>
        <v>
</v>
      </c>
      <c r="F279" s="26" t="str">
        <f>'Ingest Template'!H279</f>
        <v/>
      </c>
      <c r="G279" s="21"/>
      <c r="H279" s="29"/>
      <c r="I279" s="21"/>
      <c r="J279" s="29" t="str">
        <f t="array" ref="J279">iF('Ingest Template'!A279="Standard","Pristine Brand",INDEX(DropDown!$M$2:$M$392,MATCH('Ingest Template'!E279,DropDown!$J$2:$J$392,0)))</f>
        <v>#N/A</v>
      </c>
      <c r="K279" s="21" t="str">
        <f>iF('Ingest Template'!A279="Standard",'Ingest Template'!K279&amp;CHAR(10)&amp;'Ingest Template'!L279,"Competitive View")</f>
        <v>Competitive View</v>
      </c>
      <c r="L279" s="29" t="s">
        <v>146</v>
      </c>
      <c r="M279" s="37" t="str">
        <f>'Ingest Template'!D279</f>
        <v/>
      </c>
      <c r="N279" s="21"/>
      <c r="O279" s="21"/>
      <c r="P279" s="21"/>
      <c r="Q279" s="21"/>
      <c r="R279" s="21" t="str">
        <f>'Ingest Template'!E279</f>
        <v/>
      </c>
      <c r="S279" s="29" t="s">
        <v>153</v>
      </c>
      <c r="T279" s="21" t="str">
        <f>'Ingest Template'!T279</f>
        <v/>
      </c>
      <c r="U279" s="21" t="str">
        <f>'Ingest Template'!S279</f>
        <v/>
      </c>
      <c r="V279" s="21" t="str">
        <f>LOWER(SUBSTITUTE(SUBSTITUTE(SUBSTITUTE(SUBSTITUTE(SUBSTITUTE('Ingest Template'!U279,"https:",""),"www.",""),"/",""),"?hl=en",""),"instagram.com",""))</f>
        <v/>
      </c>
      <c r="W279" s="41" t="str">
        <f t="array" ref="W279">IF('Ingest Template'!V279="",(INDEX(DropDown!$L$2:$L$392,MATCH('Ingest Template'!E279,DropDown!$J$2:$J$392,0))&amp;"|"&amp;'Ingest Template'!B279),(INDEX(DropDown!$L$2:$L$392,MATCH('Ingest Template'!E279,DropDown!$J$2:$J$392,0))&amp;"|"&amp;'Ingest Template'!B279)&amp;CHAR(10)&amp;'Ingest Template'!V279)</f>
        <v>#N/A</v>
      </c>
      <c r="X279" s="41" t="str">
        <f>'Ingest Template'!W279</f>
        <v/>
      </c>
      <c r="Y279" s="21" t="str">
        <f>SUBSTITUTE(SUBSTITUTE(SUBSTITUTE('Ingest Template'!X279,"http:",""),"https:",""),"/","")</f>
        <v/>
      </c>
      <c r="Z279" s="21" t="str">
        <f t="array" ref="Z279">IF('Ingest Template'!A279="Standard",(IF(ISBLANK('Ingest Template'!AA279),"", 'Ingest Template'!AA279&amp;"|DAR")),(IF(ISBLANK('Ingest Template'!AA279),"", 'Ingest Template'!AA279&amp;"|Film Ops")))</f>
        <v/>
      </c>
      <c r="AA279" s="21"/>
      <c r="AB279" s="21" t="str">
        <f>'Ingest Template'!M279</f>
        <v/>
      </c>
      <c r="AC279" s="21" t="str">
        <f>'Ingest Template'!Y279</f>
        <v/>
      </c>
      <c r="AD279" s="21" t="str">
        <f>'Ingest Template'!C279</f>
        <v/>
      </c>
      <c r="AE279" s="21" t="str">
        <f>'Ingest Template'!Z279</f>
        <v/>
      </c>
      <c r="AF279" s="29"/>
      <c r="AG279" s="21" t="str">
        <f t="array" ref="AG279">IF('Ingest Template'!A279="Standard",(CONCATENATE(IF(ISBLANK('Ingest Template'!O279),"", 'Ingest Template'!O279&amp;"|DAR"),CHAR(10), IF(ISBLANK('Ingest Template'!P279),"", 'Ingest Template'!P279&amp;"|DAR"),CHAR(10), IF(ISBLANK('Ingest Template'!Q279),"", 'Ingest Template'!Q279&amp;"|DAR"))),(CONCATENATE(IF(ISBLANK('Ingest Template'!O279),"", 'Ingest Template'!O279&amp;"|Operations - Core Title"),CHAR(10), IF(ISBLANK('Ingest Template'!P279),"", 'Ingest Template'!P279&amp;"|Operations - Core Title"),CHAR(10), IF(ISBLANK('Ingest Template'!Q279),"", 'Ingest Template'!Q279&amp;"|Operations - Core Title"))))</f>
        <v>#|Operations - Core Title
#|Operations - Core Title
</v>
      </c>
      <c r="AH279" s="21"/>
      <c r="AI279" s="21"/>
      <c r="AJ279" s="53" t="str">
        <f>if('Ingest Template'!A279="Standard",'Ingest Template'!N279&amp; "|DAR|DAR|2021-01-01",'Ingest Template'!N279&amp; "|Operations - Core Title|Operations - Core Title")</f>
        <v>#N/A</v>
      </c>
      <c r="AK279" s="53" t="str">
        <f>if('Ingest Template'!A279="Standard",'Ingest Template'!R279&amp; "|2021-01-01",'Ingest Template'!R279)</f>
        <v>#N/A</v>
      </c>
      <c r="AL279" s="21"/>
      <c r="AM279" s="21"/>
    </row>
    <row r="280">
      <c r="A280" s="21"/>
      <c r="B280" s="21" t="str">
        <f>'Ingest Template'!B280&amp;IF('Ingest Template'!A280 = "Standard", " - DAR","")</f>
        <v/>
      </c>
      <c r="C280" s="26" t="s">
        <v>109</v>
      </c>
      <c r="D280" s="29" t="str">
        <f t="array" ref="D280">CONCATENATE(INDEX(DropDown!$H$2:$H$10,MATCH(1,COUNTIF('Ingest Template'!F280,"*"&amp;DropDown!$H$2:$H$10&amp;"*"),0)),CHAR(10),'Ingest Template'!G280)</f>
        <v>#N/A</v>
      </c>
      <c r="E280" s="21" t="str">
        <f>CONCATENATE('Ingest Template'!H280,CHAR(10),'Ingest Template'!I280,CHAR(10),'Ingest Template'!J280)</f>
        <v>
</v>
      </c>
      <c r="F280" s="26" t="str">
        <f>'Ingest Template'!H280</f>
        <v/>
      </c>
      <c r="G280" s="21"/>
      <c r="H280" s="29"/>
      <c r="I280" s="21"/>
      <c r="J280" s="29" t="str">
        <f t="array" ref="J280">iF('Ingest Template'!A280="Standard","Pristine Brand",INDEX(DropDown!$M$2:$M$392,MATCH('Ingest Template'!E280,DropDown!$J$2:$J$392,0)))</f>
        <v>#N/A</v>
      </c>
      <c r="K280" s="21" t="str">
        <f>iF('Ingest Template'!A280="Standard",'Ingest Template'!K280&amp;CHAR(10)&amp;'Ingest Template'!L280,"Competitive View")</f>
        <v>Competitive View</v>
      </c>
      <c r="L280" s="29" t="s">
        <v>146</v>
      </c>
      <c r="M280" s="37" t="str">
        <f>'Ingest Template'!D280</f>
        <v/>
      </c>
      <c r="N280" s="21"/>
      <c r="O280" s="21"/>
      <c r="P280" s="21"/>
      <c r="Q280" s="21"/>
      <c r="R280" s="21" t="str">
        <f>'Ingest Template'!E280</f>
        <v/>
      </c>
      <c r="S280" s="29" t="s">
        <v>153</v>
      </c>
      <c r="T280" s="21" t="str">
        <f>'Ingest Template'!T280</f>
        <v/>
      </c>
      <c r="U280" s="21" t="str">
        <f>'Ingest Template'!S280</f>
        <v/>
      </c>
      <c r="V280" s="21" t="str">
        <f>LOWER(SUBSTITUTE(SUBSTITUTE(SUBSTITUTE(SUBSTITUTE(SUBSTITUTE('Ingest Template'!U280,"https:",""),"www.",""),"/",""),"?hl=en",""),"instagram.com",""))</f>
        <v/>
      </c>
      <c r="W280" s="41" t="str">
        <f t="array" ref="W280">IF('Ingest Template'!V280="",(INDEX(DropDown!$L$2:$L$392,MATCH('Ingest Template'!E280,DropDown!$J$2:$J$392,0))&amp;"|"&amp;'Ingest Template'!B280),(INDEX(DropDown!$L$2:$L$392,MATCH('Ingest Template'!E280,DropDown!$J$2:$J$392,0))&amp;"|"&amp;'Ingest Template'!B280)&amp;CHAR(10)&amp;'Ingest Template'!V280)</f>
        <v>#N/A</v>
      </c>
      <c r="X280" s="41" t="str">
        <f>'Ingest Template'!W280</f>
        <v/>
      </c>
      <c r="Y280" s="21" t="str">
        <f>SUBSTITUTE(SUBSTITUTE(SUBSTITUTE('Ingest Template'!X280,"http:",""),"https:",""),"/","")</f>
        <v/>
      </c>
      <c r="Z280" s="21" t="str">
        <f t="array" ref="Z280">IF('Ingest Template'!A280="Standard",(IF(ISBLANK('Ingest Template'!AA280),"", 'Ingest Template'!AA280&amp;"|DAR")),(IF(ISBLANK('Ingest Template'!AA280),"", 'Ingest Template'!AA280&amp;"|Film Ops")))</f>
        <v/>
      </c>
      <c r="AA280" s="21"/>
      <c r="AB280" s="21" t="str">
        <f>'Ingest Template'!M280</f>
        <v/>
      </c>
      <c r="AC280" s="21" t="str">
        <f>'Ingest Template'!Y280</f>
        <v/>
      </c>
      <c r="AD280" s="21" t="str">
        <f>'Ingest Template'!C280</f>
        <v/>
      </c>
      <c r="AE280" s="21" t="str">
        <f>'Ingest Template'!Z280</f>
        <v/>
      </c>
      <c r="AF280" s="29"/>
      <c r="AG280" s="21" t="str">
        <f t="array" ref="AG280">IF('Ingest Template'!A280="Standard",(CONCATENATE(IF(ISBLANK('Ingest Template'!O280),"", 'Ingest Template'!O280&amp;"|DAR"),CHAR(10), IF(ISBLANK('Ingest Template'!P280),"", 'Ingest Template'!P280&amp;"|DAR"),CHAR(10), IF(ISBLANK('Ingest Template'!Q280),"", 'Ingest Template'!Q280&amp;"|DAR"))),(CONCATENATE(IF(ISBLANK('Ingest Template'!O280),"", 'Ingest Template'!O280&amp;"|Operations - Core Title"),CHAR(10), IF(ISBLANK('Ingest Template'!P280),"", 'Ingest Template'!P280&amp;"|Operations - Core Title"),CHAR(10), IF(ISBLANK('Ingest Template'!Q280),"", 'Ingest Template'!Q280&amp;"|Operations - Core Title"))))</f>
        <v>#|Operations - Core Title
#|Operations - Core Title
</v>
      </c>
      <c r="AH280" s="21"/>
      <c r="AI280" s="21"/>
      <c r="AJ280" s="53" t="str">
        <f>if('Ingest Template'!A280="Standard",'Ingest Template'!N280&amp; "|DAR|DAR|2021-01-01",'Ingest Template'!N280&amp; "|Operations - Core Title|Operations - Core Title")</f>
        <v>#N/A</v>
      </c>
      <c r="AK280" s="53" t="str">
        <f>if('Ingest Template'!A280="Standard",'Ingest Template'!R280&amp; "|2021-01-01",'Ingest Template'!R280)</f>
        <v>#N/A</v>
      </c>
      <c r="AL280" s="21"/>
      <c r="AM280" s="21"/>
    </row>
    <row r="281">
      <c r="A281" s="21"/>
      <c r="B281" s="21" t="str">
        <f>'Ingest Template'!B281&amp;IF('Ingest Template'!A281 = "Standard", " - DAR","")</f>
        <v/>
      </c>
      <c r="C281" s="26" t="s">
        <v>109</v>
      </c>
      <c r="D281" s="29" t="str">
        <f t="array" ref="D281">CONCATENATE(INDEX(DropDown!$H$2:$H$10,MATCH(1,COUNTIF('Ingest Template'!F281,"*"&amp;DropDown!$H$2:$H$10&amp;"*"),0)),CHAR(10),'Ingest Template'!G281)</f>
        <v>#N/A</v>
      </c>
      <c r="E281" s="21" t="str">
        <f>CONCATENATE('Ingest Template'!H281,CHAR(10),'Ingest Template'!I281,CHAR(10),'Ingest Template'!J281)</f>
        <v>
</v>
      </c>
      <c r="F281" s="26" t="str">
        <f>'Ingest Template'!H281</f>
        <v/>
      </c>
      <c r="G281" s="21"/>
      <c r="H281" s="29"/>
      <c r="I281" s="21"/>
      <c r="J281" s="29" t="str">
        <f t="array" ref="J281">iF('Ingest Template'!A281="Standard","Pristine Brand",INDEX(DropDown!$M$2:$M$392,MATCH('Ingest Template'!E281,DropDown!$J$2:$J$392,0)))</f>
        <v>#N/A</v>
      </c>
      <c r="K281" s="21" t="str">
        <f>iF('Ingest Template'!A281="Standard",'Ingest Template'!K281&amp;CHAR(10)&amp;'Ingest Template'!L281,"Competitive View")</f>
        <v>Competitive View</v>
      </c>
      <c r="L281" s="29" t="s">
        <v>146</v>
      </c>
      <c r="M281" s="37" t="str">
        <f>'Ingest Template'!D281</f>
        <v/>
      </c>
      <c r="N281" s="21"/>
      <c r="O281" s="21"/>
      <c r="P281" s="21"/>
      <c r="Q281" s="21"/>
      <c r="R281" s="21" t="str">
        <f>'Ingest Template'!E281</f>
        <v/>
      </c>
      <c r="S281" s="29" t="s">
        <v>153</v>
      </c>
      <c r="T281" s="21" t="str">
        <f>'Ingest Template'!T281</f>
        <v/>
      </c>
      <c r="U281" s="21" t="str">
        <f>'Ingest Template'!S281</f>
        <v/>
      </c>
      <c r="V281" s="21" t="str">
        <f>LOWER(SUBSTITUTE(SUBSTITUTE(SUBSTITUTE(SUBSTITUTE(SUBSTITUTE('Ingest Template'!U281,"https:",""),"www.",""),"/",""),"?hl=en",""),"instagram.com",""))</f>
        <v/>
      </c>
      <c r="W281" s="41" t="str">
        <f t="array" ref="W281">IF('Ingest Template'!V281="",(INDEX(DropDown!$L$2:$L$392,MATCH('Ingest Template'!E281,DropDown!$J$2:$J$392,0))&amp;"|"&amp;'Ingest Template'!B281),(INDEX(DropDown!$L$2:$L$392,MATCH('Ingest Template'!E281,DropDown!$J$2:$J$392,0))&amp;"|"&amp;'Ingest Template'!B281)&amp;CHAR(10)&amp;'Ingest Template'!V281)</f>
        <v>#N/A</v>
      </c>
      <c r="X281" s="41" t="str">
        <f>'Ingest Template'!W281</f>
        <v/>
      </c>
      <c r="Y281" s="21" t="str">
        <f>SUBSTITUTE(SUBSTITUTE(SUBSTITUTE('Ingest Template'!X281,"http:",""),"https:",""),"/","")</f>
        <v/>
      </c>
      <c r="Z281" s="21" t="str">
        <f t="array" ref="Z281">IF('Ingest Template'!A281="Standard",(IF(ISBLANK('Ingest Template'!AA281),"", 'Ingest Template'!AA281&amp;"|DAR")),(IF(ISBLANK('Ingest Template'!AA281),"", 'Ingest Template'!AA281&amp;"|Film Ops")))</f>
        <v/>
      </c>
      <c r="AA281" s="21"/>
      <c r="AB281" s="21" t="str">
        <f>'Ingest Template'!M281</f>
        <v/>
      </c>
      <c r="AC281" s="21" t="str">
        <f>'Ingest Template'!Y281</f>
        <v/>
      </c>
      <c r="AD281" s="21" t="str">
        <f>'Ingest Template'!C281</f>
        <v/>
      </c>
      <c r="AE281" s="21" t="str">
        <f>'Ingest Template'!Z281</f>
        <v/>
      </c>
      <c r="AF281" s="29"/>
      <c r="AG281" s="21" t="str">
        <f t="array" ref="AG281">IF('Ingest Template'!A281="Standard",(CONCATENATE(IF(ISBLANK('Ingest Template'!O281),"", 'Ingest Template'!O281&amp;"|DAR"),CHAR(10), IF(ISBLANK('Ingest Template'!P281),"", 'Ingest Template'!P281&amp;"|DAR"),CHAR(10), IF(ISBLANK('Ingest Template'!Q281),"", 'Ingest Template'!Q281&amp;"|DAR"))),(CONCATENATE(IF(ISBLANK('Ingest Template'!O281),"", 'Ingest Template'!O281&amp;"|Operations - Core Title"),CHAR(10), IF(ISBLANK('Ingest Template'!P281),"", 'Ingest Template'!P281&amp;"|Operations - Core Title"),CHAR(10), IF(ISBLANK('Ingest Template'!Q281),"", 'Ingest Template'!Q281&amp;"|Operations - Core Title"))))</f>
        <v>#|Operations - Core Title
#|Operations - Core Title
</v>
      </c>
      <c r="AH281" s="21"/>
      <c r="AI281" s="21"/>
      <c r="AJ281" s="53" t="str">
        <f>if('Ingest Template'!A281="Standard",'Ingest Template'!N281&amp; "|DAR|DAR|2021-01-01",'Ingest Template'!N281&amp; "|Operations - Core Title|Operations - Core Title")</f>
        <v>#N/A</v>
      </c>
      <c r="AK281" s="53" t="str">
        <f>if('Ingest Template'!A281="Standard",'Ingest Template'!R281&amp; "|2021-01-01",'Ingest Template'!R281)</f>
        <v>#N/A</v>
      </c>
      <c r="AL281" s="21"/>
      <c r="AM281" s="21"/>
    </row>
    <row r="282">
      <c r="A282" s="21"/>
      <c r="B282" s="21" t="str">
        <f>'Ingest Template'!B282&amp;IF('Ingest Template'!A282 = "Standard", " - DAR","")</f>
        <v/>
      </c>
      <c r="C282" s="26" t="s">
        <v>109</v>
      </c>
      <c r="D282" s="29" t="str">
        <f t="array" ref="D282">CONCATENATE(INDEX(DropDown!$H$2:$H$10,MATCH(1,COUNTIF('Ingest Template'!F282,"*"&amp;DropDown!$H$2:$H$10&amp;"*"),0)),CHAR(10),'Ingest Template'!G282)</f>
        <v>#N/A</v>
      </c>
      <c r="E282" s="21" t="str">
        <f>CONCATENATE('Ingest Template'!H282,CHAR(10),'Ingest Template'!I282,CHAR(10),'Ingest Template'!J282)</f>
        <v>
</v>
      </c>
      <c r="F282" s="26" t="str">
        <f>'Ingest Template'!H282</f>
        <v/>
      </c>
      <c r="G282" s="21"/>
      <c r="H282" s="29"/>
      <c r="I282" s="21"/>
      <c r="J282" s="29" t="str">
        <f t="array" ref="J282">iF('Ingest Template'!A282="Standard","Pristine Brand",INDEX(DropDown!$M$2:$M$392,MATCH('Ingest Template'!E282,DropDown!$J$2:$J$392,0)))</f>
        <v>#N/A</v>
      </c>
      <c r="K282" s="21" t="str">
        <f>iF('Ingest Template'!A282="Standard",'Ingest Template'!K282&amp;CHAR(10)&amp;'Ingest Template'!L282,"Competitive View")</f>
        <v>Competitive View</v>
      </c>
      <c r="L282" s="29" t="s">
        <v>146</v>
      </c>
      <c r="M282" s="37" t="str">
        <f>'Ingest Template'!D282</f>
        <v/>
      </c>
      <c r="N282" s="21"/>
      <c r="O282" s="21"/>
      <c r="P282" s="21"/>
      <c r="Q282" s="21"/>
      <c r="R282" s="21" t="str">
        <f>'Ingest Template'!E282</f>
        <v/>
      </c>
      <c r="S282" s="29" t="s">
        <v>153</v>
      </c>
      <c r="T282" s="21" t="str">
        <f>'Ingest Template'!T282</f>
        <v/>
      </c>
      <c r="U282" s="21" t="str">
        <f>'Ingest Template'!S282</f>
        <v/>
      </c>
      <c r="V282" s="21" t="str">
        <f>LOWER(SUBSTITUTE(SUBSTITUTE(SUBSTITUTE(SUBSTITUTE(SUBSTITUTE('Ingest Template'!U282,"https:",""),"www.",""),"/",""),"?hl=en",""),"instagram.com",""))</f>
        <v/>
      </c>
      <c r="W282" s="41" t="str">
        <f t="array" ref="W282">IF('Ingest Template'!V282="",(INDEX(DropDown!$L$2:$L$392,MATCH('Ingest Template'!E282,DropDown!$J$2:$J$392,0))&amp;"|"&amp;'Ingest Template'!B282),(INDEX(DropDown!$L$2:$L$392,MATCH('Ingest Template'!E282,DropDown!$J$2:$J$392,0))&amp;"|"&amp;'Ingest Template'!B282)&amp;CHAR(10)&amp;'Ingest Template'!V282)</f>
        <v>#N/A</v>
      </c>
      <c r="X282" s="41" t="str">
        <f>'Ingest Template'!W282</f>
        <v/>
      </c>
      <c r="Y282" s="21" t="str">
        <f>SUBSTITUTE(SUBSTITUTE(SUBSTITUTE('Ingest Template'!X282,"http:",""),"https:",""),"/","")</f>
        <v/>
      </c>
      <c r="Z282" s="21" t="str">
        <f t="array" ref="Z282">IF('Ingest Template'!A282="Standard",(IF(ISBLANK('Ingest Template'!AA282),"", 'Ingest Template'!AA282&amp;"|DAR")),(IF(ISBLANK('Ingest Template'!AA282),"", 'Ingest Template'!AA282&amp;"|Film Ops")))</f>
        <v/>
      </c>
      <c r="AA282" s="21"/>
      <c r="AB282" s="21" t="str">
        <f>'Ingest Template'!M282</f>
        <v/>
      </c>
      <c r="AC282" s="21" t="str">
        <f>'Ingest Template'!Y282</f>
        <v/>
      </c>
      <c r="AD282" s="21" t="str">
        <f>'Ingest Template'!C282</f>
        <v/>
      </c>
      <c r="AE282" s="21" t="str">
        <f>'Ingest Template'!Z282</f>
        <v/>
      </c>
      <c r="AF282" s="29"/>
      <c r="AG282" s="21" t="str">
        <f t="array" ref="AG282">IF('Ingest Template'!A282="Standard",(CONCATENATE(IF(ISBLANK('Ingest Template'!O282),"", 'Ingest Template'!O282&amp;"|DAR"),CHAR(10), IF(ISBLANK('Ingest Template'!P282),"", 'Ingest Template'!P282&amp;"|DAR"),CHAR(10), IF(ISBLANK('Ingest Template'!Q282),"", 'Ingest Template'!Q282&amp;"|DAR"))),(CONCATENATE(IF(ISBLANK('Ingest Template'!O282),"", 'Ingest Template'!O282&amp;"|Operations - Core Title"),CHAR(10), IF(ISBLANK('Ingest Template'!P282),"", 'Ingest Template'!P282&amp;"|Operations - Core Title"),CHAR(10), IF(ISBLANK('Ingest Template'!Q282),"", 'Ingest Template'!Q282&amp;"|Operations - Core Title"))))</f>
        <v>#|Operations - Core Title
#|Operations - Core Title
</v>
      </c>
      <c r="AH282" s="21"/>
      <c r="AI282" s="21"/>
      <c r="AJ282" s="53" t="str">
        <f>if('Ingest Template'!A282="Standard",'Ingest Template'!N282&amp; "|DAR|DAR|2021-01-01",'Ingest Template'!N282&amp; "|Operations - Core Title|Operations - Core Title")</f>
        <v>#N/A</v>
      </c>
      <c r="AK282" s="53" t="str">
        <f>if('Ingest Template'!A282="Standard",'Ingest Template'!R282&amp; "|2021-01-01",'Ingest Template'!R282)</f>
        <v>#N/A</v>
      </c>
      <c r="AL282" s="21"/>
      <c r="AM282" s="21"/>
    </row>
    <row r="283">
      <c r="A283" s="21"/>
      <c r="B283" s="21" t="str">
        <f>'Ingest Template'!B283&amp;IF('Ingest Template'!A283 = "Standard", " - DAR","")</f>
        <v/>
      </c>
      <c r="C283" s="26" t="s">
        <v>109</v>
      </c>
      <c r="D283" s="29" t="str">
        <f t="array" ref="D283">CONCATENATE(INDEX(DropDown!$H$2:$H$10,MATCH(1,COUNTIF('Ingest Template'!F283,"*"&amp;DropDown!$H$2:$H$10&amp;"*"),0)),CHAR(10),'Ingest Template'!G283)</f>
        <v>#N/A</v>
      </c>
      <c r="E283" s="21" t="str">
        <f>CONCATENATE('Ingest Template'!H283,CHAR(10),'Ingest Template'!I283,CHAR(10),'Ingest Template'!J283)</f>
        <v>
</v>
      </c>
      <c r="F283" s="26" t="str">
        <f>'Ingest Template'!H283</f>
        <v/>
      </c>
      <c r="G283" s="21"/>
      <c r="H283" s="29"/>
      <c r="I283" s="21"/>
      <c r="J283" s="29" t="str">
        <f t="array" ref="J283">iF('Ingest Template'!A283="Standard","Pristine Brand",INDEX(DropDown!$M$2:$M$392,MATCH('Ingest Template'!E283,DropDown!$J$2:$J$392,0)))</f>
        <v>#N/A</v>
      </c>
      <c r="K283" s="21" t="str">
        <f>iF('Ingest Template'!A283="Standard",'Ingest Template'!K283&amp;CHAR(10)&amp;'Ingest Template'!L283,"Competitive View")</f>
        <v>Competitive View</v>
      </c>
      <c r="L283" s="29" t="s">
        <v>146</v>
      </c>
      <c r="M283" s="37" t="str">
        <f>'Ingest Template'!D283</f>
        <v/>
      </c>
      <c r="N283" s="21"/>
      <c r="O283" s="21"/>
      <c r="P283" s="21"/>
      <c r="Q283" s="21"/>
      <c r="R283" s="21" t="str">
        <f>'Ingest Template'!E283</f>
        <v/>
      </c>
      <c r="S283" s="29" t="s">
        <v>153</v>
      </c>
      <c r="T283" s="21" t="str">
        <f>'Ingest Template'!T283</f>
        <v/>
      </c>
      <c r="U283" s="21" t="str">
        <f>'Ingest Template'!S283</f>
        <v/>
      </c>
      <c r="V283" s="21" t="str">
        <f>LOWER(SUBSTITUTE(SUBSTITUTE(SUBSTITUTE(SUBSTITUTE(SUBSTITUTE('Ingest Template'!U283,"https:",""),"www.",""),"/",""),"?hl=en",""),"instagram.com",""))</f>
        <v/>
      </c>
      <c r="W283" s="41" t="str">
        <f t="array" ref="W283">IF('Ingest Template'!V283="",(INDEX(DropDown!$L$2:$L$392,MATCH('Ingest Template'!E283,DropDown!$J$2:$J$392,0))&amp;"|"&amp;'Ingest Template'!B283),(INDEX(DropDown!$L$2:$L$392,MATCH('Ingest Template'!E283,DropDown!$J$2:$J$392,0))&amp;"|"&amp;'Ingest Template'!B283)&amp;CHAR(10)&amp;'Ingest Template'!V283)</f>
        <v>#N/A</v>
      </c>
      <c r="X283" s="41" t="str">
        <f>'Ingest Template'!W283</f>
        <v/>
      </c>
      <c r="Y283" s="21" t="str">
        <f>SUBSTITUTE(SUBSTITUTE(SUBSTITUTE('Ingest Template'!X283,"http:",""),"https:",""),"/","")</f>
        <v/>
      </c>
      <c r="Z283" s="21" t="str">
        <f t="array" ref="Z283">IF('Ingest Template'!A283="Standard",(IF(ISBLANK('Ingest Template'!AA283),"", 'Ingest Template'!AA283&amp;"|DAR")),(IF(ISBLANK('Ingest Template'!AA283),"", 'Ingest Template'!AA283&amp;"|Film Ops")))</f>
        <v/>
      </c>
      <c r="AA283" s="21"/>
      <c r="AB283" s="21" t="str">
        <f>'Ingest Template'!M283</f>
        <v/>
      </c>
      <c r="AC283" s="21" t="str">
        <f>'Ingest Template'!Y283</f>
        <v/>
      </c>
      <c r="AD283" s="21" t="str">
        <f>'Ingest Template'!C283</f>
        <v/>
      </c>
      <c r="AE283" s="21" t="str">
        <f>'Ingest Template'!Z283</f>
        <v/>
      </c>
      <c r="AF283" s="29"/>
      <c r="AG283" s="21" t="str">
        <f t="array" ref="AG283">IF('Ingest Template'!A283="Standard",(CONCATENATE(IF(ISBLANK('Ingest Template'!O283),"", 'Ingest Template'!O283&amp;"|DAR"),CHAR(10), IF(ISBLANK('Ingest Template'!P283),"", 'Ingest Template'!P283&amp;"|DAR"),CHAR(10), IF(ISBLANK('Ingest Template'!Q283),"", 'Ingest Template'!Q283&amp;"|DAR"))),(CONCATENATE(IF(ISBLANK('Ingest Template'!O283),"", 'Ingest Template'!O283&amp;"|Operations - Core Title"),CHAR(10), IF(ISBLANK('Ingest Template'!P283),"", 'Ingest Template'!P283&amp;"|Operations - Core Title"),CHAR(10), IF(ISBLANK('Ingest Template'!Q283),"", 'Ingest Template'!Q283&amp;"|Operations - Core Title"))))</f>
        <v>#|Operations - Core Title
#|Operations - Core Title
</v>
      </c>
      <c r="AH283" s="21"/>
      <c r="AI283" s="21"/>
      <c r="AJ283" s="53" t="str">
        <f>if('Ingest Template'!A283="Standard",'Ingest Template'!N283&amp; "|DAR|DAR|2021-01-01",'Ingest Template'!N283&amp; "|Operations - Core Title|Operations - Core Title")</f>
        <v>#N/A</v>
      </c>
      <c r="AK283" s="53" t="str">
        <f>if('Ingest Template'!A283="Standard",'Ingest Template'!R283&amp; "|2021-01-01",'Ingest Template'!R283)</f>
        <v>#N/A</v>
      </c>
      <c r="AL283" s="21"/>
      <c r="AM283" s="21"/>
    </row>
    <row r="284">
      <c r="A284" s="21"/>
      <c r="B284" s="21" t="str">
        <f>'Ingest Template'!B284&amp;IF('Ingest Template'!A284 = "Standard", " - DAR","")</f>
        <v/>
      </c>
      <c r="C284" s="26" t="s">
        <v>109</v>
      </c>
      <c r="D284" s="29" t="str">
        <f t="array" ref="D284">CONCATENATE(INDEX(DropDown!$H$2:$H$10,MATCH(1,COUNTIF('Ingest Template'!F284,"*"&amp;DropDown!$H$2:$H$10&amp;"*"),0)),CHAR(10),'Ingest Template'!G284)</f>
        <v>#N/A</v>
      </c>
      <c r="E284" s="21" t="str">
        <f>CONCATENATE('Ingest Template'!H284,CHAR(10),'Ingest Template'!I284,CHAR(10),'Ingest Template'!J284)</f>
        <v>
</v>
      </c>
      <c r="F284" s="26" t="str">
        <f>'Ingest Template'!H284</f>
        <v/>
      </c>
      <c r="G284" s="21"/>
      <c r="H284" s="29"/>
      <c r="I284" s="21"/>
      <c r="J284" s="29" t="str">
        <f t="array" ref="J284">iF('Ingest Template'!A284="Standard","Pristine Brand",INDEX(DropDown!$M$2:$M$392,MATCH('Ingest Template'!E284,DropDown!$J$2:$J$392,0)))</f>
        <v>#N/A</v>
      </c>
      <c r="K284" s="21" t="str">
        <f>iF('Ingest Template'!A284="Standard",'Ingest Template'!K284&amp;CHAR(10)&amp;'Ingest Template'!L284,"Competitive View")</f>
        <v>Competitive View</v>
      </c>
      <c r="L284" s="29" t="s">
        <v>146</v>
      </c>
      <c r="M284" s="37" t="str">
        <f>'Ingest Template'!D284</f>
        <v/>
      </c>
      <c r="N284" s="21"/>
      <c r="O284" s="21"/>
      <c r="P284" s="21"/>
      <c r="Q284" s="21"/>
      <c r="R284" s="21" t="str">
        <f>'Ingest Template'!E284</f>
        <v/>
      </c>
      <c r="S284" s="29" t="s">
        <v>153</v>
      </c>
      <c r="T284" s="21" t="str">
        <f>'Ingest Template'!T284</f>
        <v/>
      </c>
      <c r="U284" s="21" t="str">
        <f>'Ingest Template'!S284</f>
        <v/>
      </c>
      <c r="V284" s="21" t="str">
        <f>LOWER(SUBSTITUTE(SUBSTITUTE(SUBSTITUTE(SUBSTITUTE(SUBSTITUTE('Ingest Template'!U284,"https:",""),"www.",""),"/",""),"?hl=en",""),"instagram.com",""))</f>
        <v/>
      </c>
      <c r="W284" s="41" t="str">
        <f t="array" ref="W284">IF('Ingest Template'!V284="",(INDEX(DropDown!$L$2:$L$392,MATCH('Ingest Template'!E284,DropDown!$J$2:$J$392,0))&amp;"|"&amp;'Ingest Template'!B284),(INDEX(DropDown!$L$2:$L$392,MATCH('Ingest Template'!E284,DropDown!$J$2:$J$392,0))&amp;"|"&amp;'Ingest Template'!B284)&amp;CHAR(10)&amp;'Ingest Template'!V284)</f>
        <v>#N/A</v>
      </c>
      <c r="X284" s="41" t="str">
        <f>'Ingest Template'!W284</f>
        <v/>
      </c>
      <c r="Y284" s="21" t="str">
        <f>SUBSTITUTE(SUBSTITUTE(SUBSTITUTE('Ingest Template'!X284,"http:",""),"https:",""),"/","")</f>
        <v/>
      </c>
      <c r="Z284" s="21" t="str">
        <f t="array" ref="Z284">IF('Ingest Template'!A284="Standard",(IF(ISBLANK('Ingest Template'!AA284),"", 'Ingest Template'!AA284&amp;"|DAR")),(IF(ISBLANK('Ingest Template'!AA284),"", 'Ingest Template'!AA284&amp;"|Film Ops")))</f>
        <v/>
      </c>
      <c r="AA284" s="21"/>
      <c r="AB284" s="21" t="str">
        <f>'Ingest Template'!M284</f>
        <v/>
      </c>
      <c r="AC284" s="21" t="str">
        <f>'Ingest Template'!Y284</f>
        <v/>
      </c>
      <c r="AD284" s="21" t="str">
        <f>'Ingest Template'!C284</f>
        <v/>
      </c>
      <c r="AE284" s="21" t="str">
        <f>'Ingest Template'!Z284</f>
        <v/>
      </c>
      <c r="AF284" s="29"/>
      <c r="AG284" s="21" t="str">
        <f t="array" ref="AG284">IF('Ingest Template'!A284="Standard",(CONCATENATE(IF(ISBLANK('Ingest Template'!O284),"", 'Ingest Template'!O284&amp;"|DAR"),CHAR(10), IF(ISBLANK('Ingest Template'!P284),"", 'Ingest Template'!P284&amp;"|DAR"),CHAR(10), IF(ISBLANK('Ingest Template'!Q284),"", 'Ingest Template'!Q284&amp;"|DAR"))),(CONCATENATE(IF(ISBLANK('Ingest Template'!O284),"", 'Ingest Template'!O284&amp;"|Operations - Core Title"),CHAR(10), IF(ISBLANK('Ingest Template'!P284),"", 'Ingest Template'!P284&amp;"|Operations - Core Title"),CHAR(10), IF(ISBLANK('Ingest Template'!Q284),"", 'Ingest Template'!Q284&amp;"|Operations - Core Title"))))</f>
        <v>#|Operations - Core Title
#|Operations - Core Title
</v>
      </c>
      <c r="AH284" s="21"/>
      <c r="AI284" s="21"/>
      <c r="AJ284" s="53" t="str">
        <f>if('Ingest Template'!A284="Standard",'Ingest Template'!N284&amp; "|DAR|DAR|2021-01-01",'Ingest Template'!N284&amp; "|Operations - Core Title|Operations - Core Title")</f>
        <v>#N/A</v>
      </c>
      <c r="AK284" s="53" t="str">
        <f>if('Ingest Template'!A284="Standard",'Ingest Template'!R284&amp; "|2021-01-01",'Ingest Template'!R284)</f>
        <v>#N/A</v>
      </c>
      <c r="AL284" s="21"/>
      <c r="AM284" s="21"/>
    </row>
    <row r="285">
      <c r="A285" s="21"/>
      <c r="B285" s="21" t="str">
        <f>'Ingest Template'!B285&amp;IF('Ingest Template'!A285 = "Standard", " - DAR","")</f>
        <v/>
      </c>
      <c r="C285" s="26" t="s">
        <v>109</v>
      </c>
      <c r="D285" s="29" t="str">
        <f t="array" ref="D285">CONCATENATE(INDEX(DropDown!$H$2:$H$10,MATCH(1,COUNTIF('Ingest Template'!F285,"*"&amp;DropDown!$H$2:$H$10&amp;"*"),0)),CHAR(10),'Ingest Template'!G285)</f>
        <v>#N/A</v>
      </c>
      <c r="E285" s="21" t="str">
        <f>CONCATENATE('Ingest Template'!H285,CHAR(10),'Ingest Template'!I285,CHAR(10),'Ingest Template'!J285)</f>
        <v>
</v>
      </c>
      <c r="F285" s="26" t="str">
        <f>'Ingest Template'!H285</f>
        <v/>
      </c>
      <c r="G285" s="21"/>
      <c r="H285" s="29"/>
      <c r="I285" s="21"/>
      <c r="J285" s="29" t="str">
        <f t="array" ref="J285">iF('Ingest Template'!A285="Standard","Pristine Brand",INDEX(DropDown!$M$2:$M$392,MATCH('Ingest Template'!E285,DropDown!$J$2:$J$392,0)))</f>
        <v>#N/A</v>
      </c>
      <c r="K285" s="21" t="str">
        <f>iF('Ingest Template'!A285="Standard",'Ingest Template'!K285&amp;CHAR(10)&amp;'Ingest Template'!L285,"Competitive View")</f>
        <v>Competitive View</v>
      </c>
      <c r="L285" s="29" t="s">
        <v>146</v>
      </c>
      <c r="M285" s="37" t="str">
        <f>'Ingest Template'!D285</f>
        <v/>
      </c>
      <c r="N285" s="21"/>
      <c r="O285" s="21"/>
      <c r="P285" s="21"/>
      <c r="Q285" s="21"/>
      <c r="R285" s="21" t="str">
        <f>'Ingest Template'!E285</f>
        <v/>
      </c>
      <c r="S285" s="29" t="s">
        <v>153</v>
      </c>
      <c r="T285" s="21" t="str">
        <f>'Ingest Template'!T285</f>
        <v/>
      </c>
      <c r="U285" s="21" t="str">
        <f>'Ingest Template'!S285</f>
        <v/>
      </c>
      <c r="V285" s="21" t="str">
        <f>LOWER(SUBSTITUTE(SUBSTITUTE(SUBSTITUTE(SUBSTITUTE(SUBSTITUTE('Ingest Template'!U285,"https:",""),"www.",""),"/",""),"?hl=en",""),"instagram.com",""))</f>
        <v/>
      </c>
      <c r="W285" s="41" t="str">
        <f t="array" ref="W285">IF('Ingest Template'!V285="",(INDEX(DropDown!$L$2:$L$392,MATCH('Ingest Template'!E285,DropDown!$J$2:$J$392,0))&amp;"|"&amp;'Ingest Template'!B285),(INDEX(DropDown!$L$2:$L$392,MATCH('Ingest Template'!E285,DropDown!$J$2:$J$392,0))&amp;"|"&amp;'Ingest Template'!B285)&amp;CHAR(10)&amp;'Ingest Template'!V285)</f>
        <v>#N/A</v>
      </c>
      <c r="X285" s="41" t="str">
        <f>'Ingest Template'!W285</f>
        <v/>
      </c>
      <c r="Y285" s="21" t="str">
        <f>SUBSTITUTE(SUBSTITUTE(SUBSTITUTE('Ingest Template'!X285,"http:",""),"https:",""),"/","")</f>
        <v/>
      </c>
      <c r="Z285" s="21" t="str">
        <f t="array" ref="Z285">IF('Ingest Template'!A285="Standard",(IF(ISBLANK('Ingest Template'!AA285),"", 'Ingest Template'!AA285&amp;"|DAR")),(IF(ISBLANK('Ingest Template'!AA285),"", 'Ingest Template'!AA285&amp;"|Film Ops")))</f>
        <v/>
      </c>
      <c r="AA285" s="21"/>
      <c r="AB285" s="21" t="str">
        <f>'Ingest Template'!M285</f>
        <v/>
      </c>
      <c r="AC285" s="21" t="str">
        <f>'Ingest Template'!Y285</f>
        <v/>
      </c>
      <c r="AD285" s="21" t="str">
        <f>'Ingest Template'!C285</f>
        <v/>
      </c>
      <c r="AE285" s="21" t="str">
        <f>'Ingest Template'!Z285</f>
        <v/>
      </c>
      <c r="AF285" s="29"/>
      <c r="AG285" s="21" t="str">
        <f t="array" ref="AG285">IF('Ingest Template'!A285="Standard",(CONCATENATE(IF(ISBLANK('Ingest Template'!O285),"", 'Ingest Template'!O285&amp;"|DAR"),CHAR(10), IF(ISBLANK('Ingest Template'!P285),"", 'Ingest Template'!P285&amp;"|DAR"),CHAR(10), IF(ISBLANK('Ingest Template'!Q285),"", 'Ingest Template'!Q285&amp;"|DAR"))),(CONCATENATE(IF(ISBLANK('Ingest Template'!O285),"", 'Ingest Template'!O285&amp;"|Operations - Core Title"),CHAR(10), IF(ISBLANK('Ingest Template'!P285),"", 'Ingest Template'!P285&amp;"|Operations - Core Title"),CHAR(10), IF(ISBLANK('Ingest Template'!Q285),"", 'Ingest Template'!Q285&amp;"|Operations - Core Title"))))</f>
        <v>#|Operations - Core Title
#|Operations - Core Title
</v>
      </c>
      <c r="AH285" s="21"/>
      <c r="AI285" s="21"/>
      <c r="AJ285" s="53" t="str">
        <f>if('Ingest Template'!A285="Standard",'Ingest Template'!N285&amp; "|DAR|DAR|2021-01-01",'Ingest Template'!N285&amp; "|Operations - Core Title|Operations - Core Title")</f>
        <v>#N/A</v>
      </c>
      <c r="AK285" s="53" t="str">
        <f>if('Ingest Template'!A285="Standard",'Ingest Template'!R285&amp; "|2021-01-01",'Ingest Template'!R285)</f>
        <v>#N/A</v>
      </c>
      <c r="AL285" s="21"/>
      <c r="AM285" s="21"/>
    </row>
    <row r="286">
      <c r="A286" s="21"/>
      <c r="B286" s="21" t="str">
        <f>'Ingest Template'!B286&amp;IF('Ingest Template'!A286 = "Standard", " - DAR","")</f>
        <v/>
      </c>
      <c r="C286" s="26" t="s">
        <v>109</v>
      </c>
      <c r="D286" s="29" t="str">
        <f t="array" ref="D286">CONCATENATE(INDEX(DropDown!$H$2:$H$10,MATCH(1,COUNTIF('Ingest Template'!F286,"*"&amp;DropDown!$H$2:$H$10&amp;"*"),0)),CHAR(10),'Ingest Template'!G286)</f>
        <v>#N/A</v>
      </c>
      <c r="E286" s="21" t="str">
        <f>CONCATENATE('Ingest Template'!H286,CHAR(10),'Ingest Template'!I286,CHAR(10),'Ingest Template'!J286)</f>
        <v>
</v>
      </c>
      <c r="F286" s="26" t="str">
        <f>'Ingest Template'!H286</f>
        <v/>
      </c>
      <c r="G286" s="21"/>
      <c r="H286" s="29"/>
      <c r="I286" s="21"/>
      <c r="J286" s="29" t="str">
        <f t="array" ref="J286">iF('Ingest Template'!A286="Standard","Pristine Brand",INDEX(DropDown!$M$2:$M$392,MATCH('Ingest Template'!E286,DropDown!$J$2:$J$392,0)))</f>
        <v>#N/A</v>
      </c>
      <c r="K286" s="21" t="str">
        <f>iF('Ingest Template'!A286="Standard",'Ingest Template'!K286&amp;CHAR(10)&amp;'Ingest Template'!L286,"Competitive View")</f>
        <v>Competitive View</v>
      </c>
      <c r="L286" s="29" t="s">
        <v>146</v>
      </c>
      <c r="M286" s="37" t="str">
        <f>'Ingest Template'!D286</f>
        <v/>
      </c>
      <c r="N286" s="21"/>
      <c r="O286" s="21"/>
      <c r="P286" s="21"/>
      <c r="Q286" s="21"/>
      <c r="R286" s="21" t="str">
        <f>'Ingest Template'!E286</f>
        <v/>
      </c>
      <c r="S286" s="29" t="s">
        <v>153</v>
      </c>
      <c r="T286" s="21" t="str">
        <f>'Ingest Template'!T286</f>
        <v/>
      </c>
      <c r="U286" s="21" t="str">
        <f>'Ingest Template'!S286</f>
        <v/>
      </c>
      <c r="V286" s="21" t="str">
        <f>LOWER(SUBSTITUTE(SUBSTITUTE(SUBSTITUTE(SUBSTITUTE(SUBSTITUTE('Ingest Template'!U286,"https:",""),"www.",""),"/",""),"?hl=en",""),"instagram.com",""))</f>
        <v/>
      </c>
      <c r="W286" s="41" t="str">
        <f t="array" ref="W286">IF('Ingest Template'!V286="",(INDEX(DropDown!$L$2:$L$392,MATCH('Ingest Template'!E286,DropDown!$J$2:$J$392,0))&amp;"|"&amp;'Ingest Template'!B286),(INDEX(DropDown!$L$2:$L$392,MATCH('Ingest Template'!E286,DropDown!$J$2:$J$392,0))&amp;"|"&amp;'Ingest Template'!B286)&amp;CHAR(10)&amp;'Ingest Template'!V286)</f>
        <v>#N/A</v>
      </c>
      <c r="X286" s="41" t="str">
        <f>'Ingest Template'!W286</f>
        <v/>
      </c>
      <c r="Y286" s="21" t="str">
        <f>SUBSTITUTE(SUBSTITUTE(SUBSTITUTE('Ingest Template'!X286,"http:",""),"https:",""),"/","")</f>
        <v/>
      </c>
      <c r="Z286" s="21" t="str">
        <f t="array" ref="Z286">IF('Ingest Template'!A286="Standard",(IF(ISBLANK('Ingest Template'!AA286),"", 'Ingest Template'!AA286&amp;"|DAR")),(IF(ISBLANK('Ingest Template'!AA286),"", 'Ingest Template'!AA286&amp;"|Film Ops")))</f>
        <v/>
      </c>
      <c r="AA286" s="21"/>
      <c r="AB286" s="21" t="str">
        <f>'Ingest Template'!M286</f>
        <v/>
      </c>
      <c r="AC286" s="21" t="str">
        <f>'Ingest Template'!Y286</f>
        <v/>
      </c>
      <c r="AD286" s="21" t="str">
        <f>'Ingest Template'!C286</f>
        <v/>
      </c>
      <c r="AE286" s="21" t="str">
        <f>'Ingest Template'!Z286</f>
        <v/>
      </c>
      <c r="AF286" s="29"/>
      <c r="AG286" s="21" t="str">
        <f t="array" ref="AG286">IF('Ingest Template'!A286="Standard",(CONCATENATE(IF(ISBLANK('Ingest Template'!O286),"", 'Ingest Template'!O286&amp;"|DAR"),CHAR(10), IF(ISBLANK('Ingest Template'!P286),"", 'Ingest Template'!P286&amp;"|DAR"),CHAR(10), IF(ISBLANK('Ingest Template'!Q286),"", 'Ingest Template'!Q286&amp;"|DAR"))),(CONCATENATE(IF(ISBLANK('Ingest Template'!O286),"", 'Ingest Template'!O286&amp;"|Operations - Core Title"),CHAR(10), IF(ISBLANK('Ingest Template'!P286),"", 'Ingest Template'!P286&amp;"|Operations - Core Title"),CHAR(10), IF(ISBLANK('Ingest Template'!Q286),"", 'Ingest Template'!Q286&amp;"|Operations - Core Title"))))</f>
        <v>#|Operations - Core Title
#|Operations - Core Title
</v>
      </c>
      <c r="AH286" s="21"/>
      <c r="AI286" s="21"/>
      <c r="AJ286" s="53" t="str">
        <f>if('Ingest Template'!A286="Standard",'Ingest Template'!N286&amp; "|DAR|DAR|2021-01-01",'Ingest Template'!N286&amp; "|Operations - Core Title|Operations - Core Title")</f>
        <v>#N/A</v>
      </c>
      <c r="AK286" s="53" t="str">
        <f>if('Ingest Template'!A286="Standard",'Ingest Template'!R286&amp; "|2021-01-01",'Ingest Template'!R286)</f>
        <v>#N/A</v>
      </c>
      <c r="AL286" s="21"/>
      <c r="AM286" s="21"/>
    </row>
    <row r="287">
      <c r="A287" s="21"/>
      <c r="B287" s="21" t="str">
        <f>'Ingest Template'!B287&amp;IF('Ingest Template'!A287 = "Standard", " - DAR","")</f>
        <v/>
      </c>
      <c r="C287" s="26" t="s">
        <v>109</v>
      </c>
      <c r="D287" s="29" t="str">
        <f t="array" ref="D287">CONCATENATE(INDEX(DropDown!$H$2:$H$10,MATCH(1,COUNTIF('Ingest Template'!F287,"*"&amp;DropDown!$H$2:$H$10&amp;"*"),0)),CHAR(10),'Ingest Template'!G287)</f>
        <v>#N/A</v>
      </c>
      <c r="E287" s="21" t="str">
        <f>CONCATENATE('Ingest Template'!H287,CHAR(10),'Ingest Template'!I287,CHAR(10),'Ingest Template'!J287)</f>
        <v>
</v>
      </c>
      <c r="F287" s="26" t="str">
        <f>'Ingest Template'!H287</f>
        <v/>
      </c>
      <c r="G287" s="21"/>
      <c r="H287" s="29"/>
      <c r="I287" s="21"/>
      <c r="J287" s="29" t="str">
        <f t="array" ref="J287">iF('Ingest Template'!A287="Standard","Pristine Brand",INDEX(DropDown!$M$2:$M$392,MATCH('Ingest Template'!E287,DropDown!$J$2:$J$392,0)))</f>
        <v>#N/A</v>
      </c>
      <c r="K287" s="21" t="str">
        <f>iF('Ingest Template'!A287="Standard",'Ingest Template'!K287&amp;CHAR(10)&amp;'Ingest Template'!L287,"Competitive View")</f>
        <v>Competitive View</v>
      </c>
      <c r="L287" s="29" t="s">
        <v>146</v>
      </c>
      <c r="M287" s="37" t="str">
        <f>'Ingest Template'!D287</f>
        <v/>
      </c>
      <c r="N287" s="21"/>
      <c r="O287" s="21"/>
      <c r="P287" s="21"/>
      <c r="Q287" s="21"/>
      <c r="R287" s="21" t="str">
        <f>'Ingest Template'!E287</f>
        <v/>
      </c>
      <c r="S287" s="29" t="s">
        <v>153</v>
      </c>
      <c r="T287" s="21" t="str">
        <f>'Ingest Template'!T287</f>
        <v/>
      </c>
      <c r="U287" s="21" t="str">
        <f>'Ingest Template'!S287</f>
        <v/>
      </c>
      <c r="V287" s="21" t="str">
        <f>LOWER(SUBSTITUTE(SUBSTITUTE(SUBSTITUTE(SUBSTITUTE(SUBSTITUTE('Ingest Template'!U287,"https:",""),"www.",""),"/",""),"?hl=en",""),"instagram.com",""))</f>
        <v/>
      </c>
      <c r="W287" s="41" t="str">
        <f t="array" ref="W287">IF('Ingest Template'!V287="",(INDEX(DropDown!$L$2:$L$392,MATCH('Ingest Template'!E287,DropDown!$J$2:$J$392,0))&amp;"|"&amp;'Ingest Template'!B287),(INDEX(DropDown!$L$2:$L$392,MATCH('Ingest Template'!E287,DropDown!$J$2:$J$392,0))&amp;"|"&amp;'Ingest Template'!B287)&amp;CHAR(10)&amp;'Ingest Template'!V287)</f>
        <v>#N/A</v>
      </c>
      <c r="X287" s="41" t="str">
        <f>'Ingest Template'!W287</f>
        <v/>
      </c>
      <c r="Y287" s="21" t="str">
        <f>SUBSTITUTE(SUBSTITUTE(SUBSTITUTE('Ingest Template'!X287,"http:",""),"https:",""),"/","")</f>
        <v/>
      </c>
      <c r="Z287" s="21" t="str">
        <f t="array" ref="Z287">IF('Ingest Template'!A287="Standard",(IF(ISBLANK('Ingest Template'!AA287),"", 'Ingest Template'!AA287&amp;"|DAR")),(IF(ISBLANK('Ingest Template'!AA287),"", 'Ingest Template'!AA287&amp;"|Film Ops")))</f>
        <v/>
      </c>
      <c r="AA287" s="21"/>
      <c r="AB287" s="21" t="str">
        <f>'Ingest Template'!M287</f>
        <v/>
      </c>
      <c r="AC287" s="21" t="str">
        <f>'Ingest Template'!Y287</f>
        <v/>
      </c>
      <c r="AD287" s="21" t="str">
        <f>'Ingest Template'!C287</f>
        <v/>
      </c>
      <c r="AE287" s="21" t="str">
        <f>'Ingest Template'!Z287</f>
        <v/>
      </c>
      <c r="AF287" s="29"/>
      <c r="AG287" s="21" t="str">
        <f t="array" ref="AG287">IF('Ingest Template'!A287="Standard",(CONCATENATE(IF(ISBLANK('Ingest Template'!O287),"", 'Ingest Template'!O287&amp;"|DAR"),CHAR(10), IF(ISBLANK('Ingest Template'!P287),"", 'Ingest Template'!P287&amp;"|DAR"),CHAR(10), IF(ISBLANK('Ingest Template'!Q287),"", 'Ingest Template'!Q287&amp;"|DAR"))),(CONCATENATE(IF(ISBLANK('Ingest Template'!O287),"", 'Ingest Template'!O287&amp;"|Operations - Core Title"),CHAR(10), IF(ISBLANK('Ingest Template'!P287),"", 'Ingest Template'!P287&amp;"|Operations - Core Title"),CHAR(10), IF(ISBLANK('Ingest Template'!Q287),"", 'Ingest Template'!Q287&amp;"|Operations - Core Title"))))</f>
        <v>#|Operations - Core Title
#|Operations - Core Title
</v>
      </c>
      <c r="AH287" s="21"/>
      <c r="AI287" s="21"/>
      <c r="AJ287" s="53" t="str">
        <f>if('Ingest Template'!A287="Standard",'Ingest Template'!N287&amp; "|DAR|DAR|2021-01-01",'Ingest Template'!N287&amp; "|Operations - Core Title|Operations - Core Title")</f>
        <v>#N/A</v>
      </c>
      <c r="AK287" s="53" t="str">
        <f>if('Ingest Template'!A287="Standard",'Ingest Template'!R287&amp; "|2021-01-01",'Ingest Template'!R287)</f>
        <v>#N/A</v>
      </c>
      <c r="AL287" s="21"/>
      <c r="AM287" s="21"/>
    </row>
    <row r="288">
      <c r="A288" s="21"/>
      <c r="B288" s="21" t="str">
        <f>'Ingest Template'!B288&amp;IF('Ingest Template'!A288 = "Standard", " - DAR","")</f>
        <v/>
      </c>
      <c r="C288" s="26" t="s">
        <v>109</v>
      </c>
      <c r="D288" s="29" t="str">
        <f t="array" ref="D288">CONCATENATE(INDEX(DropDown!$H$2:$H$10,MATCH(1,COUNTIF('Ingest Template'!F288,"*"&amp;DropDown!$H$2:$H$10&amp;"*"),0)),CHAR(10),'Ingest Template'!G288)</f>
        <v>#N/A</v>
      </c>
      <c r="E288" s="21" t="str">
        <f>CONCATENATE('Ingest Template'!H288,CHAR(10),'Ingest Template'!I288,CHAR(10),'Ingest Template'!J288)</f>
        <v>
</v>
      </c>
      <c r="F288" s="26" t="str">
        <f>'Ingest Template'!H288</f>
        <v/>
      </c>
      <c r="G288" s="21"/>
      <c r="H288" s="29"/>
      <c r="I288" s="21"/>
      <c r="J288" s="29" t="str">
        <f t="array" ref="J288">iF('Ingest Template'!A288="Standard","Pristine Brand",INDEX(DropDown!$M$2:$M$392,MATCH('Ingest Template'!E288,DropDown!$J$2:$J$392,0)))</f>
        <v>#N/A</v>
      </c>
      <c r="K288" s="21" t="str">
        <f>iF('Ingest Template'!A288="Standard",'Ingest Template'!K288&amp;CHAR(10)&amp;'Ingest Template'!L288,"Competitive View")</f>
        <v>Competitive View</v>
      </c>
      <c r="L288" s="29" t="s">
        <v>146</v>
      </c>
      <c r="M288" s="37" t="str">
        <f>'Ingest Template'!D288</f>
        <v/>
      </c>
      <c r="N288" s="21"/>
      <c r="O288" s="21"/>
      <c r="P288" s="21"/>
      <c r="Q288" s="21"/>
      <c r="R288" s="21" t="str">
        <f>'Ingest Template'!E288</f>
        <v/>
      </c>
      <c r="S288" s="29" t="s">
        <v>153</v>
      </c>
      <c r="T288" s="21" t="str">
        <f>'Ingest Template'!T288</f>
        <v/>
      </c>
      <c r="U288" s="21" t="str">
        <f>'Ingest Template'!S288</f>
        <v/>
      </c>
      <c r="V288" s="21" t="str">
        <f>LOWER(SUBSTITUTE(SUBSTITUTE(SUBSTITUTE(SUBSTITUTE(SUBSTITUTE('Ingest Template'!U288,"https:",""),"www.",""),"/",""),"?hl=en",""),"instagram.com",""))</f>
        <v/>
      </c>
      <c r="W288" s="41" t="str">
        <f t="array" ref="W288">IF('Ingest Template'!V288="",(INDEX(DropDown!$L$2:$L$392,MATCH('Ingest Template'!E288,DropDown!$J$2:$J$392,0))&amp;"|"&amp;'Ingest Template'!B288),(INDEX(DropDown!$L$2:$L$392,MATCH('Ingest Template'!E288,DropDown!$J$2:$J$392,0))&amp;"|"&amp;'Ingest Template'!B288)&amp;CHAR(10)&amp;'Ingest Template'!V288)</f>
        <v>#N/A</v>
      </c>
      <c r="X288" s="41" t="str">
        <f>'Ingest Template'!W288</f>
        <v/>
      </c>
      <c r="Y288" s="21" t="str">
        <f>SUBSTITUTE(SUBSTITUTE(SUBSTITUTE('Ingest Template'!X288,"http:",""),"https:",""),"/","")</f>
        <v/>
      </c>
      <c r="Z288" s="21" t="str">
        <f t="array" ref="Z288">IF('Ingest Template'!A288="Standard",(IF(ISBLANK('Ingest Template'!AA288),"", 'Ingest Template'!AA288&amp;"|DAR")),(IF(ISBLANK('Ingest Template'!AA288),"", 'Ingest Template'!AA288&amp;"|Film Ops")))</f>
        <v/>
      </c>
      <c r="AA288" s="21"/>
      <c r="AB288" s="21" t="str">
        <f>'Ingest Template'!M288</f>
        <v/>
      </c>
      <c r="AC288" s="21" t="str">
        <f>'Ingest Template'!Y288</f>
        <v/>
      </c>
      <c r="AD288" s="21" t="str">
        <f>'Ingest Template'!C288</f>
        <v/>
      </c>
      <c r="AE288" s="21" t="str">
        <f>'Ingest Template'!Z288</f>
        <v/>
      </c>
      <c r="AF288" s="29"/>
      <c r="AG288" s="21" t="str">
        <f t="array" ref="AG288">IF('Ingest Template'!A288="Standard",(CONCATENATE(IF(ISBLANK('Ingest Template'!O288),"", 'Ingest Template'!O288&amp;"|DAR"),CHAR(10), IF(ISBLANK('Ingest Template'!P288),"", 'Ingest Template'!P288&amp;"|DAR"),CHAR(10), IF(ISBLANK('Ingest Template'!Q288),"", 'Ingest Template'!Q288&amp;"|DAR"))),(CONCATENATE(IF(ISBLANK('Ingest Template'!O288),"", 'Ingest Template'!O288&amp;"|Operations - Core Title"),CHAR(10), IF(ISBLANK('Ingest Template'!P288),"", 'Ingest Template'!P288&amp;"|Operations - Core Title"),CHAR(10), IF(ISBLANK('Ingest Template'!Q288),"", 'Ingest Template'!Q288&amp;"|Operations - Core Title"))))</f>
        <v>#|Operations - Core Title
#|Operations - Core Title
</v>
      </c>
      <c r="AH288" s="21"/>
      <c r="AI288" s="21"/>
      <c r="AJ288" s="53" t="str">
        <f>if('Ingest Template'!A288="Standard",'Ingest Template'!N288&amp; "|DAR|DAR|2021-01-01",'Ingest Template'!N288&amp; "|Operations - Core Title|Operations - Core Title")</f>
        <v>#N/A</v>
      </c>
      <c r="AK288" s="53" t="str">
        <f>if('Ingest Template'!A288="Standard",'Ingest Template'!R288&amp; "|2021-01-01",'Ingest Template'!R288)</f>
        <v>#N/A</v>
      </c>
      <c r="AL288" s="21"/>
      <c r="AM288" s="21"/>
    </row>
    <row r="289">
      <c r="A289" s="21"/>
      <c r="B289" s="21" t="str">
        <f>'Ingest Template'!B289&amp;IF('Ingest Template'!A289 = "Standard", " - DAR","")</f>
        <v/>
      </c>
      <c r="C289" s="26" t="s">
        <v>109</v>
      </c>
      <c r="D289" s="29" t="str">
        <f t="array" ref="D289">CONCATENATE(INDEX(DropDown!$H$2:$H$10,MATCH(1,COUNTIF('Ingest Template'!F289,"*"&amp;DropDown!$H$2:$H$10&amp;"*"),0)),CHAR(10),'Ingest Template'!G289)</f>
        <v>#N/A</v>
      </c>
      <c r="E289" s="21" t="str">
        <f>CONCATENATE('Ingest Template'!H289,CHAR(10),'Ingest Template'!I289,CHAR(10),'Ingest Template'!J289)</f>
        <v>
</v>
      </c>
      <c r="F289" s="26" t="str">
        <f>'Ingest Template'!H289</f>
        <v/>
      </c>
      <c r="G289" s="21"/>
      <c r="H289" s="29"/>
      <c r="I289" s="21"/>
      <c r="J289" s="29" t="str">
        <f t="array" ref="J289">iF('Ingest Template'!A289="Standard","Pristine Brand",INDEX(DropDown!$M$2:$M$392,MATCH('Ingest Template'!E289,DropDown!$J$2:$J$392,0)))</f>
        <v>#N/A</v>
      </c>
      <c r="K289" s="21" t="str">
        <f>iF('Ingest Template'!A289="Standard",'Ingest Template'!K289&amp;CHAR(10)&amp;'Ingest Template'!L289,"Competitive View")</f>
        <v>Competitive View</v>
      </c>
      <c r="L289" s="29" t="s">
        <v>146</v>
      </c>
      <c r="M289" s="37" t="str">
        <f>'Ingest Template'!D289</f>
        <v/>
      </c>
      <c r="N289" s="21"/>
      <c r="O289" s="21"/>
      <c r="P289" s="21"/>
      <c r="Q289" s="21"/>
      <c r="R289" s="21" t="str">
        <f>'Ingest Template'!E289</f>
        <v/>
      </c>
      <c r="S289" s="29" t="s">
        <v>153</v>
      </c>
      <c r="T289" s="21" t="str">
        <f>'Ingest Template'!T289</f>
        <v/>
      </c>
      <c r="U289" s="21" t="str">
        <f>'Ingest Template'!S289</f>
        <v/>
      </c>
      <c r="V289" s="21" t="str">
        <f>LOWER(SUBSTITUTE(SUBSTITUTE(SUBSTITUTE(SUBSTITUTE(SUBSTITUTE('Ingest Template'!U289,"https:",""),"www.",""),"/",""),"?hl=en",""),"instagram.com",""))</f>
        <v/>
      </c>
      <c r="W289" s="41" t="str">
        <f t="array" ref="W289">IF('Ingest Template'!V289="",(INDEX(DropDown!$L$2:$L$392,MATCH('Ingest Template'!E289,DropDown!$J$2:$J$392,0))&amp;"|"&amp;'Ingest Template'!B289),(INDEX(DropDown!$L$2:$L$392,MATCH('Ingest Template'!E289,DropDown!$J$2:$J$392,0))&amp;"|"&amp;'Ingest Template'!B289)&amp;CHAR(10)&amp;'Ingest Template'!V289)</f>
        <v>#N/A</v>
      </c>
      <c r="X289" s="41" t="str">
        <f>'Ingest Template'!W289</f>
        <v/>
      </c>
      <c r="Y289" s="21" t="str">
        <f>SUBSTITUTE(SUBSTITUTE(SUBSTITUTE('Ingest Template'!X289,"http:",""),"https:",""),"/","")</f>
        <v/>
      </c>
      <c r="Z289" s="21" t="str">
        <f t="array" ref="Z289">IF('Ingest Template'!A289="Standard",(IF(ISBLANK('Ingest Template'!AA289),"", 'Ingest Template'!AA289&amp;"|DAR")),(IF(ISBLANK('Ingest Template'!AA289),"", 'Ingest Template'!AA289&amp;"|Film Ops")))</f>
        <v/>
      </c>
      <c r="AA289" s="21"/>
      <c r="AB289" s="21" t="str">
        <f>'Ingest Template'!M289</f>
        <v/>
      </c>
      <c r="AC289" s="21" t="str">
        <f>'Ingest Template'!Y289</f>
        <v/>
      </c>
      <c r="AD289" s="21" t="str">
        <f>'Ingest Template'!C289</f>
        <v/>
      </c>
      <c r="AE289" s="21" t="str">
        <f>'Ingest Template'!Z289</f>
        <v/>
      </c>
      <c r="AF289" s="29"/>
      <c r="AG289" s="21" t="str">
        <f t="array" ref="AG289">IF('Ingest Template'!A289="Standard",(CONCATENATE(IF(ISBLANK('Ingest Template'!O289),"", 'Ingest Template'!O289&amp;"|DAR"),CHAR(10), IF(ISBLANK('Ingest Template'!P289),"", 'Ingest Template'!P289&amp;"|DAR"),CHAR(10), IF(ISBLANK('Ingest Template'!Q289),"", 'Ingest Template'!Q289&amp;"|DAR"))),(CONCATENATE(IF(ISBLANK('Ingest Template'!O289),"", 'Ingest Template'!O289&amp;"|Operations - Core Title"),CHAR(10), IF(ISBLANK('Ingest Template'!P289),"", 'Ingest Template'!P289&amp;"|Operations - Core Title"),CHAR(10), IF(ISBLANK('Ingest Template'!Q289),"", 'Ingest Template'!Q289&amp;"|Operations - Core Title"))))</f>
        <v>#|Operations - Core Title
#|Operations - Core Title
</v>
      </c>
      <c r="AH289" s="21"/>
      <c r="AI289" s="21"/>
      <c r="AJ289" s="53" t="str">
        <f>if('Ingest Template'!A289="Standard",'Ingest Template'!N289&amp; "|DAR|DAR|2021-01-01",'Ingest Template'!N289&amp; "|Operations - Core Title|Operations - Core Title")</f>
        <v>#N/A</v>
      </c>
      <c r="AK289" s="53" t="str">
        <f>if('Ingest Template'!A289="Standard",'Ingest Template'!R289&amp; "|2021-01-01",'Ingest Template'!R289)</f>
        <v>#N/A</v>
      </c>
      <c r="AL289" s="21"/>
      <c r="AM289" s="21"/>
    </row>
    <row r="290">
      <c r="A290" s="21"/>
      <c r="B290" s="21" t="str">
        <f>'Ingest Template'!B290&amp;IF('Ingest Template'!A290 = "Standard", " - DAR","")</f>
        <v/>
      </c>
      <c r="C290" s="26" t="s">
        <v>109</v>
      </c>
      <c r="D290" s="29" t="str">
        <f t="array" ref="D290">CONCATENATE(INDEX(DropDown!$H$2:$H$10,MATCH(1,COUNTIF('Ingest Template'!F290,"*"&amp;DropDown!$H$2:$H$10&amp;"*"),0)),CHAR(10),'Ingest Template'!G290)</f>
        <v>#N/A</v>
      </c>
      <c r="E290" s="21" t="str">
        <f>CONCATENATE('Ingest Template'!H290,CHAR(10),'Ingest Template'!I290,CHAR(10),'Ingest Template'!J290)</f>
        <v>
</v>
      </c>
      <c r="F290" s="26" t="str">
        <f>'Ingest Template'!H290</f>
        <v/>
      </c>
      <c r="G290" s="21"/>
      <c r="H290" s="29"/>
      <c r="I290" s="21"/>
      <c r="J290" s="29" t="str">
        <f t="array" ref="J290">iF('Ingest Template'!A290="Standard","Pristine Brand",INDEX(DropDown!$M$2:$M$392,MATCH('Ingest Template'!E290,DropDown!$J$2:$J$392,0)))</f>
        <v>#N/A</v>
      </c>
      <c r="K290" s="21" t="str">
        <f>iF('Ingest Template'!A290="Standard",'Ingest Template'!K290&amp;CHAR(10)&amp;'Ingest Template'!L290,"Competitive View")</f>
        <v>Competitive View</v>
      </c>
      <c r="L290" s="29" t="s">
        <v>146</v>
      </c>
      <c r="M290" s="37" t="str">
        <f>'Ingest Template'!D290</f>
        <v/>
      </c>
      <c r="N290" s="21"/>
      <c r="O290" s="21"/>
      <c r="P290" s="21"/>
      <c r="Q290" s="21"/>
      <c r="R290" s="21" t="str">
        <f>'Ingest Template'!E290</f>
        <v/>
      </c>
      <c r="S290" s="29" t="s">
        <v>153</v>
      </c>
      <c r="T290" s="21" t="str">
        <f>'Ingest Template'!T290</f>
        <v/>
      </c>
      <c r="U290" s="21" t="str">
        <f>'Ingest Template'!S290</f>
        <v/>
      </c>
      <c r="V290" s="21" t="str">
        <f>LOWER(SUBSTITUTE(SUBSTITUTE(SUBSTITUTE(SUBSTITUTE(SUBSTITUTE('Ingest Template'!U290,"https:",""),"www.",""),"/",""),"?hl=en",""),"instagram.com",""))</f>
        <v/>
      </c>
      <c r="W290" s="41" t="str">
        <f t="array" ref="W290">IF('Ingest Template'!V290="",(INDEX(DropDown!$L$2:$L$392,MATCH('Ingest Template'!E290,DropDown!$J$2:$J$392,0))&amp;"|"&amp;'Ingest Template'!B290),(INDEX(DropDown!$L$2:$L$392,MATCH('Ingest Template'!E290,DropDown!$J$2:$J$392,0))&amp;"|"&amp;'Ingest Template'!B290)&amp;CHAR(10)&amp;'Ingest Template'!V290)</f>
        <v>#N/A</v>
      </c>
      <c r="X290" s="41" t="str">
        <f>'Ingest Template'!W290</f>
        <v/>
      </c>
      <c r="Y290" s="21" t="str">
        <f>SUBSTITUTE(SUBSTITUTE(SUBSTITUTE('Ingest Template'!X290,"http:",""),"https:",""),"/","")</f>
        <v/>
      </c>
      <c r="Z290" s="21" t="str">
        <f t="array" ref="Z290">IF('Ingest Template'!A290="Standard",(IF(ISBLANK('Ingest Template'!AA290),"", 'Ingest Template'!AA290&amp;"|DAR")),(IF(ISBLANK('Ingest Template'!AA290),"", 'Ingest Template'!AA290&amp;"|Film Ops")))</f>
        <v/>
      </c>
      <c r="AA290" s="21"/>
      <c r="AB290" s="21" t="str">
        <f>'Ingest Template'!M290</f>
        <v/>
      </c>
      <c r="AC290" s="21" t="str">
        <f>'Ingest Template'!Y290</f>
        <v/>
      </c>
      <c r="AD290" s="21" t="str">
        <f>'Ingest Template'!C290</f>
        <v/>
      </c>
      <c r="AE290" s="21" t="str">
        <f>'Ingest Template'!Z290</f>
        <v/>
      </c>
      <c r="AF290" s="29"/>
      <c r="AG290" s="21" t="str">
        <f t="array" ref="AG290">IF('Ingest Template'!A290="Standard",(CONCATENATE(IF(ISBLANK('Ingest Template'!O290),"", 'Ingest Template'!O290&amp;"|DAR"),CHAR(10), IF(ISBLANK('Ingest Template'!P290),"", 'Ingest Template'!P290&amp;"|DAR"),CHAR(10), IF(ISBLANK('Ingest Template'!Q290),"", 'Ingest Template'!Q290&amp;"|DAR"))),(CONCATENATE(IF(ISBLANK('Ingest Template'!O290),"", 'Ingest Template'!O290&amp;"|Operations - Core Title"),CHAR(10), IF(ISBLANK('Ingest Template'!P290),"", 'Ingest Template'!P290&amp;"|Operations - Core Title"),CHAR(10), IF(ISBLANK('Ingest Template'!Q290),"", 'Ingest Template'!Q290&amp;"|Operations - Core Title"))))</f>
        <v>#|Operations - Core Title
#|Operations - Core Title
</v>
      </c>
      <c r="AH290" s="21"/>
      <c r="AI290" s="21"/>
      <c r="AJ290" s="53" t="str">
        <f>if('Ingest Template'!A290="Standard",'Ingest Template'!N290&amp; "|DAR|DAR|2021-01-01",'Ingest Template'!N290&amp; "|Operations - Core Title|Operations - Core Title")</f>
        <v>#N/A</v>
      </c>
      <c r="AK290" s="53" t="str">
        <f>if('Ingest Template'!A290="Standard",'Ingest Template'!R290&amp; "|2021-01-01",'Ingest Template'!R290)</f>
        <v>#N/A</v>
      </c>
      <c r="AL290" s="21"/>
      <c r="AM290" s="21"/>
    </row>
    <row r="291">
      <c r="A291" s="21"/>
      <c r="B291" s="21" t="str">
        <f>'Ingest Template'!B291&amp;IF('Ingest Template'!A291 = "Standard", " - DAR","")</f>
        <v/>
      </c>
      <c r="C291" s="26" t="s">
        <v>109</v>
      </c>
      <c r="D291" s="29" t="str">
        <f t="array" ref="D291">CONCATENATE(INDEX(DropDown!$H$2:$H$10,MATCH(1,COUNTIF('Ingest Template'!F291,"*"&amp;DropDown!$H$2:$H$10&amp;"*"),0)),CHAR(10),'Ingest Template'!G291)</f>
        <v>#N/A</v>
      </c>
      <c r="E291" s="21" t="str">
        <f>CONCATENATE('Ingest Template'!H291,CHAR(10),'Ingest Template'!I291,CHAR(10),'Ingest Template'!J291)</f>
        <v>
</v>
      </c>
      <c r="F291" s="26" t="str">
        <f>'Ingest Template'!H291</f>
        <v/>
      </c>
      <c r="G291" s="21"/>
      <c r="H291" s="29"/>
      <c r="I291" s="21"/>
      <c r="J291" s="29" t="str">
        <f t="array" ref="J291">iF('Ingest Template'!A291="Standard","Pristine Brand",INDEX(DropDown!$M$2:$M$392,MATCH('Ingest Template'!E291,DropDown!$J$2:$J$392,0)))</f>
        <v>#N/A</v>
      </c>
      <c r="K291" s="21" t="str">
        <f>iF('Ingest Template'!A291="Standard",'Ingest Template'!K291&amp;CHAR(10)&amp;'Ingest Template'!L291,"Competitive View")</f>
        <v>Competitive View</v>
      </c>
      <c r="L291" s="29" t="s">
        <v>146</v>
      </c>
      <c r="M291" s="37" t="str">
        <f>'Ingest Template'!D291</f>
        <v/>
      </c>
      <c r="N291" s="21"/>
      <c r="O291" s="21"/>
      <c r="P291" s="21"/>
      <c r="Q291" s="21"/>
      <c r="R291" s="21" t="str">
        <f>'Ingest Template'!E291</f>
        <v/>
      </c>
      <c r="S291" s="29" t="s">
        <v>153</v>
      </c>
      <c r="T291" s="21" t="str">
        <f>'Ingest Template'!T291</f>
        <v/>
      </c>
      <c r="U291" s="21" t="str">
        <f>'Ingest Template'!S291</f>
        <v/>
      </c>
      <c r="V291" s="21" t="str">
        <f>LOWER(SUBSTITUTE(SUBSTITUTE(SUBSTITUTE(SUBSTITUTE(SUBSTITUTE('Ingest Template'!U291,"https:",""),"www.",""),"/",""),"?hl=en",""),"instagram.com",""))</f>
        <v/>
      </c>
      <c r="W291" s="41" t="str">
        <f t="array" ref="W291">IF('Ingest Template'!V291="",(INDEX(DropDown!$L$2:$L$392,MATCH('Ingest Template'!E291,DropDown!$J$2:$J$392,0))&amp;"|"&amp;'Ingest Template'!B291),(INDEX(DropDown!$L$2:$L$392,MATCH('Ingest Template'!E291,DropDown!$J$2:$J$392,0))&amp;"|"&amp;'Ingest Template'!B291)&amp;CHAR(10)&amp;'Ingest Template'!V291)</f>
        <v>#N/A</v>
      </c>
      <c r="X291" s="41" t="str">
        <f>'Ingest Template'!W291</f>
        <v/>
      </c>
      <c r="Y291" s="21" t="str">
        <f>SUBSTITUTE(SUBSTITUTE(SUBSTITUTE('Ingest Template'!X291,"http:",""),"https:",""),"/","")</f>
        <v/>
      </c>
      <c r="Z291" s="21" t="str">
        <f t="array" ref="Z291">IF('Ingest Template'!A291="Standard",(IF(ISBLANK('Ingest Template'!AA291),"", 'Ingest Template'!AA291&amp;"|DAR")),(IF(ISBLANK('Ingest Template'!AA291),"", 'Ingest Template'!AA291&amp;"|Film Ops")))</f>
        <v/>
      </c>
      <c r="AA291" s="21"/>
      <c r="AB291" s="21" t="str">
        <f>'Ingest Template'!M291</f>
        <v/>
      </c>
      <c r="AC291" s="21" t="str">
        <f>'Ingest Template'!Y291</f>
        <v/>
      </c>
      <c r="AD291" s="21" t="str">
        <f>'Ingest Template'!C291</f>
        <v/>
      </c>
      <c r="AE291" s="21" t="str">
        <f>'Ingest Template'!Z291</f>
        <v/>
      </c>
      <c r="AF291" s="29"/>
      <c r="AG291" s="21" t="str">
        <f t="array" ref="AG291">IF('Ingest Template'!A291="Standard",(CONCATENATE(IF(ISBLANK('Ingest Template'!O291),"", 'Ingest Template'!O291&amp;"|DAR"),CHAR(10), IF(ISBLANK('Ingest Template'!P291),"", 'Ingest Template'!P291&amp;"|DAR"),CHAR(10), IF(ISBLANK('Ingest Template'!Q291),"", 'Ingest Template'!Q291&amp;"|DAR"))),(CONCATENATE(IF(ISBLANK('Ingest Template'!O291),"", 'Ingest Template'!O291&amp;"|Operations - Core Title"),CHAR(10), IF(ISBLANK('Ingest Template'!P291),"", 'Ingest Template'!P291&amp;"|Operations - Core Title"),CHAR(10), IF(ISBLANK('Ingest Template'!Q291),"", 'Ingest Template'!Q291&amp;"|Operations - Core Title"))))</f>
        <v>#|Operations - Core Title
#|Operations - Core Title
</v>
      </c>
      <c r="AH291" s="21"/>
      <c r="AI291" s="21"/>
      <c r="AJ291" s="53" t="str">
        <f>if('Ingest Template'!A291="Standard",'Ingest Template'!N291&amp; "|DAR|DAR|2021-01-01",'Ingest Template'!N291&amp; "|Operations - Core Title|Operations - Core Title")</f>
        <v>#N/A</v>
      </c>
      <c r="AK291" s="53" t="str">
        <f>if('Ingest Template'!A291="Standard",'Ingest Template'!R291&amp; "|2021-01-01",'Ingest Template'!R291)</f>
        <v>#N/A</v>
      </c>
      <c r="AL291" s="21"/>
      <c r="AM291" s="21"/>
    </row>
    <row r="292">
      <c r="A292" s="21"/>
      <c r="B292" s="21" t="str">
        <f>'Ingest Template'!B292&amp;IF('Ingest Template'!A292 = "Standard", " - DAR","")</f>
        <v/>
      </c>
      <c r="C292" s="26" t="s">
        <v>109</v>
      </c>
      <c r="D292" s="29" t="str">
        <f t="array" ref="D292">CONCATENATE(INDEX(DropDown!$H$2:$H$10,MATCH(1,COUNTIF('Ingest Template'!F292,"*"&amp;DropDown!$H$2:$H$10&amp;"*"),0)),CHAR(10),'Ingest Template'!G292)</f>
        <v>#N/A</v>
      </c>
      <c r="E292" s="21" t="str">
        <f>CONCATENATE('Ingest Template'!H292,CHAR(10),'Ingest Template'!I292,CHAR(10),'Ingest Template'!J292)</f>
        <v>
</v>
      </c>
      <c r="F292" s="26" t="str">
        <f>'Ingest Template'!H292</f>
        <v/>
      </c>
      <c r="G292" s="21"/>
      <c r="H292" s="29"/>
      <c r="I292" s="21"/>
      <c r="J292" s="29" t="str">
        <f t="array" ref="J292">iF('Ingest Template'!A292="Standard","Pristine Brand",INDEX(DropDown!$M$2:$M$392,MATCH('Ingest Template'!E292,DropDown!$J$2:$J$392,0)))</f>
        <v>#N/A</v>
      </c>
      <c r="K292" s="21" t="str">
        <f>iF('Ingest Template'!A292="Standard",'Ingest Template'!K292&amp;CHAR(10)&amp;'Ingest Template'!L292,"Competitive View")</f>
        <v>Competitive View</v>
      </c>
      <c r="L292" s="29" t="s">
        <v>146</v>
      </c>
      <c r="M292" s="37" t="str">
        <f>'Ingest Template'!D292</f>
        <v/>
      </c>
      <c r="N292" s="21"/>
      <c r="O292" s="21"/>
      <c r="P292" s="21"/>
      <c r="Q292" s="21"/>
      <c r="R292" s="21" t="str">
        <f>'Ingest Template'!E292</f>
        <v/>
      </c>
      <c r="S292" s="29" t="s">
        <v>153</v>
      </c>
      <c r="T292" s="21" t="str">
        <f>'Ingest Template'!T292</f>
        <v/>
      </c>
      <c r="U292" s="21" t="str">
        <f>'Ingest Template'!S292</f>
        <v/>
      </c>
      <c r="V292" s="21" t="str">
        <f>LOWER(SUBSTITUTE(SUBSTITUTE(SUBSTITUTE(SUBSTITUTE(SUBSTITUTE('Ingest Template'!U292,"https:",""),"www.",""),"/",""),"?hl=en",""),"instagram.com",""))</f>
        <v/>
      </c>
      <c r="W292" s="41" t="str">
        <f t="array" ref="W292">IF('Ingest Template'!V292="",(INDEX(DropDown!$L$2:$L$392,MATCH('Ingest Template'!E292,DropDown!$J$2:$J$392,0))&amp;"|"&amp;'Ingest Template'!B292),(INDEX(DropDown!$L$2:$L$392,MATCH('Ingest Template'!E292,DropDown!$J$2:$J$392,0))&amp;"|"&amp;'Ingest Template'!B292)&amp;CHAR(10)&amp;'Ingest Template'!V292)</f>
        <v>#N/A</v>
      </c>
      <c r="X292" s="41" t="str">
        <f>'Ingest Template'!W292</f>
        <v/>
      </c>
      <c r="Y292" s="21" t="str">
        <f>SUBSTITUTE(SUBSTITUTE(SUBSTITUTE('Ingest Template'!X292,"http:",""),"https:",""),"/","")</f>
        <v/>
      </c>
      <c r="Z292" s="21" t="str">
        <f t="array" ref="Z292">IF('Ingest Template'!A292="Standard",(IF(ISBLANK('Ingest Template'!AA292),"", 'Ingest Template'!AA292&amp;"|DAR")),(IF(ISBLANK('Ingest Template'!AA292),"", 'Ingest Template'!AA292&amp;"|Film Ops")))</f>
        <v/>
      </c>
      <c r="AA292" s="21"/>
      <c r="AB292" s="21" t="str">
        <f>'Ingest Template'!M292</f>
        <v/>
      </c>
      <c r="AC292" s="21" t="str">
        <f>'Ingest Template'!Y292</f>
        <v/>
      </c>
      <c r="AD292" s="21" t="str">
        <f>'Ingest Template'!C292</f>
        <v/>
      </c>
      <c r="AE292" s="21" t="str">
        <f>'Ingest Template'!Z292</f>
        <v/>
      </c>
      <c r="AF292" s="29"/>
      <c r="AG292" s="21" t="str">
        <f t="array" ref="AG292">IF('Ingest Template'!A292="Standard",(CONCATENATE(IF(ISBLANK('Ingest Template'!O292),"", 'Ingest Template'!O292&amp;"|DAR"),CHAR(10), IF(ISBLANK('Ingest Template'!P292),"", 'Ingest Template'!P292&amp;"|DAR"),CHAR(10), IF(ISBLANK('Ingest Template'!Q292),"", 'Ingest Template'!Q292&amp;"|DAR"))),(CONCATENATE(IF(ISBLANK('Ingest Template'!O292),"", 'Ingest Template'!O292&amp;"|Operations - Core Title"),CHAR(10), IF(ISBLANK('Ingest Template'!P292),"", 'Ingest Template'!P292&amp;"|Operations - Core Title"),CHAR(10), IF(ISBLANK('Ingest Template'!Q292),"", 'Ingest Template'!Q292&amp;"|Operations - Core Title"))))</f>
        <v>#|Operations - Core Title
#|Operations - Core Title
</v>
      </c>
      <c r="AH292" s="21"/>
      <c r="AI292" s="21"/>
      <c r="AJ292" s="53" t="str">
        <f>if('Ingest Template'!A292="Standard",'Ingest Template'!N292&amp; "|DAR|DAR|2021-01-01",'Ingest Template'!N292&amp; "|Operations - Core Title|Operations - Core Title")</f>
        <v>#N/A</v>
      </c>
      <c r="AK292" s="53" t="str">
        <f>if('Ingest Template'!A292="Standard",'Ingest Template'!R292&amp; "|2021-01-01",'Ingest Template'!R292)</f>
        <v>#N/A</v>
      </c>
      <c r="AL292" s="21"/>
      <c r="AM292" s="21"/>
    </row>
    <row r="293">
      <c r="A293" s="21"/>
      <c r="B293" s="21" t="str">
        <f>'Ingest Template'!B293&amp;IF('Ingest Template'!A293 = "Standard", " - DAR","")</f>
        <v/>
      </c>
      <c r="C293" s="26" t="s">
        <v>109</v>
      </c>
      <c r="D293" s="29" t="str">
        <f t="array" ref="D293">CONCATENATE(INDEX(DropDown!$H$2:$H$10,MATCH(1,COUNTIF('Ingest Template'!F293,"*"&amp;DropDown!$H$2:$H$10&amp;"*"),0)),CHAR(10),'Ingest Template'!G293)</f>
        <v>#N/A</v>
      </c>
      <c r="E293" s="21" t="str">
        <f>CONCATENATE('Ingest Template'!H293,CHAR(10),'Ingest Template'!I293,CHAR(10),'Ingest Template'!J293)</f>
        <v>
</v>
      </c>
      <c r="F293" s="26" t="str">
        <f>'Ingest Template'!H293</f>
        <v/>
      </c>
      <c r="G293" s="21"/>
      <c r="H293" s="29"/>
      <c r="I293" s="21"/>
      <c r="J293" s="29" t="str">
        <f t="array" ref="J293">iF('Ingest Template'!A293="Standard","Pristine Brand",INDEX(DropDown!$M$2:$M$392,MATCH('Ingest Template'!E293,DropDown!$J$2:$J$392,0)))</f>
        <v>#N/A</v>
      </c>
      <c r="K293" s="21" t="str">
        <f>iF('Ingest Template'!A293="Standard",'Ingest Template'!K293&amp;CHAR(10)&amp;'Ingest Template'!L293,"Competitive View")</f>
        <v>Competitive View</v>
      </c>
      <c r="L293" s="29" t="s">
        <v>146</v>
      </c>
      <c r="M293" s="37" t="str">
        <f>'Ingest Template'!D293</f>
        <v/>
      </c>
      <c r="N293" s="21"/>
      <c r="O293" s="21"/>
      <c r="P293" s="21"/>
      <c r="Q293" s="21"/>
      <c r="R293" s="21" t="str">
        <f>'Ingest Template'!E293</f>
        <v/>
      </c>
      <c r="S293" s="29" t="s">
        <v>153</v>
      </c>
      <c r="T293" s="21" t="str">
        <f>'Ingest Template'!T293</f>
        <v/>
      </c>
      <c r="U293" s="21" t="str">
        <f>'Ingest Template'!S293</f>
        <v/>
      </c>
      <c r="V293" s="21" t="str">
        <f>LOWER(SUBSTITUTE(SUBSTITUTE(SUBSTITUTE(SUBSTITUTE(SUBSTITUTE('Ingest Template'!U293,"https:",""),"www.",""),"/",""),"?hl=en",""),"instagram.com",""))</f>
        <v/>
      </c>
      <c r="W293" s="41" t="str">
        <f t="array" ref="W293">IF('Ingest Template'!V293="",(INDEX(DropDown!$L$2:$L$392,MATCH('Ingest Template'!E293,DropDown!$J$2:$J$392,0))&amp;"|"&amp;'Ingest Template'!B293),(INDEX(DropDown!$L$2:$L$392,MATCH('Ingest Template'!E293,DropDown!$J$2:$J$392,0))&amp;"|"&amp;'Ingest Template'!B293)&amp;CHAR(10)&amp;'Ingest Template'!V293)</f>
        <v>#N/A</v>
      </c>
      <c r="X293" s="41" t="str">
        <f>'Ingest Template'!W293</f>
        <v/>
      </c>
      <c r="Y293" s="21" t="str">
        <f>SUBSTITUTE(SUBSTITUTE(SUBSTITUTE('Ingest Template'!X293,"http:",""),"https:",""),"/","")</f>
        <v/>
      </c>
      <c r="Z293" s="21" t="str">
        <f t="array" ref="Z293">IF('Ingest Template'!A293="Standard",(IF(ISBLANK('Ingest Template'!AA293),"", 'Ingest Template'!AA293&amp;"|DAR")),(IF(ISBLANK('Ingest Template'!AA293),"", 'Ingest Template'!AA293&amp;"|Film Ops")))</f>
        <v/>
      </c>
      <c r="AA293" s="21"/>
      <c r="AB293" s="21" t="str">
        <f>'Ingest Template'!M293</f>
        <v/>
      </c>
      <c r="AC293" s="21" t="str">
        <f>'Ingest Template'!Y293</f>
        <v/>
      </c>
      <c r="AD293" s="21" t="str">
        <f>'Ingest Template'!C293</f>
        <v/>
      </c>
      <c r="AE293" s="21" t="str">
        <f>'Ingest Template'!Z293</f>
        <v/>
      </c>
      <c r="AF293" s="29"/>
      <c r="AG293" s="21" t="str">
        <f t="array" ref="AG293">IF('Ingest Template'!A293="Standard",(CONCATENATE(IF(ISBLANK('Ingest Template'!O293),"", 'Ingest Template'!O293&amp;"|DAR"),CHAR(10), IF(ISBLANK('Ingest Template'!P293),"", 'Ingest Template'!P293&amp;"|DAR"),CHAR(10), IF(ISBLANK('Ingest Template'!Q293),"", 'Ingest Template'!Q293&amp;"|DAR"))),(CONCATENATE(IF(ISBLANK('Ingest Template'!O293),"", 'Ingest Template'!O293&amp;"|Operations - Core Title"),CHAR(10), IF(ISBLANK('Ingest Template'!P293),"", 'Ingest Template'!P293&amp;"|Operations - Core Title"),CHAR(10), IF(ISBLANK('Ingest Template'!Q293),"", 'Ingest Template'!Q293&amp;"|Operations - Core Title"))))</f>
        <v>#|Operations - Core Title
#|Operations - Core Title
</v>
      </c>
      <c r="AH293" s="21"/>
      <c r="AI293" s="21"/>
      <c r="AJ293" s="53" t="str">
        <f>if('Ingest Template'!A293="Standard",'Ingest Template'!N293&amp; "|DAR|DAR|2021-01-01",'Ingest Template'!N293&amp; "|Operations - Core Title|Operations - Core Title")</f>
        <v>#N/A</v>
      </c>
      <c r="AK293" s="53" t="str">
        <f>if('Ingest Template'!A293="Standard",'Ingest Template'!R293&amp; "|2021-01-01",'Ingest Template'!R293)</f>
        <v>#N/A</v>
      </c>
      <c r="AL293" s="21"/>
      <c r="AM293" s="21"/>
    </row>
    <row r="294">
      <c r="A294" s="21"/>
      <c r="B294" s="21" t="str">
        <f>'Ingest Template'!B294&amp;IF('Ingest Template'!A294 = "Standard", " - DAR","")</f>
        <v/>
      </c>
      <c r="C294" s="26" t="s">
        <v>109</v>
      </c>
      <c r="D294" s="29" t="str">
        <f t="array" ref="D294">CONCATENATE(INDEX(DropDown!$H$2:$H$10,MATCH(1,COUNTIF('Ingest Template'!F294,"*"&amp;DropDown!$H$2:$H$10&amp;"*"),0)),CHAR(10),'Ingest Template'!G294)</f>
        <v>#N/A</v>
      </c>
      <c r="E294" s="21" t="str">
        <f>CONCATENATE('Ingest Template'!H294,CHAR(10),'Ingest Template'!I294,CHAR(10),'Ingest Template'!J294)</f>
        <v>
</v>
      </c>
      <c r="F294" s="26" t="str">
        <f>'Ingest Template'!H294</f>
        <v/>
      </c>
      <c r="G294" s="21"/>
      <c r="H294" s="29"/>
      <c r="I294" s="21"/>
      <c r="J294" s="29" t="str">
        <f t="array" ref="J294">iF('Ingest Template'!A294="Standard","Pristine Brand",INDEX(DropDown!$M$2:$M$392,MATCH('Ingest Template'!E294,DropDown!$J$2:$J$392,0)))</f>
        <v>#N/A</v>
      </c>
      <c r="K294" s="21" t="str">
        <f>iF('Ingest Template'!A294="Standard",'Ingest Template'!K294&amp;CHAR(10)&amp;'Ingest Template'!L294,"Competitive View")</f>
        <v>Competitive View</v>
      </c>
      <c r="L294" s="29" t="s">
        <v>146</v>
      </c>
      <c r="M294" s="37" t="str">
        <f>'Ingest Template'!D294</f>
        <v/>
      </c>
      <c r="N294" s="21"/>
      <c r="O294" s="21"/>
      <c r="P294" s="21"/>
      <c r="Q294" s="21"/>
      <c r="R294" s="21" t="str">
        <f>'Ingest Template'!E294</f>
        <v/>
      </c>
      <c r="S294" s="29" t="s">
        <v>153</v>
      </c>
      <c r="T294" s="21" t="str">
        <f>'Ingest Template'!T294</f>
        <v/>
      </c>
      <c r="U294" s="21" t="str">
        <f>'Ingest Template'!S294</f>
        <v/>
      </c>
      <c r="V294" s="21" t="str">
        <f>LOWER(SUBSTITUTE(SUBSTITUTE(SUBSTITUTE(SUBSTITUTE(SUBSTITUTE('Ingest Template'!U294,"https:",""),"www.",""),"/",""),"?hl=en",""),"instagram.com",""))</f>
        <v/>
      </c>
      <c r="W294" s="41" t="str">
        <f t="array" ref="W294">IF('Ingest Template'!V294="",(INDEX(DropDown!$L$2:$L$392,MATCH('Ingest Template'!E294,DropDown!$J$2:$J$392,0))&amp;"|"&amp;'Ingest Template'!B294),(INDEX(DropDown!$L$2:$L$392,MATCH('Ingest Template'!E294,DropDown!$J$2:$J$392,0))&amp;"|"&amp;'Ingest Template'!B294)&amp;CHAR(10)&amp;'Ingest Template'!V294)</f>
        <v>#N/A</v>
      </c>
      <c r="X294" s="41" t="str">
        <f>'Ingest Template'!W294</f>
        <v/>
      </c>
      <c r="Y294" s="21" t="str">
        <f>SUBSTITUTE(SUBSTITUTE(SUBSTITUTE('Ingest Template'!X294,"http:",""),"https:",""),"/","")</f>
        <v/>
      </c>
      <c r="Z294" s="21" t="str">
        <f t="array" ref="Z294">IF('Ingest Template'!A294="Standard",(IF(ISBLANK('Ingest Template'!AA294),"", 'Ingest Template'!AA294&amp;"|DAR")),(IF(ISBLANK('Ingest Template'!AA294),"", 'Ingest Template'!AA294&amp;"|Film Ops")))</f>
        <v/>
      </c>
      <c r="AA294" s="21"/>
      <c r="AB294" s="21" t="str">
        <f>'Ingest Template'!M294</f>
        <v/>
      </c>
      <c r="AC294" s="21" t="str">
        <f>'Ingest Template'!Y294</f>
        <v/>
      </c>
      <c r="AD294" s="21" t="str">
        <f>'Ingest Template'!C294</f>
        <v/>
      </c>
      <c r="AE294" s="21" t="str">
        <f>'Ingest Template'!Z294</f>
        <v/>
      </c>
      <c r="AF294" s="29"/>
      <c r="AG294" s="21" t="str">
        <f t="array" ref="AG294">IF('Ingest Template'!A294="Standard",(CONCATENATE(IF(ISBLANK('Ingest Template'!O294),"", 'Ingest Template'!O294&amp;"|DAR"),CHAR(10), IF(ISBLANK('Ingest Template'!P294),"", 'Ingest Template'!P294&amp;"|DAR"),CHAR(10), IF(ISBLANK('Ingest Template'!Q294),"", 'Ingest Template'!Q294&amp;"|DAR"))),(CONCATENATE(IF(ISBLANK('Ingest Template'!O294),"", 'Ingest Template'!O294&amp;"|Operations - Core Title"),CHAR(10), IF(ISBLANK('Ingest Template'!P294),"", 'Ingest Template'!P294&amp;"|Operations - Core Title"),CHAR(10), IF(ISBLANK('Ingest Template'!Q294),"", 'Ingest Template'!Q294&amp;"|Operations - Core Title"))))</f>
        <v>#|Operations - Core Title
#|Operations - Core Title
</v>
      </c>
      <c r="AH294" s="21"/>
      <c r="AI294" s="21"/>
      <c r="AJ294" s="53" t="str">
        <f>if('Ingest Template'!A294="Standard",'Ingest Template'!N294&amp; "|DAR|DAR|2021-01-01",'Ingest Template'!N294&amp; "|Operations - Core Title|Operations - Core Title")</f>
        <v>#N/A</v>
      </c>
      <c r="AK294" s="53" t="str">
        <f>if('Ingest Template'!A294="Standard",'Ingest Template'!R294&amp; "|2021-01-01",'Ingest Template'!R294)</f>
        <v>#N/A</v>
      </c>
      <c r="AL294" s="21"/>
      <c r="AM294" s="21"/>
    </row>
    <row r="295">
      <c r="A295" s="21"/>
      <c r="B295" s="21" t="str">
        <f>'Ingest Template'!B295&amp;IF('Ingest Template'!A295 = "Standard", " - DAR","")</f>
        <v/>
      </c>
      <c r="C295" s="26" t="s">
        <v>109</v>
      </c>
      <c r="D295" s="29" t="str">
        <f t="array" ref="D295">CONCATENATE(INDEX(DropDown!$H$2:$H$10,MATCH(1,COUNTIF('Ingest Template'!F295,"*"&amp;DropDown!$H$2:$H$10&amp;"*"),0)),CHAR(10),'Ingest Template'!G295)</f>
        <v>#N/A</v>
      </c>
      <c r="E295" s="21" t="str">
        <f>CONCATENATE('Ingest Template'!H295,CHAR(10),'Ingest Template'!I295,CHAR(10),'Ingest Template'!J295)</f>
        <v>
</v>
      </c>
      <c r="F295" s="26" t="str">
        <f>'Ingest Template'!H295</f>
        <v/>
      </c>
      <c r="G295" s="21"/>
      <c r="H295" s="29"/>
      <c r="I295" s="21"/>
      <c r="J295" s="29" t="str">
        <f t="array" ref="J295">iF('Ingest Template'!A295="Standard","Pristine Brand",INDEX(DropDown!$M$2:$M$392,MATCH('Ingest Template'!E295,DropDown!$J$2:$J$392,0)))</f>
        <v>#N/A</v>
      </c>
      <c r="K295" s="21" t="str">
        <f>iF('Ingest Template'!A295="Standard",'Ingest Template'!K295&amp;CHAR(10)&amp;'Ingest Template'!L295,"Competitive View")</f>
        <v>Competitive View</v>
      </c>
      <c r="L295" s="29" t="s">
        <v>146</v>
      </c>
      <c r="M295" s="37" t="str">
        <f>'Ingest Template'!D295</f>
        <v/>
      </c>
      <c r="N295" s="21"/>
      <c r="O295" s="21"/>
      <c r="P295" s="21"/>
      <c r="Q295" s="21"/>
      <c r="R295" s="21" t="str">
        <f>'Ingest Template'!E295</f>
        <v/>
      </c>
      <c r="S295" s="29" t="s">
        <v>153</v>
      </c>
      <c r="T295" s="21" t="str">
        <f>'Ingest Template'!T295</f>
        <v/>
      </c>
      <c r="U295" s="21" t="str">
        <f>'Ingest Template'!S295</f>
        <v/>
      </c>
      <c r="V295" s="21" t="str">
        <f>LOWER(SUBSTITUTE(SUBSTITUTE(SUBSTITUTE(SUBSTITUTE(SUBSTITUTE('Ingest Template'!U295,"https:",""),"www.",""),"/",""),"?hl=en",""),"instagram.com",""))</f>
        <v/>
      </c>
      <c r="W295" s="41" t="str">
        <f t="array" ref="W295">IF('Ingest Template'!V295="",(INDEX(DropDown!$L$2:$L$392,MATCH('Ingest Template'!E295,DropDown!$J$2:$J$392,0))&amp;"|"&amp;'Ingest Template'!B295),(INDEX(DropDown!$L$2:$L$392,MATCH('Ingest Template'!E295,DropDown!$J$2:$J$392,0))&amp;"|"&amp;'Ingest Template'!B295)&amp;CHAR(10)&amp;'Ingest Template'!V295)</f>
        <v>#N/A</v>
      </c>
      <c r="X295" s="41" t="str">
        <f>'Ingest Template'!W295</f>
        <v/>
      </c>
      <c r="Y295" s="21" t="str">
        <f>SUBSTITUTE(SUBSTITUTE(SUBSTITUTE('Ingest Template'!X295,"http:",""),"https:",""),"/","")</f>
        <v/>
      </c>
      <c r="Z295" s="21" t="str">
        <f t="array" ref="Z295">IF('Ingest Template'!A295="Standard",(IF(ISBLANK('Ingest Template'!AA295),"", 'Ingest Template'!AA295&amp;"|DAR")),(IF(ISBLANK('Ingest Template'!AA295),"", 'Ingest Template'!AA295&amp;"|Film Ops")))</f>
        <v/>
      </c>
      <c r="AA295" s="21"/>
      <c r="AB295" s="21" t="str">
        <f>'Ingest Template'!M295</f>
        <v/>
      </c>
      <c r="AC295" s="21" t="str">
        <f>'Ingest Template'!Y295</f>
        <v/>
      </c>
      <c r="AD295" s="21" t="str">
        <f>'Ingest Template'!C295</f>
        <v/>
      </c>
      <c r="AE295" s="21" t="str">
        <f>'Ingest Template'!Z295</f>
        <v/>
      </c>
      <c r="AF295" s="29"/>
      <c r="AG295" s="21" t="str">
        <f t="array" ref="AG295">IF('Ingest Template'!A295="Standard",(CONCATENATE(IF(ISBLANK('Ingest Template'!O295),"", 'Ingest Template'!O295&amp;"|DAR"),CHAR(10), IF(ISBLANK('Ingest Template'!P295),"", 'Ingest Template'!P295&amp;"|DAR"),CHAR(10), IF(ISBLANK('Ingest Template'!Q295),"", 'Ingest Template'!Q295&amp;"|DAR"))),(CONCATENATE(IF(ISBLANK('Ingest Template'!O295),"", 'Ingest Template'!O295&amp;"|Operations - Core Title"),CHAR(10), IF(ISBLANK('Ingest Template'!P295),"", 'Ingest Template'!P295&amp;"|Operations - Core Title"),CHAR(10), IF(ISBLANK('Ingest Template'!Q295),"", 'Ingest Template'!Q295&amp;"|Operations - Core Title"))))</f>
        <v>#|Operations - Core Title
#|Operations - Core Title
</v>
      </c>
      <c r="AH295" s="21"/>
      <c r="AI295" s="21"/>
      <c r="AJ295" s="53" t="str">
        <f>if('Ingest Template'!A295="Standard",'Ingest Template'!N295&amp; "|DAR|DAR|2021-01-01",'Ingest Template'!N295&amp; "|Operations - Core Title|Operations - Core Title")</f>
        <v>#N/A</v>
      </c>
      <c r="AK295" s="53" t="str">
        <f>if('Ingest Template'!A295="Standard",'Ingest Template'!R295&amp; "|2021-01-01",'Ingest Template'!R295)</f>
        <v>#N/A</v>
      </c>
      <c r="AL295" s="21"/>
      <c r="AM295" s="21"/>
    </row>
    <row r="296">
      <c r="A296" s="21"/>
      <c r="B296" s="21" t="str">
        <f>'Ingest Template'!B296&amp;IF('Ingest Template'!A296 = "Standard", " - DAR","")</f>
        <v/>
      </c>
      <c r="C296" s="26" t="s">
        <v>109</v>
      </c>
      <c r="D296" s="29" t="str">
        <f t="array" ref="D296">CONCATENATE(INDEX(DropDown!$H$2:$H$10,MATCH(1,COUNTIF('Ingest Template'!F296,"*"&amp;DropDown!$H$2:$H$10&amp;"*"),0)),CHAR(10),'Ingest Template'!G296)</f>
        <v>#N/A</v>
      </c>
      <c r="E296" s="21" t="str">
        <f>CONCATENATE('Ingest Template'!H296,CHAR(10),'Ingest Template'!I296,CHAR(10),'Ingest Template'!J296)</f>
        <v>
</v>
      </c>
      <c r="F296" s="26" t="str">
        <f>'Ingest Template'!H296</f>
        <v/>
      </c>
      <c r="G296" s="21"/>
      <c r="H296" s="29"/>
      <c r="I296" s="21"/>
      <c r="J296" s="29" t="str">
        <f t="array" ref="J296">iF('Ingest Template'!A296="Standard","Pristine Brand",INDEX(DropDown!$M$2:$M$392,MATCH('Ingest Template'!E296,DropDown!$J$2:$J$392,0)))</f>
        <v>#N/A</v>
      </c>
      <c r="K296" s="21" t="str">
        <f>iF('Ingest Template'!A296="Standard",'Ingest Template'!K296&amp;CHAR(10)&amp;'Ingest Template'!L296,"Competitive View")</f>
        <v>Competitive View</v>
      </c>
      <c r="L296" s="29" t="s">
        <v>146</v>
      </c>
      <c r="M296" s="37" t="str">
        <f>'Ingest Template'!D296</f>
        <v/>
      </c>
      <c r="N296" s="21"/>
      <c r="O296" s="21"/>
      <c r="P296" s="21"/>
      <c r="Q296" s="21"/>
      <c r="R296" s="21" t="str">
        <f>'Ingest Template'!E296</f>
        <v/>
      </c>
      <c r="S296" s="29" t="s">
        <v>153</v>
      </c>
      <c r="T296" s="21" t="str">
        <f>'Ingest Template'!T296</f>
        <v/>
      </c>
      <c r="U296" s="21" t="str">
        <f>'Ingest Template'!S296</f>
        <v/>
      </c>
      <c r="V296" s="21" t="str">
        <f>LOWER(SUBSTITUTE(SUBSTITUTE(SUBSTITUTE(SUBSTITUTE(SUBSTITUTE('Ingest Template'!U296,"https:",""),"www.",""),"/",""),"?hl=en",""),"instagram.com",""))</f>
        <v/>
      </c>
      <c r="W296" s="41" t="str">
        <f t="array" ref="W296">IF('Ingest Template'!V296="",(INDEX(DropDown!$L$2:$L$392,MATCH('Ingest Template'!E296,DropDown!$J$2:$J$392,0))&amp;"|"&amp;'Ingest Template'!B296),(INDEX(DropDown!$L$2:$L$392,MATCH('Ingest Template'!E296,DropDown!$J$2:$J$392,0))&amp;"|"&amp;'Ingest Template'!B296)&amp;CHAR(10)&amp;'Ingest Template'!V296)</f>
        <v>#N/A</v>
      </c>
      <c r="X296" s="41" t="str">
        <f>'Ingest Template'!W296</f>
        <v/>
      </c>
      <c r="Y296" s="21" t="str">
        <f>SUBSTITUTE(SUBSTITUTE(SUBSTITUTE('Ingest Template'!X296,"http:",""),"https:",""),"/","")</f>
        <v/>
      </c>
      <c r="Z296" s="21" t="str">
        <f t="array" ref="Z296">IF('Ingest Template'!A296="Standard",(IF(ISBLANK('Ingest Template'!AA296),"", 'Ingest Template'!AA296&amp;"|DAR")),(IF(ISBLANK('Ingest Template'!AA296),"", 'Ingest Template'!AA296&amp;"|Film Ops")))</f>
        <v/>
      </c>
      <c r="AA296" s="21"/>
      <c r="AB296" s="21" t="str">
        <f>'Ingest Template'!M296</f>
        <v/>
      </c>
      <c r="AC296" s="21" t="str">
        <f>'Ingest Template'!Y296</f>
        <v/>
      </c>
      <c r="AD296" s="21" t="str">
        <f>'Ingest Template'!C296</f>
        <v/>
      </c>
      <c r="AE296" s="21" t="str">
        <f>'Ingest Template'!Z296</f>
        <v/>
      </c>
      <c r="AF296" s="29"/>
      <c r="AG296" s="21" t="str">
        <f t="array" ref="AG296">IF('Ingest Template'!A296="Standard",(CONCATENATE(IF(ISBLANK('Ingest Template'!O296),"", 'Ingest Template'!O296&amp;"|DAR"),CHAR(10), IF(ISBLANK('Ingest Template'!P296),"", 'Ingest Template'!P296&amp;"|DAR"),CHAR(10), IF(ISBLANK('Ingest Template'!Q296),"", 'Ingest Template'!Q296&amp;"|DAR"))),(CONCATENATE(IF(ISBLANK('Ingest Template'!O296),"", 'Ingest Template'!O296&amp;"|Operations - Core Title"),CHAR(10), IF(ISBLANK('Ingest Template'!P296),"", 'Ingest Template'!P296&amp;"|Operations - Core Title"),CHAR(10), IF(ISBLANK('Ingest Template'!Q296),"", 'Ingest Template'!Q296&amp;"|Operations - Core Title"))))</f>
        <v>#|Operations - Core Title
#|Operations - Core Title
</v>
      </c>
      <c r="AH296" s="21"/>
      <c r="AI296" s="21"/>
      <c r="AJ296" s="53" t="str">
        <f>if('Ingest Template'!A296="Standard",'Ingest Template'!N296&amp; "|DAR|DAR|2021-01-01",'Ingest Template'!N296&amp; "|Operations - Core Title|Operations - Core Title")</f>
        <v>#N/A</v>
      </c>
      <c r="AK296" s="53" t="str">
        <f>if('Ingest Template'!A296="Standard",'Ingest Template'!R296&amp; "|2021-01-01",'Ingest Template'!R296)</f>
        <v>#N/A</v>
      </c>
      <c r="AL296" s="21"/>
      <c r="AM296" s="21"/>
    </row>
    <row r="297">
      <c r="A297" s="21"/>
      <c r="B297" s="21" t="str">
        <f>'Ingest Template'!B297&amp;IF('Ingest Template'!A297 = "Standard", " - DAR","")</f>
        <v/>
      </c>
      <c r="C297" s="26" t="s">
        <v>109</v>
      </c>
      <c r="D297" s="29" t="str">
        <f t="array" ref="D297">CONCATENATE(INDEX(DropDown!$H$2:$H$10,MATCH(1,COUNTIF('Ingest Template'!F297,"*"&amp;DropDown!$H$2:$H$10&amp;"*"),0)),CHAR(10),'Ingest Template'!G297)</f>
        <v>#N/A</v>
      </c>
      <c r="E297" s="21" t="str">
        <f>CONCATENATE('Ingest Template'!H297,CHAR(10),'Ingest Template'!I297,CHAR(10),'Ingest Template'!J297)</f>
        <v>
</v>
      </c>
      <c r="F297" s="26" t="str">
        <f>'Ingest Template'!H297</f>
        <v/>
      </c>
      <c r="G297" s="21"/>
      <c r="H297" s="29"/>
      <c r="I297" s="21"/>
      <c r="J297" s="29" t="str">
        <f t="array" ref="J297">iF('Ingest Template'!A297="Standard","Pristine Brand",INDEX(DropDown!$M$2:$M$392,MATCH('Ingest Template'!E297,DropDown!$J$2:$J$392,0)))</f>
        <v>#N/A</v>
      </c>
      <c r="K297" s="21" t="str">
        <f>iF('Ingest Template'!A297="Standard",'Ingest Template'!K297&amp;CHAR(10)&amp;'Ingest Template'!L297,"Competitive View")</f>
        <v>Competitive View</v>
      </c>
      <c r="L297" s="29" t="s">
        <v>146</v>
      </c>
      <c r="M297" s="37" t="str">
        <f>'Ingest Template'!D297</f>
        <v/>
      </c>
      <c r="N297" s="21"/>
      <c r="O297" s="21"/>
      <c r="P297" s="21"/>
      <c r="Q297" s="21"/>
      <c r="R297" s="21" t="str">
        <f>'Ingest Template'!E297</f>
        <v/>
      </c>
      <c r="S297" s="29" t="s">
        <v>153</v>
      </c>
      <c r="T297" s="21" t="str">
        <f>'Ingest Template'!T297</f>
        <v/>
      </c>
      <c r="U297" s="21" t="str">
        <f>'Ingest Template'!S297</f>
        <v/>
      </c>
      <c r="V297" s="21" t="str">
        <f>LOWER(SUBSTITUTE(SUBSTITUTE(SUBSTITUTE(SUBSTITUTE(SUBSTITUTE('Ingest Template'!U297,"https:",""),"www.",""),"/",""),"?hl=en",""),"instagram.com",""))</f>
        <v/>
      </c>
      <c r="W297" s="41" t="str">
        <f t="array" ref="W297">IF('Ingest Template'!V297="",(INDEX(DropDown!$L$2:$L$392,MATCH('Ingest Template'!E297,DropDown!$J$2:$J$392,0))&amp;"|"&amp;'Ingest Template'!B297),(INDEX(DropDown!$L$2:$L$392,MATCH('Ingest Template'!E297,DropDown!$J$2:$J$392,0))&amp;"|"&amp;'Ingest Template'!B297)&amp;CHAR(10)&amp;'Ingest Template'!V297)</f>
        <v>#N/A</v>
      </c>
      <c r="X297" s="41" t="str">
        <f>'Ingest Template'!W297</f>
        <v/>
      </c>
      <c r="Y297" s="21" t="str">
        <f>SUBSTITUTE(SUBSTITUTE(SUBSTITUTE('Ingest Template'!X297,"http:",""),"https:",""),"/","")</f>
        <v/>
      </c>
      <c r="Z297" s="21" t="str">
        <f t="array" ref="Z297">IF('Ingest Template'!A297="Standard",(IF(ISBLANK('Ingest Template'!AA297),"", 'Ingest Template'!AA297&amp;"|DAR")),(IF(ISBLANK('Ingest Template'!AA297),"", 'Ingest Template'!AA297&amp;"|Film Ops")))</f>
        <v/>
      </c>
      <c r="AA297" s="21"/>
      <c r="AB297" s="21" t="str">
        <f>'Ingest Template'!M297</f>
        <v/>
      </c>
      <c r="AC297" s="21" t="str">
        <f>'Ingest Template'!Y297</f>
        <v/>
      </c>
      <c r="AD297" s="21" t="str">
        <f>'Ingest Template'!C297</f>
        <v/>
      </c>
      <c r="AE297" s="21" t="str">
        <f>'Ingest Template'!Z297</f>
        <v/>
      </c>
      <c r="AF297" s="29"/>
      <c r="AG297" s="21" t="str">
        <f t="array" ref="AG297">IF('Ingest Template'!A297="Standard",(CONCATENATE(IF(ISBLANK('Ingest Template'!O297),"", 'Ingest Template'!O297&amp;"|DAR"),CHAR(10), IF(ISBLANK('Ingest Template'!P297),"", 'Ingest Template'!P297&amp;"|DAR"),CHAR(10), IF(ISBLANK('Ingest Template'!Q297),"", 'Ingest Template'!Q297&amp;"|DAR"))),(CONCATENATE(IF(ISBLANK('Ingest Template'!O297),"", 'Ingest Template'!O297&amp;"|Operations - Core Title"),CHAR(10), IF(ISBLANK('Ingest Template'!P297),"", 'Ingest Template'!P297&amp;"|Operations - Core Title"),CHAR(10), IF(ISBLANK('Ingest Template'!Q297),"", 'Ingest Template'!Q297&amp;"|Operations - Core Title"))))</f>
        <v>#|Operations - Core Title
#|Operations - Core Title
</v>
      </c>
      <c r="AH297" s="21"/>
      <c r="AI297" s="21"/>
      <c r="AJ297" s="53" t="str">
        <f>if('Ingest Template'!A297="Standard",'Ingest Template'!N297&amp; "|DAR|DAR|2021-01-01",'Ingest Template'!N297&amp; "|Operations - Core Title|Operations - Core Title")</f>
        <v>#N/A</v>
      </c>
      <c r="AK297" s="53" t="str">
        <f>if('Ingest Template'!A297="Standard",'Ingest Template'!R297&amp; "|2021-01-01",'Ingest Template'!R297)</f>
        <v>#N/A</v>
      </c>
      <c r="AL297" s="21"/>
      <c r="AM297" s="21"/>
    </row>
    <row r="298">
      <c r="A298" s="21"/>
      <c r="B298" s="21" t="str">
        <f>'Ingest Template'!B298&amp;IF('Ingest Template'!A298 = "Standard", " - DAR","")</f>
        <v/>
      </c>
      <c r="C298" s="26" t="s">
        <v>109</v>
      </c>
      <c r="D298" s="29" t="str">
        <f t="array" ref="D298">CONCATENATE(INDEX(DropDown!$H$2:$H$10,MATCH(1,COUNTIF('Ingest Template'!F298,"*"&amp;DropDown!$H$2:$H$10&amp;"*"),0)),CHAR(10),'Ingest Template'!G298)</f>
        <v>#N/A</v>
      </c>
      <c r="E298" s="21" t="str">
        <f>CONCATENATE('Ingest Template'!H298,CHAR(10),'Ingest Template'!I298,CHAR(10),'Ingest Template'!J298)</f>
        <v>
</v>
      </c>
      <c r="F298" s="26" t="str">
        <f>'Ingest Template'!H298</f>
        <v/>
      </c>
      <c r="G298" s="21"/>
      <c r="H298" s="29"/>
      <c r="I298" s="21"/>
      <c r="J298" s="29" t="str">
        <f t="array" ref="J298">iF('Ingest Template'!A298="Standard","Pristine Brand",INDEX(DropDown!$M$2:$M$392,MATCH('Ingest Template'!E298,DropDown!$J$2:$J$392,0)))</f>
        <v>#N/A</v>
      </c>
      <c r="K298" s="21" t="str">
        <f>iF('Ingest Template'!A298="Standard",'Ingest Template'!K298&amp;CHAR(10)&amp;'Ingest Template'!L298,"Competitive View")</f>
        <v>Competitive View</v>
      </c>
      <c r="L298" s="29" t="s">
        <v>146</v>
      </c>
      <c r="M298" s="37" t="str">
        <f>'Ingest Template'!D298</f>
        <v/>
      </c>
      <c r="N298" s="21"/>
      <c r="O298" s="21"/>
      <c r="P298" s="21"/>
      <c r="Q298" s="21"/>
      <c r="R298" s="21" t="str">
        <f>'Ingest Template'!E298</f>
        <v/>
      </c>
      <c r="S298" s="29" t="s">
        <v>153</v>
      </c>
      <c r="T298" s="21" t="str">
        <f>'Ingest Template'!T298</f>
        <v/>
      </c>
      <c r="U298" s="21" t="str">
        <f>'Ingest Template'!S298</f>
        <v/>
      </c>
      <c r="V298" s="21" t="str">
        <f>LOWER(SUBSTITUTE(SUBSTITUTE(SUBSTITUTE(SUBSTITUTE(SUBSTITUTE('Ingest Template'!U298,"https:",""),"www.",""),"/",""),"?hl=en",""),"instagram.com",""))</f>
        <v/>
      </c>
      <c r="W298" s="41" t="str">
        <f t="array" ref="W298">IF('Ingest Template'!V298="",(INDEX(DropDown!$L$2:$L$392,MATCH('Ingest Template'!E298,DropDown!$J$2:$J$392,0))&amp;"|"&amp;'Ingest Template'!B298),(INDEX(DropDown!$L$2:$L$392,MATCH('Ingest Template'!E298,DropDown!$J$2:$J$392,0))&amp;"|"&amp;'Ingest Template'!B298)&amp;CHAR(10)&amp;'Ingest Template'!V298)</f>
        <v>#N/A</v>
      </c>
      <c r="X298" s="41" t="str">
        <f>'Ingest Template'!W298</f>
        <v/>
      </c>
      <c r="Y298" s="21" t="str">
        <f>SUBSTITUTE(SUBSTITUTE(SUBSTITUTE('Ingest Template'!X298,"http:",""),"https:",""),"/","")</f>
        <v/>
      </c>
      <c r="Z298" s="21" t="str">
        <f t="array" ref="Z298">IF('Ingest Template'!A298="Standard",(IF(ISBLANK('Ingest Template'!AA298),"", 'Ingest Template'!AA298&amp;"|DAR")),(IF(ISBLANK('Ingest Template'!AA298),"", 'Ingest Template'!AA298&amp;"|Film Ops")))</f>
        <v/>
      </c>
      <c r="AA298" s="21"/>
      <c r="AB298" s="21" t="str">
        <f>'Ingest Template'!M298</f>
        <v/>
      </c>
      <c r="AC298" s="21" t="str">
        <f>'Ingest Template'!Y298</f>
        <v/>
      </c>
      <c r="AD298" s="21" t="str">
        <f>'Ingest Template'!C298</f>
        <v/>
      </c>
      <c r="AE298" s="21" t="str">
        <f>'Ingest Template'!Z298</f>
        <v/>
      </c>
      <c r="AF298" s="29"/>
      <c r="AG298" s="21" t="str">
        <f t="array" ref="AG298">IF('Ingest Template'!A298="Standard",(CONCATENATE(IF(ISBLANK('Ingest Template'!O298),"", 'Ingest Template'!O298&amp;"|DAR"),CHAR(10), IF(ISBLANK('Ingest Template'!P298),"", 'Ingest Template'!P298&amp;"|DAR"),CHAR(10), IF(ISBLANK('Ingest Template'!Q298),"", 'Ingest Template'!Q298&amp;"|DAR"))),(CONCATENATE(IF(ISBLANK('Ingest Template'!O298),"", 'Ingest Template'!O298&amp;"|Operations - Core Title"),CHAR(10), IF(ISBLANK('Ingest Template'!P298),"", 'Ingest Template'!P298&amp;"|Operations - Core Title"),CHAR(10), IF(ISBLANK('Ingest Template'!Q298),"", 'Ingest Template'!Q298&amp;"|Operations - Core Title"))))</f>
        <v>#|Operations - Core Title
#|Operations - Core Title
</v>
      </c>
      <c r="AH298" s="21"/>
      <c r="AI298" s="21"/>
      <c r="AJ298" s="53" t="str">
        <f>if('Ingest Template'!A298="Standard",'Ingest Template'!N298&amp; "|DAR|DAR|2021-01-01",'Ingest Template'!N298&amp; "|Operations - Core Title|Operations - Core Title")</f>
        <v>#N/A</v>
      </c>
      <c r="AK298" s="53" t="str">
        <f>if('Ingest Template'!A298="Standard",'Ingest Template'!R298&amp; "|2021-01-01",'Ingest Template'!R298)</f>
        <v>#N/A</v>
      </c>
      <c r="AL298" s="21"/>
      <c r="AM298" s="21"/>
    </row>
    <row r="299">
      <c r="A299" s="21"/>
      <c r="B299" s="21" t="str">
        <f>'Ingest Template'!B299&amp;IF('Ingest Template'!A299 = "Standard", " - DAR","")</f>
        <v/>
      </c>
      <c r="C299" s="26" t="s">
        <v>109</v>
      </c>
      <c r="D299" s="29" t="str">
        <f t="array" ref="D299">CONCATENATE(INDEX(DropDown!$H$2:$H$10,MATCH(1,COUNTIF('Ingest Template'!F299,"*"&amp;DropDown!$H$2:$H$10&amp;"*"),0)),CHAR(10),'Ingest Template'!G299)</f>
        <v>#N/A</v>
      </c>
      <c r="E299" s="21" t="str">
        <f>CONCATENATE('Ingest Template'!H299,CHAR(10),'Ingest Template'!I299,CHAR(10),'Ingest Template'!J299)</f>
        <v>
</v>
      </c>
      <c r="F299" s="26" t="str">
        <f>'Ingest Template'!H299</f>
        <v/>
      </c>
      <c r="G299" s="21"/>
      <c r="H299" s="29"/>
      <c r="I299" s="21"/>
      <c r="J299" s="29" t="str">
        <f t="array" ref="J299">iF('Ingest Template'!A299="Standard","Pristine Brand",INDEX(DropDown!$M$2:$M$392,MATCH('Ingest Template'!E299,DropDown!$J$2:$J$392,0)))</f>
        <v>#N/A</v>
      </c>
      <c r="K299" s="21" t="str">
        <f>iF('Ingest Template'!A299="Standard",'Ingest Template'!K299&amp;CHAR(10)&amp;'Ingest Template'!L299,"Competitive View")</f>
        <v>Competitive View</v>
      </c>
      <c r="L299" s="29" t="s">
        <v>146</v>
      </c>
      <c r="M299" s="37" t="str">
        <f>'Ingest Template'!D299</f>
        <v/>
      </c>
      <c r="N299" s="21"/>
      <c r="O299" s="21"/>
      <c r="P299" s="21"/>
      <c r="Q299" s="21"/>
      <c r="R299" s="21" t="str">
        <f>'Ingest Template'!E299</f>
        <v/>
      </c>
      <c r="S299" s="29" t="s">
        <v>153</v>
      </c>
      <c r="T299" s="21" t="str">
        <f>'Ingest Template'!T299</f>
        <v/>
      </c>
      <c r="U299" s="21" t="str">
        <f>'Ingest Template'!S299</f>
        <v/>
      </c>
      <c r="V299" s="21" t="str">
        <f>LOWER(SUBSTITUTE(SUBSTITUTE(SUBSTITUTE(SUBSTITUTE(SUBSTITUTE('Ingest Template'!U299,"https:",""),"www.",""),"/",""),"?hl=en",""),"instagram.com",""))</f>
        <v/>
      </c>
      <c r="W299" s="41" t="str">
        <f t="array" ref="W299">IF('Ingest Template'!V299="",(INDEX(DropDown!$L$2:$L$392,MATCH('Ingest Template'!E299,DropDown!$J$2:$J$392,0))&amp;"|"&amp;'Ingest Template'!B299),(INDEX(DropDown!$L$2:$L$392,MATCH('Ingest Template'!E299,DropDown!$J$2:$J$392,0))&amp;"|"&amp;'Ingest Template'!B299)&amp;CHAR(10)&amp;'Ingest Template'!V299)</f>
        <v>#N/A</v>
      </c>
      <c r="X299" s="41" t="str">
        <f>'Ingest Template'!W299</f>
        <v/>
      </c>
      <c r="Y299" s="21" t="str">
        <f>SUBSTITUTE(SUBSTITUTE(SUBSTITUTE('Ingest Template'!X299,"http:",""),"https:",""),"/","")</f>
        <v/>
      </c>
      <c r="Z299" s="21" t="str">
        <f t="array" ref="Z299">IF('Ingest Template'!A299="Standard",(IF(ISBLANK('Ingest Template'!AA299),"", 'Ingest Template'!AA299&amp;"|DAR")),(IF(ISBLANK('Ingest Template'!AA299),"", 'Ingest Template'!AA299&amp;"|Film Ops")))</f>
        <v/>
      </c>
      <c r="AA299" s="21"/>
      <c r="AB299" s="21" t="str">
        <f>'Ingest Template'!M299</f>
        <v/>
      </c>
      <c r="AC299" s="21" t="str">
        <f>'Ingest Template'!Y299</f>
        <v/>
      </c>
      <c r="AD299" s="21" t="str">
        <f>'Ingest Template'!C299</f>
        <v/>
      </c>
      <c r="AE299" s="21" t="str">
        <f>'Ingest Template'!Z299</f>
        <v/>
      </c>
      <c r="AF299" s="29"/>
      <c r="AG299" s="21" t="str">
        <f t="array" ref="AG299">IF('Ingest Template'!A299="Standard",(CONCATENATE(IF(ISBLANK('Ingest Template'!O299),"", 'Ingest Template'!O299&amp;"|DAR"),CHAR(10), IF(ISBLANK('Ingest Template'!P299),"", 'Ingest Template'!P299&amp;"|DAR"),CHAR(10), IF(ISBLANK('Ingest Template'!Q299),"", 'Ingest Template'!Q299&amp;"|DAR"))),(CONCATENATE(IF(ISBLANK('Ingest Template'!O299),"", 'Ingest Template'!O299&amp;"|Operations - Core Title"),CHAR(10), IF(ISBLANK('Ingest Template'!P299),"", 'Ingest Template'!P299&amp;"|Operations - Core Title"),CHAR(10), IF(ISBLANK('Ingest Template'!Q299),"", 'Ingest Template'!Q299&amp;"|Operations - Core Title"))))</f>
        <v>#|Operations - Core Title
#|Operations - Core Title
</v>
      </c>
      <c r="AH299" s="21"/>
      <c r="AI299" s="21"/>
      <c r="AJ299" s="53" t="str">
        <f>if('Ingest Template'!A299="Standard",'Ingest Template'!N299&amp; "|DAR|DAR|2021-01-01",'Ingest Template'!N299&amp; "|Operations - Core Title|Operations - Core Title")</f>
        <v>#N/A</v>
      </c>
      <c r="AK299" s="53" t="str">
        <f>if('Ingest Template'!A299="Standard",'Ingest Template'!R299&amp; "|2021-01-01",'Ingest Template'!R299)</f>
        <v>#N/A</v>
      </c>
      <c r="AL299" s="21"/>
      <c r="AM299" s="21"/>
    </row>
    <row r="300">
      <c r="A300" s="21"/>
      <c r="B300" s="21" t="str">
        <f>'Ingest Template'!B300&amp;IF('Ingest Template'!A300 = "Standard", " - DAR","")</f>
        <v/>
      </c>
      <c r="C300" s="26" t="s">
        <v>109</v>
      </c>
      <c r="D300" s="29" t="str">
        <f t="array" ref="D300">CONCATENATE(INDEX(DropDown!$H$2:$H$10,MATCH(1,COUNTIF('Ingest Template'!F300,"*"&amp;DropDown!$H$2:$H$10&amp;"*"),0)),CHAR(10),'Ingest Template'!G300)</f>
        <v>#N/A</v>
      </c>
      <c r="E300" s="21" t="str">
        <f>CONCATENATE('Ingest Template'!H300,CHAR(10),'Ingest Template'!I300,CHAR(10),'Ingest Template'!J300)</f>
        <v>
</v>
      </c>
      <c r="F300" s="26" t="str">
        <f>'Ingest Template'!H300</f>
        <v/>
      </c>
      <c r="G300" s="21"/>
      <c r="H300" s="29"/>
      <c r="I300" s="21"/>
      <c r="J300" s="29" t="str">
        <f t="array" ref="J300">iF('Ingest Template'!A300="Standard","Pristine Brand",INDEX(DropDown!$M$2:$M$392,MATCH('Ingest Template'!E300,DropDown!$J$2:$J$392,0)))</f>
        <v>#N/A</v>
      </c>
      <c r="K300" s="21" t="str">
        <f>iF('Ingest Template'!A300="Standard",'Ingest Template'!K300&amp;CHAR(10)&amp;'Ingest Template'!L300,"Competitive View")</f>
        <v>Competitive View</v>
      </c>
      <c r="L300" s="29" t="s">
        <v>146</v>
      </c>
      <c r="M300" s="37" t="str">
        <f>'Ingest Template'!D300</f>
        <v/>
      </c>
      <c r="N300" s="21"/>
      <c r="O300" s="21"/>
      <c r="P300" s="21"/>
      <c r="Q300" s="21"/>
      <c r="R300" s="21" t="str">
        <f>'Ingest Template'!E300</f>
        <v/>
      </c>
      <c r="S300" s="29" t="s">
        <v>153</v>
      </c>
      <c r="T300" s="21" t="str">
        <f>'Ingest Template'!T300</f>
        <v/>
      </c>
      <c r="U300" s="21" t="str">
        <f>'Ingest Template'!S300</f>
        <v/>
      </c>
      <c r="V300" s="21" t="str">
        <f>LOWER(SUBSTITUTE(SUBSTITUTE(SUBSTITUTE(SUBSTITUTE(SUBSTITUTE('Ingest Template'!U300,"https:",""),"www.",""),"/",""),"?hl=en",""),"instagram.com",""))</f>
        <v/>
      </c>
      <c r="W300" s="41" t="str">
        <f t="array" ref="W300">IF('Ingest Template'!V300="",(INDEX(DropDown!$L$2:$L$392,MATCH('Ingest Template'!E300,DropDown!$J$2:$J$392,0))&amp;"|"&amp;'Ingest Template'!B300),(INDEX(DropDown!$L$2:$L$392,MATCH('Ingest Template'!E300,DropDown!$J$2:$J$392,0))&amp;"|"&amp;'Ingest Template'!B300)&amp;CHAR(10)&amp;'Ingest Template'!V300)</f>
        <v>#N/A</v>
      </c>
      <c r="X300" s="41" t="str">
        <f>'Ingest Template'!W300</f>
        <v/>
      </c>
      <c r="Y300" s="21" t="str">
        <f>SUBSTITUTE(SUBSTITUTE(SUBSTITUTE('Ingest Template'!X300,"http:",""),"https:",""),"/","")</f>
        <v/>
      </c>
      <c r="Z300" s="21" t="str">
        <f t="array" ref="Z300">IF('Ingest Template'!A300="Standard",(IF(ISBLANK('Ingest Template'!AA300),"", 'Ingest Template'!AA300&amp;"|DAR")),(IF(ISBLANK('Ingest Template'!AA300),"", 'Ingest Template'!AA300&amp;"|Film Ops")))</f>
        <v/>
      </c>
      <c r="AA300" s="21"/>
      <c r="AB300" s="21" t="str">
        <f>'Ingest Template'!M300</f>
        <v/>
      </c>
      <c r="AC300" s="21" t="str">
        <f>'Ingest Template'!Y300</f>
        <v/>
      </c>
      <c r="AD300" s="21" t="str">
        <f>'Ingest Template'!C300</f>
        <v/>
      </c>
      <c r="AE300" s="21" t="str">
        <f>'Ingest Template'!Z300</f>
        <v/>
      </c>
      <c r="AF300" s="29"/>
      <c r="AG300" s="21" t="str">
        <f t="array" ref="AG300">IF('Ingest Template'!A300="Standard",(CONCATENATE(IF(ISBLANK('Ingest Template'!O300),"", 'Ingest Template'!O300&amp;"|DAR"),CHAR(10), IF(ISBLANK('Ingest Template'!P300),"", 'Ingest Template'!P300&amp;"|DAR"),CHAR(10), IF(ISBLANK('Ingest Template'!Q300),"", 'Ingest Template'!Q300&amp;"|DAR"))),(CONCATENATE(IF(ISBLANK('Ingest Template'!O300),"", 'Ingest Template'!O300&amp;"|Operations - Core Title"),CHAR(10), IF(ISBLANK('Ingest Template'!P300),"", 'Ingest Template'!P300&amp;"|Operations - Core Title"),CHAR(10), IF(ISBLANK('Ingest Template'!Q300),"", 'Ingest Template'!Q300&amp;"|Operations - Core Title"))))</f>
        <v>#|Operations - Core Title
#|Operations - Core Title
</v>
      </c>
      <c r="AH300" s="21"/>
      <c r="AI300" s="21"/>
      <c r="AJ300" s="53" t="str">
        <f>if('Ingest Template'!A300="Standard",'Ingest Template'!N300&amp; "|DAR|DAR|2021-01-01",'Ingest Template'!N300&amp; "|Operations - Core Title|Operations - Core Title")</f>
        <v>#N/A</v>
      </c>
      <c r="AK300" s="53" t="str">
        <f>if('Ingest Template'!A300="Standard",'Ingest Template'!R300&amp; "|2021-01-01",'Ingest Template'!R300)</f>
        <v>#N/A</v>
      </c>
      <c r="AL300" s="21"/>
      <c r="AM300" s="21"/>
    </row>
    <row r="301">
      <c r="A301" s="21"/>
      <c r="B301" s="21" t="str">
        <f>'Ingest Template'!B301&amp;IF('Ingest Template'!A301 = "Standard", " - DAR","")</f>
        <v/>
      </c>
      <c r="C301" s="26" t="s">
        <v>109</v>
      </c>
      <c r="D301" s="29" t="str">
        <f t="array" ref="D301">CONCATENATE(INDEX(DropDown!$H$2:$H$10,MATCH(1,COUNTIF('Ingest Template'!F301,"*"&amp;DropDown!$H$2:$H$10&amp;"*"),0)),CHAR(10),'Ingest Template'!G301)</f>
        <v>#N/A</v>
      </c>
      <c r="E301" s="21" t="str">
        <f>CONCATENATE('Ingest Template'!H301,CHAR(10),'Ingest Template'!I301,CHAR(10),'Ingest Template'!J301)</f>
        <v>
</v>
      </c>
      <c r="F301" s="26" t="str">
        <f>'Ingest Template'!H301</f>
        <v/>
      </c>
      <c r="G301" s="21"/>
      <c r="H301" s="29"/>
      <c r="I301" s="21"/>
      <c r="J301" s="29" t="str">
        <f t="array" ref="J301">iF('Ingest Template'!A301="Standard","Pristine Brand",INDEX(DropDown!$M$2:$M$392,MATCH('Ingest Template'!E301,DropDown!$J$2:$J$392,0)))</f>
        <v>#N/A</v>
      </c>
      <c r="K301" s="21" t="str">
        <f>iF('Ingest Template'!A301="Standard",'Ingest Template'!K301&amp;CHAR(10)&amp;'Ingest Template'!L301,"Competitive View")</f>
        <v>Competitive View</v>
      </c>
      <c r="L301" s="29" t="s">
        <v>146</v>
      </c>
      <c r="M301" s="37" t="str">
        <f>'Ingest Template'!D301</f>
        <v/>
      </c>
      <c r="N301" s="21"/>
      <c r="O301" s="21"/>
      <c r="P301" s="21"/>
      <c r="Q301" s="21"/>
      <c r="R301" s="21" t="str">
        <f>'Ingest Template'!E301</f>
        <v/>
      </c>
      <c r="S301" s="29" t="s">
        <v>153</v>
      </c>
      <c r="T301" s="21" t="str">
        <f>'Ingest Template'!T301</f>
        <v/>
      </c>
      <c r="U301" s="21" t="str">
        <f>'Ingest Template'!S301</f>
        <v/>
      </c>
      <c r="V301" s="21" t="str">
        <f>LOWER(SUBSTITUTE(SUBSTITUTE(SUBSTITUTE(SUBSTITUTE(SUBSTITUTE('Ingest Template'!U301,"https:",""),"www.",""),"/",""),"?hl=en",""),"instagram.com",""))</f>
        <v/>
      </c>
      <c r="W301" s="41" t="str">
        <f t="array" ref="W301">IF('Ingest Template'!V301="",(INDEX(DropDown!$L$2:$L$392,MATCH('Ingest Template'!E301,DropDown!$J$2:$J$392,0))&amp;"|"&amp;'Ingest Template'!B301),(INDEX(DropDown!$L$2:$L$392,MATCH('Ingest Template'!E301,DropDown!$J$2:$J$392,0))&amp;"|"&amp;'Ingest Template'!B301)&amp;CHAR(10)&amp;'Ingest Template'!V301)</f>
        <v>#N/A</v>
      </c>
      <c r="X301" s="41" t="str">
        <f>'Ingest Template'!W301</f>
        <v/>
      </c>
      <c r="Y301" s="21" t="str">
        <f>SUBSTITUTE(SUBSTITUTE(SUBSTITUTE('Ingest Template'!X301,"http:",""),"https:",""),"/","")</f>
        <v/>
      </c>
      <c r="Z301" s="21" t="str">
        <f t="array" ref="Z301">IF('Ingest Template'!A301="Standard",(IF(ISBLANK('Ingest Template'!AA301),"", 'Ingest Template'!AA301&amp;"|DAR")),(IF(ISBLANK('Ingest Template'!AA301),"", 'Ingest Template'!AA301&amp;"|Film Ops")))</f>
        <v/>
      </c>
      <c r="AA301" s="21"/>
      <c r="AB301" s="21" t="str">
        <f>'Ingest Template'!M301</f>
        <v/>
      </c>
      <c r="AC301" s="21" t="str">
        <f>'Ingest Template'!Y301</f>
        <v/>
      </c>
      <c r="AD301" s="21" t="str">
        <f>'Ingest Template'!C301</f>
        <v/>
      </c>
      <c r="AE301" s="21" t="str">
        <f>'Ingest Template'!Z301</f>
        <v/>
      </c>
      <c r="AF301" s="29"/>
      <c r="AG301" s="21" t="str">
        <f t="array" ref="AG301">IF('Ingest Template'!A301="Standard",(CONCATENATE(IF(ISBLANK('Ingest Template'!O301),"", 'Ingest Template'!O301&amp;"|DAR"),CHAR(10), IF(ISBLANK('Ingest Template'!P301),"", 'Ingest Template'!P301&amp;"|DAR"),CHAR(10), IF(ISBLANK('Ingest Template'!Q301),"", 'Ingest Template'!Q301&amp;"|DAR"))),(CONCATENATE(IF(ISBLANK('Ingest Template'!O301),"", 'Ingest Template'!O301&amp;"|Operations - Core Title"),CHAR(10), IF(ISBLANK('Ingest Template'!P301),"", 'Ingest Template'!P301&amp;"|Operations - Core Title"),CHAR(10), IF(ISBLANK('Ingest Template'!Q301),"", 'Ingest Template'!Q301&amp;"|Operations - Core Title"))))</f>
        <v>#|Operations - Core Title
#|Operations - Core Title
</v>
      </c>
      <c r="AH301" s="21"/>
      <c r="AI301" s="21"/>
      <c r="AJ301" s="53" t="str">
        <f>if('Ingest Template'!A301="Standard",'Ingest Template'!N301&amp; "|DAR|DAR|2021-01-01",'Ingest Template'!N301&amp; "|Operations - Core Title|Operations - Core Title")</f>
        <v>#N/A</v>
      </c>
      <c r="AK301" s="53" t="str">
        <f>if('Ingest Template'!A301="Standard",'Ingest Template'!R301&amp; "|2021-01-01",'Ingest Template'!R301)</f>
        <v>#N/A</v>
      </c>
      <c r="AL301" s="21"/>
      <c r="AM301" s="21"/>
    </row>
    <row r="302">
      <c r="A302" s="21"/>
      <c r="B302" s="21" t="str">
        <f>'Ingest Template'!B302&amp;IF('Ingest Template'!A302 = "Standard", " - DAR","")</f>
        <v/>
      </c>
      <c r="C302" s="26" t="s">
        <v>109</v>
      </c>
      <c r="D302" s="29" t="str">
        <f t="array" ref="D302">CONCATENATE(INDEX(DropDown!$H$2:$H$10,MATCH(1,COUNTIF('Ingest Template'!F302,"*"&amp;DropDown!$H$2:$H$10&amp;"*"),0)),CHAR(10),'Ingest Template'!G302)</f>
        <v>#N/A</v>
      </c>
      <c r="E302" s="21" t="str">
        <f>CONCATENATE('Ingest Template'!H302,CHAR(10),'Ingest Template'!I302,CHAR(10),'Ingest Template'!J302)</f>
        <v>
</v>
      </c>
      <c r="F302" s="26" t="str">
        <f>'Ingest Template'!H302</f>
        <v/>
      </c>
      <c r="G302" s="21"/>
      <c r="H302" s="29"/>
      <c r="I302" s="21"/>
      <c r="J302" s="29" t="str">
        <f t="array" ref="J302">iF('Ingest Template'!A302="Standard","Pristine Brand",INDEX(DropDown!$M$2:$M$392,MATCH('Ingest Template'!E302,DropDown!$J$2:$J$392,0)))</f>
        <v>#N/A</v>
      </c>
      <c r="K302" s="21" t="str">
        <f>iF('Ingest Template'!A302="Standard",'Ingest Template'!K302&amp;CHAR(10)&amp;'Ingest Template'!L302,"Competitive View")</f>
        <v>Competitive View</v>
      </c>
      <c r="L302" s="29" t="s">
        <v>146</v>
      </c>
      <c r="M302" s="37" t="str">
        <f>'Ingest Template'!D302</f>
        <v/>
      </c>
      <c r="N302" s="21"/>
      <c r="O302" s="21"/>
      <c r="P302" s="21"/>
      <c r="Q302" s="21"/>
      <c r="R302" s="21" t="str">
        <f>'Ingest Template'!E302</f>
        <v/>
      </c>
      <c r="S302" s="29" t="s">
        <v>153</v>
      </c>
      <c r="T302" s="21" t="str">
        <f>'Ingest Template'!T302</f>
        <v/>
      </c>
      <c r="U302" s="21" t="str">
        <f>'Ingest Template'!S302</f>
        <v/>
      </c>
      <c r="V302" s="21" t="str">
        <f>LOWER(SUBSTITUTE(SUBSTITUTE(SUBSTITUTE(SUBSTITUTE(SUBSTITUTE('Ingest Template'!U302,"https:",""),"www.",""),"/",""),"?hl=en",""),"instagram.com",""))</f>
        <v/>
      </c>
      <c r="W302" s="41" t="str">
        <f t="array" ref="W302">IF('Ingest Template'!V302="",(INDEX(DropDown!$L$2:$L$392,MATCH('Ingest Template'!E302,DropDown!$J$2:$J$392,0))&amp;"|"&amp;'Ingest Template'!B302),(INDEX(DropDown!$L$2:$L$392,MATCH('Ingest Template'!E302,DropDown!$J$2:$J$392,0))&amp;"|"&amp;'Ingest Template'!B302)&amp;CHAR(10)&amp;'Ingest Template'!V302)</f>
        <v>#N/A</v>
      </c>
      <c r="X302" s="41" t="str">
        <f>'Ingest Template'!W302</f>
        <v/>
      </c>
      <c r="Y302" s="21" t="str">
        <f>SUBSTITUTE(SUBSTITUTE(SUBSTITUTE('Ingest Template'!X302,"http:",""),"https:",""),"/","")</f>
        <v/>
      </c>
      <c r="Z302" s="21" t="str">
        <f t="array" ref="Z302">IF('Ingest Template'!A302="Standard",(IF(ISBLANK('Ingest Template'!AA302),"", 'Ingest Template'!AA302&amp;"|DAR")),(IF(ISBLANK('Ingest Template'!AA302),"", 'Ingest Template'!AA302&amp;"|Film Ops")))</f>
        <v/>
      </c>
      <c r="AA302" s="21"/>
      <c r="AB302" s="21" t="str">
        <f>'Ingest Template'!M302</f>
        <v/>
      </c>
      <c r="AC302" s="21" t="str">
        <f>'Ingest Template'!Y302</f>
        <v/>
      </c>
      <c r="AD302" s="21" t="str">
        <f>'Ingest Template'!C302</f>
        <v/>
      </c>
      <c r="AE302" s="21" t="str">
        <f>'Ingest Template'!Z302</f>
        <v/>
      </c>
      <c r="AF302" s="29"/>
      <c r="AG302" s="21" t="str">
        <f t="array" ref="AG302">IF('Ingest Template'!A302="Standard",(CONCATENATE(IF(ISBLANK('Ingest Template'!O302),"", 'Ingest Template'!O302&amp;"|DAR"),CHAR(10), IF(ISBLANK('Ingest Template'!P302),"", 'Ingest Template'!P302&amp;"|DAR"),CHAR(10), IF(ISBLANK('Ingest Template'!Q302),"", 'Ingest Template'!Q302&amp;"|DAR"))),(CONCATENATE(IF(ISBLANK('Ingest Template'!O302),"", 'Ingest Template'!O302&amp;"|Operations - Core Title"),CHAR(10), IF(ISBLANK('Ingest Template'!P302),"", 'Ingest Template'!P302&amp;"|Operations - Core Title"),CHAR(10), IF(ISBLANK('Ingest Template'!Q302),"", 'Ingest Template'!Q302&amp;"|Operations - Core Title"))))</f>
        <v>#|Operations - Core Title
#|Operations - Core Title
</v>
      </c>
      <c r="AH302" s="21"/>
      <c r="AI302" s="21"/>
      <c r="AJ302" s="53" t="str">
        <f>if('Ingest Template'!A302="Standard",'Ingest Template'!N302&amp; "|DAR|DAR|2021-01-01",'Ingest Template'!N302&amp; "|Operations - Core Title|Operations - Core Title")</f>
        <v>#N/A</v>
      </c>
      <c r="AK302" s="53" t="str">
        <f>if('Ingest Template'!A302="Standard",'Ingest Template'!R302&amp; "|2021-01-01",'Ingest Template'!R302)</f>
        <v>#N/A</v>
      </c>
      <c r="AL302" s="21"/>
      <c r="AM302" s="21"/>
    </row>
    <row r="303">
      <c r="A303" s="21"/>
      <c r="B303" s="21" t="str">
        <f>'Ingest Template'!B303&amp;IF('Ingest Template'!A303 = "Standard", " - DAR","")</f>
        <v/>
      </c>
      <c r="C303" s="26" t="s">
        <v>109</v>
      </c>
      <c r="D303" s="29" t="str">
        <f t="array" ref="D303">CONCATENATE(INDEX(DropDown!$H$2:$H$10,MATCH(1,COUNTIF('Ingest Template'!F303,"*"&amp;DropDown!$H$2:$H$10&amp;"*"),0)),CHAR(10),'Ingest Template'!G303)</f>
        <v>#N/A</v>
      </c>
      <c r="E303" s="21" t="str">
        <f>CONCATENATE('Ingest Template'!H303,CHAR(10),'Ingest Template'!I303,CHAR(10),'Ingest Template'!J303)</f>
        <v>
</v>
      </c>
      <c r="F303" s="26" t="str">
        <f>'Ingest Template'!H303</f>
        <v/>
      </c>
      <c r="G303" s="21"/>
      <c r="H303" s="29"/>
      <c r="I303" s="21"/>
      <c r="J303" s="29" t="str">
        <f t="array" ref="J303">iF('Ingest Template'!A303="Standard","Pristine Brand",INDEX(DropDown!$M$2:$M$392,MATCH('Ingest Template'!E303,DropDown!$J$2:$J$392,0)))</f>
        <v>#N/A</v>
      </c>
      <c r="K303" s="21" t="str">
        <f>iF('Ingest Template'!A303="Standard",'Ingest Template'!K303&amp;CHAR(10)&amp;'Ingest Template'!L303,"Competitive View")</f>
        <v>Competitive View</v>
      </c>
      <c r="L303" s="29" t="s">
        <v>146</v>
      </c>
      <c r="M303" s="37" t="str">
        <f>'Ingest Template'!D303</f>
        <v/>
      </c>
      <c r="N303" s="21"/>
      <c r="O303" s="21"/>
      <c r="P303" s="21"/>
      <c r="Q303" s="21"/>
      <c r="R303" s="21" t="str">
        <f>'Ingest Template'!E303</f>
        <v/>
      </c>
      <c r="S303" s="29" t="s">
        <v>153</v>
      </c>
      <c r="T303" s="21" t="str">
        <f>'Ingest Template'!T303</f>
        <v/>
      </c>
      <c r="U303" s="21" t="str">
        <f>'Ingest Template'!S303</f>
        <v/>
      </c>
      <c r="V303" s="21" t="str">
        <f>LOWER(SUBSTITUTE(SUBSTITUTE(SUBSTITUTE(SUBSTITUTE(SUBSTITUTE('Ingest Template'!U303,"https:",""),"www.",""),"/",""),"?hl=en",""),"instagram.com",""))</f>
        <v/>
      </c>
      <c r="W303" s="41" t="str">
        <f t="array" ref="W303">IF('Ingest Template'!V303="",(INDEX(DropDown!$L$2:$L$392,MATCH('Ingest Template'!E303,DropDown!$J$2:$J$392,0))&amp;"|"&amp;'Ingest Template'!B303),(INDEX(DropDown!$L$2:$L$392,MATCH('Ingest Template'!E303,DropDown!$J$2:$J$392,0))&amp;"|"&amp;'Ingest Template'!B303)&amp;CHAR(10)&amp;'Ingest Template'!V303)</f>
        <v>#N/A</v>
      </c>
      <c r="X303" s="41" t="str">
        <f>'Ingest Template'!W303</f>
        <v/>
      </c>
      <c r="Y303" s="21" t="str">
        <f>SUBSTITUTE(SUBSTITUTE(SUBSTITUTE('Ingest Template'!X303,"http:",""),"https:",""),"/","")</f>
        <v/>
      </c>
      <c r="Z303" s="21" t="str">
        <f t="array" ref="Z303">IF('Ingest Template'!A303="Standard",(IF(ISBLANK('Ingest Template'!AA303),"", 'Ingest Template'!AA303&amp;"|DAR")),(IF(ISBLANK('Ingest Template'!AA303),"", 'Ingest Template'!AA303&amp;"|Film Ops")))</f>
        <v/>
      </c>
      <c r="AA303" s="21"/>
      <c r="AB303" s="21" t="str">
        <f>'Ingest Template'!M303</f>
        <v/>
      </c>
      <c r="AC303" s="21" t="str">
        <f>'Ingest Template'!Y303</f>
        <v/>
      </c>
      <c r="AD303" s="21" t="str">
        <f>'Ingest Template'!C303</f>
        <v/>
      </c>
      <c r="AE303" s="21" t="str">
        <f>'Ingest Template'!Z303</f>
        <v/>
      </c>
      <c r="AF303" s="29"/>
      <c r="AG303" s="21" t="str">
        <f t="array" ref="AG303">IF('Ingest Template'!A303="Standard",(CONCATENATE(IF(ISBLANK('Ingest Template'!O303),"", 'Ingest Template'!O303&amp;"|DAR"),CHAR(10), IF(ISBLANK('Ingest Template'!P303),"", 'Ingest Template'!P303&amp;"|DAR"),CHAR(10), IF(ISBLANK('Ingest Template'!Q303),"", 'Ingest Template'!Q303&amp;"|DAR"))),(CONCATENATE(IF(ISBLANK('Ingest Template'!O303),"", 'Ingest Template'!O303&amp;"|Operations - Core Title"),CHAR(10), IF(ISBLANK('Ingest Template'!P303),"", 'Ingest Template'!P303&amp;"|Operations - Core Title"),CHAR(10), IF(ISBLANK('Ingest Template'!Q303),"", 'Ingest Template'!Q303&amp;"|Operations - Core Title"))))</f>
        <v>#|Operations - Core Title
#|Operations - Core Title
</v>
      </c>
      <c r="AH303" s="21"/>
      <c r="AI303" s="21"/>
      <c r="AJ303" s="53" t="str">
        <f>if('Ingest Template'!A303="Standard",'Ingest Template'!N303&amp; "|DAR|DAR|2021-01-01",'Ingest Template'!N303&amp; "|Operations - Core Title|Operations - Core Title")</f>
        <v>#N/A</v>
      </c>
      <c r="AK303" s="53" t="str">
        <f>if('Ingest Template'!A303="Standard",'Ingest Template'!R303&amp; "|2021-01-01",'Ingest Template'!R303)</f>
        <v>#N/A</v>
      </c>
      <c r="AL303" s="21"/>
      <c r="AM303" s="21"/>
    </row>
    <row r="304">
      <c r="A304" s="21"/>
      <c r="B304" s="21" t="str">
        <f>'Ingest Template'!B304&amp;IF('Ingest Template'!A304 = "Standard", " - DAR","")</f>
        <v/>
      </c>
      <c r="C304" s="26" t="s">
        <v>109</v>
      </c>
      <c r="D304" s="29" t="str">
        <f t="array" ref="D304">CONCATENATE(INDEX(DropDown!$H$2:$H$10,MATCH(1,COUNTIF('Ingest Template'!F304,"*"&amp;DropDown!$H$2:$H$10&amp;"*"),0)),CHAR(10),'Ingest Template'!G304)</f>
        <v>#N/A</v>
      </c>
      <c r="E304" s="21" t="str">
        <f>CONCATENATE('Ingest Template'!H304,CHAR(10),'Ingest Template'!I304,CHAR(10),'Ingest Template'!J304)</f>
        <v>
</v>
      </c>
      <c r="F304" s="26" t="str">
        <f>'Ingest Template'!H304</f>
        <v/>
      </c>
      <c r="G304" s="21"/>
      <c r="H304" s="29"/>
      <c r="I304" s="21"/>
      <c r="J304" s="29" t="str">
        <f t="array" ref="J304">iF('Ingest Template'!A304="Standard","Pristine Brand",INDEX(DropDown!$M$2:$M$392,MATCH('Ingest Template'!E304,DropDown!$J$2:$J$392,0)))</f>
        <v>#N/A</v>
      </c>
      <c r="K304" s="21" t="str">
        <f>iF('Ingest Template'!A304="Standard",'Ingest Template'!K304&amp;CHAR(10)&amp;'Ingest Template'!L304,"Competitive View")</f>
        <v>Competitive View</v>
      </c>
      <c r="L304" s="29" t="s">
        <v>146</v>
      </c>
      <c r="M304" s="37" t="str">
        <f>'Ingest Template'!D304</f>
        <v/>
      </c>
      <c r="N304" s="21"/>
      <c r="O304" s="21"/>
      <c r="P304" s="21"/>
      <c r="Q304" s="21"/>
      <c r="R304" s="21" t="str">
        <f>'Ingest Template'!E304</f>
        <v/>
      </c>
      <c r="S304" s="29" t="s">
        <v>153</v>
      </c>
      <c r="T304" s="21" t="str">
        <f>'Ingest Template'!T304</f>
        <v/>
      </c>
      <c r="U304" s="21" t="str">
        <f>'Ingest Template'!S304</f>
        <v/>
      </c>
      <c r="V304" s="21" t="str">
        <f>LOWER(SUBSTITUTE(SUBSTITUTE(SUBSTITUTE(SUBSTITUTE(SUBSTITUTE('Ingest Template'!U304,"https:",""),"www.",""),"/",""),"?hl=en",""),"instagram.com",""))</f>
        <v/>
      </c>
      <c r="W304" s="41" t="str">
        <f t="array" ref="W304">IF('Ingest Template'!V304="",(INDEX(DropDown!$L$2:$L$392,MATCH('Ingest Template'!E304,DropDown!$J$2:$J$392,0))&amp;"|"&amp;'Ingest Template'!B304),(INDEX(DropDown!$L$2:$L$392,MATCH('Ingest Template'!E304,DropDown!$J$2:$J$392,0))&amp;"|"&amp;'Ingest Template'!B304)&amp;CHAR(10)&amp;'Ingest Template'!V304)</f>
        <v>#N/A</v>
      </c>
      <c r="X304" s="41" t="str">
        <f>'Ingest Template'!W304</f>
        <v/>
      </c>
      <c r="Y304" s="21" t="str">
        <f>SUBSTITUTE(SUBSTITUTE(SUBSTITUTE('Ingest Template'!X304,"http:",""),"https:",""),"/","")</f>
        <v/>
      </c>
      <c r="Z304" s="21" t="str">
        <f t="array" ref="Z304">IF('Ingest Template'!A304="Standard",(IF(ISBLANK('Ingest Template'!AA304),"", 'Ingest Template'!AA304&amp;"|DAR")),(IF(ISBLANK('Ingest Template'!AA304),"", 'Ingest Template'!AA304&amp;"|Film Ops")))</f>
        <v/>
      </c>
      <c r="AA304" s="21"/>
      <c r="AB304" s="21" t="str">
        <f>'Ingest Template'!M304</f>
        <v/>
      </c>
      <c r="AC304" s="21" t="str">
        <f>'Ingest Template'!Y304</f>
        <v/>
      </c>
      <c r="AD304" s="21" t="str">
        <f>'Ingest Template'!C304</f>
        <v/>
      </c>
      <c r="AE304" s="21" t="str">
        <f>'Ingest Template'!Z304</f>
        <v/>
      </c>
      <c r="AF304" s="29"/>
      <c r="AG304" s="21" t="str">
        <f t="array" ref="AG304">IF('Ingest Template'!A304="Standard",(CONCATENATE(IF(ISBLANK('Ingest Template'!O304),"", 'Ingest Template'!O304&amp;"|DAR"),CHAR(10), IF(ISBLANK('Ingest Template'!P304),"", 'Ingest Template'!P304&amp;"|DAR"),CHAR(10), IF(ISBLANK('Ingest Template'!Q304),"", 'Ingest Template'!Q304&amp;"|DAR"))),(CONCATENATE(IF(ISBLANK('Ingest Template'!O304),"", 'Ingest Template'!O304&amp;"|Operations - Core Title"),CHAR(10), IF(ISBLANK('Ingest Template'!P304),"", 'Ingest Template'!P304&amp;"|Operations - Core Title"),CHAR(10), IF(ISBLANK('Ingest Template'!Q304),"", 'Ingest Template'!Q304&amp;"|Operations - Core Title"))))</f>
        <v>#|Operations - Core Title
#|Operations - Core Title
</v>
      </c>
      <c r="AH304" s="21"/>
      <c r="AI304" s="21"/>
      <c r="AJ304" s="53" t="str">
        <f>if('Ingest Template'!A304="Standard",'Ingest Template'!N304&amp; "|DAR|DAR|2021-01-01",'Ingest Template'!N304&amp; "|Operations - Core Title|Operations - Core Title")</f>
        <v>#N/A</v>
      </c>
      <c r="AK304" s="53" t="str">
        <f>if('Ingest Template'!A304="Standard",'Ingest Template'!R304&amp; "|2021-01-01",'Ingest Template'!R304)</f>
        <v>#N/A</v>
      </c>
      <c r="AL304" s="21"/>
      <c r="AM304" s="21"/>
    </row>
    <row r="305">
      <c r="A305" s="21"/>
      <c r="B305" s="21" t="str">
        <f>'Ingest Template'!B305&amp;IF('Ingest Template'!A305 = "Standard", " - DAR","")</f>
        <v/>
      </c>
      <c r="C305" s="26" t="s">
        <v>109</v>
      </c>
      <c r="D305" s="29" t="str">
        <f t="array" ref="D305">CONCATENATE(INDEX(DropDown!$H$2:$H$10,MATCH(1,COUNTIF('Ingest Template'!F305,"*"&amp;DropDown!$H$2:$H$10&amp;"*"),0)),CHAR(10),'Ingest Template'!G305)</f>
        <v>#N/A</v>
      </c>
      <c r="E305" s="21" t="str">
        <f>CONCATENATE('Ingest Template'!H305,CHAR(10),'Ingest Template'!I305,CHAR(10),'Ingest Template'!J305)</f>
        <v>
</v>
      </c>
      <c r="F305" s="26" t="str">
        <f>'Ingest Template'!H305</f>
        <v/>
      </c>
      <c r="G305" s="21"/>
      <c r="H305" s="29"/>
      <c r="I305" s="21"/>
      <c r="J305" s="29" t="str">
        <f t="array" ref="J305">iF('Ingest Template'!A305="Standard","Pristine Brand",INDEX(DropDown!$M$2:$M$392,MATCH('Ingest Template'!E305,DropDown!$J$2:$J$392,0)))</f>
        <v>#N/A</v>
      </c>
      <c r="K305" s="21" t="str">
        <f>iF('Ingest Template'!A305="Standard",'Ingest Template'!K305&amp;CHAR(10)&amp;'Ingest Template'!L305,"Competitive View")</f>
        <v>Competitive View</v>
      </c>
      <c r="L305" s="29" t="s">
        <v>146</v>
      </c>
      <c r="M305" s="37" t="str">
        <f>'Ingest Template'!D305</f>
        <v/>
      </c>
      <c r="N305" s="21"/>
      <c r="O305" s="21"/>
      <c r="P305" s="21"/>
      <c r="Q305" s="21"/>
      <c r="R305" s="21" t="str">
        <f>'Ingest Template'!E305</f>
        <v/>
      </c>
      <c r="S305" s="29" t="s">
        <v>153</v>
      </c>
      <c r="T305" s="21" t="str">
        <f>'Ingest Template'!T305</f>
        <v/>
      </c>
      <c r="U305" s="21" t="str">
        <f>'Ingest Template'!S305</f>
        <v/>
      </c>
      <c r="V305" s="21" t="str">
        <f>LOWER(SUBSTITUTE(SUBSTITUTE(SUBSTITUTE(SUBSTITUTE(SUBSTITUTE('Ingest Template'!U305,"https:",""),"www.",""),"/",""),"?hl=en",""),"instagram.com",""))</f>
        <v/>
      </c>
      <c r="W305" s="41" t="str">
        <f t="array" ref="W305">IF('Ingest Template'!V305="",(INDEX(DropDown!$L$2:$L$392,MATCH('Ingest Template'!E305,DropDown!$J$2:$J$392,0))&amp;"|"&amp;'Ingest Template'!B305),(INDEX(DropDown!$L$2:$L$392,MATCH('Ingest Template'!E305,DropDown!$J$2:$J$392,0))&amp;"|"&amp;'Ingest Template'!B305)&amp;CHAR(10)&amp;'Ingest Template'!V305)</f>
        <v>#N/A</v>
      </c>
      <c r="X305" s="41" t="str">
        <f>'Ingest Template'!W305</f>
        <v/>
      </c>
      <c r="Y305" s="21" t="str">
        <f>SUBSTITUTE(SUBSTITUTE(SUBSTITUTE('Ingest Template'!X305,"http:",""),"https:",""),"/","")</f>
        <v/>
      </c>
      <c r="Z305" s="21" t="str">
        <f t="array" ref="Z305">IF('Ingest Template'!A305="Standard",(IF(ISBLANK('Ingest Template'!AA305),"", 'Ingest Template'!AA305&amp;"|DAR")),(IF(ISBLANK('Ingest Template'!AA305),"", 'Ingest Template'!AA305&amp;"|Film Ops")))</f>
        <v/>
      </c>
      <c r="AA305" s="21"/>
      <c r="AB305" s="21" t="str">
        <f>'Ingest Template'!M305</f>
        <v/>
      </c>
      <c r="AC305" s="21" t="str">
        <f>'Ingest Template'!Y305</f>
        <v/>
      </c>
      <c r="AD305" s="21" t="str">
        <f>'Ingest Template'!C305</f>
        <v/>
      </c>
      <c r="AE305" s="21" t="str">
        <f>'Ingest Template'!Z305</f>
        <v/>
      </c>
      <c r="AF305" s="29"/>
      <c r="AG305" s="21" t="str">
        <f t="array" ref="AG305">IF('Ingest Template'!A305="Standard",(CONCATENATE(IF(ISBLANK('Ingest Template'!O305),"", 'Ingest Template'!O305&amp;"|DAR"),CHAR(10), IF(ISBLANK('Ingest Template'!P305),"", 'Ingest Template'!P305&amp;"|DAR"),CHAR(10), IF(ISBLANK('Ingest Template'!Q305),"", 'Ingest Template'!Q305&amp;"|DAR"))),(CONCATENATE(IF(ISBLANK('Ingest Template'!O305),"", 'Ingest Template'!O305&amp;"|Operations - Core Title"),CHAR(10), IF(ISBLANK('Ingest Template'!P305),"", 'Ingest Template'!P305&amp;"|Operations - Core Title"),CHAR(10), IF(ISBLANK('Ingest Template'!Q305),"", 'Ingest Template'!Q305&amp;"|Operations - Core Title"))))</f>
        <v>#|Operations - Core Title
#|Operations - Core Title
</v>
      </c>
      <c r="AH305" s="21"/>
      <c r="AI305" s="21"/>
      <c r="AJ305" s="53" t="str">
        <f>if('Ingest Template'!A305="Standard",'Ingest Template'!N305&amp; "|DAR|DAR|2021-01-01",'Ingest Template'!N305&amp; "|Operations - Core Title|Operations - Core Title")</f>
        <v>#N/A</v>
      </c>
      <c r="AK305" s="53" t="str">
        <f>if('Ingest Template'!A305="Standard",'Ingest Template'!R305&amp; "|2021-01-01",'Ingest Template'!R305)</f>
        <v>#N/A</v>
      </c>
      <c r="AL305" s="21"/>
      <c r="AM305" s="21"/>
    </row>
    <row r="306">
      <c r="A306" s="21"/>
      <c r="B306" s="21" t="str">
        <f>'Ingest Template'!B306&amp;IF('Ingest Template'!A306 = "Standard", " - DAR","")</f>
        <v/>
      </c>
      <c r="C306" s="26" t="s">
        <v>109</v>
      </c>
      <c r="D306" s="29" t="str">
        <f t="array" ref="D306">CONCATENATE(INDEX(DropDown!$H$2:$H$10,MATCH(1,COUNTIF('Ingest Template'!F306,"*"&amp;DropDown!$H$2:$H$10&amp;"*"),0)),CHAR(10),'Ingest Template'!G306)</f>
        <v>#N/A</v>
      </c>
      <c r="E306" s="21" t="str">
        <f>CONCATENATE('Ingest Template'!H306,CHAR(10),'Ingest Template'!I306,CHAR(10),'Ingest Template'!J306)</f>
        <v>
</v>
      </c>
      <c r="F306" s="26" t="str">
        <f>'Ingest Template'!H306</f>
        <v/>
      </c>
      <c r="G306" s="21"/>
      <c r="H306" s="29"/>
      <c r="I306" s="21"/>
      <c r="J306" s="29" t="str">
        <f t="array" ref="J306">iF('Ingest Template'!A306="Standard","Pristine Brand",INDEX(DropDown!$M$2:$M$392,MATCH('Ingest Template'!E306,DropDown!$J$2:$J$392,0)))</f>
        <v>#N/A</v>
      </c>
      <c r="K306" s="21" t="str">
        <f>iF('Ingest Template'!A306="Standard",'Ingest Template'!K306&amp;CHAR(10)&amp;'Ingest Template'!L306,"Competitive View")</f>
        <v>Competitive View</v>
      </c>
      <c r="L306" s="29" t="s">
        <v>146</v>
      </c>
      <c r="M306" s="37" t="str">
        <f>'Ingest Template'!D306</f>
        <v/>
      </c>
      <c r="N306" s="21"/>
      <c r="O306" s="21"/>
      <c r="P306" s="21"/>
      <c r="Q306" s="21"/>
      <c r="R306" s="21" t="str">
        <f>'Ingest Template'!E306</f>
        <v/>
      </c>
      <c r="S306" s="29" t="s">
        <v>153</v>
      </c>
      <c r="T306" s="21" t="str">
        <f>'Ingest Template'!T306</f>
        <v/>
      </c>
      <c r="U306" s="21" t="str">
        <f>'Ingest Template'!S306</f>
        <v/>
      </c>
      <c r="V306" s="21" t="str">
        <f>LOWER(SUBSTITUTE(SUBSTITUTE(SUBSTITUTE(SUBSTITUTE(SUBSTITUTE('Ingest Template'!U306,"https:",""),"www.",""),"/",""),"?hl=en",""),"instagram.com",""))</f>
        <v/>
      </c>
      <c r="W306" s="41" t="str">
        <f t="array" ref="W306">IF('Ingest Template'!V306="",(INDEX(DropDown!$L$2:$L$392,MATCH('Ingest Template'!E306,DropDown!$J$2:$J$392,0))&amp;"|"&amp;'Ingest Template'!B306),(INDEX(DropDown!$L$2:$L$392,MATCH('Ingest Template'!E306,DropDown!$J$2:$J$392,0))&amp;"|"&amp;'Ingest Template'!B306)&amp;CHAR(10)&amp;'Ingest Template'!V306)</f>
        <v>#N/A</v>
      </c>
      <c r="X306" s="41" t="str">
        <f>'Ingest Template'!W306</f>
        <v/>
      </c>
      <c r="Y306" s="21" t="str">
        <f>SUBSTITUTE(SUBSTITUTE(SUBSTITUTE('Ingest Template'!X306,"http:",""),"https:",""),"/","")</f>
        <v/>
      </c>
      <c r="Z306" s="21" t="str">
        <f t="array" ref="Z306">IF('Ingest Template'!A306="Standard",(IF(ISBLANK('Ingest Template'!AA306),"", 'Ingest Template'!AA306&amp;"|DAR")),(IF(ISBLANK('Ingest Template'!AA306),"", 'Ingest Template'!AA306&amp;"|Film Ops")))</f>
        <v/>
      </c>
      <c r="AA306" s="21"/>
      <c r="AB306" s="21" t="str">
        <f>'Ingest Template'!M306</f>
        <v/>
      </c>
      <c r="AC306" s="21" t="str">
        <f>'Ingest Template'!Y306</f>
        <v/>
      </c>
      <c r="AD306" s="21" t="str">
        <f>'Ingest Template'!C306</f>
        <v/>
      </c>
      <c r="AE306" s="21" t="str">
        <f>'Ingest Template'!Z306</f>
        <v/>
      </c>
      <c r="AF306" s="29"/>
      <c r="AG306" s="21" t="str">
        <f t="array" ref="AG306">IF('Ingest Template'!A306="Standard",(CONCATENATE(IF(ISBLANK('Ingest Template'!O306),"", 'Ingest Template'!O306&amp;"|DAR"),CHAR(10), IF(ISBLANK('Ingest Template'!P306),"", 'Ingest Template'!P306&amp;"|DAR"),CHAR(10), IF(ISBLANK('Ingest Template'!Q306),"", 'Ingest Template'!Q306&amp;"|DAR"))),(CONCATENATE(IF(ISBLANK('Ingest Template'!O306),"", 'Ingest Template'!O306&amp;"|Operations - Core Title"),CHAR(10), IF(ISBLANK('Ingest Template'!P306),"", 'Ingest Template'!P306&amp;"|Operations - Core Title"),CHAR(10), IF(ISBLANK('Ingest Template'!Q306),"", 'Ingest Template'!Q306&amp;"|Operations - Core Title"))))</f>
        <v>#|Operations - Core Title
#|Operations - Core Title
</v>
      </c>
      <c r="AH306" s="21"/>
      <c r="AI306" s="21"/>
      <c r="AJ306" s="53" t="str">
        <f>if('Ingest Template'!A306="Standard",'Ingest Template'!N306&amp; "|DAR|DAR|2021-01-01",'Ingest Template'!N306&amp; "|Operations - Core Title|Operations - Core Title")</f>
        <v>#N/A</v>
      </c>
      <c r="AK306" s="53" t="str">
        <f>if('Ingest Template'!A306="Standard",'Ingest Template'!R306&amp; "|2021-01-01",'Ingest Template'!R306)</f>
        <v>#N/A</v>
      </c>
      <c r="AL306" s="21"/>
      <c r="AM306" s="21"/>
    </row>
    <row r="307">
      <c r="A307" s="21"/>
      <c r="B307" s="21" t="str">
        <f>'Ingest Template'!B307&amp;IF('Ingest Template'!A307 = "Standard", " - DAR","")</f>
        <v/>
      </c>
      <c r="C307" s="26" t="s">
        <v>109</v>
      </c>
      <c r="D307" s="29" t="str">
        <f t="array" ref="D307">CONCATENATE(INDEX(DropDown!$H$2:$H$10,MATCH(1,COUNTIF('Ingest Template'!F307,"*"&amp;DropDown!$H$2:$H$10&amp;"*"),0)),CHAR(10),'Ingest Template'!G307)</f>
        <v>#N/A</v>
      </c>
      <c r="E307" s="21" t="str">
        <f>CONCATENATE('Ingest Template'!H307,CHAR(10),'Ingest Template'!I307,CHAR(10),'Ingest Template'!J307)</f>
        <v>
</v>
      </c>
      <c r="F307" s="26" t="str">
        <f>'Ingest Template'!H307</f>
        <v/>
      </c>
      <c r="G307" s="21"/>
      <c r="H307" s="29"/>
      <c r="I307" s="21"/>
      <c r="J307" s="29" t="str">
        <f t="array" ref="J307">iF('Ingest Template'!A307="Standard","Pristine Brand",INDEX(DropDown!$M$2:$M$392,MATCH('Ingest Template'!E307,DropDown!$J$2:$J$392,0)))</f>
        <v>#N/A</v>
      </c>
      <c r="K307" s="21" t="str">
        <f>iF('Ingest Template'!A307="Standard",'Ingest Template'!K307&amp;CHAR(10)&amp;'Ingest Template'!L307,"Competitive View")</f>
        <v>Competitive View</v>
      </c>
      <c r="L307" s="29" t="s">
        <v>146</v>
      </c>
      <c r="M307" s="37" t="str">
        <f>'Ingest Template'!D307</f>
        <v/>
      </c>
      <c r="N307" s="21"/>
      <c r="O307" s="21"/>
      <c r="P307" s="21"/>
      <c r="Q307" s="21"/>
      <c r="R307" s="21" t="str">
        <f>'Ingest Template'!E307</f>
        <v/>
      </c>
      <c r="S307" s="29" t="s">
        <v>153</v>
      </c>
      <c r="T307" s="21" t="str">
        <f>'Ingest Template'!T307</f>
        <v/>
      </c>
      <c r="U307" s="21" t="str">
        <f>'Ingest Template'!S307</f>
        <v/>
      </c>
      <c r="V307" s="21" t="str">
        <f>LOWER(SUBSTITUTE(SUBSTITUTE(SUBSTITUTE(SUBSTITUTE(SUBSTITUTE('Ingest Template'!U307,"https:",""),"www.",""),"/",""),"?hl=en",""),"instagram.com",""))</f>
        <v/>
      </c>
      <c r="W307" s="41" t="str">
        <f t="array" ref="W307">IF('Ingest Template'!V307="",(INDEX(DropDown!$L$2:$L$392,MATCH('Ingest Template'!E307,DropDown!$J$2:$J$392,0))&amp;"|"&amp;'Ingest Template'!B307),(INDEX(DropDown!$L$2:$L$392,MATCH('Ingest Template'!E307,DropDown!$J$2:$J$392,0))&amp;"|"&amp;'Ingest Template'!B307)&amp;CHAR(10)&amp;'Ingest Template'!V307)</f>
        <v>#N/A</v>
      </c>
      <c r="X307" s="41" t="str">
        <f>'Ingest Template'!W307</f>
        <v/>
      </c>
      <c r="Y307" s="21" t="str">
        <f>SUBSTITUTE(SUBSTITUTE(SUBSTITUTE('Ingest Template'!X307,"http:",""),"https:",""),"/","")</f>
        <v/>
      </c>
      <c r="Z307" s="21" t="str">
        <f t="array" ref="Z307">IF('Ingest Template'!A307="Standard",(IF(ISBLANK('Ingest Template'!AA307),"", 'Ingest Template'!AA307&amp;"|DAR")),(IF(ISBLANK('Ingest Template'!AA307),"", 'Ingest Template'!AA307&amp;"|Film Ops")))</f>
        <v/>
      </c>
      <c r="AA307" s="21"/>
      <c r="AB307" s="21" t="str">
        <f>'Ingest Template'!M307</f>
        <v/>
      </c>
      <c r="AC307" s="21" t="str">
        <f>'Ingest Template'!Y307</f>
        <v/>
      </c>
      <c r="AD307" s="21" t="str">
        <f>'Ingest Template'!C307</f>
        <v/>
      </c>
      <c r="AE307" s="21" t="str">
        <f>'Ingest Template'!Z307</f>
        <v/>
      </c>
      <c r="AF307" s="29"/>
      <c r="AG307" s="21" t="str">
        <f t="array" ref="AG307">IF('Ingest Template'!A307="Standard",(CONCATENATE(IF(ISBLANK('Ingest Template'!O307),"", 'Ingest Template'!O307&amp;"|DAR"),CHAR(10), IF(ISBLANK('Ingest Template'!P307),"", 'Ingest Template'!P307&amp;"|DAR"),CHAR(10), IF(ISBLANK('Ingest Template'!Q307),"", 'Ingest Template'!Q307&amp;"|DAR"))),(CONCATENATE(IF(ISBLANK('Ingest Template'!O307),"", 'Ingest Template'!O307&amp;"|Operations - Core Title"),CHAR(10), IF(ISBLANK('Ingest Template'!P307),"", 'Ingest Template'!P307&amp;"|Operations - Core Title"),CHAR(10), IF(ISBLANK('Ingest Template'!Q307),"", 'Ingest Template'!Q307&amp;"|Operations - Core Title"))))</f>
        <v>#|Operations - Core Title
#|Operations - Core Title
</v>
      </c>
      <c r="AH307" s="21"/>
      <c r="AI307" s="21"/>
      <c r="AJ307" s="53" t="str">
        <f>if('Ingest Template'!A307="Standard",'Ingest Template'!N307&amp; "|DAR|DAR|2021-01-01",'Ingest Template'!N307&amp; "|Operations - Core Title|Operations - Core Title")</f>
        <v>#N/A</v>
      </c>
      <c r="AK307" s="53" t="str">
        <f>if('Ingest Template'!A307="Standard",'Ingest Template'!R307&amp; "|2021-01-01",'Ingest Template'!R307)</f>
        <v>#N/A</v>
      </c>
      <c r="AL307" s="21"/>
      <c r="AM307" s="21"/>
    </row>
    <row r="308">
      <c r="A308" s="21"/>
      <c r="B308" s="21" t="str">
        <f>'Ingest Template'!B308&amp;IF('Ingest Template'!A308 = "Standard", " - DAR","")</f>
        <v/>
      </c>
      <c r="C308" s="26" t="s">
        <v>109</v>
      </c>
      <c r="D308" s="29" t="str">
        <f t="array" ref="D308">CONCATENATE(INDEX(DropDown!$H$2:$H$10,MATCH(1,COUNTIF('Ingest Template'!F308,"*"&amp;DropDown!$H$2:$H$10&amp;"*"),0)),CHAR(10),'Ingest Template'!G308)</f>
        <v>#N/A</v>
      </c>
      <c r="E308" s="21" t="str">
        <f>CONCATENATE('Ingest Template'!H308,CHAR(10),'Ingest Template'!I308,CHAR(10),'Ingest Template'!J308)</f>
        <v>
</v>
      </c>
      <c r="F308" s="26" t="str">
        <f>'Ingest Template'!H308</f>
        <v/>
      </c>
      <c r="G308" s="21"/>
      <c r="H308" s="29"/>
      <c r="I308" s="21"/>
      <c r="J308" s="29" t="str">
        <f t="array" ref="J308">iF('Ingest Template'!A308="Standard","Pristine Brand",INDEX(DropDown!$M$2:$M$392,MATCH('Ingest Template'!E308,DropDown!$J$2:$J$392,0)))</f>
        <v>#N/A</v>
      </c>
      <c r="K308" s="21" t="str">
        <f>iF('Ingest Template'!A308="Standard",'Ingest Template'!K308&amp;CHAR(10)&amp;'Ingest Template'!L308,"Competitive View")</f>
        <v>Competitive View</v>
      </c>
      <c r="L308" s="29" t="s">
        <v>146</v>
      </c>
      <c r="M308" s="37" t="str">
        <f>'Ingest Template'!D308</f>
        <v/>
      </c>
      <c r="N308" s="21"/>
      <c r="O308" s="21"/>
      <c r="P308" s="21"/>
      <c r="Q308" s="21"/>
      <c r="R308" s="21" t="str">
        <f>'Ingest Template'!E308</f>
        <v/>
      </c>
      <c r="S308" s="29" t="s">
        <v>153</v>
      </c>
      <c r="T308" s="21" t="str">
        <f>'Ingest Template'!T308</f>
        <v/>
      </c>
      <c r="U308" s="21" t="str">
        <f>'Ingest Template'!S308</f>
        <v/>
      </c>
      <c r="V308" s="21" t="str">
        <f>LOWER(SUBSTITUTE(SUBSTITUTE(SUBSTITUTE(SUBSTITUTE(SUBSTITUTE('Ingest Template'!U308,"https:",""),"www.",""),"/",""),"?hl=en",""),"instagram.com",""))</f>
        <v/>
      </c>
      <c r="W308" s="41" t="str">
        <f t="array" ref="W308">IF('Ingest Template'!V308="",(INDEX(DropDown!$L$2:$L$392,MATCH('Ingest Template'!E308,DropDown!$J$2:$J$392,0))&amp;"|"&amp;'Ingest Template'!B308),(INDEX(DropDown!$L$2:$L$392,MATCH('Ingest Template'!E308,DropDown!$J$2:$J$392,0))&amp;"|"&amp;'Ingest Template'!B308)&amp;CHAR(10)&amp;'Ingest Template'!V308)</f>
        <v>#N/A</v>
      </c>
      <c r="X308" s="41" t="str">
        <f>'Ingest Template'!W308</f>
        <v/>
      </c>
      <c r="Y308" s="21" t="str">
        <f>SUBSTITUTE(SUBSTITUTE(SUBSTITUTE('Ingest Template'!X308,"http:",""),"https:",""),"/","")</f>
        <v/>
      </c>
      <c r="Z308" s="21" t="str">
        <f t="array" ref="Z308">IF('Ingest Template'!A308="Standard",(IF(ISBLANK('Ingest Template'!AA308),"", 'Ingest Template'!AA308&amp;"|DAR")),(IF(ISBLANK('Ingest Template'!AA308),"", 'Ingest Template'!AA308&amp;"|Film Ops")))</f>
        <v/>
      </c>
      <c r="AA308" s="21"/>
      <c r="AB308" s="21" t="str">
        <f>'Ingest Template'!M308</f>
        <v/>
      </c>
      <c r="AC308" s="21" t="str">
        <f>'Ingest Template'!Y308</f>
        <v/>
      </c>
      <c r="AD308" s="21" t="str">
        <f>'Ingest Template'!C308</f>
        <v/>
      </c>
      <c r="AE308" s="21" t="str">
        <f>'Ingest Template'!Z308</f>
        <v/>
      </c>
      <c r="AF308" s="29"/>
      <c r="AG308" s="21" t="str">
        <f t="array" ref="AG308">IF('Ingest Template'!A308="Standard",(CONCATENATE(IF(ISBLANK('Ingest Template'!O308),"", 'Ingest Template'!O308&amp;"|DAR"),CHAR(10), IF(ISBLANK('Ingest Template'!P308),"", 'Ingest Template'!P308&amp;"|DAR"),CHAR(10), IF(ISBLANK('Ingest Template'!Q308),"", 'Ingest Template'!Q308&amp;"|DAR"))),(CONCATENATE(IF(ISBLANK('Ingest Template'!O308),"", 'Ingest Template'!O308&amp;"|Operations - Core Title"),CHAR(10), IF(ISBLANK('Ingest Template'!P308),"", 'Ingest Template'!P308&amp;"|Operations - Core Title"),CHAR(10), IF(ISBLANK('Ingest Template'!Q308),"", 'Ingest Template'!Q308&amp;"|Operations - Core Title"))))</f>
        <v>#|Operations - Core Title
#|Operations - Core Title
</v>
      </c>
      <c r="AH308" s="21"/>
      <c r="AI308" s="21"/>
      <c r="AJ308" s="53" t="str">
        <f>if('Ingest Template'!A308="Standard",'Ingest Template'!N308&amp; "|DAR|DAR|2021-01-01",'Ingest Template'!N308&amp; "|Operations - Core Title|Operations - Core Title")</f>
        <v>#N/A</v>
      </c>
      <c r="AK308" s="53" t="str">
        <f>if('Ingest Template'!A308="Standard",'Ingest Template'!R308&amp; "|2021-01-01",'Ingest Template'!R308)</f>
        <v>#N/A</v>
      </c>
      <c r="AL308" s="21"/>
      <c r="AM308" s="21"/>
    </row>
    <row r="309">
      <c r="A309" s="21"/>
      <c r="B309" s="21" t="str">
        <f>'Ingest Template'!B309&amp;IF('Ingest Template'!A309 = "Standard", " - DAR","")</f>
        <v/>
      </c>
      <c r="C309" s="26" t="s">
        <v>109</v>
      </c>
      <c r="D309" s="29" t="str">
        <f t="array" ref="D309">CONCATENATE(INDEX(DropDown!$H$2:$H$10,MATCH(1,COUNTIF('Ingest Template'!F309,"*"&amp;DropDown!$H$2:$H$10&amp;"*"),0)),CHAR(10),'Ingest Template'!G309)</f>
        <v>#N/A</v>
      </c>
      <c r="E309" s="21" t="str">
        <f>CONCATENATE('Ingest Template'!H309,CHAR(10),'Ingest Template'!I309,CHAR(10),'Ingest Template'!J309)</f>
        <v>
</v>
      </c>
      <c r="F309" s="26" t="str">
        <f>'Ingest Template'!H309</f>
        <v/>
      </c>
      <c r="G309" s="21"/>
      <c r="H309" s="29"/>
      <c r="I309" s="21"/>
      <c r="J309" s="29" t="str">
        <f t="array" ref="J309">iF('Ingest Template'!A309="Standard","Pristine Brand",INDEX(DropDown!$M$2:$M$392,MATCH('Ingest Template'!E309,DropDown!$J$2:$J$392,0)))</f>
        <v>#N/A</v>
      </c>
      <c r="K309" s="21" t="str">
        <f>iF('Ingest Template'!A309="Standard",'Ingest Template'!K309&amp;CHAR(10)&amp;'Ingest Template'!L309,"Competitive View")</f>
        <v>Competitive View</v>
      </c>
      <c r="L309" s="29" t="s">
        <v>146</v>
      </c>
      <c r="M309" s="37" t="str">
        <f>'Ingest Template'!D309</f>
        <v/>
      </c>
      <c r="N309" s="21"/>
      <c r="O309" s="21"/>
      <c r="P309" s="21"/>
      <c r="Q309" s="21"/>
      <c r="R309" s="21" t="str">
        <f>'Ingest Template'!E309</f>
        <v/>
      </c>
      <c r="S309" s="29" t="s">
        <v>153</v>
      </c>
      <c r="T309" s="21" t="str">
        <f>'Ingest Template'!T309</f>
        <v/>
      </c>
      <c r="U309" s="21" t="str">
        <f>'Ingest Template'!S309</f>
        <v/>
      </c>
      <c r="V309" s="21" t="str">
        <f>LOWER(SUBSTITUTE(SUBSTITUTE(SUBSTITUTE(SUBSTITUTE(SUBSTITUTE('Ingest Template'!U309,"https:",""),"www.",""),"/",""),"?hl=en",""),"instagram.com",""))</f>
        <v/>
      </c>
      <c r="W309" s="41" t="str">
        <f t="array" ref="W309">IF('Ingest Template'!V309="",(INDEX(DropDown!$L$2:$L$392,MATCH('Ingest Template'!E309,DropDown!$J$2:$J$392,0))&amp;"|"&amp;'Ingest Template'!B309),(INDEX(DropDown!$L$2:$L$392,MATCH('Ingest Template'!E309,DropDown!$J$2:$J$392,0))&amp;"|"&amp;'Ingest Template'!B309)&amp;CHAR(10)&amp;'Ingest Template'!V309)</f>
        <v>#N/A</v>
      </c>
      <c r="X309" s="41" t="str">
        <f>'Ingest Template'!W309</f>
        <v/>
      </c>
      <c r="Y309" s="21" t="str">
        <f>SUBSTITUTE(SUBSTITUTE(SUBSTITUTE('Ingest Template'!X309,"http:",""),"https:",""),"/","")</f>
        <v/>
      </c>
      <c r="Z309" s="21" t="str">
        <f t="array" ref="Z309">IF('Ingest Template'!A309="Standard",(IF(ISBLANK('Ingest Template'!AA309),"", 'Ingest Template'!AA309&amp;"|DAR")),(IF(ISBLANK('Ingest Template'!AA309),"", 'Ingest Template'!AA309&amp;"|Film Ops")))</f>
        <v/>
      </c>
      <c r="AA309" s="21"/>
      <c r="AB309" s="21" t="str">
        <f>'Ingest Template'!M309</f>
        <v/>
      </c>
      <c r="AC309" s="21" t="str">
        <f>'Ingest Template'!Y309</f>
        <v/>
      </c>
      <c r="AD309" s="21" t="str">
        <f>'Ingest Template'!C309</f>
        <v/>
      </c>
      <c r="AE309" s="21" t="str">
        <f>'Ingest Template'!Z309</f>
        <v/>
      </c>
      <c r="AF309" s="29"/>
      <c r="AG309" s="21" t="str">
        <f t="array" ref="AG309">IF('Ingest Template'!A309="Standard",(CONCATENATE(IF(ISBLANK('Ingest Template'!O309),"", 'Ingest Template'!O309&amp;"|DAR"),CHAR(10), IF(ISBLANK('Ingest Template'!P309),"", 'Ingest Template'!P309&amp;"|DAR"),CHAR(10), IF(ISBLANK('Ingest Template'!Q309),"", 'Ingest Template'!Q309&amp;"|DAR"))),(CONCATENATE(IF(ISBLANK('Ingest Template'!O309),"", 'Ingest Template'!O309&amp;"|Operations - Core Title"),CHAR(10), IF(ISBLANK('Ingest Template'!P309),"", 'Ingest Template'!P309&amp;"|Operations - Core Title"),CHAR(10), IF(ISBLANK('Ingest Template'!Q309),"", 'Ingest Template'!Q309&amp;"|Operations - Core Title"))))</f>
        <v>#|Operations - Core Title
#|Operations - Core Title
</v>
      </c>
      <c r="AH309" s="21"/>
      <c r="AI309" s="21"/>
      <c r="AJ309" s="53" t="str">
        <f>if('Ingest Template'!A309="Standard",'Ingest Template'!N309&amp; "|DAR|DAR|2021-01-01",'Ingest Template'!N309&amp; "|Operations - Core Title|Operations - Core Title")</f>
        <v>#N/A</v>
      </c>
      <c r="AK309" s="53" t="str">
        <f>if('Ingest Template'!A309="Standard",'Ingest Template'!R309&amp; "|2021-01-01",'Ingest Template'!R309)</f>
        <v>#N/A</v>
      </c>
      <c r="AL309" s="21"/>
      <c r="AM309" s="21"/>
    </row>
    <row r="310">
      <c r="A310" s="21"/>
      <c r="B310" s="21" t="str">
        <f>'Ingest Template'!B310&amp;IF('Ingest Template'!A310 = "Standard", " - DAR","")</f>
        <v/>
      </c>
      <c r="C310" s="26" t="s">
        <v>109</v>
      </c>
      <c r="D310" s="29" t="str">
        <f t="array" ref="D310">CONCATENATE(INDEX(DropDown!$H$2:$H$10,MATCH(1,COUNTIF('Ingest Template'!F310,"*"&amp;DropDown!$H$2:$H$10&amp;"*"),0)),CHAR(10),'Ingest Template'!G310)</f>
        <v>#N/A</v>
      </c>
      <c r="E310" s="21" t="str">
        <f>CONCATENATE('Ingest Template'!H310,CHAR(10),'Ingest Template'!I310,CHAR(10),'Ingest Template'!J310)</f>
        <v>
</v>
      </c>
      <c r="F310" s="26" t="str">
        <f>'Ingest Template'!H310</f>
        <v/>
      </c>
      <c r="G310" s="21"/>
      <c r="H310" s="29"/>
      <c r="I310" s="21"/>
      <c r="J310" s="29" t="str">
        <f t="array" ref="J310">iF('Ingest Template'!A310="Standard","Pristine Brand",INDEX(DropDown!$M$2:$M$392,MATCH('Ingest Template'!E310,DropDown!$J$2:$J$392,0)))</f>
        <v>#N/A</v>
      </c>
      <c r="K310" s="21" t="str">
        <f>iF('Ingest Template'!A310="Standard",'Ingest Template'!K310&amp;CHAR(10)&amp;'Ingest Template'!L310,"Competitive View")</f>
        <v>Competitive View</v>
      </c>
      <c r="L310" s="29" t="s">
        <v>146</v>
      </c>
      <c r="M310" s="37" t="str">
        <f>'Ingest Template'!D310</f>
        <v/>
      </c>
      <c r="N310" s="21"/>
      <c r="O310" s="21"/>
      <c r="P310" s="21"/>
      <c r="Q310" s="21"/>
      <c r="R310" s="21" t="str">
        <f>'Ingest Template'!E310</f>
        <v/>
      </c>
      <c r="S310" s="29" t="s">
        <v>153</v>
      </c>
      <c r="T310" s="21" t="str">
        <f>'Ingest Template'!T310</f>
        <v/>
      </c>
      <c r="U310" s="21" t="str">
        <f>'Ingest Template'!S310</f>
        <v/>
      </c>
      <c r="V310" s="21" t="str">
        <f>LOWER(SUBSTITUTE(SUBSTITUTE(SUBSTITUTE(SUBSTITUTE(SUBSTITUTE('Ingest Template'!U310,"https:",""),"www.",""),"/",""),"?hl=en",""),"instagram.com",""))</f>
        <v/>
      </c>
      <c r="W310" s="41" t="str">
        <f t="array" ref="W310">IF('Ingest Template'!V310="",(INDEX(DropDown!$L$2:$L$392,MATCH('Ingest Template'!E310,DropDown!$J$2:$J$392,0))&amp;"|"&amp;'Ingest Template'!B310),(INDEX(DropDown!$L$2:$L$392,MATCH('Ingest Template'!E310,DropDown!$J$2:$J$392,0))&amp;"|"&amp;'Ingest Template'!B310)&amp;CHAR(10)&amp;'Ingest Template'!V310)</f>
        <v>#N/A</v>
      </c>
      <c r="X310" s="41" t="str">
        <f>'Ingest Template'!W310</f>
        <v/>
      </c>
      <c r="Y310" s="21" t="str">
        <f>SUBSTITUTE(SUBSTITUTE(SUBSTITUTE('Ingest Template'!X310,"http:",""),"https:",""),"/","")</f>
        <v/>
      </c>
      <c r="Z310" s="21" t="str">
        <f t="array" ref="Z310">IF('Ingest Template'!A310="Standard",(IF(ISBLANK('Ingest Template'!AA310),"", 'Ingest Template'!AA310&amp;"|DAR")),(IF(ISBLANK('Ingest Template'!AA310),"", 'Ingest Template'!AA310&amp;"|Film Ops")))</f>
        <v/>
      </c>
      <c r="AA310" s="21"/>
      <c r="AB310" s="21" t="str">
        <f>'Ingest Template'!M310</f>
        <v/>
      </c>
      <c r="AC310" s="21" t="str">
        <f>'Ingest Template'!Y310</f>
        <v/>
      </c>
      <c r="AD310" s="21" t="str">
        <f>'Ingest Template'!C310</f>
        <v/>
      </c>
      <c r="AE310" s="21" t="str">
        <f>'Ingest Template'!Z310</f>
        <v/>
      </c>
      <c r="AF310" s="29"/>
      <c r="AG310" s="21" t="str">
        <f t="array" ref="AG310">IF('Ingest Template'!A310="Standard",(CONCATENATE(IF(ISBLANK('Ingest Template'!O310),"", 'Ingest Template'!O310&amp;"|DAR"),CHAR(10), IF(ISBLANK('Ingest Template'!P310),"", 'Ingest Template'!P310&amp;"|DAR"),CHAR(10), IF(ISBLANK('Ingest Template'!Q310),"", 'Ingest Template'!Q310&amp;"|DAR"))),(CONCATENATE(IF(ISBLANK('Ingest Template'!O310),"", 'Ingest Template'!O310&amp;"|Operations - Core Title"),CHAR(10), IF(ISBLANK('Ingest Template'!P310),"", 'Ingest Template'!P310&amp;"|Operations - Core Title"),CHAR(10), IF(ISBLANK('Ingest Template'!Q310),"", 'Ingest Template'!Q310&amp;"|Operations - Core Title"))))</f>
        <v>#|Operations - Core Title
#|Operations - Core Title
</v>
      </c>
      <c r="AH310" s="21"/>
      <c r="AI310" s="21"/>
      <c r="AJ310" s="53" t="str">
        <f>if('Ingest Template'!A310="Standard",'Ingest Template'!N310&amp; "|DAR|DAR|2021-01-01",'Ingest Template'!N310&amp; "|Operations - Core Title|Operations - Core Title")</f>
        <v>#N/A</v>
      </c>
      <c r="AK310" s="53" t="str">
        <f>if('Ingest Template'!A310="Standard",'Ingest Template'!R310&amp; "|2021-01-01",'Ingest Template'!R310)</f>
        <v>#N/A</v>
      </c>
      <c r="AL310" s="21"/>
      <c r="AM310" s="21"/>
    </row>
    <row r="311">
      <c r="A311" s="21"/>
      <c r="B311" s="21" t="str">
        <f>'Ingest Template'!B311&amp;IF('Ingest Template'!A311 = "Standard", " - DAR","")</f>
        <v/>
      </c>
      <c r="C311" s="26" t="s">
        <v>109</v>
      </c>
      <c r="D311" s="29" t="str">
        <f t="array" ref="D311">CONCATENATE(INDEX(DropDown!$H$2:$H$10,MATCH(1,COUNTIF('Ingest Template'!F311,"*"&amp;DropDown!$H$2:$H$10&amp;"*"),0)),CHAR(10),'Ingest Template'!G311)</f>
        <v>#N/A</v>
      </c>
      <c r="E311" s="21" t="str">
        <f>CONCATENATE('Ingest Template'!H311,CHAR(10),'Ingest Template'!I311,CHAR(10),'Ingest Template'!J311)</f>
        <v>
</v>
      </c>
      <c r="F311" s="26" t="str">
        <f>'Ingest Template'!H311</f>
        <v/>
      </c>
      <c r="G311" s="21"/>
      <c r="H311" s="29"/>
      <c r="I311" s="21"/>
      <c r="J311" s="29" t="str">
        <f t="array" ref="J311">iF('Ingest Template'!A311="Standard","Pristine Brand",INDEX(DropDown!$M$2:$M$392,MATCH('Ingest Template'!E311,DropDown!$J$2:$J$392,0)))</f>
        <v>#N/A</v>
      </c>
      <c r="K311" s="21" t="str">
        <f>iF('Ingest Template'!A311="Standard",'Ingest Template'!K311&amp;CHAR(10)&amp;'Ingest Template'!L311,"Competitive View")</f>
        <v>Competitive View</v>
      </c>
      <c r="L311" s="29" t="s">
        <v>146</v>
      </c>
      <c r="M311" s="37" t="str">
        <f>'Ingest Template'!D311</f>
        <v/>
      </c>
      <c r="N311" s="21"/>
      <c r="O311" s="21"/>
      <c r="P311" s="21"/>
      <c r="Q311" s="21"/>
      <c r="R311" s="21" t="str">
        <f>'Ingest Template'!E311</f>
        <v/>
      </c>
      <c r="S311" s="29" t="s">
        <v>153</v>
      </c>
      <c r="T311" s="21" t="str">
        <f>'Ingest Template'!T311</f>
        <v/>
      </c>
      <c r="U311" s="21" t="str">
        <f>'Ingest Template'!S311</f>
        <v/>
      </c>
      <c r="V311" s="21" t="str">
        <f>LOWER(SUBSTITUTE(SUBSTITUTE(SUBSTITUTE(SUBSTITUTE(SUBSTITUTE('Ingest Template'!U311,"https:",""),"www.",""),"/",""),"?hl=en",""),"instagram.com",""))</f>
        <v/>
      </c>
      <c r="W311" s="41" t="str">
        <f t="array" ref="W311">IF('Ingest Template'!V311="",(INDEX(DropDown!$L$2:$L$392,MATCH('Ingest Template'!E311,DropDown!$J$2:$J$392,0))&amp;"|"&amp;'Ingest Template'!B311),(INDEX(DropDown!$L$2:$L$392,MATCH('Ingest Template'!E311,DropDown!$J$2:$J$392,0))&amp;"|"&amp;'Ingest Template'!B311)&amp;CHAR(10)&amp;'Ingest Template'!V311)</f>
        <v>#N/A</v>
      </c>
      <c r="X311" s="41" t="str">
        <f>'Ingest Template'!W311</f>
        <v/>
      </c>
      <c r="Y311" s="21" t="str">
        <f>SUBSTITUTE(SUBSTITUTE(SUBSTITUTE('Ingest Template'!X311,"http:",""),"https:",""),"/","")</f>
        <v/>
      </c>
      <c r="Z311" s="21" t="str">
        <f t="array" ref="Z311">IF('Ingest Template'!A311="Standard",(IF(ISBLANK('Ingest Template'!AA311),"", 'Ingest Template'!AA311&amp;"|DAR")),(IF(ISBLANK('Ingest Template'!AA311),"", 'Ingest Template'!AA311&amp;"|Film Ops")))</f>
        <v/>
      </c>
      <c r="AA311" s="21"/>
      <c r="AB311" s="21" t="str">
        <f>'Ingest Template'!M311</f>
        <v/>
      </c>
      <c r="AC311" s="21" t="str">
        <f>'Ingest Template'!Y311</f>
        <v/>
      </c>
      <c r="AD311" s="21" t="str">
        <f>'Ingest Template'!C311</f>
        <v/>
      </c>
      <c r="AE311" s="21" t="str">
        <f>'Ingest Template'!Z311</f>
        <v/>
      </c>
      <c r="AF311" s="29"/>
      <c r="AG311" s="21" t="str">
        <f t="array" ref="AG311">IF('Ingest Template'!A311="Standard",(CONCATENATE(IF(ISBLANK('Ingest Template'!O311),"", 'Ingest Template'!O311&amp;"|DAR"),CHAR(10), IF(ISBLANK('Ingest Template'!P311),"", 'Ingest Template'!P311&amp;"|DAR"),CHAR(10), IF(ISBLANK('Ingest Template'!Q311),"", 'Ingest Template'!Q311&amp;"|DAR"))),(CONCATENATE(IF(ISBLANK('Ingest Template'!O311),"", 'Ingest Template'!O311&amp;"|Operations - Core Title"),CHAR(10), IF(ISBLANK('Ingest Template'!P311),"", 'Ingest Template'!P311&amp;"|Operations - Core Title"),CHAR(10), IF(ISBLANK('Ingest Template'!Q311),"", 'Ingest Template'!Q311&amp;"|Operations - Core Title"))))</f>
        <v>#|Operations - Core Title
#|Operations - Core Title
</v>
      </c>
      <c r="AH311" s="21"/>
      <c r="AI311" s="21"/>
      <c r="AJ311" s="53" t="str">
        <f>if('Ingest Template'!A311="Standard",'Ingest Template'!N311&amp; "|DAR|DAR|2021-01-01",'Ingest Template'!N311&amp; "|Operations - Core Title|Operations - Core Title")</f>
        <v>#N/A</v>
      </c>
      <c r="AK311" s="53" t="str">
        <f>if('Ingest Template'!A311="Standard",'Ingest Template'!R311&amp; "|2021-01-01",'Ingest Template'!R311)</f>
        <v>#N/A</v>
      </c>
      <c r="AL311" s="21"/>
      <c r="AM311" s="21"/>
    </row>
    <row r="312">
      <c r="A312" s="21"/>
      <c r="B312" s="21" t="str">
        <f>'Ingest Template'!B312&amp;IF('Ingest Template'!A312 = "Standard", " - DAR","")</f>
        <v/>
      </c>
      <c r="C312" s="26" t="s">
        <v>109</v>
      </c>
      <c r="D312" s="29" t="str">
        <f t="array" ref="D312">CONCATENATE(INDEX(DropDown!$H$2:$H$10,MATCH(1,COUNTIF('Ingest Template'!F312,"*"&amp;DropDown!$H$2:$H$10&amp;"*"),0)),CHAR(10),'Ingest Template'!G312)</f>
        <v>#N/A</v>
      </c>
      <c r="E312" s="21" t="str">
        <f>CONCATENATE('Ingest Template'!H312,CHAR(10),'Ingest Template'!I312,CHAR(10),'Ingest Template'!J312)</f>
        <v>
</v>
      </c>
      <c r="F312" s="26" t="str">
        <f>'Ingest Template'!H312</f>
        <v/>
      </c>
      <c r="G312" s="21"/>
      <c r="H312" s="29"/>
      <c r="I312" s="21"/>
      <c r="J312" s="29" t="str">
        <f t="array" ref="J312">iF('Ingest Template'!A312="Standard","Pristine Brand",INDEX(DropDown!$M$2:$M$392,MATCH('Ingest Template'!E312,DropDown!$J$2:$J$392,0)))</f>
        <v>#N/A</v>
      </c>
      <c r="K312" s="21" t="str">
        <f>iF('Ingest Template'!A312="Standard",'Ingest Template'!K312&amp;CHAR(10)&amp;'Ingest Template'!L312,"Competitive View")</f>
        <v>Competitive View</v>
      </c>
      <c r="L312" s="29" t="s">
        <v>146</v>
      </c>
      <c r="M312" s="37" t="str">
        <f>'Ingest Template'!D312</f>
        <v/>
      </c>
      <c r="N312" s="21"/>
      <c r="O312" s="21"/>
      <c r="P312" s="21"/>
      <c r="Q312" s="21"/>
      <c r="R312" s="21" t="str">
        <f>'Ingest Template'!E312</f>
        <v/>
      </c>
      <c r="S312" s="29" t="s">
        <v>153</v>
      </c>
      <c r="T312" s="21" t="str">
        <f>'Ingest Template'!T312</f>
        <v/>
      </c>
      <c r="U312" s="21" t="str">
        <f>'Ingest Template'!S312</f>
        <v/>
      </c>
      <c r="V312" s="21" t="str">
        <f>LOWER(SUBSTITUTE(SUBSTITUTE(SUBSTITUTE(SUBSTITUTE(SUBSTITUTE('Ingest Template'!U312,"https:",""),"www.",""),"/",""),"?hl=en",""),"instagram.com",""))</f>
        <v/>
      </c>
      <c r="W312" s="41" t="str">
        <f t="array" ref="W312">IF('Ingest Template'!V312="",(INDEX(DropDown!$L$2:$L$392,MATCH('Ingest Template'!E312,DropDown!$J$2:$J$392,0))&amp;"|"&amp;'Ingest Template'!B312),(INDEX(DropDown!$L$2:$L$392,MATCH('Ingest Template'!E312,DropDown!$J$2:$J$392,0))&amp;"|"&amp;'Ingest Template'!B312)&amp;CHAR(10)&amp;'Ingest Template'!V312)</f>
        <v>#N/A</v>
      </c>
      <c r="X312" s="41" t="str">
        <f>'Ingest Template'!W312</f>
        <v/>
      </c>
      <c r="Y312" s="21" t="str">
        <f>SUBSTITUTE(SUBSTITUTE(SUBSTITUTE('Ingest Template'!X312,"http:",""),"https:",""),"/","")</f>
        <v/>
      </c>
      <c r="Z312" s="21" t="str">
        <f t="array" ref="Z312">IF('Ingest Template'!A312="Standard",(IF(ISBLANK('Ingest Template'!AA312),"", 'Ingest Template'!AA312&amp;"|DAR")),(IF(ISBLANK('Ingest Template'!AA312),"", 'Ingest Template'!AA312&amp;"|Film Ops")))</f>
        <v/>
      </c>
      <c r="AA312" s="21"/>
      <c r="AB312" s="21" t="str">
        <f>'Ingest Template'!M312</f>
        <v/>
      </c>
      <c r="AC312" s="21" t="str">
        <f>'Ingest Template'!Y312</f>
        <v/>
      </c>
      <c r="AD312" s="21" t="str">
        <f>'Ingest Template'!C312</f>
        <v/>
      </c>
      <c r="AE312" s="21" t="str">
        <f>'Ingest Template'!Z312</f>
        <v/>
      </c>
      <c r="AF312" s="29"/>
      <c r="AG312" s="21" t="str">
        <f t="array" ref="AG312">IF('Ingest Template'!A312="Standard",(CONCATENATE(IF(ISBLANK('Ingest Template'!O312),"", 'Ingest Template'!O312&amp;"|DAR"),CHAR(10), IF(ISBLANK('Ingest Template'!P312),"", 'Ingest Template'!P312&amp;"|DAR"),CHAR(10), IF(ISBLANK('Ingest Template'!Q312),"", 'Ingest Template'!Q312&amp;"|DAR"))),(CONCATENATE(IF(ISBLANK('Ingest Template'!O312),"", 'Ingest Template'!O312&amp;"|Operations - Core Title"),CHAR(10), IF(ISBLANK('Ingest Template'!P312),"", 'Ingest Template'!P312&amp;"|Operations - Core Title"),CHAR(10), IF(ISBLANK('Ingest Template'!Q312),"", 'Ingest Template'!Q312&amp;"|Operations - Core Title"))))</f>
        <v>#|Operations - Core Title
#|Operations - Core Title
</v>
      </c>
      <c r="AH312" s="21"/>
      <c r="AI312" s="21"/>
      <c r="AJ312" s="53" t="str">
        <f>if('Ingest Template'!A312="Standard",'Ingest Template'!N312&amp; "|DAR|DAR|2021-01-01",'Ingest Template'!N312&amp; "|Operations - Core Title|Operations - Core Title")</f>
        <v>#N/A</v>
      </c>
      <c r="AK312" s="53" t="str">
        <f>if('Ingest Template'!A312="Standard",'Ingest Template'!R312&amp; "|2021-01-01",'Ingest Template'!R312)</f>
        <v>#N/A</v>
      </c>
      <c r="AL312" s="21"/>
      <c r="AM312" s="21"/>
    </row>
    <row r="313">
      <c r="A313" s="21"/>
      <c r="B313" s="21" t="str">
        <f>'Ingest Template'!B313&amp;IF('Ingest Template'!A313 = "Standard", " - DAR","")</f>
        <v/>
      </c>
      <c r="C313" s="26" t="s">
        <v>109</v>
      </c>
      <c r="D313" s="29" t="str">
        <f t="array" ref="D313">CONCATENATE(INDEX(DropDown!$H$2:$H$10,MATCH(1,COUNTIF('Ingest Template'!F313,"*"&amp;DropDown!$H$2:$H$10&amp;"*"),0)),CHAR(10),'Ingest Template'!G313)</f>
        <v>#N/A</v>
      </c>
      <c r="E313" s="21" t="str">
        <f>CONCATENATE('Ingest Template'!H313,CHAR(10),'Ingest Template'!I313,CHAR(10),'Ingest Template'!J313)</f>
        <v>
</v>
      </c>
      <c r="F313" s="26" t="str">
        <f>'Ingest Template'!H313</f>
        <v/>
      </c>
      <c r="G313" s="21"/>
      <c r="H313" s="29"/>
      <c r="I313" s="21"/>
      <c r="J313" s="29" t="str">
        <f t="array" ref="J313">iF('Ingest Template'!A313="Standard","Pristine Brand",INDEX(DropDown!$M$2:$M$392,MATCH('Ingest Template'!E313,DropDown!$J$2:$J$392,0)))</f>
        <v>#N/A</v>
      </c>
      <c r="K313" s="21" t="str">
        <f>iF('Ingest Template'!A313="Standard",'Ingest Template'!K313&amp;CHAR(10)&amp;'Ingest Template'!L313,"Competitive View")</f>
        <v>Competitive View</v>
      </c>
      <c r="L313" s="29" t="s">
        <v>146</v>
      </c>
      <c r="M313" s="37" t="str">
        <f>'Ingest Template'!D313</f>
        <v/>
      </c>
      <c r="N313" s="21"/>
      <c r="O313" s="21"/>
      <c r="P313" s="21"/>
      <c r="Q313" s="21"/>
      <c r="R313" s="21" t="str">
        <f>'Ingest Template'!E313</f>
        <v/>
      </c>
      <c r="S313" s="29" t="s">
        <v>153</v>
      </c>
      <c r="T313" s="21" t="str">
        <f>'Ingest Template'!T313</f>
        <v/>
      </c>
      <c r="U313" s="21" t="str">
        <f>'Ingest Template'!S313</f>
        <v/>
      </c>
      <c r="V313" s="21" t="str">
        <f>LOWER(SUBSTITUTE(SUBSTITUTE(SUBSTITUTE(SUBSTITUTE(SUBSTITUTE('Ingest Template'!U313,"https:",""),"www.",""),"/",""),"?hl=en",""),"instagram.com",""))</f>
        <v/>
      </c>
      <c r="W313" s="41" t="str">
        <f t="array" ref="W313">IF('Ingest Template'!V313="",(INDEX(DropDown!$L$2:$L$392,MATCH('Ingest Template'!E313,DropDown!$J$2:$J$392,0))&amp;"|"&amp;'Ingest Template'!B313),(INDEX(DropDown!$L$2:$L$392,MATCH('Ingest Template'!E313,DropDown!$J$2:$J$392,0))&amp;"|"&amp;'Ingest Template'!B313)&amp;CHAR(10)&amp;'Ingest Template'!V313)</f>
        <v>#N/A</v>
      </c>
      <c r="X313" s="41" t="str">
        <f>'Ingest Template'!W313</f>
        <v/>
      </c>
      <c r="Y313" s="21" t="str">
        <f>SUBSTITUTE(SUBSTITUTE(SUBSTITUTE('Ingest Template'!X313,"http:",""),"https:",""),"/","")</f>
        <v/>
      </c>
      <c r="Z313" s="21" t="str">
        <f t="array" ref="Z313">IF('Ingest Template'!A313="Standard",(IF(ISBLANK('Ingest Template'!AA313),"", 'Ingest Template'!AA313&amp;"|DAR")),(IF(ISBLANK('Ingest Template'!AA313),"", 'Ingest Template'!AA313&amp;"|Film Ops")))</f>
        <v/>
      </c>
      <c r="AA313" s="21"/>
      <c r="AB313" s="21" t="str">
        <f>'Ingest Template'!M313</f>
        <v/>
      </c>
      <c r="AC313" s="21" t="str">
        <f>'Ingest Template'!Y313</f>
        <v/>
      </c>
      <c r="AD313" s="21" t="str">
        <f>'Ingest Template'!C313</f>
        <v/>
      </c>
      <c r="AE313" s="21" t="str">
        <f>'Ingest Template'!Z313</f>
        <v/>
      </c>
      <c r="AF313" s="29"/>
      <c r="AG313" s="21" t="str">
        <f t="array" ref="AG313">IF('Ingest Template'!A313="Standard",(CONCATENATE(IF(ISBLANK('Ingest Template'!O313),"", 'Ingest Template'!O313&amp;"|DAR"),CHAR(10), IF(ISBLANK('Ingest Template'!P313),"", 'Ingest Template'!P313&amp;"|DAR"),CHAR(10), IF(ISBLANK('Ingest Template'!Q313),"", 'Ingest Template'!Q313&amp;"|DAR"))),(CONCATENATE(IF(ISBLANK('Ingest Template'!O313),"", 'Ingest Template'!O313&amp;"|Operations - Core Title"),CHAR(10), IF(ISBLANK('Ingest Template'!P313),"", 'Ingest Template'!P313&amp;"|Operations - Core Title"),CHAR(10), IF(ISBLANK('Ingest Template'!Q313),"", 'Ingest Template'!Q313&amp;"|Operations - Core Title"))))</f>
        <v>#|Operations - Core Title
#|Operations - Core Title
</v>
      </c>
      <c r="AH313" s="21"/>
      <c r="AI313" s="21"/>
      <c r="AJ313" s="53" t="str">
        <f>if('Ingest Template'!A313="Standard",'Ingest Template'!N313&amp; "|DAR|DAR|2021-01-01",'Ingest Template'!N313&amp; "|Operations - Core Title|Operations - Core Title")</f>
        <v>#N/A</v>
      </c>
      <c r="AK313" s="53" t="str">
        <f>if('Ingest Template'!A313="Standard",'Ingest Template'!R313&amp; "|2021-01-01",'Ingest Template'!R313)</f>
        <v>#N/A</v>
      </c>
      <c r="AL313" s="21"/>
      <c r="AM313" s="21"/>
    </row>
    <row r="314">
      <c r="A314" s="21"/>
      <c r="B314" s="21" t="str">
        <f>'Ingest Template'!B314&amp;IF('Ingest Template'!A314 = "Standard", " - DAR","")</f>
        <v/>
      </c>
      <c r="C314" s="26" t="s">
        <v>109</v>
      </c>
      <c r="D314" s="29" t="str">
        <f t="array" ref="D314">CONCATENATE(INDEX(DropDown!$H$2:$H$10,MATCH(1,COUNTIF('Ingest Template'!F314,"*"&amp;DropDown!$H$2:$H$10&amp;"*"),0)),CHAR(10),'Ingest Template'!G314)</f>
        <v>#N/A</v>
      </c>
      <c r="E314" s="21" t="str">
        <f>CONCATENATE('Ingest Template'!H314,CHAR(10),'Ingest Template'!I314,CHAR(10),'Ingest Template'!J314)</f>
        <v>
</v>
      </c>
      <c r="F314" s="26" t="str">
        <f>'Ingest Template'!H314</f>
        <v/>
      </c>
      <c r="G314" s="21"/>
      <c r="H314" s="29"/>
      <c r="I314" s="21"/>
      <c r="J314" s="29" t="str">
        <f t="array" ref="J314">iF('Ingest Template'!A314="Standard","Pristine Brand",INDEX(DropDown!$M$2:$M$392,MATCH('Ingest Template'!E314,DropDown!$J$2:$J$392,0)))</f>
        <v>#N/A</v>
      </c>
      <c r="K314" s="21" t="str">
        <f>iF('Ingest Template'!A314="Standard",'Ingest Template'!K314&amp;CHAR(10)&amp;'Ingest Template'!L314,"Competitive View")</f>
        <v>Competitive View</v>
      </c>
      <c r="L314" s="29" t="s">
        <v>146</v>
      </c>
      <c r="M314" s="37" t="str">
        <f>'Ingest Template'!D314</f>
        <v/>
      </c>
      <c r="N314" s="21"/>
      <c r="O314" s="21"/>
      <c r="P314" s="21"/>
      <c r="Q314" s="21"/>
      <c r="R314" s="21" t="str">
        <f>'Ingest Template'!E314</f>
        <v/>
      </c>
      <c r="S314" s="29" t="s">
        <v>153</v>
      </c>
      <c r="T314" s="21" t="str">
        <f>'Ingest Template'!T314</f>
        <v/>
      </c>
      <c r="U314" s="21" t="str">
        <f>'Ingest Template'!S314</f>
        <v/>
      </c>
      <c r="V314" s="21" t="str">
        <f>LOWER(SUBSTITUTE(SUBSTITUTE(SUBSTITUTE(SUBSTITUTE(SUBSTITUTE('Ingest Template'!U314,"https:",""),"www.",""),"/",""),"?hl=en",""),"instagram.com",""))</f>
        <v/>
      </c>
      <c r="W314" s="41" t="str">
        <f t="array" ref="W314">IF('Ingest Template'!V314="",(INDEX(DropDown!$L$2:$L$392,MATCH('Ingest Template'!E314,DropDown!$J$2:$J$392,0))&amp;"|"&amp;'Ingest Template'!B314),(INDEX(DropDown!$L$2:$L$392,MATCH('Ingest Template'!E314,DropDown!$J$2:$J$392,0))&amp;"|"&amp;'Ingest Template'!B314)&amp;CHAR(10)&amp;'Ingest Template'!V314)</f>
        <v>#N/A</v>
      </c>
      <c r="X314" s="41" t="str">
        <f>'Ingest Template'!W314</f>
        <v/>
      </c>
      <c r="Y314" s="21" t="str">
        <f>SUBSTITUTE(SUBSTITUTE(SUBSTITUTE('Ingest Template'!X314,"http:",""),"https:",""),"/","")</f>
        <v/>
      </c>
      <c r="Z314" s="21" t="str">
        <f t="array" ref="Z314">IF('Ingest Template'!A314="Standard",(IF(ISBLANK('Ingest Template'!AA314),"", 'Ingest Template'!AA314&amp;"|DAR")),(IF(ISBLANK('Ingest Template'!AA314),"", 'Ingest Template'!AA314&amp;"|Film Ops")))</f>
        <v/>
      </c>
      <c r="AA314" s="21"/>
      <c r="AB314" s="21" t="str">
        <f>'Ingest Template'!M314</f>
        <v/>
      </c>
      <c r="AC314" s="21" t="str">
        <f>'Ingest Template'!Y314</f>
        <v/>
      </c>
      <c r="AD314" s="21" t="str">
        <f>'Ingest Template'!C314</f>
        <v/>
      </c>
      <c r="AE314" s="21" t="str">
        <f>'Ingest Template'!Z314</f>
        <v/>
      </c>
      <c r="AF314" s="29"/>
      <c r="AG314" s="21" t="str">
        <f t="array" ref="AG314">IF('Ingest Template'!A314="Standard",(CONCATENATE(IF(ISBLANK('Ingest Template'!O314),"", 'Ingest Template'!O314&amp;"|DAR"),CHAR(10), IF(ISBLANK('Ingest Template'!P314),"", 'Ingest Template'!P314&amp;"|DAR"),CHAR(10), IF(ISBLANK('Ingest Template'!Q314),"", 'Ingest Template'!Q314&amp;"|DAR"))),(CONCATENATE(IF(ISBLANK('Ingest Template'!O314),"", 'Ingest Template'!O314&amp;"|Operations - Core Title"),CHAR(10), IF(ISBLANK('Ingest Template'!P314),"", 'Ingest Template'!P314&amp;"|Operations - Core Title"),CHAR(10), IF(ISBLANK('Ingest Template'!Q314),"", 'Ingest Template'!Q314&amp;"|Operations - Core Title"))))</f>
        <v>#|Operations - Core Title
#|Operations - Core Title
</v>
      </c>
      <c r="AH314" s="21"/>
      <c r="AI314" s="21"/>
      <c r="AJ314" s="53" t="str">
        <f>if('Ingest Template'!A314="Standard",'Ingest Template'!N314&amp; "|DAR|DAR|2021-01-01",'Ingest Template'!N314&amp; "|Operations - Core Title|Operations - Core Title")</f>
        <v>#N/A</v>
      </c>
      <c r="AK314" s="53" t="str">
        <f>if('Ingest Template'!A314="Standard",'Ingest Template'!R314&amp; "|2021-01-01",'Ingest Template'!R314)</f>
        <v>#N/A</v>
      </c>
      <c r="AL314" s="21"/>
      <c r="AM314" s="21"/>
    </row>
    <row r="315">
      <c r="A315" s="21"/>
      <c r="B315" s="21" t="str">
        <f>'Ingest Template'!B315&amp;IF('Ingest Template'!A315 = "Standard", " - DAR","")</f>
        <v/>
      </c>
      <c r="C315" s="26" t="s">
        <v>109</v>
      </c>
      <c r="D315" s="29" t="str">
        <f t="array" ref="D315">CONCATENATE(INDEX(DropDown!$H$2:$H$10,MATCH(1,COUNTIF('Ingest Template'!F315,"*"&amp;DropDown!$H$2:$H$10&amp;"*"),0)),CHAR(10),'Ingest Template'!G315)</f>
        <v>#N/A</v>
      </c>
      <c r="E315" s="21" t="str">
        <f>CONCATENATE('Ingest Template'!H315,CHAR(10),'Ingest Template'!I315,CHAR(10),'Ingest Template'!J315)</f>
        <v>
</v>
      </c>
      <c r="F315" s="26" t="str">
        <f>'Ingest Template'!H315</f>
        <v/>
      </c>
      <c r="G315" s="21"/>
      <c r="H315" s="29"/>
      <c r="I315" s="21"/>
      <c r="J315" s="29" t="str">
        <f t="array" ref="J315">iF('Ingest Template'!A315="Standard","Pristine Brand",INDEX(DropDown!$M$2:$M$392,MATCH('Ingest Template'!E315,DropDown!$J$2:$J$392,0)))</f>
        <v>#N/A</v>
      </c>
      <c r="K315" s="21" t="str">
        <f>iF('Ingest Template'!A315="Standard",'Ingest Template'!K315&amp;CHAR(10)&amp;'Ingest Template'!L315,"Competitive View")</f>
        <v>Competitive View</v>
      </c>
      <c r="L315" s="29" t="s">
        <v>146</v>
      </c>
      <c r="M315" s="37" t="str">
        <f>'Ingest Template'!D315</f>
        <v/>
      </c>
      <c r="N315" s="21"/>
      <c r="O315" s="21"/>
      <c r="P315" s="21"/>
      <c r="Q315" s="21"/>
      <c r="R315" s="21" t="str">
        <f>'Ingest Template'!E315</f>
        <v/>
      </c>
      <c r="S315" s="29" t="s">
        <v>153</v>
      </c>
      <c r="T315" s="21" t="str">
        <f>'Ingest Template'!T315</f>
        <v/>
      </c>
      <c r="U315" s="21" t="str">
        <f>'Ingest Template'!S315</f>
        <v/>
      </c>
      <c r="V315" s="21" t="str">
        <f>LOWER(SUBSTITUTE(SUBSTITUTE(SUBSTITUTE(SUBSTITUTE(SUBSTITUTE('Ingest Template'!U315,"https:",""),"www.",""),"/",""),"?hl=en",""),"instagram.com",""))</f>
        <v/>
      </c>
      <c r="W315" s="41" t="str">
        <f t="array" ref="W315">IF('Ingest Template'!V315="",(INDEX(DropDown!$L$2:$L$392,MATCH('Ingest Template'!E315,DropDown!$J$2:$J$392,0))&amp;"|"&amp;'Ingest Template'!B315),(INDEX(DropDown!$L$2:$L$392,MATCH('Ingest Template'!E315,DropDown!$J$2:$J$392,0))&amp;"|"&amp;'Ingest Template'!B315)&amp;CHAR(10)&amp;'Ingest Template'!V315)</f>
        <v>#N/A</v>
      </c>
      <c r="X315" s="41" t="str">
        <f>'Ingest Template'!W315</f>
        <v/>
      </c>
      <c r="Y315" s="21" t="str">
        <f>SUBSTITUTE(SUBSTITUTE(SUBSTITUTE('Ingest Template'!X315,"http:",""),"https:",""),"/","")</f>
        <v/>
      </c>
      <c r="Z315" s="21" t="str">
        <f t="array" ref="Z315">IF('Ingest Template'!A315="Standard",(IF(ISBLANK('Ingest Template'!AA315),"", 'Ingest Template'!AA315&amp;"|DAR")),(IF(ISBLANK('Ingest Template'!AA315),"", 'Ingest Template'!AA315&amp;"|Film Ops")))</f>
        <v/>
      </c>
      <c r="AA315" s="21"/>
      <c r="AB315" s="21" t="str">
        <f>'Ingest Template'!M315</f>
        <v/>
      </c>
      <c r="AC315" s="21" t="str">
        <f>'Ingest Template'!Y315</f>
        <v/>
      </c>
      <c r="AD315" s="21" t="str">
        <f>'Ingest Template'!C315</f>
        <v/>
      </c>
      <c r="AE315" s="21" t="str">
        <f>'Ingest Template'!Z315</f>
        <v/>
      </c>
      <c r="AF315" s="29"/>
      <c r="AG315" s="21" t="str">
        <f t="array" ref="AG315">IF('Ingest Template'!A315="Standard",(CONCATENATE(IF(ISBLANK('Ingest Template'!O315),"", 'Ingest Template'!O315&amp;"|DAR"),CHAR(10), IF(ISBLANK('Ingest Template'!P315),"", 'Ingest Template'!P315&amp;"|DAR"),CHAR(10), IF(ISBLANK('Ingest Template'!Q315),"", 'Ingest Template'!Q315&amp;"|DAR"))),(CONCATENATE(IF(ISBLANK('Ingest Template'!O315),"", 'Ingest Template'!O315&amp;"|Operations - Core Title"),CHAR(10), IF(ISBLANK('Ingest Template'!P315),"", 'Ingest Template'!P315&amp;"|Operations - Core Title"),CHAR(10), IF(ISBLANK('Ingest Template'!Q315),"", 'Ingest Template'!Q315&amp;"|Operations - Core Title"))))</f>
        <v>#|Operations - Core Title
#|Operations - Core Title
</v>
      </c>
      <c r="AH315" s="21"/>
      <c r="AI315" s="21"/>
      <c r="AJ315" s="53" t="str">
        <f>if('Ingest Template'!A315="Standard",'Ingest Template'!N315&amp; "|DAR|DAR|2021-01-01",'Ingest Template'!N315&amp; "|Operations - Core Title|Operations - Core Title")</f>
        <v>#N/A</v>
      </c>
      <c r="AK315" s="53" t="str">
        <f>if('Ingest Template'!A315="Standard",'Ingest Template'!R315&amp; "|2021-01-01",'Ingest Template'!R315)</f>
        <v>#N/A</v>
      </c>
      <c r="AL315" s="21"/>
      <c r="AM315" s="21"/>
    </row>
    <row r="316">
      <c r="A316" s="21"/>
      <c r="B316" s="21" t="str">
        <f>'Ingest Template'!B316&amp;IF('Ingest Template'!A316 = "Standard", " - DAR","")</f>
        <v/>
      </c>
      <c r="C316" s="26" t="s">
        <v>109</v>
      </c>
      <c r="D316" s="29" t="str">
        <f t="array" ref="D316">CONCATENATE(INDEX(DropDown!$H$2:$H$10,MATCH(1,COUNTIF('Ingest Template'!F316,"*"&amp;DropDown!$H$2:$H$10&amp;"*"),0)),CHAR(10),'Ingest Template'!G316)</f>
        <v>#N/A</v>
      </c>
      <c r="E316" s="21" t="str">
        <f>CONCATENATE('Ingest Template'!H316,CHAR(10),'Ingest Template'!I316,CHAR(10),'Ingest Template'!J316)</f>
        <v>
</v>
      </c>
      <c r="F316" s="26" t="str">
        <f>'Ingest Template'!H316</f>
        <v/>
      </c>
      <c r="G316" s="21"/>
      <c r="H316" s="29"/>
      <c r="I316" s="21"/>
      <c r="J316" s="29" t="str">
        <f t="array" ref="J316">iF('Ingest Template'!A316="Standard","Pristine Brand",INDEX(DropDown!$M$2:$M$392,MATCH('Ingest Template'!E316,DropDown!$J$2:$J$392,0)))</f>
        <v>#N/A</v>
      </c>
      <c r="K316" s="21" t="str">
        <f>iF('Ingest Template'!A316="Standard",'Ingest Template'!K316&amp;CHAR(10)&amp;'Ingest Template'!L316,"Competitive View")</f>
        <v>Competitive View</v>
      </c>
      <c r="L316" s="29" t="s">
        <v>146</v>
      </c>
      <c r="M316" s="37" t="str">
        <f>'Ingest Template'!D316</f>
        <v/>
      </c>
      <c r="N316" s="21"/>
      <c r="O316" s="21"/>
      <c r="P316" s="21"/>
      <c r="Q316" s="21"/>
      <c r="R316" s="21" t="str">
        <f>'Ingest Template'!E316</f>
        <v/>
      </c>
      <c r="S316" s="29" t="s">
        <v>153</v>
      </c>
      <c r="T316" s="21" t="str">
        <f>'Ingest Template'!T316</f>
        <v/>
      </c>
      <c r="U316" s="21" t="str">
        <f>'Ingest Template'!S316</f>
        <v/>
      </c>
      <c r="V316" s="21" t="str">
        <f>LOWER(SUBSTITUTE(SUBSTITUTE(SUBSTITUTE(SUBSTITUTE(SUBSTITUTE('Ingest Template'!U316,"https:",""),"www.",""),"/",""),"?hl=en",""),"instagram.com",""))</f>
        <v/>
      </c>
      <c r="W316" s="41" t="str">
        <f t="array" ref="W316">IF('Ingest Template'!V316="",(INDEX(DropDown!$L$2:$L$392,MATCH('Ingest Template'!E316,DropDown!$J$2:$J$392,0))&amp;"|"&amp;'Ingest Template'!B316),(INDEX(DropDown!$L$2:$L$392,MATCH('Ingest Template'!E316,DropDown!$J$2:$J$392,0))&amp;"|"&amp;'Ingest Template'!B316)&amp;CHAR(10)&amp;'Ingest Template'!V316)</f>
        <v>#N/A</v>
      </c>
      <c r="X316" s="41" t="str">
        <f>'Ingest Template'!W316</f>
        <v/>
      </c>
      <c r="Y316" s="21" t="str">
        <f>SUBSTITUTE(SUBSTITUTE(SUBSTITUTE('Ingest Template'!X316,"http:",""),"https:",""),"/","")</f>
        <v/>
      </c>
      <c r="Z316" s="21" t="str">
        <f t="array" ref="Z316">IF('Ingest Template'!A316="Standard",(IF(ISBLANK('Ingest Template'!AA316),"", 'Ingest Template'!AA316&amp;"|DAR")),(IF(ISBLANK('Ingest Template'!AA316),"", 'Ingest Template'!AA316&amp;"|Film Ops")))</f>
        <v/>
      </c>
      <c r="AA316" s="21"/>
      <c r="AB316" s="21" t="str">
        <f>'Ingest Template'!M316</f>
        <v/>
      </c>
      <c r="AC316" s="21" t="str">
        <f>'Ingest Template'!Y316</f>
        <v/>
      </c>
      <c r="AD316" s="21" t="str">
        <f>'Ingest Template'!C316</f>
        <v/>
      </c>
      <c r="AE316" s="21" t="str">
        <f>'Ingest Template'!Z316</f>
        <v/>
      </c>
      <c r="AF316" s="29"/>
      <c r="AG316" s="21" t="str">
        <f t="array" ref="AG316">IF('Ingest Template'!A316="Standard",(CONCATENATE(IF(ISBLANK('Ingest Template'!O316),"", 'Ingest Template'!O316&amp;"|DAR"),CHAR(10), IF(ISBLANK('Ingest Template'!P316),"", 'Ingest Template'!P316&amp;"|DAR"),CHAR(10), IF(ISBLANK('Ingest Template'!Q316),"", 'Ingest Template'!Q316&amp;"|DAR"))),(CONCATENATE(IF(ISBLANK('Ingest Template'!O316),"", 'Ingest Template'!O316&amp;"|Operations - Core Title"),CHAR(10), IF(ISBLANK('Ingest Template'!P316),"", 'Ingest Template'!P316&amp;"|Operations - Core Title"),CHAR(10), IF(ISBLANK('Ingest Template'!Q316),"", 'Ingest Template'!Q316&amp;"|Operations - Core Title"))))</f>
        <v>#|Operations - Core Title
#|Operations - Core Title
</v>
      </c>
      <c r="AH316" s="21"/>
      <c r="AI316" s="21"/>
      <c r="AJ316" s="53" t="str">
        <f>if('Ingest Template'!A316="Standard",'Ingest Template'!N316&amp; "|DAR|DAR|2021-01-01",'Ingest Template'!N316&amp; "|Operations - Core Title|Operations - Core Title")</f>
        <v>#N/A</v>
      </c>
      <c r="AK316" s="53" t="str">
        <f>if('Ingest Template'!A316="Standard",'Ingest Template'!R316&amp; "|2021-01-01",'Ingest Template'!R316)</f>
        <v>#N/A</v>
      </c>
      <c r="AL316" s="21"/>
      <c r="AM316" s="21"/>
    </row>
    <row r="317">
      <c r="A317" s="21"/>
      <c r="B317" s="21" t="str">
        <f>'Ingest Template'!B317&amp;IF('Ingest Template'!A317 = "Standard", " - DAR","")</f>
        <v/>
      </c>
      <c r="C317" s="26" t="s">
        <v>109</v>
      </c>
      <c r="D317" s="29" t="str">
        <f t="array" ref="D317">CONCATENATE(INDEX(DropDown!$H$2:$H$10,MATCH(1,COUNTIF('Ingest Template'!F317,"*"&amp;DropDown!$H$2:$H$10&amp;"*"),0)),CHAR(10),'Ingest Template'!G317)</f>
        <v>#N/A</v>
      </c>
      <c r="E317" s="21" t="str">
        <f>CONCATENATE('Ingest Template'!H317,CHAR(10),'Ingest Template'!I317,CHAR(10),'Ingest Template'!J317)</f>
        <v>
</v>
      </c>
      <c r="F317" s="26" t="str">
        <f>'Ingest Template'!H317</f>
        <v/>
      </c>
      <c r="G317" s="21"/>
      <c r="H317" s="29"/>
      <c r="I317" s="21"/>
      <c r="J317" s="29" t="str">
        <f t="array" ref="J317">iF('Ingest Template'!A317="Standard","Pristine Brand",INDEX(DropDown!$M$2:$M$392,MATCH('Ingest Template'!E317,DropDown!$J$2:$J$392,0)))</f>
        <v>#N/A</v>
      </c>
      <c r="K317" s="21" t="str">
        <f>iF('Ingest Template'!A317="Standard",'Ingest Template'!K317&amp;CHAR(10)&amp;'Ingest Template'!L317,"Competitive View")</f>
        <v>Competitive View</v>
      </c>
      <c r="L317" s="29" t="s">
        <v>146</v>
      </c>
      <c r="M317" s="37" t="str">
        <f>'Ingest Template'!D317</f>
        <v/>
      </c>
      <c r="N317" s="21"/>
      <c r="O317" s="21"/>
      <c r="P317" s="21"/>
      <c r="Q317" s="21"/>
      <c r="R317" s="21" t="str">
        <f>'Ingest Template'!E317</f>
        <v/>
      </c>
      <c r="S317" s="29" t="s">
        <v>153</v>
      </c>
      <c r="T317" s="21" t="str">
        <f>'Ingest Template'!T317</f>
        <v/>
      </c>
      <c r="U317" s="21" t="str">
        <f>'Ingest Template'!S317</f>
        <v/>
      </c>
      <c r="V317" s="21" t="str">
        <f>LOWER(SUBSTITUTE(SUBSTITUTE(SUBSTITUTE(SUBSTITUTE(SUBSTITUTE('Ingest Template'!U317,"https:",""),"www.",""),"/",""),"?hl=en",""),"instagram.com",""))</f>
        <v/>
      </c>
      <c r="W317" s="41" t="str">
        <f t="array" ref="W317">IF('Ingest Template'!V317="",(INDEX(DropDown!$L$2:$L$392,MATCH('Ingest Template'!E317,DropDown!$J$2:$J$392,0))&amp;"|"&amp;'Ingest Template'!B317),(INDEX(DropDown!$L$2:$L$392,MATCH('Ingest Template'!E317,DropDown!$J$2:$J$392,0))&amp;"|"&amp;'Ingest Template'!B317)&amp;CHAR(10)&amp;'Ingest Template'!V317)</f>
        <v>#N/A</v>
      </c>
      <c r="X317" s="41" t="str">
        <f>'Ingest Template'!W317</f>
        <v/>
      </c>
      <c r="Y317" s="21" t="str">
        <f>SUBSTITUTE(SUBSTITUTE(SUBSTITUTE('Ingest Template'!X317,"http:",""),"https:",""),"/","")</f>
        <v/>
      </c>
      <c r="Z317" s="21" t="str">
        <f t="array" ref="Z317">IF('Ingest Template'!A317="Standard",(IF(ISBLANK('Ingest Template'!AA317),"", 'Ingest Template'!AA317&amp;"|DAR")),(IF(ISBLANK('Ingest Template'!AA317),"", 'Ingest Template'!AA317&amp;"|Film Ops")))</f>
        <v/>
      </c>
      <c r="AA317" s="21"/>
      <c r="AB317" s="21" t="str">
        <f>'Ingest Template'!M317</f>
        <v/>
      </c>
      <c r="AC317" s="21" t="str">
        <f>'Ingest Template'!Y317</f>
        <v/>
      </c>
      <c r="AD317" s="21" t="str">
        <f>'Ingest Template'!C317</f>
        <v/>
      </c>
      <c r="AE317" s="21" t="str">
        <f>'Ingest Template'!Z317</f>
        <v/>
      </c>
      <c r="AF317" s="29"/>
      <c r="AG317" s="21" t="str">
        <f t="array" ref="AG317">IF('Ingest Template'!A317="Standard",(CONCATENATE(IF(ISBLANK('Ingest Template'!O317),"", 'Ingest Template'!O317&amp;"|DAR"),CHAR(10), IF(ISBLANK('Ingest Template'!P317),"", 'Ingest Template'!P317&amp;"|DAR"),CHAR(10), IF(ISBLANK('Ingest Template'!Q317),"", 'Ingest Template'!Q317&amp;"|DAR"))),(CONCATENATE(IF(ISBLANK('Ingest Template'!O317),"", 'Ingest Template'!O317&amp;"|Operations - Core Title"),CHAR(10), IF(ISBLANK('Ingest Template'!P317),"", 'Ingest Template'!P317&amp;"|Operations - Core Title"),CHAR(10), IF(ISBLANK('Ingest Template'!Q317),"", 'Ingest Template'!Q317&amp;"|Operations - Core Title"))))</f>
        <v>#|Operations - Core Title
#|Operations - Core Title
</v>
      </c>
      <c r="AH317" s="21"/>
      <c r="AI317" s="21"/>
      <c r="AJ317" s="53" t="str">
        <f>if('Ingest Template'!A317="Standard",'Ingest Template'!N317&amp; "|DAR|DAR|2021-01-01",'Ingest Template'!N317&amp; "|Operations - Core Title|Operations - Core Title")</f>
        <v>#N/A</v>
      </c>
      <c r="AK317" s="53" t="str">
        <f>if('Ingest Template'!A317="Standard",'Ingest Template'!R317&amp; "|2021-01-01",'Ingest Template'!R317)</f>
        <v>#N/A</v>
      </c>
      <c r="AL317" s="21"/>
      <c r="AM317" s="21"/>
    </row>
    <row r="318">
      <c r="A318" s="21"/>
      <c r="B318" s="21" t="str">
        <f>'Ingest Template'!B318&amp;IF('Ingest Template'!A318 = "Standard", " - DAR","")</f>
        <v/>
      </c>
      <c r="C318" s="26" t="s">
        <v>109</v>
      </c>
      <c r="D318" s="29" t="str">
        <f t="array" ref="D318">CONCATENATE(INDEX(DropDown!$H$2:$H$10,MATCH(1,COUNTIF('Ingest Template'!F318,"*"&amp;DropDown!$H$2:$H$10&amp;"*"),0)),CHAR(10),'Ingest Template'!G318)</f>
        <v>#N/A</v>
      </c>
      <c r="E318" s="21" t="str">
        <f>CONCATENATE('Ingest Template'!H318,CHAR(10),'Ingest Template'!I318,CHAR(10),'Ingest Template'!J318)</f>
        <v>
</v>
      </c>
      <c r="F318" s="26" t="str">
        <f>'Ingest Template'!H318</f>
        <v/>
      </c>
      <c r="G318" s="21"/>
      <c r="H318" s="29"/>
      <c r="I318" s="21"/>
      <c r="J318" s="29" t="str">
        <f t="array" ref="J318">iF('Ingest Template'!A318="Standard","Pristine Brand",INDEX(DropDown!$M$2:$M$392,MATCH('Ingest Template'!E318,DropDown!$J$2:$J$392,0)))</f>
        <v>#N/A</v>
      </c>
      <c r="K318" s="21" t="str">
        <f>iF('Ingest Template'!A318="Standard",'Ingest Template'!K318&amp;CHAR(10)&amp;'Ingest Template'!L318,"Competitive View")</f>
        <v>Competitive View</v>
      </c>
      <c r="L318" s="29" t="s">
        <v>146</v>
      </c>
      <c r="M318" s="37" t="str">
        <f>'Ingest Template'!D318</f>
        <v/>
      </c>
      <c r="N318" s="21"/>
      <c r="O318" s="21"/>
      <c r="P318" s="21"/>
      <c r="Q318" s="21"/>
      <c r="R318" s="21" t="str">
        <f>'Ingest Template'!E318</f>
        <v/>
      </c>
      <c r="S318" s="29" t="s">
        <v>153</v>
      </c>
      <c r="T318" s="21" t="str">
        <f>'Ingest Template'!T318</f>
        <v/>
      </c>
      <c r="U318" s="21" t="str">
        <f>'Ingest Template'!S318</f>
        <v/>
      </c>
      <c r="V318" s="21" t="str">
        <f>LOWER(SUBSTITUTE(SUBSTITUTE(SUBSTITUTE(SUBSTITUTE(SUBSTITUTE('Ingest Template'!U318,"https:",""),"www.",""),"/",""),"?hl=en",""),"instagram.com",""))</f>
        <v/>
      </c>
      <c r="W318" s="41" t="str">
        <f t="array" ref="W318">IF('Ingest Template'!V318="",(INDEX(DropDown!$L$2:$L$392,MATCH('Ingest Template'!E318,DropDown!$J$2:$J$392,0))&amp;"|"&amp;'Ingest Template'!B318),(INDEX(DropDown!$L$2:$L$392,MATCH('Ingest Template'!E318,DropDown!$J$2:$J$392,0))&amp;"|"&amp;'Ingest Template'!B318)&amp;CHAR(10)&amp;'Ingest Template'!V318)</f>
        <v>#N/A</v>
      </c>
      <c r="X318" s="41" t="str">
        <f>'Ingest Template'!W318</f>
        <v/>
      </c>
      <c r="Y318" s="21" t="str">
        <f>SUBSTITUTE(SUBSTITUTE(SUBSTITUTE('Ingest Template'!X318,"http:",""),"https:",""),"/","")</f>
        <v/>
      </c>
      <c r="Z318" s="21" t="str">
        <f t="array" ref="Z318">IF('Ingest Template'!A318="Standard",(IF(ISBLANK('Ingest Template'!AA318),"", 'Ingest Template'!AA318&amp;"|DAR")),(IF(ISBLANK('Ingest Template'!AA318),"", 'Ingest Template'!AA318&amp;"|Film Ops")))</f>
        <v/>
      </c>
      <c r="AA318" s="21"/>
      <c r="AB318" s="21" t="str">
        <f>'Ingest Template'!M318</f>
        <v/>
      </c>
      <c r="AC318" s="21" t="str">
        <f>'Ingest Template'!Y318</f>
        <v/>
      </c>
      <c r="AD318" s="21" t="str">
        <f>'Ingest Template'!C318</f>
        <v/>
      </c>
      <c r="AE318" s="21" t="str">
        <f>'Ingest Template'!Z318</f>
        <v/>
      </c>
      <c r="AF318" s="29"/>
      <c r="AG318" s="21" t="str">
        <f t="array" ref="AG318">IF('Ingest Template'!A318="Standard",(CONCATENATE(IF(ISBLANK('Ingest Template'!O318),"", 'Ingest Template'!O318&amp;"|DAR"),CHAR(10), IF(ISBLANK('Ingest Template'!P318),"", 'Ingest Template'!P318&amp;"|DAR"),CHAR(10), IF(ISBLANK('Ingest Template'!Q318),"", 'Ingest Template'!Q318&amp;"|DAR"))),(CONCATENATE(IF(ISBLANK('Ingest Template'!O318),"", 'Ingest Template'!O318&amp;"|Operations - Core Title"),CHAR(10), IF(ISBLANK('Ingest Template'!P318),"", 'Ingest Template'!P318&amp;"|Operations - Core Title"),CHAR(10), IF(ISBLANK('Ingest Template'!Q318),"", 'Ingest Template'!Q318&amp;"|Operations - Core Title"))))</f>
        <v>#|Operations - Core Title
#|Operations - Core Title
</v>
      </c>
      <c r="AH318" s="21"/>
      <c r="AI318" s="21"/>
      <c r="AJ318" s="53" t="str">
        <f>if('Ingest Template'!A318="Standard",'Ingest Template'!N318&amp; "|DAR|DAR|2021-01-01",'Ingest Template'!N318&amp; "|Operations - Core Title|Operations - Core Title")</f>
        <v>#N/A</v>
      </c>
      <c r="AK318" s="53" t="str">
        <f>if('Ingest Template'!A318="Standard",'Ingest Template'!R318&amp; "|2021-01-01",'Ingest Template'!R318)</f>
        <v>#N/A</v>
      </c>
      <c r="AL318" s="21"/>
      <c r="AM318" s="21"/>
    </row>
    <row r="319">
      <c r="A319" s="21"/>
      <c r="B319" s="21" t="str">
        <f>'Ingest Template'!B319&amp;IF('Ingest Template'!A319 = "Standard", " - DAR","")</f>
        <v/>
      </c>
      <c r="C319" s="26" t="s">
        <v>109</v>
      </c>
      <c r="D319" s="29" t="str">
        <f t="array" ref="D319">CONCATENATE(INDEX(DropDown!$H$2:$H$10,MATCH(1,COUNTIF('Ingest Template'!F319,"*"&amp;DropDown!$H$2:$H$10&amp;"*"),0)),CHAR(10),'Ingest Template'!G319)</f>
        <v>#N/A</v>
      </c>
      <c r="E319" s="21" t="str">
        <f>CONCATENATE('Ingest Template'!H319,CHAR(10),'Ingest Template'!I319,CHAR(10),'Ingest Template'!J319)</f>
        <v>
</v>
      </c>
      <c r="F319" s="26" t="str">
        <f>'Ingest Template'!H319</f>
        <v/>
      </c>
      <c r="G319" s="21"/>
      <c r="H319" s="29"/>
      <c r="I319" s="21"/>
      <c r="J319" s="29" t="str">
        <f t="array" ref="J319">iF('Ingest Template'!A319="Standard","Pristine Brand",INDEX(DropDown!$M$2:$M$392,MATCH('Ingest Template'!E319,DropDown!$J$2:$J$392,0)))</f>
        <v>#N/A</v>
      </c>
      <c r="K319" s="21" t="str">
        <f>iF('Ingest Template'!A319="Standard",'Ingest Template'!K319&amp;CHAR(10)&amp;'Ingest Template'!L319,"Competitive View")</f>
        <v>Competitive View</v>
      </c>
      <c r="L319" s="29" t="s">
        <v>146</v>
      </c>
      <c r="M319" s="37" t="str">
        <f>'Ingest Template'!D319</f>
        <v/>
      </c>
      <c r="N319" s="21"/>
      <c r="O319" s="21"/>
      <c r="P319" s="21"/>
      <c r="Q319" s="21"/>
      <c r="R319" s="21" t="str">
        <f>'Ingest Template'!E319</f>
        <v/>
      </c>
      <c r="S319" s="29" t="s">
        <v>153</v>
      </c>
      <c r="T319" s="21" t="str">
        <f>'Ingest Template'!T319</f>
        <v/>
      </c>
      <c r="U319" s="21" t="str">
        <f>'Ingest Template'!S319</f>
        <v/>
      </c>
      <c r="V319" s="21" t="str">
        <f>LOWER(SUBSTITUTE(SUBSTITUTE(SUBSTITUTE(SUBSTITUTE(SUBSTITUTE('Ingest Template'!U319,"https:",""),"www.",""),"/",""),"?hl=en",""),"instagram.com",""))</f>
        <v/>
      </c>
      <c r="W319" s="41" t="str">
        <f t="array" ref="W319">IF('Ingest Template'!V319="",(INDEX(DropDown!$L$2:$L$392,MATCH('Ingest Template'!E319,DropDown!$J$2:$J$392,0))&amp;"|"&amp;'Ingest Template'!B319),(INDEX(DropDown!$L$2:$L$392,MATCH('Ingest Template'!E319,DropDown!$J$2:$J$392,0))&amp;"|"&amp;'Ingest Template'!B319)&amp;CHAR(10)&amp;'Ingest Template'!V319)</f>
        <v>#N/A</v>
      </c>
      <c r="X319" s="41" t="str">
        <f>'Ingest Template'!W319</f>
        <v/>
      </c>
      <c r="Y319" s="21" t="str">
        <f>SUBSTITUTE(SUBSTITUTE(SUBSTITUTE('Ingest Template'!X319,"http:",""),"https:",""),"/","")</f>
        <v/>
      </c>
      <c r="Z319" s="21" t="str">
        <f t="array" ref="Z319">IF('Ingest Template'!A319="Standard",(IF(ISBLANK('Ingest Template'!AA319),"", 'Ingest Template'!AA319&amp;"|DAR")),(IF(ISBLANK('Ingest Template'!AA319),"", 'Ingest Template'!AA319&amp;"|Film Ops")))</f>
        <v/>
      </c>
      <c r="AA319" s="21"/>
      <c r="AB319" s="21" t="str">
        <f>'Ingest Template'!M319</f>
        <v/>
      </c>
      <c r="AC319" s="21" t="str">
        <f>'Ingest Template'!Y319</f>
        <v/>
      </c>
      <c r="AD319" s="21" t="str">
        <f>'Ingest Template'!C319</f>
        <v/>
      </c>
      <c r="AE319" s="21" t="str">
        <f>'Ingest Template'!Z319</f>
        <v/>
      </c>
      <c r="AF319" s="29"/>
      <c r="AG319" s="21" t="str">
        <f t="array" ref="AG319">IF('Ingest Template'!A319="Standard",(CONCATENATE(IF(ISBLANK('Ingest Template'!O319),"", 'Ingest Template'!O319&amp;"|DAR"),CHAR(10), IF(ISBLANK('Ingest Template'!P319),"", 'Ingest Template'!P319&amp;"|DAR"),CHAR(10), IF(ISBLANK('Ingest Template'!Q319),"", 'Ingest Template'!Q319&amp;"|DAR"))),(CONCATENATE(IF(ISBLANK('Ingest Template'!O319),"", 'Ingest Template'!O319&amp;"|Operations - Core Title"),CHAR(10), IF(ISBLANK('Ingest Template'!P319),"", 'Ingest Template'!P319&amp;"|Operations - Core Title"),CHAR(10), IF(ISBLANK('Ingest Template'!Q319),"", 'Ingest Template'!Q319&amp;"|Operations - Core Title"))))</f>
        <v>#|Operations - Core Title
#|Operations - Core Title
</v>
      </c>
      <c r="AH319" s="21"/>
      <c r="AI319" s="21"/>
      <c r="AJ319" s="53" t="str">
        <f>if('Ingest Template'!A319="Standard",'Ingest Template'!N319&amp; "|DAR|DAR|2021-01-01",'Ingest Template'!N319&amp; "|Operations - Core Title|Operations - Core Title")</f>
        <v>#N/A</v>
      </c>
      <c r="AK319" s="53" t="str">
        <f>if('Ingest Template'!A319="Standard",'Ingest Template'!R319&amp; "|2021-01-01",'Ingest Template'!R319)</f>
        <v>#N/A</v>
      </c>
      <c r="AL319" s="21"/>
      <c r="AM319" s="21"/>
    </row>
    <row r="320">
      <c r="A320" s="21"/>
      <c r="B320" s="21" t="str">
        <f>'Ingest Template'!B320&amp;IF('Ingest Template'!A320 = "Standard", " - DAR","")</f>
        <v/>
      </c>
      <c r="C320" s="26" t="s">
        <v>109</v>
      </c>
      <c r="D320" s="29" t="str">
        <f t="array" ref="D320">CONCATENATE(INDEX(DropDown!$H$2:$H$10,MATCH(1,COUNTIF('Ingest Template'!F320,"*"&amp;DropDown!$H$2:$H$10&amp;"*"),0)),CHAR(10),'Ingest Template'!G320)</f>
        <v>#N/A</v>
      </c>
      <c r="E320" s="21" t="str">
        <f>CONCATENATE('Ingest Template'!H320,CHAR(10),'Ingest Template'!I320,CHAR(10),'Ingest Template'!J320)</f>
        <v>
</v>
      </c>
      <c r="F320" s="26" t="str">
        <f>'Ingest Template'!H320</f>
        <v/>
      </c>
      <c r="G320" s="21"/>
      <c r="H320" s="29"/>
      <c r="I320" s="21"/>
      <c r="J320" s="29" t="str">
        <f t="array" ref="J320">iF('Ingest Template'!A320="Standard","Pristine Brand",INDEX(DropDown!$M$2:$M$392,MATCH('Ingest Template'!E320,DropDown!$J$2:$J$392,0)))</f>
        <v>#N/A</v>
      </c>
      <c r="K320" s="21" t="str">
        <f>iF('Ingest Template'!A320="Standard",'Ingest Template'!K320&amp;CHAR(10)&amp;'Ingest Template'!L320,"Competitive View")</f>
        <v>Competitive View</v>
      </c>
      <c r="L320" s="29" t="s">
        <v>146</v>
      </c>
      <c r="M320" s="37" t="str">
        <f>'Ingest Template'!D320</f>
        <v/>
      </c>
      <c r="N320" s="21"/>
      <c r="O320" s="21"/>
      <c r="P320" s="21"/>
      <c r="Q320" s="21"/>
      <c r="R320" s="21" t="str">
        <f>'Ingest Template'!E320</f>
        <v/>
      </c>
      <c r="S320" s="29" t="s">
        <v>153</v>
      </c>
      <c r="T320" s="21" t="str">
        <f>'Ingest Template'!T320</f>
        <v/>
      </c>
      <c r="U320" s="21" t="str">
        <f>'Ingest Template'!S320</f>
        <v/>
      </c>
      <c r="V320" s="21" t="str">
        <f>LOWER(SUBSTITUTE(SUBSTITUTE(SUBSTITUTE(SUBSTITUTE(SUBSTITUTE('Ingest Template'!U320,"https:",""),"www.",""),"/",""),"?hl=en",""),"instagram.com",""))</f>
        <v/>
      </c>
      <c r="W320" s="41" t="str">
        <f t="array" ref="W320">IF('Ingest Template'!V320="",(INDEX(DropDown!$L$2:$L$392,MATCH('Ingest Template'!E320,DropDown!$J$2:$J$392,0))&amp;"|"&amp;'Ingest Template'!B320),(INDEX(DropDown!$L$2:$L$392,MATCH('Ingest Template'!E320,DropDown!$J$2:$J$392,0))&amp;"|"&amp;'Ingest Template'!B320)&amp;CHAR(10)&amp;'Ingest Template'!V320)</f>
        <v>#N/A</v>
      </c>
      <c r="X320" s="41" t="str">
        <f>'Ingest Template'!W320</f>
        <v/>
      </c>
      <c r="Y320" s="21" t="str">
        <f>SUBSTITUTE(SUBSTITUTE(SUBSTITUTE('Ingest Template'!X320,"http:",""),"https:",""),"/","")</f>
        <v/>
      </c>
      <c r="Z320" s="21" t="str">
        <f t="array" ref="Z320">IF('Ingest Template'!A320="Standard",(IF(ISBLANK('Ingest Template'!AA320),"", 'Ingest Template'!AA320&amp;"|DAR")),(IF(ISBLANK('Ingest Template'!AA320),"", 'Ingest Template'!AA320&amp;"|Film Ops")))</f>
        <v/>
      </c>
      <c r="AA320" s="21"/>
      <c r="AB320" s="21" t="str">
        <f>'Ingest Template'!M320</f>
        <v/>
      </c>
      <c r="AC320" s="21" t="str">
        <f>'Ingest Template'!Y320</f>
        <v/>
      </c>
      <c r="AD320" s="21" t="str">
        <f>'Ingest Template'!C320</f>
        <v/>
      </c>
      <c r="AE320" s="21" t="str">
        <f>'Ingest Template'!Z320</f>
        <v/>
      </c>
      <c r="AF320" s="29"/>
      <c r="AG320" s="21" t="str">
        <f t="array" ref="AG320">IF('Ingest Template'!A320="Standard",(CONCATENATE(IF(ISBLANK('Ingest Template'!O320),"", 'Ingest Template'!O320&amp;"|DAR"),CHAR(10), IF(ISBLANK('Ingest Template'!P320),"", 'Ingest Template'!P320&amp;"|DAR"),CHAR(10), IF(ISBLANK('Ingest Template'!Q320),"", 'Ingest Template'!Q320&amp;"|DAR"))),(CONCATENATE(IF(ISBLANK('Ingest Template'!O320),"", 'Ingest Template'!O320&amp;"|Operations - Core Title"),CHAR(10), IF(ISBLANK('Ingest Template'!P320),"", 'Ingest Template'!P320&amp;"|Operations - Core Title"),CHAR(10), IF(ISBLANK('Ingest Template'!Q320),"", 'Ingest Template'!Q320&amp;"|Operations - Core Title"))))</f>
        <v>#|Operations - Core Title
#|Operations - Core Title
</v>
      </c>
      <c r="AH320" s="21"/>
      <c r="AI320" s="21"/>
      <c r="AJ320" s="53" t="str">
        <f>if('Ingest Template'!A320="Standard",'Ingest Template'!N320&amp; "|DAR|DAR|2021-01-01",'Ingest Template'!N320&amp; "|Operations - Core Title|Operations - Core Title")</f>
        <v>#N/A</v>
      </c>
      <c r="AK320" s="53" t="str">
        <f>if('Ingest Template'!A320="Standard",'Ingest Template'!R320&amp; "|2021-01-01",'Ingest Template'!R320)</f>
        <v>#N/A</v>
      </c>
      <c r="AL320" s="21"/>
      <c r="AM320" s="21"/>
    </row>
    <row r="321">
      <c r="A321" s="21"/>
      <c r="B321" s="21" t="str">
        <f>'Ingest Template'!B321&amp;IF('Ingest Template'!A321 = "Standard", " - DAR","")</f>
        <v/>
      </c>
      <c r="C321" s="26" t="s">
        <v>109</v>
      </c>
      <c r="D321" s="29" t="str">
        <f t="array" ref="D321">CONCATENATE(INDEX(DropDown!$H$2:$H$10,MATCH(1,COUNTIF('Ingest Template'!F321,"*"&amp;DropDown!$H$2:$H$10&amp;"*"),0)),CHAR(10),'Ingest Template'!G321)</f>
        <v>#N/A</v>
      </c>
      <c r="E321" s="21" t="str">
        <f>CONCATENATE('Ingest Template'!H321,CHAR(10),'Ingest Template'!I321,CHAR(10),'Ingest Template'!J321)</f>
        <v>
</v>
      </c>
      <c r="F321" s="26" t="str">
        <f>'Ingest Template'!H321</f>
        <v/>
      </c>
      <c r="G321" s="21"/>
      <c r="H321" s="29"/>
      <c r="I321" s="21"/>
      <c r="J321" s="29" t="str">
        <f t="array" ref="J321">iF('Ingest Template'!A321="Standard","Pristine Brand",INDEX(DropDown!$M$2:$M$392,MATCH('Ingest Template'!E321,DropDown!$J$2:$J$392,0)))</f>
        <v>#N/A</v>
      </c>
      <c r="K321" s="21" t="str">
        <f>iF('Ingest Template'!A321="Standard",'Ingest Template'!K321&amp;CHAR(10)&amp;'Ingest Template'!L321,"Competitive View")</f>
        <v>Competitive View</v>
      </c>
      <c r="L321" s="29" t="s">
        <v>146</v>
      </c>
      <c r="M321" s="37" t="str">
        <f>'Ingest Template'!D321</f>
        <v/>
      </c>
      <c r="N321" s="21"/>
      <c r="O321" s="21"/>
      <c r="P321" s="21"/>
      <c r="Q321" s="21"/>
      <c r="R321" s="21" t="str">
        <f>'Ingest Template'!E321</f>
        <v/>
      </c>
      <c r="S321" s="29" t="s">
        <v>153</v>
      </c>
      <c r="T321" s="21" t="str">
        <f>'Ingest Template'!T321</f>
        <v/>
      </c>
      <c r="U321" s="21" t="str">
        <f>'Ingest Template'!S321</f>
        <v/>
      </c>
      <c r="V321" s="21" t="str">
        <f>LOWER(SUBSTITUTE(SUBSTITUTE(SUBSTITUTE(SUBSTITUTE(SUBSTITUTE('Ingest Template'!U321,"https:",""),"www.",""),"/",""),"?hl=en",""),"instagram.com",""))</f>
        <v/>
      </c>
      <c r="W321" s="41" t="str">
        <f t="array" ref="W321">IF('Ingest Template'!V321="",(INDEX(DropDown!$L$2:$L$392,MATCH('Ingest Template'!E321,DropDown!$J$2:$J$392,0))&amp;"|"&amp;'Ingest Template'!B321),(INDEX(DropDown!$L$2:$L$392,MATCH('Ingest Template'!E321,DropDown!$J$2:$J$392,0))&amp;"|"&amp;'Ingest Template'!B321)&amp;CHAR(10)&amp;'Ingest Template'!V321)</f>
        <v>#N/A</v>
      </c>
      <c r="X321" s="41" t="str">
        <f>'Ingest Template'!W321</f>
        <v/>
      </c>
      <c r="Y321" s="21" t="str">
        <f>SUBSTITUTE(SUBSTITUTE(SUBSTITUTE('Ingest Template'!X321,"http:",""),"https:",""),"/","")</f>
        <v/>
      </c>
      <c r="Z321" s="21" t="str">
        <f t="array" ref="Z321">IF('Ingest Template'!A321="Standard",(IF(ISBLANK('Ingest Template'!AA321),"", 'Ingest Template'!AA321&amp;"|DAR")),(IF(ISBLANK('Ingest Template'!AA321),"", 'Ingest Template'!AA321&amp;"|Film Ops")))</f>
        <v/>
      </c>
      <c r="AA321" s="21"/>
      <c r="AB321" s="21" t="str">
        <f>'Ingest Template'!M321</f>
        <v/>
      </c>
      <c r="AC321" s="21" t="str">
        <f>'Ingest Template'!Y321</f>
        <v/>
      </c>
      <c r="AD321" s="21" t="str">
        <f>'Ingest Template'!C321</f>
        <v/>
      </c>
      <c r="AE321" s="21" t="str">
        <f>'Ingest Template'!Z321</f>
        <v/>
      </c>
      <c r="AF321" s="29"/>
      <c r="AG321" s="21" t="str">
        <f t="array" ref="AG321">IF('Ingest Template'!A321="Standard",(CONCATENATE(IF(ISBLANK('Ingest Template'!O321),"", 'Ingest Template'!O321&amp;"|DAR"),CHAR(10), IF(ISBLANK('Ingest Template'!P321),"", 'Ingest Template'!P321&amp;"|DAR"),CHAR(10), IF(ISBLANK('Ingest Template'!Q321),"", 'Ingest Template'!Q321&amp;"|DAR"))),(CONCATENATE(IF(ISBLANK('Ingest Template'!O321),"", 'Ingest Template'!O321&amp;"|Operations - Core Title"),CHAR(10), IF(ISBLANK('Ingest Template'!P321),"", 'Ingest Template'!P321&amp;"|Operations - Core Title"),CHAR(10), IF(ISBLANK('Ingest Template'!Q321),"", 'Ingest Template'!Q321&amp;"|Operations - Core Title"))))</f>
        <v>#|Operations - Core Title
#|Operations - Core Title
</v>
      </c>
      <c r="AH321" s="21"/>
      <c r="AI321" s="21"/>
      <c r="AJ321" s="53" t="str">
        <f>if('Ingest Template'!A321="Standard",'Ingest Template'!N321&amp; "|DAR|DAR|2021-01-01",'Ingest Template'!N321&amp; "|Operations - Core Title|Operations - Core Title")</f>
        <v>#N/A</v>
      </c>
      <c r="AK321" s="53" t="str">
        <f>if('Ingest Template'!A321="Standard",'Ingest Template'!R321&amp; "|2021-01-01",'Ingest Template'!R321)</f>
        <v>#N/A</v>
      </c>
      <c r="AL321" s="21"/>
      <c r="AM321" s="21"/>
    </row>
    <row r="322">
      <c r="A322" s="21"/>
      <c r="B322" s="21" t="str">
        <f>'Ingest Template'!B322&amp;IF('Ingest Template'!A322 = "Standard", " - DAR","")</f>
        <v/>
      </c>
      <c r="C322" s="26" t="s">
        <v>109</v>
      </c>
      <c r="D322" s="29" t="str">
        <f t="array" ref="D322">CONCATENATE(INDEX(DropDown!$H$2:$H$10,MATCH(1,COUNTIF('Ingest Template'!F322,"*"&amp;DropDown!$H$2:$H$10&amp;"*"),0)),CHAR(10),'Ingest Template'!G322)</f>
        <v>#N/A</v>
      </c>
      <c r="E322" s="21" t="str">
        <f>CONCATENATE('Ingest Template'!H322,CHAR(10),'Ingest Template'!I322,CHAR(10),'Ingest Template'!J322)</f>
        <v>
</v>
      </c>
      <c r="F322" s="26" t="str">
        <f>'Ingest Template'!H322</f>
        <v/>
      </c>
      <c r="G322" s="21"/>
      <c r="H322" s="29"/>
      <c r="I322" s="21"/>
      <c r="J322" s="29" t="str">
        <f t="array" ref="J322">iF('Ingest Template'!A322="Standard","Pristine Brand",INDEX(DropDown!$M$2:$M$392,MATCH('Ingest Template'!E322,DropDown!$J$2:$J$392,0)))</f>
        <v>#N/A</v>
      </c>
      <c r="K322" s="21" t="str">
        <f>iF('Ingest Template'!A322="Standard",'Ingest Template'!K322&amp;CHAR(10)&amp;'Ingest Template'!L322,"Competitive View")</f>
        <v>Competitive View</v>
      </c>
      <c r="L322" s="29" t="s">
        <v>146</v>
      </c>
      <c r="M322" s="37" t="str">
        <f>'Ingest Template'!D322</f>
        <v/>
      </c>
      <c r="N322" s="21"/>
      <c r="O322" s="21"/>
      <c r="P322" s="21"/>
      <c r="Q322" s="21"/>
      <c r="R322" s="21" t="str">
        <f>'Ingest Template'!E322</f>
        <v/>
      </c>
      <c r="S322" s="29" t="s">
        <v>153</v>
      </c>
      <c r="T322" s="21" t="str">
        <f>'Ingest Template'!T322</f>
        <v/>
      </c>
      <c r="U322" s="21" t="str">
        <f>'Ingest Template'!S322</f>
        <v/>
      </c>
      <c r="V322" s="21" t="str">
        <f>LOWER(SUBSTITUTE(SUBSTITUTE(SUBSTITUTE(SUBSTITUTE(SUBSTITUTE('Ingest Template'!U322,"https:",""),"www.",""),"/",""),"?hl=en",""),"instagram.com",""))</f>
        <v/>
      </c>
      <c r="W322" s="41" t="str">
        <f t="array" ref="W322">IF('Ingest Template'!V322="",(INDEX(DropDown!$L$2:$L$392,MATCH('Ingest Template'!E322,DropDown!$J$2:$J$392,0))&amp;"|"&amp;'Ingest Template'!B322),(INDEX(DropDown!$L$2:$L$392,MATCH('Ingest Template'!E322,DropDown!$J$2:$J$392,0))&amp;"|"&amp;'Ingest Template'!B322)&amp;CHAR(10)&amp;'Ingest Template'!V322)</f>
        <v>#N/A</v>
      </c>
      <c r="X322" s="41" t="str">
        <f>'Ingest Template'!W322</f>
        <v/>
      </c>
      <c r="Y322" s="21" t="str">
        <f>SUBSTITUTE(SUBSTITUTE(SUBSTITUTE('Ingest Template'!X322,"http:",""),"https:",""),"/","")</f>
        <v/>
      </c>
      <c r="Z322" s="21" t="str">
        <f t="array" ref="Z322">IF('Ingest Template'!A322="Standard",(IF(ISBLANK('Ingest Template'!AA322),"", 'Ingest Template'!AA322&amp;"|DAR")),(IF(ISBLANK('Ingest Template'!AA322),"", 'Ingest Template'!AA322&amp;"|Film Ops")))</f>
        <v/>
      </c>
      <c r="AA322" s="21"/>
      <c r="AB322" s="21" t="str">
        <f>'Ingest Template'!M322</f>
        <v/>
      </c>
      <c r="AC322" s="21" t="str">
        <f>'Ingest Template'!Y322</f>
        <v/>
      </c>
      <c r="AD322" s="21" t="str">
        <f>'Ingest Template'!C322</f>
        <v/>
      </c>
      <c r="AE322" s="21" t="str">
        <f>'Ingest Template'!Z322</f>
        <v/>
      </c>
      <c r="AF322" s="29"/>
      <c r="AG322" s="21" t="str">
        <f t="array" ref="AG322">IF('Ingest Template'!A322="Standard",(CONCATENATE(IF(ISBLANK('Ingest Template'!O322),"", 'Ingest Template'!O322&amp;"|DAR"),CHAR(10), IF(ISBLANK('Ingest Template'!P322),"", 'Ingest Template'!P322&amp;"|DAR"),CHAR(10), IF(ISBLANK('Ingest Template'!Q322),"", 'Ingest Template'!Q322&amp;"|DAR"))),(CONCATENATE(IF(ISBLANK('Ingest Template'!O322),"", 'Ingest Template'!O322&amp;"|Operations - Core Title"),CHAR(10), IF(ISBLANK('Ingest Template'!P322),"", 'Ingest Template'!P322&amp;"|Operations - Core Title"),CHAR(10), IF(ISBLANK('Ingest Template'!Q322),"", 'Ingest Template'!Q322&amp;"|Operations - Core Title"))))</f>
        <v>#|Operations - Core Title
#|Operations - Core Title
</v>
      </c>
      <c r="AH322" s="21"/>
      <c r="AI322" s="21"/>
      <c r="AJ322" s="53" t="str">
        <f>if('Ingest Template'!A322="Standard",'Ingest Template'!N322&amp; "|DAR|DAR|2021-01-01",'Ingest Template'!N322&amp; "|Operations - Core Title|Operations - Core Title")</f>
        <v>#N/A</v>
      </c>
      <c r="AK322" s="53" t="str">
        <f>if('Ingest Template'!A322="Standard",'Ingest Template'!R322&amp; "|2021-01-01",'Ingest Template'!R322)</f>
        <v>#N/A</v>
      </c>
      <c r="AL322" s="21"/>
      <c r="AM322" s="21"/>
    </row>
    <row r="323">
      <c r="A323" s="21"/>
      <c r="B323" s="21" t="str">
        <f>'Ingest Template'!B323&amp;IF('Ingest Template'!A323 = "Standard", " - DAR","")</f>
        <v/>
      </c>
      <c r="C323" s="26" t="s">
        <v>109</v>
      </c>
      <c r="D323" s="29" t="str">
        <f t="array" ref="D323">CONCATENATE(INDEX(DropDown!$H$2:$H$10,MATCH(1,COUNTIF('Ingest Template'!F323,"*"&amp;DropDown!$H$2:$H$10&amp;"*"),0)),CHAR(10),'Ingest Template'!G323)</f>
        <v>#N/A</v>
      </c>
      <c r="E323" s="21" t="str">
        <f>CONCATENATE('Ingest Template'!H323,CHAR(10),'Ingest Template'!I323,CHAR(10),'Ingest Template'!J323)</f>
        <v>
</v>
      </c>
      <c r="F323" s="26" t="str">
        <f>'Ingest Template'!H323</f>
        <v/>
      </c>
      <c r="G323" s="21"/>
      <c r="H323" s="29"/>
      <c r="I323" s="21"/>
      <c r="J323" s="29" t="str">
        <f t="array" ref="J323">iF('Ingest Template'!A323="Standard","Pristine Brand",INDEX(DropDown!$M$2:$M$392,MATCH('Ingest Template'!E323,DropDown!$J$2:$J$392,0)))</f>
        <v>#N/A</v>
      </c>
      <c r="K323" s="21" t="str">
        <f>iF('Ingest Template'!A323="Standard",'Ingest Template'!K323&amp;CHAR(10)&amp;'Ingest Template'!L323,"Competitive View")</f>
        <v>Competitive View</v>
      </c>
      <c r="L323" s="29" t="s">
        <v>146</v>
      </c>
      <c r="M323" s="37" t="str">
        <f>'Ingest Template'!D323</f>
        <v/>
      </c>
      <c r="N323" s="21"/>
      <c r="O323" s="21"/>
      <c r="P323" s="21"/>
      <c r="Q323" s="21"/>
      <c r="R323" s="21" t="str">
        <f>'Ingest Template'!E323</f>
        <v/>
      </c>
      <c r="S323" s="29" t="s">
        <v>153</v>
      </c>
      <c r="T323" s="21" t="str">
        <f>'Ingest Template'!T323</f>
        <v/>
      </c>
      <c r="U323" s="21" t="str">
        <f>'Ingest Template'!S323</f>
        <v/>
      </c>
      <c r="V323" s="21" t="str">
        <f>LOWER(SUBSTITUTE(SUBSTITUTE(SUBSTITUTE(SUBSTITUTE(SUBSTITUTE('Ingest Template'!U323,"https:",""),"www.",""),"/",""),"?hl=en",""),"instagram.com",""))</f>
        <v/>
      </c>
      <c r="W323" s="41" t="str">
        <f t="array" ref="W323">IF('Ingest Template'!V323="",(INDEX(DropDown!$L$2:$L$392,MATCH('Ingest Template'!E323,DropDown!$J$2:$J$392,0))&amp;"|"&amp;'Ingest Template'!B323),(INDEX(DropDown!$L$2:$L$392,MATCH('Ingest Template'!E323,DropDown!$J$2:$J$392,0))&amp;"|"&amp;'Ingest Template'!B323)&amp;CHAR(10)&amp;'Ingest Template'!V323)</f>
        <v>#N/A</v>
      </c>
      <c r="X323" s="41" t="str">
        <f>'Ingest Template'!W323</f>
        <v/>
      </c>
      <c r="Y323" s="21" t="str">
        <f>SUBSTITUTE(SUBSTITUTE(SUBSTITUTE('Ingest Template'!X323,"http:",""),"https:",""),"/","")</f>
        <v/>
      </c>
      <c r="Z323" s="21" t="str">
        <f t="array" ref="Z323">IF('Ingest Template'!A323="Standard",(IF(ISBLANK('Ingest Template'!AA323),"", 'Ingest Template'!AA323&amp;"|DAR")),(IF(ISBLANK('Ingest Template'!AA323),"", 'Ingest Template'!AA323&amp;"|Film Ops")))</f>
        <v/>
      </c>
      <c r="AA323" s="21"/>
      <c r="AB323" s="21" t="str">
        <f>'Ingest Template'!M323</f>
        <v/>
      </c>
      <c r="AC323" s="21" t="str">
        <f>'Ingest Template'!Y323</f>
        <v/>
      </c>
      <c r="AD323" s="21" t="str">
        <f>'Ingest Template'!C323</f>
        <v/>
      </c>
      <c r="AE323" s="21" t="str">
        <f>'Ingest Template'!Z323</f>
        <v/>
      </c>
      <c r="AF323" s="29"/>
      <c r="AG323" s="21" t="str">
        <f t="array" ref="AG323">IF('Ingest Template'!A323="Standard",(CONCATENATE(IF(ISBLANK('Ingest Template'!O323),"", 'Ingest Template'!O323&amp;"|DAR"),CHAR(10), IF(ISBLANK('Ingest Template'!P323),"", 'Ingest Template'!P323&amp;"|DAR"),CHAR(10), IF(ISBLANK('Ingest Template'!Q323),"", 'Ingest Template'!Q323&amp;"|DAR"))),(CONCATENATE(IF(ISBLANK('Ingest Template'!O323),"", 'Ingest Template'!O323&amp;"|Operations - Core Title"),CHAR(10), IF(ISBLANK('Ingest Template'!P323),"", 'Ingest Template'!P323&amp;"|Operations - Core Title"),CHAR(10), IF(ISBLANK('Ingest Template'!Q323),"", 'Ingest Template'!Q323&amp;"|Operations - Core Title"))))</f>
        <v>#|Operations - Core Title
#|Operations - Core Title
</v>
      </c>
      <c r="AH323" s="21"/>
      <c r="AI323" s="21"/>
      <c r="AJ323" s="53" t="str">
        <f>if('Ingest Template'!A323="Standard",'Ingest Template'!N323&amp; "|DAR|DAR|2021-01-01",'Ingest Template'!N323&amp; "|Operations - Core Title|Operations - Core Title")</f>
        <v>#N/A</v>
      </c>
      <c r="AK323" s="53" t="str">
        <f>if('Ingest Template'!A323="Standard",'Ingest Template'!R323&amp; "|2021-01-01",'Ingest Template'!R323)</f>
        <v>#N/A</v>
      </c>
      <c r="AL323" s="21"/>
      <c r="AM323" s="21"/>
    </row>
    <row r="324">
      <c r="A324" s="21"/>
      <c r="B324" s="21" t="str">
        <f>'Ingest Template'!B324&amp;IF('Ingest Template'!A324 = "Standard", " - DAR","")</f>
        <v/>
      </c>
      <c r="C324" s="26" t="s">
        <v>109</v>
      </c>
      <c r="D324" s="29" t="str">
        <f t="array" ref="D324">CONCATENATE(INDEX(DropDown!$H$2:$H$10,MATCH(1,COUNTIF('Ingest Template'!F324,"*"&amp;DropDown!$H$2:$H$10&amp;"*"),0)),CHAR(10),'Ingest Template'!G324)</f>
        <v>#N/A</v>
      </c>
      <c r="E324" s="21" t="str">
        <f>CONCATENATE('Ingest Template'!H324,CHAR(10),'Ingest Template'!I324,CHAR(10),'Ingest Template'!J324)</f>
        <v>
</v>
      </c>
      <c r="F324" s="26" t="str">
        <f>'Ingest Template'!H324</f>
        <v/>
      </c>
      <c r="G324" s="21"/>
      <c r="H324" s="29"/>
      <c r="I324" s="21"/>
      <c r="J324" s="29" t="str">
        <f t="array" ref="J324">iF('Ingest Template'!A324="Standard","Pristine Brand",INDEX(DropDown!$M$2:$M$392,MATCH('Ingest Template'!E324,DropDown!$J$2:$J$392,0)))</f>
        <v>#N/A</v>
      </c>
      <c r="K324" s="21" t="str">
        <f>iF('Ingest Template'!A324="Standard",'Ingest Template'!K324&amp;CHAR(10)&amp;'Ingest Template'!L324,"Competitive View")</f>
        <v>Competitive View</v>
      </c>
      <c r="L324" s="29" t="s">
        <v>146</v>
      </c>
      <c r="M324" s="37" t="str">
        <f>'Ingest Template'!D324</f>
        <v/>
      </c>
      <c r="N324" s="21"/>
      <c r="O324" s="21"/>
      <c r="P324" s="21"/>
      <c r="Q324" s="21"/>
      <c r="R324" s="21" t="str">
        <f>'Ingest Template'!E324</f>
        <v/>
      </c>
      <c r="S324" s="29" t="s">
        <v>153</v>
      </c>
      <c r="T324" s="21" t="str">
        <f>'Ingest Template'!T324</f>
        <v/>
      </c>
      <c r="U324" s="21" t="str">
        <f>'Ingest Template'!S324</f>
        <v/>
      </c>
      <c r="V324" s="21" t="str">
        <f>LOWER(SUBSTITUTE(SUBSTITUTE(SUBSTITUTE(SUBSTITUTE(SUBSTITUTE('Ingest Template'!U324,"https:",""),"www.",""),"/",""),"?hl=en",""),"instagram.com",""))</f>
        <v/>
      </c>
      <c r="W324" s="41" t="str">
        <f t="array" ref="W324">IF('Ingest Template'!V324="",(INDEX(DropDown!$L$2:$L$392,MATCH('Ingest Template'!E324,DropDown!$J$2:$J$392,0))&amp;"|"&amp;'Ingest Template'!B324),(INDEX(DropDown!$L$2:$L$392,MATCH('Ingest Template'!E324,DropDown!$J$2:$J$392,0))&amp;"|"&amp;'Ingest Template'!B324)&amp;CHAR(10)&amp;'Ingest Template'!V324)</f>
        <v>#N/A</v>
      </c>
      <c r="X324" s="41" t="str">
        <f>'Ingest Template'!W324</f>
        <v/>
      </c>
      <c r="Y324" s="21" t="str">
        <f>SUBSTITUTE(SUBSTITUTE(SUBSTITUTE('Ingest Template'!X324,"http:",""),"https:",""),"/","")</f>
        <v/>
      </c>
      <c r="Z324" s="21" t="str">
        <f t="array" ref="Z324">IF('Ingest Template'!A324="Standard",(IF(ISBLANK('Ingest Template'!AA324),"", 'Ingest Template'!AA324&amp;"|DAR")),(IF(ISBLANK('Ingest Template'!AA324),"", 'Ingest Template'!AA324&amp;"|Film Ops")))</f>
        <v/>
      </c>
      <c r="AA324" s="21"/>
      <c r="AB324" s="21" t="str">
        <f>'Ingest Template'!M324</f>
        <v/>
      </c>
      <c r="AC324" s="21" t="str">
        <f>'Ingest Template'!Y324</f>
        <v/>
      </c>
      <c r="AD324" s="21" t="str">
        <f>'Ingest Template'!C324</f>
        <v/>
      </c>
      <c r="AE324" s="21" t="str">
        <f>'Ingest Template'!Z324</f>
        <v/>
      </c>
      <c r="AF324" s="29"/>
      <c r="AG324" s="21" t="str">
        <f t="array" ref="AG324">IF('Ingest Template'!A324="Standard",(CONCATENATE(IF(ISBLANK('Ingest Template'!O324),"", 'Ingest Template'!O324&amp;"|DAR"),CHAR(10), IF(ISBLANK('Ingest Template'!P324),"", 'Ingest Template'!P324&amp;"|DAR"),CHAR(10), IF(ISBLANK('Ingest Template'!Q324),"", 'Ingest Template'!Q324&amp;"|DAR"))),(CONCATENATE(IF(ISBLANK('Ingest Template'!O324),"", 'Ingest Template'!O324&amp;"|Operations - Core Title"),CHAR(10), IF(ISBLANK('Ingest Template'!P324),"", 'Ingest Template'!P324&amp;"|Operations - Core Title"),CHAR(10), IF(ISBLANK('Ingest Template'!Q324),"", 'Ingest Template'!Q324&amp;"|Operations - Core Title"))))</f>
        <v>#|Operations - Core Title
#|Operations - Core Title
</v>
      </c>
      <c r="AH324" s="21"/>
      <c r="AI324" s="21"/>
      <c r="AJ324" s="53" t="str">
        <f>if('Ingest Template'!A324="Standard",'Ingest Template'!N324&amp; "|DAR|DAR|2021-01-01",'Ingest Template'!N324&amp; "|Operations - Core Title|Operations - Core Title")</f>
        <v>#N/A</v>
      </c>
      <c r="AK324" s="53" t="str">
        <f>if('Ingest Template'!A324="Standard",'Ingest Template'!R324&amp; "|2021-01-01",'Ingest Template'!R324)</f>
        <v>#N/A</v>
      </c>
      <c r="AL324" s="21"/>
      <c r="AM324" s="21"/>
    </row>
    <row r="325">
      <c r="A325" s="21"/>
      <c r="B325" s="21" t="str">
        <f>'Ingest Template'!B325&amp;IF('Ingest Template'!A325 = "Standard", " - DAR","")</f>
        <v/>
      </c>
      <c r="C325" s="26" t="s">
        <v>109</v>
      </c>
      <c r="D325" s="29" t="str">
        <f t="array" ref="D325">CONCATENATE(INDEX(DropDown!$H$2:$H$10,MATCH(1,COUNTIF('Ingest Template'!F325,"*"&amp;DropDown!$H$2:$H$10&amp;"*"),0)),CHAR(10),'Ingest Template'!G325)</f>
        <v>#N/A</v>
      </c>
      <c r="E325" s="21" t="str">
        <f>CONCATENATE('Ingest Template'!H325,CHAR(10),'Ingest Template'!I325,CHAR(10),'Ingest Template'!J325)</f>
        <v>
</v>
      </c>
      <c r="F325" s="26" t="str">
        <f>'Ingest Template'!H325</f>
        <v/>
      </c>
      <c r="G325" s="21"/>
      <c r="H325" s="29"/>
      <c r="I325" s="21"/>
      <c r="J325" s="29" t="str">
        <f t="array" ref="J325">iF('Ingest Template'!A325="Standard","Pristine Brand",INDEX(DropDown!$M$2:$M$392,MATCH('Ingest Template'!E325,DropDown!$J$2:$J$392,0)))</f>
        <v>#N/A</v>
      </c>
      <c r="K325" s="21" t="str">
        <f>iF('Ingest Template'!A325="Standard",'Ingest Template'!K325&amp;CHAR(10)&amp;'Ingest Template'!L325,"Competitive View")</f>
        <v>Competitive View</v>
      </c>
      <c r="L325" s="29" t="s">
        <v>146</v>
      </c>
      <c r="M325" s="37" t="str">
        <f>'Ingest Template'!D325</f>
        <v/>
      </c>
      <c r="N325" s="21"/>
      <c r="O325" s="21"/>
      <c r="P325" s="21"/>
      <c r="Q325" s="21"/>
      <c r="R325" s="21" t="str">
        <f>'Ingest Template'!E325</f>
        <v/>
      </c>
      <c r="S325" s="29" t="s">
        <v>153</v>
      </c>
      <c r="T325" s="21" t="str">
        <f>'Ingest Template'!T325</f>
        <v/>
      </c>
      <c r="U325" s="21" t="str">
        <f>'Ingest Template'!S325</f>
        <v/>
      </c>
      <c r="V325" s="21" t="str">
        <f>LOWER(SUBSTITUTE(SUBSTITUTE(SUBSTITUTE(SUBSTITUTE(SUBSTITUTE('Ingest Template'!U325,"https:",""),"www.",""),"/",""),"?hl=en",""),"instagram.com",""))</f>
        <v/>
      </c>
      <c r="W325" s="41" t="str">
        <f t="array" ref="W325">IF('Ingest Template'!V325="",(INDEX(DropDown!$L$2:$L$392,MATCH('Ingest Template'!E325,DropDown!$J$2:$J$392,0))&amp;"|"&amp;'Ingest Template'!B325),(INDEX(DropDown!$L$2:$L$392,MATCH('Ingest Template'!E325,DropDown!$J$2:$J$392,0))&amp;"|"&amp;'Ingest Template'!B325)&amp;CHAR(10)&amp;'Ingest Template'!V325)</f>
        <v>#N/A</v>
      </c>
      <c r="X325" s="41" t="str">
        <f>'Ingest Template'!W325</f>
        <v/>
      </c>
      <c r="Y325" s="21" t="str">
        <f>SUBSTITUTE(SUBSTITUTE(SUBSTITUTE('Ingest Template'!X325,"http:",""),"https:",""),"/","")</f>
        <v/>
      </c>
      <c r="Z325" s="21" t="str">
        <f t="array" ref="Z325">IF('Ingest Template'!A325="Standard",(IF(ISBLANK('Ingest Template'!AA325),"", 'Ingest Template'!AA325&amp;"|DAR")),(IF(ISBLANK('Ingest Template'!AA325),"", 'Ingest Template'!AA325&amp;"|Film Ops")))</f>
        <v/>
      </c>
      <c r="AA325" s="21"/>
      <c r="AB325" s="21" t="str">
        <f>'Ingest Template'!M325</f>
        <v/>
      </c>
      <c r="AC325" s="21" t="str">
        <f>'Ingest Template'!Y325</f>
        <v/>
      </c>
      <c r="AD325" s="21" t="str">
        <f>'Ingest Template'!C325</f>
        <v/>
      </c>
      <c r="AE325" s="21" t="str">
        <f>'Ingest Template'!Z325</f>
        <v/>
      </c>
      <c r="AF325" s="29"/>
      <c r="AG325" s="21" t="str">
        <f t="array" ref="AG325">IF('Ingest Template'!A325="Standard",(CONCATENATE(IF(ISBLANK('Ingest Template'!O325),"", 'Ingest Template'!O325&amp;"|DAR"),CHAR(10), IF(ISBLANK('Ingest Template'!P325),"", 'Ingest Template'!P325&amp;"|DAR"),CHAR(10), IF(ISBLANK('Ingest Template'!Q325),"", 'Ingest Template'!Q325&amp;"|DAR"))),(CONCATENATE(IF(ISBLANK('Ingest Template'!O325),"", 'Ingest Template'!O325&amp;"|Operations - Core Title"),CHAR(10), IF(ISBLANK('Ingest Template'!P325),"", 'Ingest Template'!P325&amp;"|Operations - Core Title"),CHAR(10), IF(ISBLANK('Ingest Template'!Q325),"", 'Ingest Template'!Q325&amp;"|Operations - Core Title"))))</f>
        <v>#|Operations - Core Title
#|Operations - Core Title
</v>
      </c>
      <c r="AH325" s="21"/>
      <c r="AI325" s="21"/>
      <c r="AJ325" s="53" t="str">
        <f>if('Ingest Template'!A325="Standard",'Ingest Template'!N325&amp; "|DAR|DAR|2021-01-01",'Ingest Template'!N325&amp; "|Operations - Core Title|Operations - Core Title")</f>
        <v>#N/A</v>
      </c>
      <c r="AK325" s="53" t="str">
        <f>if('Ingest Template'!A325="Standard",'Ingest Template'!R325&amp; "|2021-01-01",'Ingest Template'!R325)</f>
        <v>#N/A</v>
      </c>
      <c r="AL325" s="21"/>
      <c r="AM325" s="21"/>
    </row>
    <row r="326">
      <c r="A326" s="21"/>
      <c r="B326" s="21" t="str">
        <f>'Ingest Template'!B326&amp;IF('Ingest Template'!A326 = "Standard", " - DAR","")</f>
        <v/>
      </c>
      <c r="C326" s="26" t="s">
        <v>109</v>
      </c>
      <c r="D326" s="29" t="str">
        <f t="array" ref="D326">CONCATENATE(INDEX(DropDown!$H$2:$H$10,MATCH(1,COUNTIF('Ingest Template'!F326,"*"&amp;DropDown!$H$2:$H$10&amp;"*"),0)),CHAR(10),'Ingest Template'!G326)</f>
        <v>#N/A</v>
      </c>
      <c r="E326" s="21" t="str">
        <f>CONCATENATE('Ingest Template'!H326,CHAR(10),'Ingest Template'!I326,CHAR(10),'Ingest Template'!J326)</f>
        <v>
</v>
      </c>
      <c r="F326" s="26" t="str">
        <f>'Ingest Template'!H326</f>
        <v/>
      </c>
      <c r="G326" s="21"/>
      <c r="H326" s="29"/>
      <c r="I326" s="21"/>
      <c r="J326" s="29" t="str">
        <f t="array" ref="J326">iF('Ingest Template'!A326="Standard","Pristine Brand",INDEX(DropDown!$M$2:$M$392,MATCH('Ingest Template'!E326,DropDown!$J$2:$J$392,0)))</f>
        <v>#N/A</v>
      </c>
      <c r="K326" s="21" t="str">
        <f>iF('Ingest Template'!A326="Standard",'Ingest Template'!K326&amp;CHAR(10)&amp;'Ingest Template'!L326,"Competitive View")</f>
        <v>Competitive View</v>
      </c>
      <c r="L326" s="29" t="s">
        <v>146</v>
      </c>
      <c r="M326" s="37" t="str">
        <f>'Ingest Template'!D326</f>
        <v/>
      </c>
      <c r="N326" s="21"/>
      <c r="O326" s="21"/>
      <c r="P326" s="21"/>
      <c r="Q326" s="21"/>
      <c r="R326" s="21" t="str">
        <f>'Ingest Template'!E326</f>
        <v/>
      </c>
      <c r="S326" s="29" t="s">
        <v>153</v>
      </c>
      <c r="T326" s="21" t="str">
        <f>'Ingest Template'!T326</f>
        <v/>
      </c>
      <c r="U326" s="21" t="str">
        <f>'Ingest Template'!S326</f>
        <v/>
      </c>
      <c r="V326" s="21" t="str">
        <f>LOWER(SUBSTITUTE(SUBSTITUTE(SUBSTITUTE(SUBSTITUTE(SUBSTITUTE('Ingest Template'!U326,"https:",""),"www.",""),"/",""),"?hl=en",""),"instagram.com",""))</f>
        <v/>
      </c>
      <c r="W326" s="41" t="str">
        <f t="array" ref="W326">IF('Ingest Template'!V326="",(INDEX(DropDown!$L$2:$L$392,MATCH('Ingest Template'!E326,DropDown!$J$2:$J$392,0))&amp;"|"&amp;'Ingest Template'!B326),(INDEX(DropDown!$L$2:$L$392,MATCH('Ingest Template'!E326,DropDown!$J$2:$J$392,0))&amp;"|"&amp;'Ingest Template'!B326)&amp;CHAR(10)&amp;'Ingest Template'!V326)</f>
        <v>#N/A</v>
      </c>
      <c r="X326" s="41" t="str">
        <f>'Ingest Template'!W326</f>
        <v/>
      </c>
      <c r="Y326" s="21" t="str">
        <f>SUBSTITUTE(SUBSTITUTE(SUBSTITUTE('Ingest Template'!X326,"http:",""),"https:",""),"/","")</f>
        <v/>
      </c>
      <c r="Z326" s="21" t="str">
        <f t="array" ref="Z326">IF('Ingest Template'!A326="Standard",(IF(ISBLANK('Ingest Template'!AA326),"", 'Ingest Template'!AA326&amp;"|DAR")),(IF(ISBLANK('Ingest Template'!AA326),"", 'Ingest Template'!AA326&amp;"|Film Ops")))</f>
        <v/>
      </c>
      <c r="AA326" s="21"/>
      <c r="AB326" s="21" t="str">
        <f>'Ingest Template'!M326</f>
        <v/>
      </c>
      <c r="AC326" s="21" t="str">
        <f>'Ingest Template'!Y326</f>
        <v/>
      </c>
      <c r="AD326" s="21" t="str">
        <f>'Ingest Template'!C326</f>
        <v/>
      </c>
      <c r="AE326" s="21" t="str">
        <f>'Ingest Template'!Z326</f>
        <v/>
      </c>
      <c r="AF326" s="29"/>
      <c r="AG326" s="21" t="str">
        <f t="array" ref="AG326">IF('Ingest Template'!A326="Standard",(CONCATENATE(IF(ISBLANK('Ingest Template'!O326),"", 'Ingest Template'!O326&amp;"|DAR"),CHAR(10), IF(ISBLANK('Ingest Template'!P326),"", 'Ingest Template'!P326&amp;"|DAR"),CHAR(10), IF(ISBLANK('Ingest Template'!Q326),"", 'Ingest Template'!Q326&amp;"|DAR"))),(CONCATENATE(IF(ISBLANK('Ingest Template'!O326),"", 'Ingest Template'!O326&amp;"|Operations - Core Title"),CHAR(10), IF(ISBLANK('Ingest Template'!P326),"", 'Ingest Template'!P326&amp;"|Operations - Core Title"),CHAR(10), IF(ISBLANK('Ingest Template'!Q326),"", 'Ingest Template'!Q326&amp;"|Operations - Core Title"))))</f>
        <v>#|Operations - Core Title
#|Operations - Core Title
</v>
      </c>
      <c r="AH326" s="21"/>
      <c r="AI326" s="21"/>
      <c r="AJ326" s="53" t="str">
        <f>if('Ingest Template'!A326="Standard",'Ingest Template'!N326&amp; "|DAR|DAR|2021-01-01",'Ingest Template'!N326&amp; "|Operations - Core Title|Operations - Core Title")</f>
        <v>#N/A</v>
      </c>
      <c r="AK326" s="53" t="str">
        <f>if('Ingest Template'!A326="Standard",'Ingest Template'!R326&amp; "|2021-01-01",'Ingest Template'!R326)</f>
        <v>#N/A</v>
      </c>
      <c r="AL326" s="21"/>
      <c r="AM326" s="21"/>
    </row>
    <row r="327">
      <c r="A327" s="21"/>
      <c r="B327" s="21" t="str">
        <f>'Ingest Template'!B327&amp;IF('Ingest Template'!A327 = "Standard", " - DAR","")</f>
        <v/>
      </c>
      <c r="C327" s="26" t="s">
        <v>109</v>
      </c>
      <c r="D327" s="29" t="str">
        <f t="array" ref="D327">CONCATENATE(INDEX(DropDown!$H$2:$H$10,MATCH(1,COUNTIF('Ingest Template'!F327,"*"&amp;DropDown!$H$2:$H$10&amp;"*"),0)),CHAR(10),'Ingest Template'!G327)</f>
        <v>#N/A</v>
      </c>
      <c r="E327" s="21" t="str">
        <f>CONCATENATE('Ingest Template'!H327,CHAR(10),'Ingest Template'!I327,CHAR(10),'Ingest Template'!J327)</f>
        <v>
</v>
      </c>
      <c r="F327" s="26" t="str">
        <f>'Ingest Template'!H327</f>
        <v/>
      </c>
      <c r="G327" s="21"/>
      <c r="H327" s="29"/>
      <c r="I327" s="21"/>
      <c r="J327" s="29" t="str">
        <f t="array" ref="J327">iF('Ingest Template'!A327="Standard","Pristine Brand",INDEX(DropDown!$M$2:$M$392,MATCH('Ingest Template'!E327,DropDown!$J$2:$J$392,0)))</f>
        <v>#N/A</v>
      </c>
      <c r="K327" s="21" t="str">
        <f>iF('Ingest Template'!A327="Standard",'Ingest Template'!K327&amp;CHAR(10)&amp;'Ingest Template'!L327,"Competitive View")</f>
        <v>Competitive View</v>
      </c>
      <c r="L327" s="29" t="s">
        <v>146</v>
      </c>
      <c r="M327" s="37" t="str">
        <f>'Ingest Template'!D327</f>
        <v/>
      </c>
      <c r="N327" s="21"/>
      <c r="O327" s="21"/>
      <c r="P327" s="21"/>
      <c r="Q327" s="21"/>
      <c r="R327" s="21" t="str">
        <f>'Ingest Template'!E327</f>
        <v/>
      </c>
      <c r="S327" s="29" t="s">
        <v>153</v>
      </c>
      <c r="T327" s="21" t="str">
        <f>'Ingest Template'!T327</f>
        <v/>
      </c>
      <c r="U327" s="21" t="str">
        <f>'Ingest Template'!S327</f>
        <v/>
      </c>
      <c r="V327" s="21" t="str">
        <f>LOWER(SUBSTITUTE(SUBSTITUTE(SUBSTITUTE(SUBSTITUTE(SUBSTITUTE('Ingest Template'!U327,"https:",""),"www.",""),"/",""),"?hl=en",""),"instagram.com",""))</f>
        <v/>
      </c>
      <c r="W327" s="41" t="str">
        <f t="array" ref="W327">IF('Ingest Template'!V327="",(INDEX(DropDown!$L$2:$L$392,MATCH('Ingest Template'!E327,DropDown!$J$2:$J$392,0))&amp;"|"&amp;'Ingest Template'!B327),(INDEX(DropDown!$L$2:$L$392,MATCH('Ingest Template'!E327,DropDown!$J$2:$J$392,0))&amp;"|"&amp;'Ingest Template'!B327)&amp;CHAR(10)&amp;'Ingest Template'!V327)</f>
        <v>#N/A</v>
      </c>
      <c r="X327" s="41" t="str">
        <f>'Ingest Template'!W327</f>
        <v/>
      </c>
      <c r="Y327" s="21" t="str">
        <f>SUBSTITUTE(SUBSTITUTE(SUBSTITUTE('Ingest Template'!X327,"http:",""),"https:",""),"/","")</f>
        <v/>
      </c>
      <c r="Z327" s="21" t="str">
        <f t="array" ref="Z327">IF('Ingest Template'!A327="Standard",(IF(ISBLANK('Ingest Template'!AA327),"", 'Ingest Template'!AA327&amp;"|DAR")),(IF(ISBLANK('Ingest Template'!AA327),"", 'Ingest Template'!AA327&amp;"|Film Ops")))</f>
        <v/>
      </c>
      <c r="AA327" s="21"/>
      <c r="AB327" s="21" t="str">
        <f>'Ingest Template'!M327</f>
        <v/>
      </c>
      <c r="AC327" s="21" t="str">
        <f>'Ingest Template'!Y327</f>
        <v/>
      </c>
      <c r="AD327" s="21" t="str">
        <f>'Ingest Template'!C327</f>
        <v/>
      </c>
      <c r="AE327" s="21" t="str">
        <f>'Ingest Template'!Z327</f>
        <v/>
      </c>
      <c r="AF327" s="29"/>
      <c r="AG327" s="21" t="str">
        <f t="array" ref="AG327">IF('Ingest Template'!A327="Standard",(CONCATENATE(IF(ISBLANK('Ingest Template'!O327),"", 'Ingest Template'!O327&amp;"|DAR"),CHAR(10), IF(ISBLANK('Ingest Template'!P327),"", 'Ingest Template'!P327&amp;"|DAR"),CHAR(10), IF(ISBLANK('Ingest Template'!Q327),"", 'Ingest Template'!Q327&amp;"|DAR"))),(CONCATENATE(IF(ISBLANK('Ingest Template'!O327),"", 'Ingest Template'!O327&amp;"|Operations - Core Title"),CHAR(10), IF(ISBLANK('Ingest Template'!P327),"", 'Ingest Template'!P327&amp;"|Operations - Core Title"),CHAR(10), IF(ISBLANK('Ingest Template'!Q327),"", 'Ingest Template'!Q327&amp;"|Operations - Core Title"))))</f>
        <v>#|Operations - Core Title
#|Operations - Core Title
</v>
      </c>
      <c r="AH327" s="21"/>
      <c r="AI327" s="21"/>
      <c r="AJ327" s="53" t="str">
        <f>if('Ingest Template'!A327="Standard",'Ingest Template'!N327&amp; "|DAR|DAR|2021-01-01",'Ingest Template'!N327&amp; "|Operations - Core Title|Operations - Core Title")</f>
        <v>#N/A</v>
      </c>
      <c r="AK327" s="53" t="str">
        <f>if('Ingest Template'!A327="Standard",'Ingest Template'!R327&amp; "|2021-01-01",'Ingest Template'!R327)</f>
        <v>#N/A</v>
      </c>
      <c r="AL327" s="21"/>
      <c r="AM327" s="21"/>
    </row>
    <row r="328">
      <c r="A328" s="21"/>
      <c r="B328" s="21" t="str">
        <f>'Ingest Template'!B328&amp;IF('Ingest Template'!A328 = "Standard", " - DAR","")</f>
        <v/>
      </c>
      <c r="C328" s="26" t="s">
        <v>109</v>
      </c>
      <c r="D328" s="29" t="str">
        <f t="array" ref="D328">CONCATENATE(INDEX(DropDown!$H$2:$H$10,MATCH(1,COUNTIF('Ingest Template'!F328,"*"&amp;DropDown!$H$2:$H$10&amp;"*"),0)),CHAR(10),'Ingest Template'!G328)</f>
        <v>#N/A</v>
      </c>
      <c r="E328" s="21" t="str">
        <f>CONCATENATE('Ingest Template'!H328,CHAR(10),'Ingest Template'!I328,CHAR(10),'Ingest Template'!J328)</f>
        <v>
</v>
      </c>
      <c r="F328" s="26" t="str">
        <f>'Ingest Template'!H328</f>
        <v/>
      </c>
      <c r="G328" s="21"/>
      <c r="H328" s="29"/>
      <c r="I328" s="21"/>
      <c r="J328" s="29" t="str">
        <f t="array" ref="J328">iF('Ingest Template'!A328="Standard","Pristine Brand",INDEX(DropDown!$M$2:$M$392,MATCH('Ingest Template'!E328,DropDown!$J$2:$J$392,0)))</f>
        <v>#N/A</v>
      </c>
      <c r="K328" s="21" t="str">
        <f>iF('Ingest Template'!A328="Standard",'Ingest Template'!K328&amp;CHAR(10)&amp;'Ingest Template'!L328,"Competitive View")</f>
        <v>Competitive View</v>
      </c>
      <c r="L328" s="29" t="s">
        <v>146</v>
      </c>
      <c r="M328" s="37" t="str">
        <f>'Ingest Template'!D328</f>
        <v/>
      </c>
      <c r="N328" s="21"/>
      <c r="O328" s="21"/>
      <c r="P328" s="21"/>
      <c r="Q328" s="21"/>
      <c r="R328" s="21" t="str">
        <f>'Ingest Template'!E328</f>
        <v/>
      </c>
      <c r="S328" s="29" t="s">
        <v>153</v>
      </c>
      <c r="T328" s="21" t="str">
        <f>'Ingest Template'!T328</f>
        <v/>
      </c>
      <c r="U328" s="21" t="str">
        <f>'Ingest Template'!S328</f>
        <v/>
      </c>
      <c r="V328" s="21" t="str">
        <f>LOWER(SUBSTITUTE(SUBSTITUTE(SUBSTITUTE(SUBSTITUTE(SUBSTITUTE('Ingest Template'!U328,"https:",""),"www.",""),"/",""),"?hl=en",""),"instagram.com",""))</f>
        <v/>
      </c>
      <c r="W328" s="41" t="str">
        <f t="array" ref="W328">IF('Ingest Template'!V328="",(INDEX(DropDown!$L$2:$L$392,MATCH('Ingest Template'!E328,DropDown!$J$2:$J$392,0))&amp;"|"&amp;'Ingest Template'!B328),(INDEX(DropDown!$L$2:$L$392,MATCH('Ingest Template'!E328,DropDown!$J$2:$J$392,0))&amp;"|"&amp;'Ingest Template'!B328)&amp;CHAR(10)&amp;'Ingest Template'!V328)</f>
        <v>#N/A</v>
      </c>
      <c r="X328" s="41" t="str">
        <f>'Ingest Template'!W328</f>
        <v/>
      </c>
      <c r="Y328" s="21" t="str">
        <f>SUBSTITUTE(SUBSTITUTE(SUBSTITUTE('Ingest Template'!X328,"http:",""),"https:",""),"/","")</f>
        <v/>
      </c>
      <c r="Z328" s="21" t="str">
        <f t="array" ref="Z328">IF('Ingest Template'!A328="Standard",(IF(ISBLANK('Ingest Template'!AA328),"", 'Ingest Template'!AA328&amp;"|DAR")),(IF(ISBLANK('Ingest Template'!AA328),"", 'Ingest Template'!AA328&amp;"|Film Ops")))</f>
        <v/>
      </c>
      <c r="AA328" s="21"/>
      <c r="AB328" s="21" t="str">
        <f>'Ingest Template'!M328</f>
        <v/>
      </c>
      <c r="AC328" s="21" t="str">
        <f>'Ingest Template'!Y328</f>
        <v/>
      </c>
      <c r="AD328" s="21" t="str">
        <f>'Ingest Template'!C328</f>
        <v/>
      </c>
      <c r="AE328" s="21" t="str">
        <f>'Ingest Template'!Z328</f>
        <v/>
      </c>
      <c r="AF328" s="29"/>
      <c r="AG328" s="21" t="str">
        <f t="array" ref="AG328">IF('Ingest Template'!A328="Standard",(CONCATENATE(IF(ISBLANK('Ingest Template'!O328),"", 'Ingest Template'!O328&amp;"|DAR"),CHAR(10), IF(ISBLANK('Ingest Template'!P328),"", 'Ingest Template'!P328&amp;"|DAR"),CHAR(10), IF(ISBLANK('Ingest Template'!Q328),"", 'Ingest Template'!Q328&amp;"|DAR"))),(CONCATENATE(IF(ISBLANK('Ingest Template'!O328),"", 'Ingest Template'!O328&amp;"|Operations - Core Title"),CHAR(10), IF(ISBLANK('Ingest Template'!P328),"", 'Ingest Template'!P328&amp;"|Operations - Core Title"),CHAR(10), IF(ISBLANK('Ingest Template'!Q328),"", 'Ingest Template'!Q328&amp;"|Operations - Core Title"))))</f>
        <v>#|Operations - Core Title
#|Operations - Core Title
</v>
      </c>
      <c r="AH328" s="21"/>
      <c r="AI328" s="21"/>
      <c r="AJ328" s="53" t="str">
        <f>if('Ingest Template'!A328="Standard",'Ingest Template'!N328&amp; "|DAR|DAR|2021-01-01",'Ingest Template'!N328&amp; "|Operations - Core Title|Operations - Core Title")</f>
        <v>#N/A</v>
      </c>
      <c r="AK328" s="53" t="str">
        <f>if('Ingest Template'!A328="Standard",'Ingest Template'!R328&amp; "|2021-01-01",'Ingest Template'!R328)</f>
        <v>#N/A</v>
      </c>
      <c r="AL328" s="21"/>
      <c r="AM328" s="21"/>
    </row>
    <row r="329">
      <c r="A329" s="21"/>
      <c r="B329" s="21" t="str">
        <f>'Ingest Template'!B329&amp;IF('Ingest Template'!A329 = "Standard", " - DAR","")</f>
        <v/>
      </c>
      <c r="C329" s="26" t="s">
        <v>109</v>
      </c>
      <c r="D329" s="29" t="str">
        <f t="array" ref="D329">CONCATENATE(INDEX(DropDown!$H$2:$H$10,MATCH(1,COUNTIF('Ingest Template'!F329,"*"&amp;DropDown!$H$2:$H$10&amp;"*"),0)),CHAR(10),'Ingest Template'!G329)</f>
        <v>#N/A</v>
      </c>
      <c r="E329" s="21" t="str">
        <f>CONCATENATE('Ingest Template'!H329,CHAR(10),'Ingest Template'!I329,CHAR(10),'Ingest Template'!J329)</f>
        <v>
</v>
      </c>
      <c r="F329" s="26" t="str">
        <f>'Ingest Template'!H329</f>
        <v/>
      </c>
      <c r="G329" s="21"/>
      <c r="H329" s="29"/>
      <c r="I329" s="21"/>
      <c r="J329" s="29" t="str">
        <f t="array" ref="J329">iF('Ingest Template'!A329="Standard","Pristine Brand",INDEX(DropDown!$M$2:$M$392,MATCH('Ingest Template'!E329,DropDown!$J$2:$J$392,0)))</f>
        <v>#N/A</v>
      </c>
      <c r="K329" s="21" t="str">
        <f>iF('Ingest Template'!A329="Standard",'Ingest Template'!K329&amp;CHAR(10)&amp;'Ingest Template'!L329,"Competitive View")</f>
        <v>Competitive View</v>
      </c>
      <c r="L329" s="29" t="s">
        <v>146</v>
      </c>
      <c r="M329" s="37" t="str">
        <f>'Ingest Template'!D329</f>
        <v/>
      </c>
      <c r="N329" s="21"/>
      <c r="O329" s="21"/>
      <c r="P329" s="21"/>
      <c r="Q329" s="21"/>
      <c r="R329" s="21" t="str">
        <f>'Ingest Template'!E329</f>
        <v/>
      </c>
      <c r="S329" s="29" t="s">
        <v>153</v>
      </c>
      <c r="T329" s="21" t="str">
        <f>'Ingest Template'!T329</f>
        <v/>
      </c>
      <c r="U329" s="21" t="str">
        <f>'Ingest Template'!S329</f>
        <v/>
      </c>
      <c r="V329" s="21" t="str">
        <f>LOWER(SUBSTITUTE(SUBSTITUTE(SUBSTITUTE(SUBSTITUTE(SUBSTITUTE('Ingest Template'!U329,"https:",""),"www.",""),"/",""),"?hl=en",""),"instagram.com",""))</f>
        <v/>
      </c>
      <c r="W329" s="41" t="str">
        <f t="array" ref="W329">IF('Ingest Template'!V329="",(INDEX(DropDown!$L$2:$L$392,MATCH('Ingest Template'!E329,DropDown!$J$2:$J$392,0))&amp;"|"&amp;'Ingest Template'!B329),(INDEX(DropDown!$L$2:$L$392,MATCH('Ingest Template'!E329,DropDown!$J$2:$J$392,0))&amp;"|"&amp;'Ingest Template'!B329)&amp;CHAR(10)&amp;'Ingest Template'!V329)</f>
        <v>#N/A</v>
      </c>
      <c r="X329" s="41" t="str">
        <f>'Ingest Template'!W329</f>
        <v/>
      </c>
      <c r="Y329" s="21" t="str">
        <f>SUBSTITUTE(SUBSTITUTE(SUBSTITUTE('Ingest Template'!X329,"http:",""),"https:",""),"/","")</f>
        <v/>
      </c>
      <c r="Z329" s="21" t="str">
        <f t="array" ref="Z329">IF('Ingest Template'!A329="Standard",(IF(ISBLANK('Ingest Template'!AA329),"", 'Ingest Template'!AA329&amp;"|DAR")),(IF(ISBLANK('Ingest Template'!AA329),"", 'Ingest Template'!AA329&amp;"|Film Ops")))</f>
        <v/>
      </c>
      <c r="AA329" s="21"/>
      <c r="AB329" s="21" t="str">
        <f>'Ingest Template'!M329</f>
        <v/>
      </c>
      <c r="AC329" s="21" t="str">
        <f>'Ingest Template'!Y329</f>
        <v/>
      </c>
      <c r="AD329" s="21" t="str">
        <f>'Ingest Template'!C329</f>
        <v/>
      </c>
      <c r="AE329" s="21" t="str">
        <f>'Ingest Template'!Z329</f>
        <v/>
      </c>
      <c r="AF329" s="29"/>
      <c r="AG329" s="21" t="str">
        <f t="array" ref="AG329">IF('Ingest Template'!A329="Standard",(CONCATENATE(IF(ISBLANK('Ingest Template'!O329),"", 'Ingest Template'!O329&amp;"|DAR"),CHAR(10), IF(ISBLANK('Ingest Template'!P329),"", 'Ingest Template'!P329&amp;"|DAR"),CHAR(10), IF(ISBLANK('Ingest Template'!Q329),"", 'Ingest Template'!Q329&amp;"|DAR"))),(CONCATENATE(IF(ISBLANK('Ingest Template'!O329),"", 'Ingest Template'!O329&amp;"|Operations - Core Title"),CHAR(10), IF(ISBLANK('Ingest Template'!P329),"", 'Ingest Template'!P329&amp;"|Operations - Core Title"),CHAR(10), IF(ISBLANK('Ingest Template'!Q329),"", 'Ingest Template'!Q329&amp;"|Operations - Core Title"))))</f>
        <v>#|Operations - Core Title
#|Operations - Core Title
</v>
      </c>
      <c r="AH329" s="21"/>
      <c r="AI329" s="21"/>
      <c r="AJ329" s="53" t="str">
        <f>if('Ingest Template'!A329="Standard",'Ingest Template'!N329&amp; "|DAR|DAR|2021-01-01",'Ingest Template'!N329&amp; "|Operations - Core Title|Operations - Core Title")</f>
        <v>#N/A</v>
      </c>
      <c r="AK329" s="53" t="str">
        <f>if('Ingest Template'!A329="Standard",'Ingest Template'!R329&amp; "|2021-01-01",'Ingest Template'!R329)</f>
        <v>#N/A</v>
      </c>
      <c r="AL329" s="21"/>
      <c r="AM329" s="21"/>
    </row>
    <row r="330">
      <c r="A330" s="21"/>
      <c r="B330" s="21" t="str">
        <f>'Ingest Template'!B330&amp;IF('Ingest Template'!A330 = "Standard", " - DAR","")</f>
        <v/>
      </c>
      <c r="C330" s="26" t="s">
        <v>109</v>
      </c>
      <c r="D330" s="29" t="str">
        <f t="array" ref="D330">CONCATENATE(INDEX(DropDown!$H$2:$H$10,MATCH(1,COUNTIF('Ingest Template'!F330,"*"&amp;DropDown!$H$2:$H$10&amp;"*"),0)),CHAR(10),'Ingest Template'!G330)</f>
        <v>#N/A</v>
      </c>
      <c r="E330" s="21" t="str">
        <f>CONCATENATE('Ingest Template'!H330,CHAR(10),'Ingest Template'!I330,CHAR(10),'Ingest Template'!J330)</f>
        <v>
</v>
      </c>
      <c r="F330" s="26" t="str">
        <f>'Ingest Template'!H330</f>
        <v/>
      </c>
      <c r="G330" s="21"/>
      <c r="H330" s="29"/>
      <c r="I330" s="21"/>
      <c r="J330" s="29" t="str">
        <f t="array" ref="J330">iF('Ingest Template'!A330="Standard","Pristine Brand",INDEX(DropDown!$M$2:$M$392,MATCH('Ingest Template'!E330,DropDown!$J$2:$J$392,0)))</f>
        <v>#N/A</v>
      </c>
      <c r="K330" s="21" t="str">
        <f>iF('Ingest Template'!A330="Standard",'Ingest Template'!K330&amp;CHAR(10)&amp;'Ingest Template'!L330,"Competitive View")</f>
        <v>Competitive View</v>
      </c>
      <c r="L330" s="29" t="s">
        <v>146</v>
      </c>
      <c r="M330" s="37" t="str">
        <f>'Ingest Template'!D330</f>
        <v/>
      </c>
      <c r="N330" s="21"/>
      <c r="O330" s="21"/>
      <c r="P330" s="21"/>
      <c r="Q330" s="21"/>
      <c r="R330" s="21" t="str">
        <f>'Ingest Template'!E330</f>
        <v/>
      </c>
      <c r="S330" s="29" t="s">
        <v>153</v>
      </c>
      <c r="T330" s="21" t="str">
        <f>'Ingest Template'!T330</f>
        <v/>
      </c>
      <c r="U330" s="21" t="str">
        <f>'Ingest Template'!S330</f>
        <v/>
      </c>
      <c r="V330" s="21" t="str">
        <f>LOWER(SUBSTITUTE(SUBSTITUTE(SUBSTITUTE(SUBSTITUTE(SUBSTITUTE('Ingest Template'!U330,"https:",""),"www.",""),"/",""),"?hl=en",""),"instagram.com",""))</f>
        <v/>
      </c>
      <c r="W330" s="41" t="str">
        <f t="array" ref="W330">IF('Ingest Template'!V330="",(INDEX(DropDown!$L$2:$L$392,MATCH('Ingest Template'!E330,DropDown!$J$2:$J$392,0))&amp;"|"&amp;'Ingest Template'!B330),(INDEX(DropDown!$L$2:$L$392,MATCH('Ingest Template'!E330,DropDown!$J$2:$J$392,0))&amp;"|"&amp;'Ingest Template'!B330)&amp;CHAR(10)&amp;'Ingest Template'!V330)</f>
        <v>#N/A</v>
      </c>
      <c r="X330" s="41" t="str">
        <f>'Ingest Template'!W330</f>
        <v/>
      </c>
      <c r="Y330" s="21" t="str">
        <f>SUBSTITUTE(SUBSTITUTE(SUBSTITUTE('Ingest Template'!X330,"http:",""),"https:",""),"/","")</f>
        <v/>
      </c>
      <c r="Z330" s="21" t="str">
        <f t="array" ref="Z330">IF('Ingest Template'!A330="Standard",(IF(ISBLANK('Ingest Template'!AA330),"", 'Ingest Template'!AA330&amp;"|DAR")),(IF(ISBLANK('Ingest Template'!AA330),"", 'Ingest Template'!AA330&amp;"|Film Ops")))</f>
        <v/>
      </c>
      <c r="AA330" s="21"/>
      <c r="AB330" s="21" t="str">
        <f>'Ingest Template'!M330</f>
        <v/>
      </c>
      <c r="AC330" s="21" t="str">
        <f>'Ingest Template'!Y330</f>
        <v/>
      </c>
      <c r="AD330" s="21" t="str">
        <f>'Ingest Template'!C330</f>
        <v/>
      </c>
      <c r="AE330" s="21" t="str">
        <f>'Ingest Template'!Z330</f>
        <v/>
      </c>
      <c r="AF330" s="29"/>
      <c r="AG330" s="21" t="str">
        <f t="array" ref="AG330">IF('Ingest Template'!A330="Standard",(CONCATENATE(IF(ISBLANK('Ingest Template'!O330),"", 'Ingest Template'!O330&amp;"|DAR"),CHAR(10), IF(ISBLANK('Ingest Template'!P330),"", 'Ingest Template'!P330&amp;"|DAR"),CHAR(10), IF(ISBLANK('Ingest Template'!Q330),"", 'Ingest Template'!Q330&amp;"|DAR"))),(CONCATENATE(IF(ISBLANK('Ingest Template'!O330),"", 'Ingest Template'!O330&amp;"|Operations - Core Title"),CHAR(10), IF(ISBLANK('Ingest Template'!P330),"", 'Ingest Template'!P330&amp;"|Operations - Core Title"),CHAR(10), IF(ISBLANK('Ingest Template'!Q330),"", 'Ingest Template'!Q330&amp;"|Operations - Core Title"))))</f>
        <v>#|Operations - Core Title
#|Operations - Core Title
</v>
      </c>
      <c r="AH330" s="21"/>
      <c r="AI330" s="21"/>
      <c r="AJ330" s="53" t="str">
        <f>if('Ingest Template'!A330="Standard",'Ingest Template'!N330&amp; "|DAR|DAR|2021-01-01",'Ingest Template'!N330&amp; "|Operations - Core Title|Operations - Core Title")</f>
        <v>#N/A</v>
      </c>
      <c r="AK330" s="53" t="str">
        <f>if('Ingest Template'!A330="Standard",'Ingest Template'!R330&amp; "|2021-01-01",'Ingest Template'!R330)</f>
        <v>#N/A</v>
      </c>
      <c r="AL330" s="21"/>
      <c r="AM330" s="21"/>
    </row>
    <row r="331">
      <c r="A331" s="21"/>
      <c r="B331" s="21" t="str">
        <f>'Ingest Template'!B331&amp;IF('Ingest Template'!A331 = "Standard", " - DAR","")</f>
        <v/>
      </c>
      <c r="C331" s="26" t="s">
        <v>109</v>
      </c>
      <c r="D331" s="29" t="str">
        <f t="array" ref="D331">CONCATENATE(INDEX(DropDown!$H$2:$H$10,MATCH(1,COUNTIF('Ingest Template'!F331,"*"&amp;DropDown!$H$2:$H$10&amp;"*"),0)),CHAR(10),'Ingest Template'!G331)</f>
        <v>#N/A</v>
      </c>
      <c r="E331" s="21" t="str">
        <f>CONCATENATE('Ingest Template'!H331,CHAR(10),'Ingest Template'!I331,CHAR(10),'Ingest Template'!J331)</f>
        <v>
</v>
      </c>
      <c r="F331" s="26" t="str">
        <f>'Ingest Template'!H331</f>
        <v/>
      </c>
      <c r="G331" s="21"/>
      <c r="H331" s="29"/>
      <c r="I331" s="21"/>
      <c r="J331" s="29" t="str">
        <f t="array" ref="J331">iF('Ingest Template'!A331="Standard","Pristine Brand",INDEX(DropDown!$M$2:$M$392,MATCH('Ingest Template'!E331,DropDown!$J$2:$J$392,0)))</f>
        <v>#N/A</v>
      </c>
      <c r="K331" s="21" t="str">
        <f>iF('Ingest Template'!A331="Standard",'Ingest Template'!K331&amp;CHAR(10)&amp;'Ingest Template'!L331,"Competitive View")</f>
        <v>Competitive View</v>
      </c>
      <c r="L331" s="29" t="s">
        <v>146</v>
      </c>
      <c r="M331" s="37" t="str">
        <f>'Ingest Template'!D331</f>
        <v/>
      </c>
      <c r="N331" s="21"/>
      <c r="O331" s="21"/>
      <c r="P331" s="21"/>
      <c r="Q331" s="21"/>
      <c r="R331" s="21" t="str">
        <f>'Ingest Template'!E331</f>
        <v/>
      </c>
      <c r="S331" s="29" t="s">
        <v>153</v>
      </c>
      <c r="T331" s="21" t="str">
        <f>'Ingest Template'!T331</f>
        <v/>
      </c>
      <c r="U331" s="21" t="str">
        <f>'Ingest Template'!S331</f>
        <v/>
      </c>
      <c r="V331" s="21" t="str">
        <f>LOWER(SUBSTITUTE(SUBSTITUTE(SUBSTITUTE(SUBSTITUTE(SUBSTITUTE('Ingest Template'!U331,"https:",""),"www.",""),"/",""),"?hl=en",""),"instagram.com",""))</f>
        <v/>
      </c>
      <c r="W331" s="41" t="str">
        <f t="array" ref="W331">IF('Ingest Template'!V331="",(INDEX(DropDown!$L$2:$L$392,MATCH('Ingest Template'!E331,DropDown!$J$2:$J$392,0))&amp;"|"&amp;'Ingest Template'!B331),(INDEX(DropDown!$L$2:$L$392,MATCH('Ingest Template'!E331,DropDown!$J$2:$J$392,0))&amp;"|"&amp;'Ingest Template'!B331)&amp;CHAR(10)&amp;'Ingest Template'!V331)</f>
        <v>#N/A</v>
      </c>
      <c r="X331" s="41" t="str">
        <f>'Ingest Template'!W331</f>
        <v/>
      </c>
      <c r="Y331" s="21" t="str">
        <f>SUBSTITUTE(SUBSTITUTE(SUBSTITUTE('Ingest Template'!X331,"http:",""),"https:",""),"/","")</f>
        <v/>
      </c>
      <c r="Z331" s="21" t="str">
        <f t="array" ref="Z331">IF('Ingest Template'!A331="Standard",(IF(ISBLANK('Ingest Template'!AA331),"", 'Ingest Template'!AA331&amp;"|DAR")),(IF(ISBLANK('Ingest Template'!AA331),"", 'Ingest Template'!AA331&amp;"|Film Ops")))</f>
        <v/>
      </c>
      <c r="AA331" s="21"/>
      <c r="AB331" s="21" t="str">
        <f>'Ingest Template'!M331</f>
        <v/>
      </c>
      <c r="AC331" s="21" t="str">
        <f>'Ingest Template'!Y331</f>
        <v/>
      </c>
      <c r="AD331" s="21" t="str">
        <f>'Ingest Template'!C331</f>
        <v/>
      </c>
      <c r="AE331" s="21" t="str">
        <f>'Ingest Template'!Z331</f>
        <v/>
      </c>
      <c r="AF331" s="29"/>
      <c r="AG331" s="21" t="str">
        <f t="array" ref="AG331">IF('Ingest Template'!A331="Standard",(CONCATENATE(IF(ISBLANK('Ingest Template'!O331),"", 'Ingest Template'!O331&amp;"|DAR"),CHAR(10), IF(ISBLANK('Ingest Template'!P331),"", 'Ingest Template'!P331&amp;"|DAR"),CHAR(10), IF(ISBLANK('Ingest Template'!Q331),"", 'Ingest Template'!Q331&amp;"|DAR"))),(CONCATENATE(IF(ISBLANK('Ingest Template'!O331),"", 'Ingest Template'!O331&amp;"|Operations - Core Title"),CHAR(10), IF(ISBLANK('Ingest Template'!P331),"", 'Ingest Template'!P331&amp;"|Operations - Core Title"),CHAR(10), IF(ISBLANK('Ingest Template'!Q331),"", 'Ingest Template'!Q331&amp;"|Operations - Core Title"))))</f>
        <v>#|Operations - Core Title
#|Operations - Core Title
</v>
      </c>
      <c r="AH331" s="21"/>
      <c r="AI331" s="21"/>
      <c r="AJ331" s="53" t="str">
        <f>if('Ingest Template'!A331="Standard",'Ingest Template'!N331&amp; "|DAR|DAR|2021-01-01",'Ingest Template'!N331&amp; "|Operations - Core Title|Operations - Core Title")</f>
        <v>#N/A</v>
      </c>
      <c r="AK331" s="53" t="str">
        <f>if('Ingest Template'!A331="Standard",'Ingest Template'!R331&amp; "|2021-01-01",'Ingest Template'!R331)</f>
        <v>#N/A</v>
      </c>
      <c r="AL331" s="21"/>
      <c r="AM331" s="21"/>
    </row>
    <row r="332">
      <c r="A332" s="21"/>
      <c r="B332" s="21" t="str">
        <f>'Ingest Template'!B332&amp;IF('Ingest Template'!A332 = "Standard", " - DAR","")</f>
        <v/>
      </c>
      <c r="C332" s="26" t="s">
        <v>109</v>
      </c>
      <c r="D332" s="29" t="str">
        <f t="array" ref="D332">CONCATENATE(INDEX(DropDown!$H$2:$H$10,MATCH(1,COUNTIF('Ingest Template'!F332,"*"&amp;DropDown!$H$2:$H$10&amp;"*"),0)),CHAR(10),'Ingest Template'!G332)</f>
        <v>#N/A</v>
      </c>
      <c r="E332" s="21" t="str">
        <f>CONCATENATE('Ingest Template'!H332,CHAR(10),'Ingest Template'!I332,CHAR(10),'Ingest Template'!J332)</f>
        <v>
</v>
      </c>
      <c r="F332" s="26" t="str">
        <f>'Ingest Template'!H332</f>
        <v/>
      </c>
      <c r="G332" s="21"/>
      <c r="H332" s="29"/>
      <c r="I332" s="21"/>
      <c r="J332" s="29" t="str">
        <f t="array" ref="J332">iF('Ingest Template'!A332="Standard","Pristine Brand",INDEX(DropDown!$M$2:$M$392,MATCH('Ingest Template'!E332,DropDown!$J$2:$J$392,0)))</f>
        <v>#N/A</v>
      </c>
      <c r="K332" s="21" t="str">
        <f>iF('Ingest Template'!A332="Standard",'Ingest Template'!K332&amp;CHAR(10)&amp;'Ingest Template'!L332,"Competitive View")</f>
        <v>Competitive View</v>
      </c>
      <c r="L332" s="29" t="s">
        <v>146</v>
      </c>
      <c r="M332" s="37" t="str">
        <f>'Ingest Template'!D332</f>
        <v/>
      </c>
      <c r="N332" s="21"/>
      <c r="O332" s="21"/>
      <c r="P332" s="21"/>
      <c r="Q332" s="21"/>
      <c r="R332" s="21" t="str">
        <f>'Ingest Template'!E332</f>
        <v/>
      </c>
      <c r="S332" s="29" t="s">
        <v>153</v>
      </c>
      <c r="T332" s="21" t="str">
        <f>'Ingest Template'!T332</f>
        <v/>
      </c>
      <c r="U332" s="21" t="str">
        <f>'Ingest Template'!S332</f>
        <v/>
      </c>
      <c r="V332" s="21" t="str">
        <f>LOWER(SUBSTITUTE(SUBSTITUTE(SUBSTITUTE(SUBSTITUTE(SUBSTITUTE('Ingest Template'!U332,"https:",""),"www.",""),"/",""),"?hl=en",""),"instagram.com",""))</f>
        <v/>
      </c>
      <c r="W332" s="41" t="str">
        <f t="array" ref="W332">IF('Ingest Template'!V332="",(INDEX(DropDown!$L$2:$L$392,MATCH('Ingest Template'!E332,DropDown!$J$2:$J$392,0))&amp;"|"&amp;'Ingest Template'!B332),(INDEX(DropDown!$L$2:$L$392,MATCH('Ingest Template'!E332,DropDown!$J$2:$J$392,0))&amp;"|"&amp;'Ingest Template'!B332)&amp;CHAR(10)&amp;'Ingest Template'!V332)</f>
        <v>#N/A</v>
      </c>
      <c r="X332" s="41" t="str">
        <f>'Ingest Template'!W332</f>
        <v/>
      </c>
      <c r="Y332" s="21" t="str">
        <f>SUBSTITUTE(SUBSTITUTE(SUBSTITUTE('Ingest Template'!X332,"http:",""),"https:",""),"/","")</f>
        <v/>
      </c>
      <c r="Z332" s="21" t="str">
        <f t="array" ref="Z332">IF('Ingest Template'!A332="Standard",(IF(ISBLANK('Ingest Template'!AA332),"", 'Ingest Template'!AA332&amp;"|DAR")),(IF(ISBLANK('Ingest Template'!AA332),"", 'Ingest Template'!AA332&amp;"|Film Ops")))</f>
        <v/>
      </c>
      <c r="AA332" s="21"/>
      <c r="AB332" s="21" t="str">
        <f>'Ingest Template'!M332</f>
        <v/>
      </c>
      <c r="AC332" s="21" t="str">
        <f>'Ingest Template'!Y332</f>
        <v/>
      </c>
      <c r="AD332" s="21" t="str">
        <f>'Ingest Template'!C332</f>
        <v/>
      </c>
      <c r="AE332" s="21" t="str">
        <f>'Ingest Template'!Z332</f>
        <v/>
      </c>
      <c r="AF332" s="29"/>
      <c r="AG332" s="21" t="str">
        <f t="array" ref="AG332">IF('Ingest Template'!A332="Standard",(CONCATENATE(IF(ISBLANK('Ingest Template'!O332),"", 'Ingest Template'!O332&amp;"|DAR"),CHAR(10), IF(ISBLANK('Ingest Template'!P332),"", 'Ingest Template'!P332&amp;"|DAR"),CHAR(10), IF(ISBLANK('Ingest Template'!Q332),"", 'Ingest Template'!Q332&amp;"|DAR"))),(CONCATENATE(IF(ISBLANK('Ingest Template'!O332),"", 'Ingest Template'!O332&amp;"|Operations - Core Title"),CHAR(10), IF(ISBLANK('Ingest Template'!P332),"", 'Ingest Template'!P332&amp;"|Operations - Core Title"),CHAR(10), IF(ISBLANK('Ingest Template'!Q332),"", 'Ingest Template'!Q332&amp;"|Operations - Core Title"))))</f>
        <v>#|Operations - Core Title
#|Operations - Core Title
</v>
      </c>
      <c r="AH332" s="21"/>
      <c r="AI332" s="21"/>
      <c r="AJ332" s="53" t="str">
        <f>if('Ingest Template'!A332="Standard",'Ingest Template'!N332&amp; "|DAR|DAR|2021-01-01",'Ingest Template'!N332&amp; "|Operations - Core Title|Operations - Core Title")</f>
        <v>#N/A</v>
      </c>
      <c r="AK332" s="53" t="str">
        <f>if('Ingest Template'!A332="Standard",'Ingest Template'!R332&amp; "|2021-01-01",'Ingest Template'!R332)</f>
        <v>#N/A</v>
      </c>
      <c r="AL332" s="21"/>
      <c r="AM332" s="21"/>
    </row>
    <row r="333">
      <c r="A333" s="21"/>
      <c r="B333" s="21" t="str">
        <f>'Ingest Template'!B333&amp;IF('Ingest Template'!A333 = "Standard", " - DAR","")</f>
        <v/>
      </c>
      <c r="C333" s="26" t="s">
        <v>109</v>
      </c>
      <c r="D333" s="29" t="str">
        <f t="array" ref="D333">CONCATENATE(INDEX(DropDown!$H$2:$H$10,MATCH(1,COUNTIF('Ingest Template'!F333,"*"&amp;DropDown!$H$2:$H$10&amp;"*"),0)),CHAR(10),'Ingest Template'!G333)</f>
        <v>#N/A</v>
      </c>
      <c r="E333" s="21" t="str">
        <f>CONCATENATE('Ingest Template'!H333,CHAR(10),'Ingest Template'!I333,CHAR(10),'Ingest Template'!J333)</f>
        <v>
</v>
      </c>
      <c r="F333" s="26" t="str">
        <f>'Ingest Template'!H333</f>
        <v/>
      </c>
      <c r="G333" s="21"/>
      <c r="H333" s="29"/>
      <c r="I333" s="21"/>
      <c r="J333" s="29" t="str">
        <f t="array" ref="J333">iF('Ingest Template'!A333="Standard","Pristine Brand",INDEX(DropDown!$M$2:$M$392,MATCH('Ingest Template'!E333,DropDown!$J$2:$J$392,0)))</f>
        <v>#N/A</v>
      </c>
      <c r="K333" s="21" t="str">
        <f>iF('Ingest Template'!A333="Standard",'Ingest Template'!K333&amp;CHAR(10)&amp;'Ingest Template'!L333,"Competitive View")</f>
        <v>Competitive View</v>
      </c>
      <c r="L333" s="29" t="s">
        <v>146</v>
      </c>
      <c r="M333" s="37" t="str">
        <f>'Ingest Template'!D333</f>
        <v/>
      </c>
      <c r="N333" s="21"/>
      <c r="O333" s="21"/>
      <c r="P333" s="21"/>
      <c r="Q333" s="21"/>
      <c r="R333" s="21" t="str">
        <f>'Ingest Template'!E333</f>
        <v/>
      </c>
      <c r="S333" s="29" t="s">
        <v>153</v>
      </c>
      <c r="T333" s="21" t="str">
        <f>'Ingest Template'!T333</f>
        <v/>
      </c>
      <c r="U333" s="21" t="str">
        <f>'Ingest Template'!S333</f>
        <v/>
      </c>
      <c r="V333" s="21" t="str">
        <f>LOWER(SUBSTITUTE(SUBSTITUTE(SUBSTITUTE(SUBSTITUTE(SUBSTITUTE('Ingest Template'!U333,"https:",""),"www.",""),"/",""),"?hl=en",""),"instagram.com",""))</f>
        <v/>
      </c>
      <c r="W333" s="41" t="str">
        <f t="array" ref="W333">IF('Ingest Template'!V333="",(INDEX(DropDown!$L$2:$L$392,MATCH('Ingest Template'!E333,DropDown!$J$2:$J$392,0))&amp;"|"&amp;'Ingest Template'!B333),(INDEX(DropDown!$L$2:$L$392,MATCH('Ingest Template'!E333,DropDown!$J$2:$J$392,0))&amp;"|"&amp;'Ingest Template'!B333)&amp;CHAR(10)&amp;'Ingest Template'!V333)</f>
        <v>#N/A</v>
      </c>
      <c r="X333" s="41" t="str">
        <f>'Ingest Template'!W333</f>
        <v/>
      </c>
      <c r="Y333" s="21" t="str">
        <f>SUBSTITUTE(SUBSTITUTE(SUBSTITUTE('Ingest Template'!X333,"http:",""),"https:",""),"/","")</f>
        <v/>
      </c>
      <c r="Z333" s="21" t="str">
        <f t="array" ref="Z333">IF('Ingest Template'!A333="Standard",(IF(ISBLANK('Ingest Template'!AA333),"", 'Ingest Template'!AA333&amp;"|DAR")),(IF(ISBLANK('Ingest Template'!AA333),"", 'Ingest Template'!AA333&amp;"|Film Ops")))</f>
        <v/>
      </c>
      <c r="AA333" s="21"/>
      <c r="AB333" s="21" t="str">
        <f>'Ingest Template'!M333</f>
        <v/>
      </c>
      <c r="AC333" s="21" t="str">
        <f>'Ingest Template'!Y333</f>
        <v/>
      </c>
      <c r="AD333" s="21" t="str">
        <f>'Ingest Template'!C333</f>
        <v/>
      </c>
      <c r="AE333" s="21" t="str">
        <f>'Ingest Template'!Z333</f>
        <v/>
      </c>
      <c r="AF333" s="29"/>
      <c r="AG333" s="21" t="str">
        <f t="array" ref="AG333">IF('Ingest Template'!A333="Standard",(CONCATENATE(IF(ISBLANK('Ingest Template'!O333),"", 'Ingest Template'!O333&amp;"|DAR"),CHAR(10), IF(ISBLANK('Ingest Template'!P333),"", 'Ingest Template'!P333&amp;"|DAR"),CHAR(10), IF(ISBLANK('Ingest Template'!Q333),"", 'Ingest Template'!Q333&amp;"|DAR"))),(CONCATENATE(IF(ISBLANK('Ingest Template'!O333),"", 'Ingest Template'!O333&amp;"|Operations - Core Title"),CHAR(10), IF(ISBLANK('Ingest Template'!P333),"", 'Ingest Template'!P333&amp;"|Operations - Core Title"),CHAR(10), IF(ISBLANK('Ingest Template'!Q333),"", 'Ingest Template'!Q333&amp;"|Operations - Core Title"))))</f>
        <v>#|Operations - Core Title
#|Operations - Core Title
</v>
      </c>
      <c r="AH333" s="21"/>
      <c r="AI333" s="21"/>
      <c r="AJ333" s="53" t="str">
        <f>if('Ingest Template'!A333="Standard",'Ingest Template'!N333&amp; "|DAR|DAR|2021-01-01",'Ingest Template'!N333&amp; "|Operations - Core Title|Operations - Core Title")</f>
        <v>#N/A</v>
      </c>
      <c r="AK333" s="53" t="str">
        <f>if('Ingest Template'!A333="Standard",'Ingest Template'!R333&amp; "|2021-01-01",'Ingest Template'!R333)</f>
        <v>#N/A</v>
      </c>
      <c r="AL333" s="21"/>
      <c r="AM333" s="21"/>
    </row>
    <row r="334">
      <c r="A334" s="21"/>
      <c r="B334" s="21" t="str">
        <f>'Ingest Template'!B334&amp;IF('Ingest Template'!A334 = "Standard", " - DAR","")</f>
        <v/>
      </c>
      <c r="C334" s="26" t="s">
        <v>109</v>
      </c>
      <c r="D334" s="29" t="str">
        <f t="array" ref="D334">CONCATENATE(INDEX(DropDown!$H$2:$H$10,MATCH(1,COUNTIF('Ingest Template'!F334,"*"&amp;DropDown!$H$2:$H$10&amp;"*"),0)),CHAR(10),'Ingest Template'!G334)</f>
        <v>#N/A</v>
      </c>
      <c r="E334" s="21" t="str">
        <f>CONCATENATE('Ingest Template'!H334,CHAR(10),'Ingest Template'!I334,CHAR(10),'Ingest Template'!J334)</f>
        <v>
</v>
      </c>
      <c r="F334" s="26" t="str">
        <f>'Ingest Template'!H334</f>
        <v/>
      </c>
      <c r="G334" s="21"/>
      <c r="H334" s="29"/>
      <c r="I334" s="21"/>
      <c r="J334" s="29" t="str">
        <f t="array" ref="J334">iF('Ingest Template'!A334="Standard","Pristine Brand",INDEX(DropDown!$M$2:$M$392,MATCH('Ingest Template'!E334,DropDown!$J$2:$J$392,0)))</f>
        <v>#N/A</v>
      </c>
      <c r="K334" s="21" t="str">
        <f>iF('Ingest Template'!A334="Standard",'Ingest Template'!K334&amp;CHAR(10)&amp;'Ingest Template'!L334,"Competitive View")</f>
        <v>Competitive View</v>
      </c>
      <c r="L334" s="29" t="s">
        <v>146</v>
      </c>
      <c r="M334" s="37" t="str">
        <f>'Ingest Template'!D334</f>
        <v/>
      </c>
      <c r="N334" s="21"/>
      <c r="O334" s="21"/>
      <c r="P334" s="21"/>
      <c r="Q334" s="21"/>
      <c r="R334" s="21" t="str">
        <f>'Ingest Template'!E334</f>
        <v/>
      </c>
      <c r="S334" s="29" t="s">
        <v>153</v>
      </c>
      <c r="T334" s="21" t="str">
        <f>'Ingest Template'!T334</f>
        <v/>
      </c>
      <c r="U334" s="21" t="str">
        <f>'Ingest Template'!S334</f>
        <v/>
      </c>
      <c r="V334" s="21" t="str">
        <f>LOWER(SUBSTITUTE(SUBSTITUTE(SUBSTITUTE(SUBSTITUTE(SUBSTITUTE('Ingest Template'!U334,"https:",""),"www.",""),"/",""),"?hl=en",""),"instagram.com",""))</f>
        <v/>
      </c>
      <c r="W334" s="41" t="str">
        <f t="array" ref="W334">IF('Ingest Template'!V334="",(INDEX(DropDown!$L$2:$L$392,MATCH('Ingest Template'!E334,DropDown!$J$2:$J$392,0))&amp;"|"&amp;'Ingest Template'!B334),(INDEX(DropDown!$L$2:$L$392,MATCH('Ingest Template'!E334,DropDown!$J$2:$J$392,0))&amp;"|"&amp;'Ingest Template'!B334)&amp;CHAR(10)&amp;'Ingest Template'!V334)</f>
        <v>#N/A</v>
      </c>
      <c r="X334" s="41" t="str">
        <f>'Ingest Template'!W334</f>
        <v/>
      </c>
      <c r="Y334" s="21" t="str">
        <f>SUBSTITUTE(SUBSTITUTE(SUBSTITUTE('Ingest Template'!X334,"http:",""),"https:",""),"/","")</f>
        <v/>
      </c>
      <c r="Z334" s="21" t="str">
        <f t="array" ref="Z334">IF('Ingest Template'!A334="Standard",(IF(ISBLANK('Ingest Template'!AA334),"", 'Ingest Template'!AA334&amp;"|DAR")),(IF(ISBLANK('Ingest Template'!AA334),"", 'Ingest Template'!AA334&amp;"|Film Ops")))</f>
        <v/>
      </c>
      <c r="AA334" s="21"/>
      <c r="AB334" s="21" t="str">
        <f>'Ingest Template'!M334</f>
        <v/>
      </c>
      <c r="AC334" s="21" t="str">
        <f>'Ingest Template'!Y334</f>
        <v/>
      </c>
      <c r="AD334" s="21" t="str">
        <f>'Ingest Template'!C334</f>
        <v/>
      </c>
      <c r="AE334" s="21" t="str">
        <f>'Ingest Template'!Z334</f>
        <v/>
      </c>
      <c r="AF334" s="29"/>
      <c r="AG334" s="21" t="str">
        <f t="array" ref="AG334">IF('Ingest Template'!A334="Standard",(CONCATENATE(IF(ISBLANK('Ingest Template'!O334),"", 'Ingest Template'!O334&amp;"|DAR"),CHAR(10), IF(ISBLANK('Ingest Template'!P334),"", 'Ingest Template'!P334&amp;"|DAR"),CHAR(10), IF(ISBLANK('Ingest Template'!Q334),"", 'Ingest Template'!Q334&amp;"|DAR"))),(CONCATENATE(IF(ISBLANK('Ingest Template'!O334),"", 'Ingest Template'!O334&amp;"|Operations - Core Title"),CHAR(10), IF(ISBLANK('Ingest Template'!P334),"", 'Ingest Template'!P334&amp;"|Operations - Core Title"),CHAR(10), IF(ISBLANK('Ingest Template'!Q334),"", 'Ingest Template'!Q334&amp;"|Operations - Core Title"))))</f>
        <v>#|Operations - Core Title
#|Operations - Core Title
</v>
      </c>
      <c r="AH334" s="21"/>
      <c r="AI334" s="21"/>
      <c r="AJ334" s="53" t="str">
        <f>if('Ingest Template'!A334="Standard",'Ingest Template'!N334&amp; "|DAR|DAR|2021-01-01",'Ingest Template'!N334&amp; "|Operations - Core Title|Operations - Core Title")</f>
        <v>#N/A</v>
      </c>
      <c r="AK334" s="53" t="str">
        <f>if('Ingest Template'!A334="Standard",'Ingest Template'!R334&amp; "|2021-01-01",'Ingest Template'!R334)</f>
        <v>#N/A</v>
      </c>
      <c r="AL334" s="21"/>
      <c r="AM334" s="21"/>
    </row>
    <row r="335">
      <c r="A335" s="21"/>
      <c r="B335" s="21" t="str">
        <f>'Ingest Template'!B335&amp;IF('Ingest Template'!A335 = "Standard", " - DAR","")</f>
        <v/>
      </c>
      <c r="C335" s="26" t="s">
        <v>109</v>
      </c>
      <c r="D335" s="29" t="str">
        <f t="array" ref="D335">CONCATENATE(INDEX(DropDown!$H$2:$H$10,MATCH(1,COUNTIF('Ingest Template'!F335,"*"&amp;DropDown!$H$2:$H$10&amp;"*"),0)),CHAR(10),'Ingest Template'!G335)</f>
        <v>#N/A</v>
      </c>
      <c r="E335" s="21" t="str">
        <f>CONCATENATE('Ingest Template'!H335,CHAR(10),'Ingest Template'!I335,CHAR(10),'Ingest Template'!J335)</f>
        <v>
</v>
      </c>
      <c r="F335" s="26" t="str">
        <f>'Ingest Template'!H335</f>
        <v/>
      </c>
      <c r="G335" s="21"/>
      <c r="H335" s="29"/>
      <c r="I335" s="21"/>
      <c r="J335" s="29" t="str">
        <f t="array" ref="J335">iF('Ingest Template'!A335="Standard","Pristine Brand",INDEX(DropDown!$M$2:$M$392,MATCH('Ingest Template'!E335,DropDown!$J$2:$J$392,0)))</f>
        <v>#N/A</v>
      </c>
      <c r="K335" s="21" t="str">
        <f>iF('Ingest Template'!A335="Standard",'Ingest Template'!K335&amp;CHAR(10)&amp;'Ingest Template'!L335,"Competitive View")</f>
        <v>Competitive View</v>
      </c>
      <c r="L335" s="29" t="s">
        <v>146</v>
      </c>
      <c r="M335" s="37" t="str">
        <f>'Ingest Template'!D335</f>
        <v/>
      </c>
      <c r="N335" s="21"/>
      <c r="O335" s="21"/>
      <c r="P335" s="21"/>
      <c r="Q335" s="21"/>
      <c r="R335" s="21" t="str">
        <f>'Ingest Template'!E335</f>
        <v/>
      </c>
      <c r="S335" s="29" t="s">
        <v>153</v>
      </c>
      <c r="T335" s="21" t="str">
        <f>'Ingest Template'!T335</f>
        <v/>
      </c>
      <c r="U335" s="21" t="str">
        <f>'Ingest Template'!S335</f>
        <v/>
      </c>
      <c r="V335" s="21" t="str">
        <f>LOWER(SUBSTITUTE(SUBSTITUTE(SUBSTITUTE(SUBSTITUTE(SUBSTITUTE('Ingest Template'!U335,"https:",""),"www.",""),"/",""),"?hl=en",""),"instagram.com",""))</f>
        <v/>
      </c>
      <c r="W335" s="41" t="str">
        <f t="array" ref="W335">IF('Ingest Template'!V335="",(INDEX(DropDown!$L$2:$L$392,MATCH('Ingest Template'!E335,DropDown!$J$2:$J$392,0))&amp;"|"&amp;'Ingest Template'!B335),(INDEX(DropDown!$L$2:$L$392,MATCH('Ingest Template'!E335,DropDown!$J$2:$J$392,0))&amp;"|"&amp;'Ingest Template'!B335)&amp;CHAR(10)&amp;'Ingest Template'!V335)</f>
        <v>#N/A</v>
      </c>
      <c r="X335" s="41" t="str">
        <f>'Ingest Template'!W335</f>
        <v/>
      </c>
      <c r="Y335" s="21" t="str">
        <f>SUBSTITUTE(SUBSTITUTE(SUBSTITUTE('Ingest Template'!X335,"http:",""),"https:",""),"/","")</f>
        <v/>
      </c>
      <c r="Z335" s="21" t="str">
        <f t="array" ref="Z335">IF('Ingest Template'!A335="Standard",(IF(ISBLANK('Ingest Template'!AA335),"", 'Ingest Template'!AA335&amp;"|DAR")),(IF(ISBLANK('Ingest Template'!AA335),"", 'Ingest Template'!AA335&amp;"|Film Ops")))</f>
        <v/>
      </c>
      <c r="AA335" s="21"/>
      <c r="AB335" s="21" t="str">
        <f>'Ingest Template'!M335</f>
        <v/>
      </c>
      <c r="AC335" s="21" t="str">
        <f>'Ingest Template'!Y335</f>
        <v/>
      </c>
      <c r="AD335" s="21" t="str">
        <f>'Ingest Template'!C335</f>
        <v/>
      </c>
      <c r="AE335" s="21" t="str">
        <f>'Ingest Template'!Z335</f>
        <v/>
      </c>
      <c r="AF335" s="29"/>
      <c r="AG335" s="21" t="str">
        <f t="array" ref="AG335">IF('Ingest Template'!A335="Standard",(CONCATENATE(IF(ISBLANK('Ingest Template'!O335),"", 'Ingest Template'!O335&amp;"|DAR"),CHAR(10), IF(ISBLANK('Ingest Template'!P335),"", 'Ingest Template'!P335&amp;"|DAR"),CHAR(10), IF(ISBLANK('Ingest Template'!Q335),"", 'Ingest Template'!Q335&amp;"|DAR"))),(CONCATENATE(IF(ISBLANK('Ingest Template'!O335),"", 'Ingest Template'!O335&amp;"|Operations - Core Title"),CHAR(10), IF(ISBLANK('Ingest Template'!P335),"", 'Ingest Template'!P335&amp;"|Operations - Core Title"),CHAR(10), IF(ISBLANK('Ingest Template'!Q335),"", 'Ingest Template'!Q335&amp;"|Operations - Core Title"))))</f>
        <v>#|Operations - Core Title
#|Operations - Core Title
</v>
      </c>
      <c r="AH335" s="21"/>
      <c r="AI335" s="21"/>
      <c r="AJ335" s="53" t="str">
        <f>if('Ingest Template'!A335="Standard",'Ingest Template'!N335&amp; "|DAR|DAR|2021-01-01",'Ingest Template'!N335&amp; "|Operations - Core Title|Operations - Core Title")</f>
        <v>#N/A</v>
      </c>
      <c r="AK335" s="53" t="str">
        <f>if('Ingest Template'!A335="Standard",'Ingest Template'!R335&amp; "|2021-01-01",'Ingest Template'!R335)</f>
        <v>#N/A</v>
      </c>
      <c r="AL335" s="21"/>
      <c r="AM335" s="21"/>
    </row>
    <row r="336">
      <c r="A336" s="21"/>
      <c r="B336" s="21" t="str">
        <f>'Ingest Template'!B336&amp;IF('Ingest Template'!A336 = "Standard", " - DAR","")</f>
        <v/>
      </c>
      <c r="C336" s="26" t="s">
        <v>109</v>
      </c>
      <c r="D336" s="29" t="str">
        <f t="array" ref="D336">CONCATENATE(INDEX(DropDown!$H$2:$H$10,MATCH(1,COUNTIF('Ingest Template'!F336,"*"&amp;DropDown!$H$2:$H$10&amp;"*"),0)),CHAR(10),'Ingest Template'!G336)</f>
        <v>#N/A</v>
      </c>
      <c r="E336" s="21" t="str">
        <f>CONCATENATE('Ingest Template'!H336,CHAR(10),'Ingest Template'!I336,CHAR(10),'Ingest Template'!J336)</f>
        <v>
</v>
      </c>
      <c r="F336" s="26" t="str">
        <f>'Ingest Template'!H336</f>
        <v/>
      </c>
      <c r="G336" s="21"/>
      <c r="H336" s="29"/>
      <c r="I336" s="21"/>
      <c r="J336" s="29" t="str">
        <f t="array" ref="J336">iF('Ingest Template'!A336="Standard","Pristine Brand",INDEX(DropDown!$M$2:$M$392,MATCH('Ingest Template'!E336,DropDown!$J$2:$J$392,0)))</f>
        <v>#N/A</v>
      </c>
      <c r="K336" s="21" t="str">
        <f>iF('Ingest Template'!A336="Standard",'Ingest Template'!K336&amp;CHAR(10)&amp;'Ingest Template'!L336,"Competitive View")</f>
        <v>Competitive View</v>
      </c>
      <c r="L336" s="29" t="s">
        <v>146</v>
      </c>
      <c r="M336" s="37" t="str">
        <f>'Ingest Template'!D336</f>
        <v/>
      </c>
      <c r="N336" s="21"/>
      <c r="O336" s="21"/>
      <c r="P336" s="21"/>
      <c r="Q336" s="21"/>
      <c r="R336" s="21" t="str">
        <f>'Ingest Template'!E336</f>
        <v/>
      </c>
      <c r="S336" s="29" t="s">
        <v>153</v>
      </c>
      <c r="T336" s="21" t="str">
        <f>'Ingest Template'!T336</f>
        <v/>
      </c>
      <c r="U336" s="21" t="str">
        <f>'Ingest Template'!S336</f>
        <v/>
      </c>
      <c r="V336" s="21" t="str">
        <f>LOWER(SUBSTITUTE(SUBSTITUTE(SUBSTITUTE(SUBSTITUTE(SUBSTITUTE('Ingest Template'!U336,"https:",""),"www.",""),"/",""),"?hl=en",""),"instagram.com",""))</f>
        <v/>
      </c>
      <c r="W336" s="41" t="str">
        <f t="array" ref="W336">IF('Ingest Template'!V336="",(INDEX(DropDown!$L$2:$L$392,MATCH('Ingest Template'!E336,DropDown!$J$2:$J$392,0))&amp;"|"&amp;'Ingest Template'!B336),(INDEX(DropDown!$L$2:$L$392,MATCH('Ingest Template'!E336,DropDown!$J$2:$J$392,0))&amp;"|"&amp;'Ingest Template'!B336)&amp;CHAR(10)&amp;'Ingest Template'!V336)</f>
        <v>#N/A</v>
      </c>
      <c r="X336" s="41" t="str">
        <f>'Ingest Template'!W336</f>
        <v/>
      </c>
      <c r="Y336" s="21" t="str">
        <f>SUBSTITUTE(SUBSTITUTE(SUBSTITUTE('Ingest Template'!X336,"http:",""),"https:",""),"/","")</f>
        <v/>
      </c>
      <c r="Z336" s="21" t="str">
        <f t="array" ref="Z336">IF('Ingest Template'!A336="Standard",(IF(ISBLANK('Ingest Template'!AA336),"", 'Ingest Template'!AA336&amp;"|DAR")),(IF(ISBLANK('Ingest Template'!AA336),"", 'Ingest Template'!AA336&amp;"|Film Ops")))</f>
        <v/>
      </c>
      <c r="AA336" s="21"/>
      <c r="AB336" s="21" t="str">
        <f>'Ingest Template'!M336</f>
        <v/>
      </c>
      <c r="AC336" s="21" t="str">
        <f>'Ingest Template'!Y336</f>
        <v/>
      </c>
      <c r="AD336" s="21" t="str">
        <f>'Ingest Template'!C336</f>
        <v/>
      </c>
      <c r="AE336" s="21" t="str">
        <f>'Ingest Template'!Z336</f>
        <v/>
      </c>
      <c r="AF336" s="29"/>
      <c r="AG336" s="21" t="str">
        <f t="array" ref="AG336">IF('Ingest Template'!A336="Standard",(CONCATENATE(IF(ISBLANK('Ingest Template'!O336),"", 'Ingest Template'!O336&amp;"|DAR"),CHAR(10), IF(ISBLANK('Ingest Template'!P336),"", 'Ingest Template'!P336&amp;"|DAR"),CHAR(10), IF(ISBLANK('Ingest Template'!Q336),"", 'Ingest Template'!Q336&amp;"|DAR"))),(CONCATENATE(IF(ISBLANK('Ingest Template'!O336),"", 'Ingest Template'!O336&amp;"|Operations - Core Title"),CHAR(10), IF(ISBLANK('Ingest Template'!P336),"", 'Ingest Template'!P336&amp;"|Operations - Core Title"),CHAR(10), IF(ISBLANK('Ingest Template'!Q336),"", 'Ingest Template'!Q336&amp;"|Operations - Core Title"))))</f>
        <v>#|Operations - Core Title
#|Operations - Core Title
</v>
      </c>
      <c r="AH336" s="21"/>
      <c r="AI336" s="21"/>
      <c r="AJ336" s="53" t="str">
        <f>if('Ingest Template'!A336="Standard",'Ingest Template'!N336&amp; "|DAR|DAR|2021-01-01",'Ingest Template'!N336&amp; "|Operations - Core Title|Operations - Core Title")</f>
        <v>#N/A</v>
      </c>
      <c r="AK336" s="53" t="str">
        <f>if('Ingest Template'!A336="Standard",'Ingest Template'!R336&amp; "|2021-01-01",'Ingest Template'!R336)</f>
        <v>#N/A</v>
      </c>
      <c r="AL336" s="21"/>
      <c r="AM336" s="21"/>
    </row>
    <row r="337">
      <c r="A337" s="21"/>
      <c r="B337" s="21" t="str">
        <f>'Ingest Template'!B337&amp;IF('Ingest Template'!A337 = "Standard", " - DAR","")</f>
        <v/>
      </c>
      <c r="C337" s="26" t="s">
        <v>109</v>
      </c>
      <c r="D337" s="29" t="str">
        <f t="array" ref="D337">CONCATENATE(INDEX(DropDown!$H$2:$H$10,MATCH(1,COUNTIF('Ingest Template'!F337,"*"&amp;DropDown!$H$2:$H$10&amp;"*"),0)),CHAR(10),'Ingest Template'!G337)</f>
        <v>#N/A</v>
      </c>
      <c r="E337" s="21" t="str">
        <f>CONCATENATE('Ingest Template'!H337,CHAR(10),'Ingest Template'!I337,CHAR(10),'Ingest Template'!J337)</f>
        <v>
</v>
      </c>
      <c r="F337" s="26" t="str">
        <f>'Ingest Template'!H337</f>
        <v/>
      </c>
      <c r="G337" s="21"/>
      <c r="H337" s="29"/>
      <c r="I337" s="21"/>
      <c r="J337" s="29" t="str">
        <f t="array" ref="J337">iF('Ingest Template'!A337="Standard","Pristine Brand",INDEX(DropDown!$M$2:$M$392,MATCH('Ingest Template'!E337,DropDown!$J$2:$J$392,0)))</f>
        <v>#N/A</v>
      </c>
      <c r="K337" s="21" t="str">
        <f>iF('Ingest Template'!A337="Standard",'Ingest Template'!K337&amp;CHAR(10)&amp;'Ingest Template'!L337,"Competitive View")</f>
        <v>Competitive View</v>
      </c>
      <c r="L337" s="29" t="s">
        <v>146</v>
      </c>
      <c r="M337" s="37" t="str">
        <f>'Ingest Template'!D337</f>
        <v/>
      </c>
      <c r="N337" s="21"/>
      <c r="O337" s="21"/>
      <c r="P337" s="21"/>
      <c r="Q337" s="21"/>
      <c r="R337" s="21" t="str">
        <f>'Ingest Template'!E337</f>
        <v/>
      </c>
      <c r="S337" s="29" t="s">
        <v>153</v>
      </c>
      <c r="T337" s="21" t="str">
        <f>'Ingest Template'!T337</f>
        <v/>
      </c>
      <c r="U337" s="21" t="str">
        <f>'Ingest Template'!S337</f>
        <v/>
      </c>
      <c r="V337" s="21" t="str">
        <f>LOWER(SUBSTITUTE(SUBSTITUTE(SUBSTITUTE(SUBSTITUTE(SUBSTITUTE('Ingest Template'!U337,"https:",""),"www.",""),"/",""),"?hl=en",""),"instagram.com",""))</f>
        <v/>
      </c>
      <c r="W337" s="41" t="str">
        <f t="array" ref="W337">IF('Ingest Template'!V337="",(INDEX(DropDown!$L$2:$L$392,MATCH('Ingest Template'!E337,DropDown!$J$2:$J$392,0))&amp;"|"&amp;'Ingest Template'!B337),(INDEX(DropDown!$L$2:$L$392,MATCH('Ingest Template'!E337,DropDown!$J$2:$J$392,0))&amp;"|"&amp;'Ingest Template'!B337)&amp;CHAR(10)&amp;'Ingest Template'!V337)</f>
        <v>#N/A</v>
      </c>
      <c r="X337" s="41" t="str">
        <f>'Ingest Template'!W337</f>
        <v/>
      </c>
      <c r="Y337" s="21" t="str">
        <f>SUBSTITUTE(SUBSTITUTE(SUBSTITUTE('Ingest Template'!X337,"http:",""),"https:",""),"/","")</f>
        <v/>
      </c>
      <c r="Z337" s="21" t="str">
        <f t="array" ref="Z337">IF('Ingest Template'!A337="Standard",(IF(ISBLANK('Ingest Template'!AA337),"", 'Ingest Template'!AA337&amp;"|DAR")),(IF(ISBLANK('Ingest Template'!AA337),"", 'Ingest Template'!AA337&amp;"|Film Ops")))</f>
        <v/>
      </c>
      <c r="AA337" s="21"/>
      <c r="AB337" s="21" t="str">
        <f>'Ingest Template'!M337</f>
        <v/>
      </c>
      <c r="AC337" s="21" t="str">
        <f>'Ingest Template'!Y337</f>
        <v/>
      </c>
      <c r="AD337" s="21" t="str">
        <f>'Ingest Template'!C337</f>
        <v/>
      </c>
      <c r="AE337" s="21" t="str">
        <f>'Ingest Template'!Z337</f>
        <v/>
      </c>
      <c r="AF337" s="29"/>
      <c r="AG337" s="21" t="str">
        <f t="array" ref="AG337">IF('Ingest Template'!A337="Standard",(CONCATENATE(IF(ISBLANK('Ingest Template'!O337),"", 'Ingest Template'!O337&amp;"|DAR"),CHAR(10), IF(ISBLANK('Ingest Template'!P337),"", 'Ingest Template'!P337&amp;"|DAR"),CHAR(10), IF(ISBLANK('Ingest Template'!Q337),"", 'Ingest Template'!Q337&amp;"|DAR"))),(CONCATENATE(IF(ISBLANK('Ingest Template'!O337),"", 'Ingest Template'!O337&amp;"|Operations - Core Title"),CHAR(10), IF(ISBLANK('Ingest Template'!P337),"", 'Ingest Template'!P337&amp;"|Operations - Core Title"),CHAR(10), IF(ISBLANK('Ingest Template'!Q337),"", 'Ingest Template'!Q337&amp;"|Operations - Core Title"))))</f>
        <v>#|Operations - Core Title
#|Operations - Core Title
</v>
      </c>
      <c r="AH337" s="21"/>
      <c r="AI337" s="21"/>
      <c r="AJ337" s="53" t="str">
        <f>if('Ingest Template'!A337="Standard",'Ingest Template'!N337&amp; "|DAR|DAR|2021-01-01",'Ingest Template'!N337&amp; "|Operations - Core Title|Operations - Core Title")</f>
        <v>#N/A</v>
      </c>
      <c r="AK337" s="53" t="str">
        <f>if('Ingest Template'!A337="Standard",'Ingest Template'!R337&amp; "|2021-01-01",'Ingest Template'!R337)</f>
        <v>#N/A</v>
      </c>
      <c r="AL337" s="21"/>
      <c r="AM337" s="21"/>
    </row>
    <row r="338">
      <c r="A338" s="21"/>
      <c r="B338" s="21" t="str">
        <f>'Ingest Template'!B338&amp;IF('Ingest Template'!A338 = "Standard", " - DAR","")</f>
        <v/>
      </c>
      <c r="C338" s="26" t="s">
        <v>109</v>
      </c>
      <c r="D338" s="29" t="str">
        <f t="array" ref="D338">CONCATENATE(INDEX(DropDown!$H$2:$H$10,MATCH(1,COUNTIF('Ingest Template'!F338,"*"&amp;DropDown!$H$2:$H$10&amp;"*"),0)),CHAR(10),'Ingest Template'!G338)</f>
        <v>#N/A</v>
      </c>
      <c r="E338" s="21" t="str">
        <f>CONCATENATE('Ingest Template'!H338,CHAR(10),'Ingest Template'!I338,CHAR(10),'Ingest Template'!J338)</f>
        <v>
</v>
      </c>
      <c r="F338" s="26" t="str">
        <f>'Ingest Template'!H338</f>
        <v/>
      </c>
      <c r="G338" s="21"/>
      <c r="H338" s="29"/>
      <c r="I338" s="21"/>
      <c r="J338" s="29" t="str">
        <f t="array" ref="J338">iF('Ingest Template'!A338="Standard","Pristine Brand",INDEX(DropDown!$M$2:$M$392,MATCH('Ingest Template'!E338,DropDown!$J$2:$J$392,0)))</f>
        <v>#N/A</v>
      </c>
      <c r="K338" s="21" t="str">
        <f>iF('Ingest Template'!A338="Standard",'Ingest Template'!K338&amp;CHAR(10)&amp;'Ingest Template'!L338,"Competitive View")</f>
        <v>Competitive View</v>
      </c>
      <c r="L338" s="29" t="s">
        <v>146</v>
      </c>
      <c r="M338" s="37" t="str">
        <f>'Ingest Template'!D338</f>
        <v/>
      </c>
      <c r="N338" s="21"/>
      <c r="O338" s="21"/>
      <c r="P338" s="21"/>
      <c r="Q338" s="21"/>
      <c r="R338" s="21" t="str">
        <f>'Ingest Template'!E338</f>
        <v/>
      </c>
      <c r="S338" s="29" t="s">
        <v>153</v>
      </c>
      <c r="T338" s="21" t="str">
        <f>'Ingest Template'!T338</f>
        <v/>
      </c>
      <c r="U338" s="21" t="str">
        <f>'Ingest Template'!S338</f>
        <v/>
      </c>
      <c r="V338" s="21" t="str">
        <f>LOWER(SUBSTITUTE(SUBSTITUTE(SUBSTITUTE(SUBSTITUTE(SUBSTITUTE('Ingest Template'!U338,"https:",""),"www.",""),"/",""),"?hl=en",""),"instagram.com",""))</f>
        <v/>
      </c>
      <c r="W338" s="41" t="str">
        <f t="array" ref="W338">IF('Ingest Template'!V338="",(INDEX(DropDown!$L$2:$L$392,MATCH('Ingest Template'!E338,DropDown!$J$2:$J$392,0))&amp;"|"&amp;'Ingest Template'!B338),(INDEX(DropDown!$L$2:$L$392,MATCH('Ingest Template'!E338,DropDown!$J$2:$J$392,0))&amp;"|"&amp;'Ingest Template'!B338)&amp;CHAR(10)&amp;'Ingest Template'!V338)</f>
        <v>#N/A</v>
      </c>
      <c r="X338" s="41" t="str">
        <f>'Ingest Template'!W338</f>
        <v/>
      </c>
      <c r="Y338" s="21" t="str">
        <f>SUBSTITUTE(SUBSTITUTE(SUBSTITUTE('Ingest Template'!X338,"http:",""),"https:",""),"/","")</f>
        <v/>
      </c>
      <c r="Z338" s="21" t="str">
        <f t="array" ref="Z338">IF('Ingest Template'!A338="Standard",(IF(ISBLANK('Ingest Template'!AA338),"", 'Ingest Template'!AA338&amp;"|DAR")),(IF(ISBLANK('Ingest Template'!AA338),"", 'Ingest Template'!AA338&amp;"|Film Ops")))</f>
        <v/>
      </c>
      <c r="AA338" s="21"/>
      <c r="AB338" s="21" t="str">
        <f>'Ingest Template'!M338</f>
        <v/>
      </c>
      <c r="AC338" s="21" t="str">
        <f>'Ingest Template'!Y338</f>
        <v/>
      </c>
      <c r="AD338" s="21" t="str">
        <f>'Ingest Template'!C338</f>
        <v/>
      </c>
      <c r="AE338" s="21" t="str">
        <f>'Ingest Template'!Z338</f>
        <v/>
      </c>
      <c r="AF338" s="29"/>
      <c r="AG338" s="21" t="str">
        <f t="array" ref="AG338">IF('Ingest Template'!A338="Standard",(CONCATENATE(IF(ISBLANK('Ingest Template'!O338),"", 'Ingest Template'!O338&amp;"|DAR"),CHAR(10), IF(ISBLANK('Ingest Template'!P338),"", 'Ingest Template'!P338&amp;"|DAR"),CHAR(10), IF(ISBLANK('Ingest Template'!Q338),"", 'Ingest Template'!Q338&amp;"|DAR"))),(CONCATENATE(IF(ISBLANK('Ingest Template'!O338),"", 'Ingest Template'!O338&amp;"|Operations - Core Title"),CHAR(10), IF(ISBLANK('Ingest Template'!P338),"", 'Ingest Template'!P338&amp;"|Operations - Core Title"),CHAR(10), IF(ISBLANK('Ingest Template'!Q338),"", 'Ingest Template'!Q338&amp;"|Operations - Core Title"))))</f>
        <v>#|Operations - Core Title
#|Operations - Core Title
</v>
      </c>
      <c r="AH338" s="21"/>
      <c r="AI338" s="21"/>
      <c r="AJ338" s="53" t="str">
        <f>if('Ingest Template'!A338="Standard",'Ingest Template'!N338&amp; "|DAR|DAR|2021-01-01",'Ingest Template'!N338&amp; "|Operations - Core Title|Operations - Core Title")</f>
        <v>#N/A</v>
      </c>
      <c r="AK338" s="53" t="str">
        <f>if('Ingest Template'!A338="Standard",'Ingest Template'!R338&amp; "|2021-01-01",'Ingest Template'!R338)</f>
        <v>#N/A</v>
      </c>
      <c r="AL338" s="21"/>
      <c r="AM338" s="21"/>
    </row>
    <row r="339">
      <c r="A339" s="21"/>
      <c r="B339" s="21" t="str">
        <f>'Ingest Template'!B339&amp;IF('Ingest Template'!A339 = "Standard", " - DAR","")</f>
        <v/>
      </c>
      <c r="C339" s="26" t="s">
        <v>109</v>
      </c>
      <c r="D339" s="29" t="str">
        <f t="array" ref="D339">CONCATENATE(INDEX(DropDown!$H$2:$H$10,MATCH(1,COUNTIF('Ingest Template'!F339,"*"&amp;DropDown!$H$2:$H$10&amp;"*"),0)),CHAR(10),'Ingest Template'!G339)</f>
        <v>#N/A</v>
      </c>
      <c r="E339" s="21" t="str">
        <f>CONCATENATE('Ingest Template'!H339,CHAR(10),'Ingest Template'!I339,CHAR(10),'Ingest Template'!J339)</f>
        <v>
</v>
      </c>
      <c r="F339" s="26" t="str">
        <f>'Ingest Template'!H339</f>
        <v/>
      </c>
      <c r="G339" s="21"/>
      <c r="H339" s="29"/>
      <c r="I339" s="21"/>
      <c r="J339" s="29" t="str">
        <f t="array" ref="J339">iF('Ingest Template'!A339="Standard","Pristine Brand",INDEX(DropDown!$M$2:$M$392,MATCH('Ingest Template'!E339,DropDown!$J$2:$J$392,0)))</f>
        <v>#N/A</v>
      </c>
      <c r="K339" s="21" t="str">
        <f>iF('Ingest Template'!A339="Standard",'Ingest Template'!K339&amp;CHAR(10)&amp;'Ingest Template'!L339,"Competitive View")</f>
        <v>Competitive View</v>
      </c>
      <c r="L339" s="29" t="s">
        <v>146</v>
      </c>
      <c r="M339" s="37" t="str">
        <f>'Ingest Template'!D339</f>
        <v/>
      </c>
      <c r="N339" s="21"/>
      <c r="O339" s="21"/>
      <c r="P339" s="21"/>
      <c r="Q339" s="21"/>
      <c r="R339" s="21" t="str">
        <f>'Ingest Template'!E339</f>
        <v/>
      </c>
      <c r="S339" s="29" t="s">
        <v>153</v>
      </c>
      <c r="T339" s="21" t="str">
        <f>'Ingest Template'!T339</f>
        <v/>
      </c>
      <c r="U339" s="21" t="str">
        <f>'Ingest Template'!S339</f>
        <v/>
      </c>
      <c r="V339" s="21" t="str">
        <f>LOWER(SUBSTITUTE(SUBSTITUTE(SUBSTITUTE(SUBSTITUTE(SUBSTITUTE('Ingest Template'!U339,"https:",""),"www.",""),"/",""),"?hl=en",""),"instagram.com",""))</f>
        <v/>
      </c>
      <c r="W339" s="41" t="str">
        <f t="array" ref="W339">IF('Ingest Template'!V339="",(INDEX(DropDown!$L$2:$L$392,MATCH('Ingest Template'!E339,DropDown!$J$2:$J$392,0))&amp;"|"&amp;'Ingest Template'!B339),(INDEX(DropDown!$L$2:$L$392,MATCH('Ingest Template'!E339,DropDown!$J$2:$J$392,0))&amp;"|"&amp;'Ingest Template'!B339)&amp;CHAR(10)&amp;'Ingest Template'!V339)</f>
        <v>#N/A</v>
      </c>
      <c r="X339" s="41" t="str">
        <f>'Ingest Template'!W339</f>
        <v/>
      </c>
      <c r="Y339" s="21" t="str">
        <f>SUBSTITUTE(SUBSTITUTE(SUBSTITUTE('Ingest Template'!X339,"http:",""),"https:",""),"/","")</f>
        <v/>
      </c>
      <c r="Z339" s="21" t="str">
        <f t="array" ref="Z339">IF('Ingest Template'!A339="Standard",(IF(ISBLANK('Ingest Template'!AA339),"", 'Ingest Template'!AA339&amp;"|DAR")),(IF(ISBLANK('Ingest Template'!AA339),"", 'Ingest Template'!AA339&amp;"|Film Ops")))</f>
        <v/>
      </c>
      <c r="AA339" s="21"/>
      <c r="AB339" s="21" t="str">
        <f>'Ingest Template'!M339</f>
        <v/>
      </c>
      <c r="AC339" s="21" t="str">
        <f>'Ingest Template'!Y339</f>
        <v/>
      </c>
      <c r="AD339" s="21" t="str">
        <f>'Ingest Template'!C339</f>
        <v/>
      </c>
      <c r="AE339" s="21" t="str">
        <f>'Ingest Template'!Z339</f>
        <v/>
      </c>
      <c r="AF339" s="29"/>
      <c r="AG339" s="21" t="str">
        <f t="array" ref="AG339">IF('Ingest Template'!A339="Standard",(CONCATENATE(IF(ISBLANK('Ingest Template'!O339),"", 'Ingest Template'!O339&amp;"|DAR"),CHAR(10), IF(ISBLANK('Ingest Template'!P339),"", 'Ingest Template'!P339&amp;"|DAR"),CHAR(10), IF(ISBLANK('Ingest Template'!Q339),"", 'Ingest Template'!Q339&amp;"|DAR"))),(CONCATENATE(IF(ISBLANK('Ingest Template'!O339),"", 'Ingest Template'!O339&amp;"|Operations - Core Title"),CHAR(10), IF(ISBLANK('Ingest Template'!P339),"", 'Ingest Template'!P339&amp;"|Operations - Core Title"),CHAR(10), IF(ISBLANK('Ingest Template'!Q339),"", 'Ingest Template'!Q339&amp;"|Operations - Core Title"))))</f>
        <v>#|Operations - Core Title
#|Operations - Core Title
</v>
      </c>
      <c r="AH339" s="21"/>
      <c r="AI339" s="21"/>
      <c r="AJ339" s="53" t="str">
        <f>if('Ingest Template'!A339="Standard",'Ingest Template'!N339&amp; "|DAR|DAR|2021-01-01",'Ingest Template'!N339&amp; "|Operations - Core Title|Operations - Core Title")</f>
        <v>#N/A</v>
      </c>
      <c r="AK339" s="53" t="str">
        <f>if('Ingest Template'!A339="Standard",'Ingest Template'!R339&amp; "|2021-01-01",'Ingest Template'!R339)</f>
        <v>#N/A</v>
      </c>
      <c r="AL339" s="21"/>
      <c r="AM339" s="21"/>
    </row>
    <row r="340">
      <c r="A340" s="21"/>
      <c r="B340" s="21" t="str">
        <f>'Ingest Template'!B340&amp;IF('Ingest Template'!A340 = "Standard", " - DAR","")</f>
        <v/>
      </c>
      <c r="C340" s="26" t="s">
        <v>109</v>
      </c>
      <c r="D340" s="29" t="str">
        <f t="array" ref="D340">CONCATENATE(INDEX(DropDown!$H$2:$H$10,MATCH(1,COUNTIF('Ingest Template'!F340,"*"&amp;DropDown!$H$2:$H$10&amp;"*"),0)),CHAR(10),'Ingest Template'!G340)</f>
        <v>#N/A</v>
      </c>
      <c r="E340" s="21" t="str">
        <f>CONCATENATE('Ingest Template'!H340,CHAR(10),'Ingest Template'!I340,CHAR(10),'Ingest Template'!J340)</f>
        <v>
</v>
      </c>
      <c r="F340" s="26" t="str">
        <f>'Ingest Template'!H340</f>
        <v/>
      </c>
      <c r="G340" s="21"/>
      <c r="H340" s="29"/>
      <c r="I340" s="21"/>
      <c r="J340" s="29" t="str">
        <f t="array" ref="J340">iF('Ingest Template'!A340="Standard","Pristine Brand",INDEX(DropDown!$M$2:$M$392,MATCH('Ingest Template'!E340,DropDown!$J$2:$J$392,0)))</f>
        <v>#N/A</v>
      </c>
      <c r="K340" s="21" t="str">
        <f>iF('Ingest Template'!A340="Standard",'Ingest Template'!K340&amp;CHAR(10)&amp;'Ingest Template'!L340,"Competitive View")</f>
        <v>Competitive View</v>
      </c>
      <c r="L340" s="29" t="s">
        <v>146</v>
      </c>
      <c r="M340" s="37" t="str">
        <f>'Ingest Template'!D340</f>
        <v/>
      </c>
      <c r="N340" s="21"/>
      <c r="O340" s="21"/>
      <c r="P340" s="21"/>
      <c r="Q340" s="21"/>
      <c r="R340" s="21" t="str">
        <f>'Ingest Template'!E340</f>
        <v/>
      </c>
      <c r="S340" s="29" t="s">
        <v>153</v>
      </c>
      <c r="T340" s="21" t="str">
        <f>'Ingest Template'!T340</f>
        <v/>
      </c>
      <c r="U340" s="21" t="str">
        <f>'Ingest Template'!S340</f>
        <v/>
      </c>
      <c r="V340" s="21" t="str">
        <f>LOWER(SUBSTITUTE(SUBSTITUTE(SUBSTITUTE(SUBSTITUTE(SUBSTITUTE('Ingest Template'!U340,"https:",""),"www.",""),"/",""),"?hl=en",""),"instagram.com",""))</f>
        <v/>
      </c>
      <c r="W340" s="41" t="str">
        <f t="array" ref="W340">IF('Ingest Template'!V340="",(INDEX(DropDown!$L$2:$L$392,MATCH('Ingest Template'!E340,DropDown!$J$2:$J$392,0))&amp;"|"&amp;'Ingest Template'!B340),(INDEX(DropDown!$L$2:$L$392,MATCH('Ingest Template'!E340,DropDown!$J$2:$J$392,0))&amp;"|"&amp;'Ingest Template'!B340)&amp;CHAR(10)&amp;'Ingest Template'!V340)</f>
        <v>#N/A</v>
      </c>
      <c r="X340" s="41" t="str">
        <f>'Ingest Template'!W340</f>
        <v/>
      </c>
      <c r="Y340" s="21" t="str">
        <f>SUBSTITUTE(SUBSTITUTE(SUBSTITUTE('Ingest Template'!X340,"http:",""),"https:",""),"/","")</f>
        <v/>
      </c>
      <c r="Z340" s="21" t="str">
        <f t="array" ref="Z340">IF('Ingest Template'!A340="Standard",(IF(ISBLANK('Ingest Template'!AA340),"", 'Ingest Template'!AA340&amp;"|DAR")),(IF(ISBLANK('Ingest Template'!AA340),"", 'Ingest Template'!AA340&amp;"|Film Ops")))</f>
        <v/>
      </c>
      <c r="AA340" s="21"/>
      <c r="AB340" s="21" t="str">
        <f>'Ingest Template'!M340</f>
        <v/>
      </c>
      <c r="AC340" s="21" t="str">
        <f>'Ingest Template'!Y340</f>
        <v/>
      </c>
      <c r="AD340" s="21" t="str">
        <f>'Ingest Template'!C340</f>
        <v/>
      </c>
      <c r="AE340" s="21" t="str">
        <f>'Ingest Template'!Z340</f>
        <v/>
      </c>
      <c r="AF340" s="29"/>
      <c r="AG340" s="21" t="str">
        <f t="array" ref="AG340">IF('Ingest Template'!A340="Standard",(CONCATENATE(IF(ISBLANK('Ingest Template'!O340),"", 'Ingest Template'!O340&amp;"|DAR"),CHAR(10), IF(ISBLANK('Ingest Template'!P340),"", 'Ingest Template'!P340&amp;"|DAR"),CHAR(10), IF(ISBLANK('Ingest Template'!Q340),"", 'Ingest Template'!Q340&amp;"|DAR"))),(CONCATENATE(IF(ISBLANK('Ingest Template'!O340),"", 'Ingest Template'!O340&amp;"|Operations - Core Title"),CHAR(10), IF(ISBLANK('Ingest Template'!P340),"", 'Ingest Template'!P340&amp;"|Operations - Core Title"),CHAR(10), IF(ISBLANK('Ingest Template'!Q340),"", 'Ingest Template'!Q340&amp;"|Operations - Core Title"))))</f>
        <v>#|Operations - Core Title
#|Operations - Core Title
</v>
      </c>
      <c r="AH340" s="21"/>
      <c r="AI340" s="21"/>
      <c r="AJ340" s="53" t="str">
        <f>if('Ingest Template'!A340="Standard",'Ingest Template'!N340&amp; "|DAR|DAR|2021-01-01",'Ingest Template'!N340&amp; "|Operations - Core Title|Operations - Core Title")</f>
        <v>#N/A</v>
      </c>
      <c r="AK340" s="53" t="str">
        <f>if('Ingest Template'!A340="Standard",'Ingest Template'!R340&amp; "|2021-01-01",'Ingest Template'!R340)</f>
        <v>#N/A</v>
      </c>
      <c r="AL340" s="21"/>
      <c r="AM340" s="21"/>
    </row>
    <row r="341">
      <c r="A341" s="21"/>
      <c r="B341" s="21" t="str">
        <f>'Ingest Template'!B341&amp;IF('Ingest Template'!A341 = "Standard", " - DAR","")</f>
        <v/>
      </c>
      <c r="C341" s="26" t="s">
        <v>109</v>
      </c>
      <c r="D341" s="29" t="str">
        <f t="array" ref="D341">CONCATENATE(INDEX(DropDown!$H$2:$H$10,MATCH(1,COUNTIF('Ingest Template'!F341,"*"&amp;DropDown!$H$2:$H$10&amp;"*"),0)),CHAR(10),'Ingest Template'!G341)</f>
        <v>#N/A</v>
      </c>
      <c r="E341" s="21" t="str">
        <f>CONCATENATE('Ingest Template'!H341,CHAR(10),'Ingest Template'!I341,CHAR(10),'Ingest Template'!J341)</f>
        <v>
</v>
      </c>
      <c r="F341" s="26" t="str">
        <f>'Ingest Template'!H341</f>
        <v/>
      </c>
      <c r="G341" s="21"/>
      <c r="H341" s="29"/>
      <c r="I341" s="21"/>
      <c r="J341" s="29" t="str">
        <f t="array" ref="J341">iF('Ingest Template'!A341="Standard","Pristine Brand",INDEX(DropDown!$M$2:$M$392,MATCH('Ingest Template'!E341,DropDown!$J$2:$J$392,0)))</f>
        <v>#N/A</v>
      </c>
      <c r="K341" s="21" t="str">
        <f>iF('Ingest Template'!A341="Standard",'Ingest Template'!K341&amp;CHAR(10)&amp;'Ingest Template'!L341,"Competitive View")</f>
        <v>Competitive View</v>
      </c>
      <c r="L341" s="29" t="s">
        <v>146</v>
      </c>
      <c r="M341" s="37" t="str">
        <f>'Ingest Template'!D341</f>
        <v/>
      </c>
      <c r="N341" s="21"/>
      <c r="O341" s="21"/>
      <c r="P341" s="21"/>
      <c r="Q341" s="21"/>
      <c r="R341" s="21" t="str">
        <f>'Ingest Template'!E341</f>
        <v/>
      </c>
      <c r="S341" s="29" t="s">
        <v>153</v>
      </c>
      <c r="T341" s="21" t="str">
        <f>'Ingest Template'!T341</f>
        <v/>
      </c>
      <c r="U341" s="21" t="str">
        <f>'Ingest Template'!S341</f>
        <v/>
      </c>
      <c r="V341" s="21" t="str">
        <f>LOWER(SUBSTITUTE(SUBSTITUTE(SUBSTITUTE(SUBSTITUTE(SUBSTITUTE('Ingest Template'!U341,"https:",""),"www.",""),"/",""),"?hl=en",""),"instagram.com",""))</f>
        <v/>
      </c>
      <c r="W341" s="41" t="str">
        <f t="array" ref="W341">IF('Ingest Template'!V341="",(INDEX(DropDown!$L$2:$L$392,MATCH('Ingest Template'!E341,DropDown!$J$2:$J$392,0))&amp;"|"&amp;'Ingest Template'!B341),(INDEX(DropDown!$L$2:$L$392,MATCH('Ingest Template'!E341,DropDown!$J$2:$J$392,0))&amp;"|"&amp;'Ingest Template'!B341)&amp;CHAR(10)&amp;'Ingest Template'!V341)</f>
        <v>#N/A</v>
      </c>
      <c r="X341" s="41" t="str">
        <f>'Ingest Template'!W341</f>
        <v/>
      </c>
      <c r="Y341" s="21" t="str">
        <f>SUBSTITUTE(SUBSTITUTE(SUBSTITUTE('Ingest Template'!X341,"http:",""),"https:",""),"/","")</f>
        <v/>
      </c>
      <c r="Z341" s="21" t="str">
        <f t="array" ref="Z341">IF('Ingest Template'!A341="Standard",(IF(ISBLANK('Ingest Template'!AA341),"", 'Ingest Template'!AA341&amp;"|DAR")),(IF(ISBLANK('Ingest Template'!AA341),"", 'Ingest Template'!AA341&amp;"|Film Ops")))</f>
        <v/>
      </c>
      <c r="AA341" s="21"/>
      <c r="AB341" s="21" t="str">
        <f>'Ingest Template'!M341</f>
        <v/>
      </c>
      <c r="AC341" s="21" t="str">
        <f>'Ingest Template'!Y341</f>
        <v/>
      </c>
      <c r="AD341" s="21" t="str">
        <f>'Ingest Template'!C341</f>
        <v/>
      </c>
      <c r="AE341" s="21" t="str">
        <f>'Ingest Template'!Z341</f>
        <v/>
      </c>
      <c r="AF341" s="29"/>
      <c r="AG341" s="21" t="str">
        <f t="array" ref="AG341">IF('Ingest Template'!A341="Standard",(CONCATENATE(IF(ISBLANK('Ingest Template'!O341),"", 'Ingest Template'!O341&amp;"|DAR"),CHAR(10), IF(ISBLANK('Ingest Template'!P341),"", 'Ingest Template'!P341&amp;"|DAR"),CHAR(10), IF(ISBLANK('Ingest Template'!Q341),"", 'Ingest Template'!Q341&amp;"|DAR"))),(CONCATENATE(IF(ISBLANK('Ingest Template'!O341),"", 'Ingest Template'!O341&amp;"|Operations - Core Title"),CHAR(10), IF(ISBLANK('Ingest Template'!P341),"", 'Ingest Template'!P341&amp;"|Operations - Core Title"),CHAR(10), IF(ISBLANK('Ingest Template'!Q341),"", 'Ingest Template'!Q341&amp;"|Operations - Core Title"))))</f>
        <v>#|Operations - Core Title
#|Operations - Core Title
</v>
      </c>
      <c r="AH341" s="21"/>
      <c r="AI341" s="21"/>
      <c r="AJ341" s="53" t="str">
        <f>if('Ingest Template'!A341="Standard",'Ingest Template'!N341&amp; "|DAR|DAR|2021-01-01",'Ingest Template'!N341&amp; "|Operations - Core Title|Operations - Core Title")</f>
        <v>#N/A</v>
      </c>
      <c r="AK341" s="53" t="str">
        <f>if('Ingest Template'!A341="Standard",'Ingest Template'!R341&amp; "|2021-01-01",'Ingest Template'!R341)</f>
        <v>#N/A</v>
      </c>
      <c r="AL341" s="21"/>
      <c r="AM341" s="21"/>
    </row>
    <row r="342">
      <c r="A342" s="21"/>
      <c r="B342" s="21" t="str">
        <f>'Ingest Template'!B342&amp;IF('Ingest Template'!A342 = "Standard", " - DAR","")</f>
        <v/>
      </c>
      <c r="C342" s="26" t="s">
        <v>109</v>
      </c>
      <c r="D342" s="29" t="str">
        <f t="array" ref="D342">CONCATENATE(INDEX(DropDown!$H$2:$H$10,MATCH(1,COUNTIF('Ingest Template'!F342,"*"&amp;DropDown!$H$2:$H$10&amp;"*"),0)),CHAR(10),'Ingest Template'!G342)</f>
        <v>#N/A</v>
      </c>
      <c r="E342" s="21" t="str">
        <f>CONCATENATE('Ingest Template'!H342,CHAR(10),'Ingest Template'!I342,CHAR(10),'Ingest Template'!J342)</f>
        <v>
</v>
      </c>
      <c r="F342" s="26" t="str">
        <f>'Ingest Template'!H342</f>
        <v/>
      </c>
      <c r="G342" s="21"/>
      <c r="H342" s="29"/>
      <c r="I342" s="21"/>
      <c r="J342" s="29" t="str">
        <f t="array" ref="J342">iF('Ingest Template'!A342="Standard","Pristine Brand",INDEX(DropDown!$M$2:$M$392,MATCH('Ingest Template'!E342,DropDown!$J$2:$J$392,0)))</f>
        <v>#N/A</v>
      </c>
      <c r="K342" s="21" t="str">
        <f>iF('Ingest Template'!A342="Standard",'Ingest Template'!K342&amp;CHAR(10)&amp;'Ingest Template'!L342,"Competitive View")</f>
        <v>Competitive View</v>
      </c>
      <c r="L342" s="29" t="s">
        <v>146</v>
      </c>
      <c r="M342" s="37" t="str">
        <f>'Ingest Template'!D342</f>
        <v/>
      </c>
      <c r="N342" s="21"/>
      <c r="O342" s="21"/>
      <c r="P342" s="21"/>
      <c r="Q342" s="21"/>
      <c r="R342" s="21" t="str">
        <f>'Ingest Template'!E342</f>
        <v/>
      </c>
      <c r="S342" s="29" t="s">
        <v>153</v>
      </c>
      <c r="T342" s="21" t="str">
        <f>'Ingest Template'!T342</f>
        <v/>
      </c>
      <c r="U342" s="21" t="str">
        <f>'Ingest Template'!S342</f>
        <v/>
      </c>
      <c r="V342" s="21" t="str">
        <f>LOWER(SUBSTITUTE(SUBSTITUTE(SUBSTITUTE(SUBSTITUTE(SUBSTITUTE('Ingest Template'!U342,"https:",""),"www.",""),"/",""),"?hl=en",""),"instagram.com",""))</f>
        <v/>
      </c>
      <c r="W342" s="41" t="str">
        <f t="array" ref="W342">IF('Ingest Template'!V342="",(INDEX(DropDown!$L$2:$L$392,MATCH('Ingest Template'!E342,DropDown!$J$2:$J$392,0))&amp;"|"&amp;'Ingest Template'!B342),(INDEX(DropDown!$L$2:$L$392,MATCH('Ingest Template'!E342,DropDown!$J$2:$J$392,0))&amp;"|"&amp;'Ingest Template'!B342)&amp;CHAR(10)&amp;'Ingest Template'!V342)</f>
        <v>#N/A</v>
      </c>
      <c r="X342" s="41" t="str">
        <f>'Ingest Template'!W342</f>
        <v/>
      </c>
      <c r="Y342" s="21" t="str">
        <f>SUBSTITUTE(SUBSTITUTE(SUBSTITUTE('Ingest Template'!X342,"http:",""),"https:",""),"/","")</f>
        <v/>
      </c>
      <c r="Z342" s="21" t="str">
        <f t="array" ref="Z342">IF('Ingest Template'!A342="Standard",(IF(ISBLANK('Ingest Template'!AA342),"", 'Ingest Template'!AA342&amp;"|DAR")),(IF(ISBLANK('Ingest Template'!AA342),"", 'Ingest Template'!AA342&amp;"|Film Ops")))</f>
        <v/>
      </c>
      <c r="AA342" s="21"/>
      <c r="AB342" s="21" t="str">
        <f>'Ingest Template'!M342</f>
        <v/>
      </c>
      <c r="AC342" s="21" t="str">
        <f>'Ingest Template'!Y342</f>
        <v/>
      </c>
      <c r="AD342" s="21" t="str">
        <f>'Ingest Template'!C342</f>
        <v/>
      </c>
      <c r="AE342" s="21" t="str">
        <f>'Ingest Template'!Z342</f>
        <v/>
      </c>
      <c r="AF342" s="29"/>
      <c r="AG342" s="21" t="str">
        <f t="array" ref="AG342">IF('Ingest Template'!A342="Standard",(CONCATENATE(IF(ISBLANK('Ingest Template'!O342),"", 'Ingest Template'!O342&amp;"|DAR"),CHAR(10), IF(ISBLANK('Ingest Template'!P342),"", 'Ingest Template'!P342&amp;"|DAR"),CHAR(10), IF(ISBLANK('Ingest Template'!Q342),"", 'Ingest Template'!Q342&amp;"|DAR"))),(CONCATENATE(IF(ISBLANK('Ingest Template'!O342),"", 'Ingest Template'!O342&amp;"|Operations - Core Title"),CHAR(10), IF(ISBLANK('Ingest Template'!P342),"", 'Ingest Template'!P342&amp;"|Operations - Core Title"),CHAR(10), IF(ISBLANK('Ingest Template'!Q342),"", 'Ingest Template'!Q342&amp;"|Operations - Core Title"))))</f>
        <v>#|Operations - Core Title
#|Operations - Core Title
</v>
      </c>
      <c r="AH342" s="21"/>
      <c r="AI342" s="21"/>
      <c r="AJ342" s="53" t="str">
        <f>if('Ingest Template'!A342="Standard",'Ingest Template'!N342&amp; "|DAR|DAR|2021-01-01",'Ingest Template'!N342&amp; "|Operations - Core Title|Operations - Core Title")</f>
        <v>#N/A</v>
      </c>
      <c r="AK342" s="53" t="str">
        <f>if('Ingest Template'!A342="Standard",'Ingest Template'!R342&amp; "|2021-01-01",'Ingest Template'!R342)</f>
        <v>#N/A</v>
      </c>
      <c r="AL342" s="21"/>
      <c r="AM342" s="21"/>
    </row>
    <row r="343">
      <c r="A343" s="21"/>
      <c r="B343" s="21" t="str">
        <f>'Ingest Template'!B343&amp;IF('Ingest Template'!A343 = "Standard", " - DAR","")</f>
        <v/>
      </c>
      <c r="C343" s="26" t="s">
        <v>109</v>
      </c>
      <c r="D343" s="29" t="str">
        <f t="array" ref="D343">CONCATENATE(INDEX(DropDown!$H$2:$H$10,MATCH(1,COUNTIF('Ingest Template'!F343,"*"&amp;DropDown!$H$2:$H$10&amp;"*"),0)),CHAR(10),'Ingest Template'!G343)</f>
        <v>#N/A</v>
      </c>
      <c r="E343" s="21" t="str">
        <f>CONCATENATE('Ingest Template'!H343,CHAR(10),'Ingest Template'!I343,CHAR(10),'Ingest Template'!J343)</f>
        <v>
</v>
      </c>
      <c r="F343" s="26" t="str">
        <f>'Ingest Template'!H343</f>
        <v/>
      </c>
      <c r="G343" s="21"/>
      <c r="H343" s="29"/>
      <c r="I343" s="21"/>
      <c r="J343" s="29" t="str">
        <f t="array" ref="J343">iF('Ingest Template'!A343="Standard","Pristine Brand",INDEX(DropDown!$M$2:$M$392,MATCH('Ingest Template'!E343,DropDown!$J$2:$J$392,0)))</f>
        <v>#N/A</v>
      </c>
      <c r="K343" s="21" t="str">
        <f>iF('Ingest Template'!A343="Standard",'Ingest Template'!K343&amp;CHAR(10)&amp;'Ingest Template'!L343,"Competitive View")</f>
        <v>Competitive View</v>
      </c>
      <c r="L343" s="29" t="s">
        <v>146</v>
      </c>
      <c r="M343" s="37" t="str">
        <f>'Ingest Template'!D343</f>
        <v/>
      </c>
      <c r="N343" s="21"/>
      <c r="O343" s="21"/>
      <c r="P343" s="21"/>
      <c r="Q343" s="21"/>
      <c r="R343" s="21" t="str">
        <f>'Ingest Template'!E343</f>
        <v/>
      </c>
      <c r="S343" s="29" t="s">
        <v>153</v>
      </c>
      <c r="T343" s="21" t="str">
        <f>'Ingest Template'!T343</f>
        <v/>
      </c>
      <c r="U343" s="21" t="str">
        <f>'Ingest Template'!S343</f>
        <v/>
      </c>
      <c r="V343" s="21" t="str">
        <f>LOWER(SUBSTITUTE(SUBSTITUTE(SUBSTITUTE(SUBSTITUTE(SUBSTITUTE('Ingest Template'!U343,"https:",""),"www.",""),"/",""),"?hl=en",""),"instagram.com",""))</f>
        <v/>
      </c>
      <c r="W343" s="41" t="str">
        <f t="array" ref="W343">IF('Ingest Template'!V343="",(INDEX(DropDown!$L$2:$L$392,MATCH('Ingest Template'!E343,DropDown!$J$2:$J$392,0))&amp;"|"&amp;'Ingest Template'!B343),(INDEX(DropDown!$L$2:$L$392,MATCH('Ingest Template'!E343,DropDown!$J$2:$J$392,0))&amp;"|"&amp;'Ingest Template'!B343)&amp;CHAR(10)&amp;'Ingest Template'!V343)</f>
        <v>#N/A</v>
      </c>
      <c r="X343" s="41" t="str">
        <f>'Ingest Template'!W343</f>
        <v/>
      </c>
      <c r="Y343" s="21" t="str">
        <f>SUBSTITUTE(SUBSTITUTE(SUBSTITUTE('Ingest Template'!X343,"http:",""),"https:",""),"/","")</f>
        <v/>
      </c>
      <c r="Z343" s="21" t="str">
        <f t="array" ref="Z343">IF('Ingest Template'!A343="Standard",(IF(ISBLANK('Ingest Template'!AA343),"", 'Ingest Template'!AA343&amp;"|DAR")),(IF(ISBLANK('Ingest Template'!AA343),"", 'Ingest Template'!AA343&amp;"|Film Ops")))</f>
        <v/>
      </c>
      <c r="AA343" s="21"/>
      <c r="AB343" s="21" t="str">
        <f>'Ingest Template'!M343</f>
        <v/>
      </c>
      <c r="AC343" s="21" t="str">
        <f>'Ingest Template'!Y343</f>
        <v/>
      </c>
      <c r="AD343" s="21" t="str">
        <f>'Ingest Template'!C343</f>
        <v/>
      </c>
      <c r="AE343" s="21" t="str">
        <f>'Ingest Template'!Z343</f>
        <v/>
      </c>
      <c r="AF343" s="29"/>
      <c r="AG343" s="21" t="str">
        <f t="array" ref="AG343">IF('Ingest Template'!A343="Standard",(CONCATENATE(IF(ISBLANK('Ingest Template'!O343),"", 'Ingest Template'!O343&amp;"|DAR"),CHAR(10), IF(ISBLANK('Ingest Template'!P343),"", 'Ingest Template'!P343&amp;"|DAR"),CHAR(10), IF(ISBLANK('Ingest Template'!Q343),"", 'Ingest Template'!Q343&amp;"|DAR"))),(CONCATENATE(IF(ISBLANK('Ingest Template'!O343),"", 'Ingest Template'!O343&amp;"|Operations - Core Title"),CHAR(10), IF(ISBLANK('Ingest Template'!P343),"", 'Ingest Template'!P343&amp;"|Operations - Core Title"),CHAR(10), IF(ISBLANK('Ingest Template'!Q343),"", 'Ingest Template'!Q343&amp;"|Operations - Core Title"))))</f>
        <v>#|Operations - Core Title
#|Operations - Core Title
</v>
      </c>
      <c r="AH343" s="21"/>
      <c r="AI343" s="21"/>
      <c r="AJ343" s="53" t="str">
        <f>if('Ingest Template'!A343="Standard",'Ingest Template'!N343&amp; "|DAR|DAR|2021-01-01",'Ingest Template'!N343&amp; "|Operations - Core Title|Operations - Core Title")</f>
        <v>#N/A</v>
      </c>
      <c r="AK343" s="53" t="str">
        <f>if('Ingest Template'!A343="Standard",'Ingest Template'!R343&amp; "|2021-01-01",'Ingest Template'!R343)</f>
        <v>#N/A</v>
      </c>
      <c r="AL343" s="21"/>
      <c r="AM343" s="21"/>
    </row>
    <row r="344">
      <c r="A344" s="21"/>
      <c r="B344" s="21" t="str">
        <f>'Ingest Template'!B344&amp;IF('Ingest Template'!A344 = "Standard", " - DAR","")</f>
        <v/>
      </c>
      <c r="C344" s="26" t="s">
        <v>109</v>
      </c>
      <c r="D344" s="29" t="str">
        <f t="array" ref="D344">CONCATENATE(INDEX(DropDown!$H$2:$H$10,MATCH(1,COUNTIF('Ingest Template'!F344,"*"&amp;DropDown!$H$2:$H$10&amp;"*"),0)),CHAR(10),'Ingest Template'!G344)</f>
        <v>#N/A</v>
      </c>
      <c r="E344" s="21" t="str">
        <f>CONCATENATE('Ingest Template'!H344,CHAR(10),'Ingest Template'!I344,CHAR(10),'Ingest Template'!J344)</f>
        <v>
</v>
      </c>
      <c r="F344" s="26" t="str">
        <f>'Ingest Template'!H344</f>
        <v/>
      </c>
      <c r="G344" s="21"/>
      <c r="H344" s="29"/>
      <c r="I344" s="21"/>
      <c r="J344" s="29" t="str">
        <f t="array" ref="J344">iF('Ingest Template'!A344="Standard","Pristine Brand",INDEX(DropDown!$M$2:$M$392,MATCH('Ingest Template'!E344,DropDown!$J$2:$J$392,0)))</f>
        <v>#N/A</v>
      </c>
      <c r="K344" s="21" t="str">
        <f>iF('Ingest Template'!A344="Standard",'Ingest Template'!K344&amp;CHAR(10)&amp;'Ingest Template'!L344,"Competitive View")</f>
        <v>Competitive View</v>
      </c>
      <c r="L344" s="29" t="s">
        <v>146</v>
      </c>
      <c r="M344" s="37" t="str">
        <f>'Ingest Template'!D344</f>
        <v/>
      </c>
      <c r="N344" s="21"/>
      <c r="O344" s="21"/>
      <c r="P344" s="21"/>
      <c r="Q344" s="21"/>
      <c r="R344" s="21" t="str">
        <f>'Ingest Template'!E344</f>
        <v/>
      </c>
      <c r="S344" s="29" t="s">
        <v>153</v>
      </c>
      <c r="T344" s="21" t="str">
        <f>'Ingest Template'!T344</f>
        <v/>
      </c>
      <c r="U344" s="21" t="str">
        <f>'Ingest Template'!S344</f>
        <v/>
      </c>
      <c r="V344" s="21" t="str">
        <f>LOWER(SUBSTITUTE(SUBSTITUTE(SUBSTITUTE(SUBSTITUTE(SUBSTITUTE('Ingest Template'!U344,"https:",""),"www.",""),"/",""),"?hl=en",""),"instagram.com",""))</f>
        <v/>
      </c>
      <c r="W344" s="41" t="str">
        <f t="array" ref="W344">IF('Ingest Template'!V344="",(INDEX(DropDown!$L$2:$L$392,MATCH('Ingest Template'!E344,DropDown!$J$2:$J$392,0))&amp;"|"&amp;'Ingest Template'!B344),(INDEX(DropDown!$L$2:$L$392,MATCH('Ingest Template'!E344,DropDown!$J$2:$J$392,0))&amp;"|"&amp;'Ingest Template'!B344)&amp;CHAR(10)&amp;'Ingest Template'!V344)</f>
        <v>#N/A</v>
      </c>
      <c r="X344" s="41" t="str">
        <f>'Ingest Template'!W344</f>
        <v/>
      </c>
      <c r="Y344" s="21" t="str">
        <f>SUBSTITUTE(SUBSTITUTE(SUBSTITUTE('Ingest Template'!X344,"http:",""),"https:",""),"/","")</f>
        <v/>
      </c>
      <c r="Z344" s="21" t="str">
        <f t="array" ref="Z344">IF('Ingest Template'!A344="Standard",(IF(ISBLANK('Ingest Template'!AA344),"", 'Ingest Template'!AA344&amp;"|DAR")),(IF(ISBLANK('Ingest Template'!AA344),"", 'Ingest Template'!AA344&amp;"|Film Ops")))</f>
        <v/>
      </c>
      <c r="AA344" s="21"/>
      <c r="AB344" s="21" t="str">
        <f>'Ingest Template'!M344</f>
        <v/>
      </c>
      <c r="AC344" s="21" t="str">
        <f>'Ingest Template'!Y344</f>
        <v/>
      </c>
      <c r="AD344" s="21" t="str">
        <f>'Ingest Template'!C344</f>
        <v/>
      </c>
      <c r="AE344" s="21" t="str">
        <f>'Ingest Template'!Z344</f>
        <v/>
      </c>
      <c r="AF344" s="29"/>
      <c r="AG344" s="21" t="str">
        <f t="array" ref="AG344">IF('Ingest Template'!A344="Standard",(CONCATENATE(IF(ISBLANK('Ingest Template'!O344),"", 'Ingest Template'!O344&amp;"|DAR"),CHAR(10), IF(ISBLANK('Ingest Template'!P344),"", 'Ingest Template'!P344&amp;"|DAR"),CHAR(10), IF(ISBLANK('Ingest Template'!Q344),"", 'Ingest Template'!Q344&amp;"|DAR"))),(CONCATENATE(IF(ISBLANK('Ingest Template'!O344),"", 'Ingest Template'!O344&amp;"|Operations - Core Title"),CHAR(10), IF(ISBLANK('Ingest Template'!P344),"", 'Ingest Template'!P344&amp;"|Operations - Core Title"),CHAR(10), IF(ISBLANK('Ingest Template'!Q344),"", 'Ingest Template'!Q344&amp;"|Operations - Core Title"))))</f>
        <v>#|Operations - Core Title
#|Operations - Core Title
</v>
      </c>
      <c r="AH344" s="21"/>
      <c r="AI344" s="21"/>
      <c r="AJ344" s="53" t="str">
        <f>if('Ingest Template'!A344="Standard",'Ingest Template'!N344&amp; "|DAR|DAR|2021-01-01",'Ingest Template'!N344&amp; "|Operations - Core Title|Operations - Core Title")</f>
        <v>#N/A</v>
      </c>
      <c r="AK344" s="53" t="str">
        <f>if('Ingest Template'!A344="Standard",'Ingest Template'!R344&amp; "|2021-01-01",'Ingest Template'!R344)</f>
        <v>#N/A</v>
      </c>
      <c r="AL344" s="21"/>
      <c r="AM344" s="21"/>
    </row>
    <row r="345">
      <c r="A345" s="21"/>
      <c r="B345" s="21" t="str">
        <f>'Ingest Template'!B345&amp;IF('Ingest Template'!A345 = "Standard", " - DAR","")</f>
        <v/>
      </c>
      <c r="C345" s="26" t="s">
        <v>109</v>
      </c>
      <c r="D345" s="29" t="str">
        <f t="array" ref="D345">CONCATENATE(INDEX(DropDown!$H$2:$H$10,MATCH(1,COUNTIF('Ingest Template'!F345,"*"&amp;DropDown!$H$2:$H$10&amp;"*"),0)),CHAR(10),'Ingest Template'!G345)</f>
        <v>#N/A</v>
      </c>
      <c r="E345" s="21" t="str">
        <f>CONCATENATE('Ingest Template'!H345,CHAR(10),'Ingest Template'!I345,CHAR(10),'Ingest Template'!J345)</f>
        <v>
</v>
      </c>
      <c r="F345" s="26" t="str">
        <f>'Ingest Template'!H345</f>
        <v/>
      </c>
      <c r="G345" s="21"/>
      <c r="H345" s="29"/>
      <c r="I345" s="21"/>
      <c r="J345" s="29" t="str">
        <f t="array" ref="J345">iF('Ingest Template'!A345="Standard","Pristine Brand",INDEX(DropDown!$M$2:$M$392,MATCH('Ingest Template'!E345,DropDown!$J$2:$J$392,0)))</f>
        <v>#N/A</v>
      </c>
      <c r="K345" s="21" t="str">
        <f>iF('Ingest Template'!A345="Standard",'Ingest Template'!K345&amp;CHAR(10)&amp;'Ingest Template'!L345,"Competitive View")</f>
        <v>Competitive View</v>
      </c>
      <c r="L345" s="29" t="s">
        <v>146</v>
      </c>
      <c r="M345" s="37" t="str">
        <f>'Ingest Template'!D345</f>
        <v/>
      </c>
      <c r="N345" s="21"/>
      <c r="O345" s="21"/>
      <c r="P345" s="21"/>
      <c r="Q345" s="21"/>
      <c r="R345" s="21" t="str">
        <f>'Ingest Template'!E345</f>
        <v/>
      </c>
      <c r="S345" s="29" t="s">
        <v>153</v>
      </c>
      <c r="T345" s="21" t="str">
        <f>'Ingest Template'!T345</f>
        <v/>
      </c>
      <c r="U345" s="21" t="str">
        <f>'Ingest Template'!S345</f>
        <v/>
      </c>
      <c r="V345" s="21" t="str">
        <f>LOWER(SUBSTITUTE(SUBSTITUTE(SUBSTITUTE(SUBSTITUTE(SUBSTITUTE('Ingest Template'!U345,"https:",""),"www.",""),"/",""),"?hl=en",""),"instagram.com",""))</f>
        <v/>
      </c>
      <c r="W345" s="41" t="str">
        <f t="array" ref="W345">IF('Ingest Template'!V345="",(INDEX(DropDown!$L$2:$L$392,MATCH('Ingest Template'!E345,DropDown!$J$2:$J$392,0))&amp;"|"&amp;'Ingest Template'!B345),(INDEX(DropDown!$L$2:$L$392,MATCH('Ingest Template'!E345,DropDown!$J$2:$J$392,0))&amp;"|"&amp;'Ingest Template'!B345)&amp;CHAR(10)&amp;'Ingest Template'!V345)</f>
        <v>#N/A</v>
      </c>
      <c r="X345" s="41" t="str">
        <f>'Ingest Template'!W345</f>
        <v/>
      </c>
      <c r="Y345" s="21" t="str">
        <f>SUBSTITUTE(SUBSTITUTE(SUBSTITUTE('Ingest Template'!X345,"http:",""),"https:",""),"/","")</f>
        <v/>
      </c>
      <c r="Z345" s="21" t="str">
        <f t="array" ref="Z345">IF('Ingest Template'!A345="Standard",(IF(ISBLANK('Ingest Template'!AA345),"", 'Ingest Template'!AA345&amp;"|DAR")),(IF(ISBLANK('Ingest Template'!AA345),"", 'Ingest Template'!AA345&amp;"|Film Ops")))</f>
        <v/>
      </c>
      <c r="AA345" s="21"/>
      <c r="AB345" s="21" t="str">
        <f>'Ingest Template'!M345</f>
        <v/>
      </c>
      <c r="AC345" s="21" t="str">
        <f>'Ingest Template'!Y345</f>
        <v/>
      </c>
      <c r="AD345" s="21" t="str">
        <f>'Ingest Template'!C345</f>
        <v/>
      </c>
      <c r="AE345" s="21" t="str">
        <f>'Ingest Template'!Z345</f>
        <v/>
      </c>
      <c r="AF345" s="29"/>
      <c r="AG345" s="21" t="str">
        <f t="array" ref="AG345">IF('Ingest Template'!A345="Standard",(CONCATENATE(IF(ISBLANK('Ingest Template'!O345),"", 'Ingest Template'!O345&amp;"|DAR"),CHAR(10), IF(ISBLANK('Ingest Template'!P345),"", 'Ingest Template'!P345&amp;"|DAR"),CHAR(10), IF(ISBLANK('Ingest Template'!Q345),"", 'Ingest Template'!Q345&amp;"|DAR"))),(CONCATENATE(IF(ISBLANK('Ingest Template'!O345),"", 'Ingest Template'!O345&amp;"|Operations - Core Title"),CHAR(10), IF(ISBLANK('Ingest Template'!P345),"", 'Ingest Template'!P345&amp;"|Operations - Core Title"),CHAR(10), IF(ISBLANK('Ingest Template'!Q345),"", 'Ingest Template'!Q345&amp;"|Operations - Core Title"))))</f>
        <v>#|Operations - Core Title
#|Operations - Core Title
</v>
      </c>
      <c r="AH345" s="21"/>
      <c r="AI345" s="21"/>
      <c r="AJ345" s="53" t="str">
        <f>if('Ingest Template'!A345="Standard",'Ingest Template'!N345&amp; "|DAR|DAR|2021-01-01",'Ingest Template'!N345&amp; "|Operations - Core Title|Operations - Core Title")</f>
        <v>#N/A</v>
      </c>
      <c r="AK345" s="53" t="str">
        <f>if('Ingest Template'!A345="Standard",'Ingest Template'!R345&amp; "|2021-01-01",'Ingest Template'!R345)</f>
        <v>#N/A</v>
      </c>
      <c r="AL345" s="21"/>
      <c r="AM345" s="21"/>
    </row>
    <row r="346">
      <c r="A346" s="21"/>
      <c r="B346" s="21" t="str">
        <f>'Ingest Template'!B346&amp;IF('Ingest Template'!A346 = "Standard", " - DAR","")</f>
        <v/>
      </c>
      <c r="C346" s="26" t="s">
        <v>109</v>
      </c>
      <c r="D346" s="29" t="str">
        <f t="array" ref="D346">CONCATENATE(INDEX(DropDown!$H$2:$H$10,MATCH(1,COUNTIF('Ingest Template'!F346,"*"&amp;DropDown!$H$2:$H$10&amp;"*"),0)),CHAR(10),'Ingest Template'!G346)</f>
        <v>#N/A</v>
      </c>
      <c r="E346" s="21" t="str">
        <f>CONCATENATE('Ingest Template'!H346,CHAR(10),'Ingest Template'!I346,CHAR(10),'Ingest Template'!J346)</f>
        <v>
</v>
      </c>
      <c r="F346" s="26" t="str">
        <f>'Ingest Template'!H346</f>
        <v/>
      </c>
      <c r="G346" s="21"/>
      <c r="H346" s="29"/>
      <c r="I346" s="21"/>
      <c r="J346" s="29" t="str">
        <f t="array" ref="J346">iF('Ingest Template'!A346="Standard","Pristine Brand",INDEX(DropDown!$M$2:$M$392,MATCH('Ingest Template'!E346,DropDown!$J$2:$J$392,0)))</f>
        <v>#N/A</v>
      </c>
      <c r="K346" s="21" t="str">
        <f>iF('Ingest Template'!A346="Standard",'Ingest Template'!K346&amp;CHAR(10)&amp;'Ingest Template'!L346,"Competitive View")</f>
        <v>Competitive View</v>
      </c>
      <c r="L346" s="29" t="s">
        <v>146</v>
      </c>
      <c r="M346" s="37" t="str">
        <f>'Ingest Template'!D346</f>
        <v/>
      </c>
      <c r="N346" s="21"/>
      <c r="O346" s="21"/>
      <c r="P346" s="21"/>
      <c r="Q346" s="21"/>
      <c r="R346" s="21" t="str">
        <f>'Ingest Template'!E346</f>
        <v/>
      </c>
      <c r="S346" s="29" t="s">
        <v>153</v>
      </c>
      <c r="T346" s="21" t="str">
        <f>'Ingest Template'!T346</f>
        <v/>
      </c>
      <c r="U346" s="21" t="str">
        <f>'Ingest Template'!S346</f>
        <v/>
      </c>
      <c r="V346" s="21" t="str">
        <f>LOWER(SUBSTITUTE(SUBSTITUTE(SUBSTITUTE(SUBSTITUTE(SUBSTITUTE('Ingest Template'!U346,"https:",""),"www.",""),"/",""),"?hl=en",""),"instagram.com",""))</f>
        <v/>
      </c>
      <c r="W346" s="41" t="str">
        <f t="array" ref="W346">IF('Ingest Template'!V346="",(INDEX(DropDown!$L$2:$L$392,MATCH('Ingest Template'!E346,DropDown!$J$2:$J$392,0))&amp;"|"&amp;'Ingest Template'!B346),(INDEX(DropDown!$L$2:$L$392,MATCH('Ingest Template'!E346,DropDown!$J$2:$J$392,0))&amp;"|"&amp;'Ingest Template'!B346)&amp;CHAR(10)&amp;'Ingest Template'!V346)</f>
        <v>#N/A</v>
      </c>
      <c r="X346" s="41" t="str">
        <f>'Ingest Template'!W346</f>
        <v/>
      </c>
      <c r="Y346" s="21" t="str">
        <f>SUBSTITUTE(SUBSTITUTE(SUBSTITUTE('Ingest Template'!X346,"http:",""),"https:",""),"/","")</f>
        <v/>
      </c>
      <c r="Z346" s="21" t="str">
        <f t="array" ref="Z346">IF('Ingest Template'!A346="Standard",(IF(ISBLANK('Ingest Template'!AA346),"", 'Ingest Template'!AA346&amp;"|DAR")),(IF(ISBLANK('Ingest Template'!AA346),"", 'Ingest Template'!AA346&amp;"|Film Ops")))</f>
        <v/>
      </c>
      <c r="AA346" s="21"/>
      <c r="AB346" s="21" t="str">
        <f>'Ingest Template'!M346</f>
        <v/>
      </c>
      <c r="AC346" s="21" t="str">
        <f>'Ingest Template'!Y346</f>
        <v/>
      </c>
      <c r="AD346" s="21" t="str">
        <f>'Ingest Template'!C346</f>
        <v/>
      </c>
      <c r="AE346" s="21" t="str">
        <f>'Ingest Template'!Z346</f>
        <v/>
      </c>
      <c r="AF346" s="29"/>
      <c r="AG346" s="21" t="str">
        <f t="array" ref="AG346">IF('Ingest Template'!A346="Standard",(CONCATENATE(IF(ISBLANK('Ingest Template'!O346),"", 'Ingest Template'!O346&amp;"|DAR"),CHAR(10), IF(ISBLANK('Ingest Template'!P346),"", 'Ingest Template'!P346&amp;"|DAR"),CHAR(10), IF(ISBLANK('Ingest Template'!Q346),"", 'Ingest Template'!Q346&amp;"|DAR"))),(CONCATENATE(IF(ISBLANK('Ingest Template'!O346),"", 'Ingest Template'!O346&amp;"|Operations - Core Title"),CHAR(10), IF(ISBLANK('Ingest Template'!P346),"", 'Ingest Template'!P346&amp;"|Operations - Core Title"),CHAR(10), IF(ISBLANK('Ingest Template'!Q346),"", 'Ingest Template'!Q346&amp;"|Operations - Core Title"))))</f>
        <v>#|Operations - Core Title
#|Operations - Core Title
</v>
      </c>
      <c r="AH346" s="21"/>
      <c r="AI346" s="21"/>
      <c r="AJ346" s="53" t="str">
        <f>if('Ingest Template'!A346="Standard",'Ingest Template'!N346&amp; "|DAR|DAR|2021-01-01",'Ingest Template'!N346&amp; "|Operations - Core Title|Operations - Core Title")</f>
        <v>#N/A</v>
      </c>
      <c r="AK346" s="53" t="str">
        <f>if('Ingest Template'!A346="Standard",'Ingest Template'!R346&amp; "|2021-01-01",'Ingest Template'!R346)</f>
        <v>#N/A</v>
      </c>
      <c r="AL346" s="21"/>
      <c r="AM346" s="21"/>
    </row>
    <row r="347">
      <c r="A347" s="21"/>
      <c r="B347" s="21" t="str">
        <f>'Ingest Template'!B347&amp;IF('Ingest Template'!A347 = "Standard", " - DAR","")</f>
        <v/>
      </c>
      <c r="C347" s="26" t="s">
        <v>109</v>
      </c>
      <c r="D347" s="29" t="str">
        <f t="array" ref="D347">CONCATENATE(INDEX(DropDown!$H$2:$H$10,MATCH(1,COUNTIF('Ingest Template'!F347,"*"&amp;DropDown!$H$2:$H$10&amp;"*"),0)),CHAR(10),'Ingest Template'!G347)</f>
        <v>#N/A</v>
      </c>
      <c r="E347" s="21" t="str">
        <f>CONCATENATE('Ingest Template'!H347,CHAR(10),'Ingest Template'!I347,CHAR(10),'Ingest Template'!J347)</f>
        <v>
</v>
      </c>
      <c r="F347" s="26" t="str">
        <f>'Ingest Template'!H347</f>
        <v/>
      </c>
      <c r="G347" s="21"/>
      <c r="H347" s="29"/>
      <c r="I347" s="21"/>
      <c r="J347" s="29" t="str">
        <f t="array" ref="J347">iF('Ingest Template'!A347="Standard","Pristine Brand",INDEX(DropDown!$M$2:$M$392,MATCH('Ingest Template'!E347,DropDown!$J$2:$J$392,0)))</f>
        <v>#N/A</v>
      </c>
      <c r="K347" s="21" t="str">
        <f>iF('Ingest Template'!A347="Standard",'Ingest Template'!K347&amp;CHAR(10)&amp;'Ingest Template'!L347,"Competitive View")</f>
        <v>Competitive View</v>
      </c>
      <c r="L347" s="29" t="s">
        <v>146</v>
      </c>
      <c r="M347" s="37" t="str">
        <f>'Ingest Template'!D347</f>
        <v/>
      </c>
      <c r="N347" s="21"/>
      <c r="O347" s="21"/>
      <c r="P347" s="21"/>
      <c r="Q347" s="21"/>
      <c r="R347" s="21" t="str">
        <f>'Ingest Template'!E347</f>
        <v/>
      </c>
      <c r="S347" s="29" t="s">
        <v>153</v>
      </c>
      <c r="T347" s="21" t="str">
        <f>'Ingest Template'!T347</f>
        <v/>
      </c>
      <c r="U347" s="21" t="str">
        <f>'Ingest Template'!S347</f>
        <v/>
      </c>
      <c r="V347" s="21" t="str">
        <f>LOWER(SUBSTITUTE(SUBSTITUTE(SUBSTITUTE(SUBSTITUTE(SUBSTITUTE('Ingest Template'!U347,"https:",""),"www.",""),"/",""),"?hl=en",""),"instagram.com",""))</f>
        <v/>
      </c>
      <c r="W347" s="41" t="str">
        <f t="array" ref="W347">IF('Ingest Template'!V347="",(INDEX(DropDown!$L$2:$L$392,MATCH('Ingest Template'!E347,DropDown!$J$2:$J$392,0))&amp;"|"&amp;'Ingest Template'!B347),(INDEX(DropDown!$L$2:$L$392,MATCH('Ingest Template'!E347,DropDown!$J$2:$J$392,0))&amp;"|"&amp;'Ingest Template'!B347)&amp;CHAR(10)&amp;'Ingest Template'!V347)</f>
        <v>#N/A</v>
      </c>
      <c r="X347" s="41" t="str">
        <f>'Ingest Template'!W347</f>
        <v/>
      </c>
      <c r="Y347" s="21" t="str">
        <f>SUBSTITUTE(SUBSTITUTE(SUBSTITUTE('Ingest Template'!X347,"http:",""),"https:",""),"/","")</f>
        <v/>
      </c>
      <c r="Z347" s="21" t="str">
        <f t="array" ref="Z347">IF('Ingest Template'!A347="Standard",(IF(ISBLANK('Ingest Template'!AA347),"", 'Ingest Template'!AA347&amp;"|DAR")),(IF(ISBLANK('Ingest Template'!AA347),"", 'Ingest Template'!AA347&amp;"|Film Ops")))</f>
        <v/>
      </c>
      <c r="AA347" s="21"/>
      <c r="AB347" s="21" t="str">
        <f>'Ingest Template'!M347</f>
        <v/>
      </c>
      <c r="AC347" s="21" t="str">
        <f>'Ingest Template'!Y347</f>
        <v/>
      </c>
      <c r="AD347" s="21" t="str">
        <f>'Ingest Template'!C347</f>
        <v/>
      </c>
      <c r="AE347" s="21" t="str">
        <f>'Ingest Template'!Z347</f>
        <v/>
      </c>
      <c r="AF347" s="29"/>
      <c r="AG347" s="21" t="str">
        <f t="array" ref="AG347">IF('Ingest Template'!A347="Standard",(CONCATENATE(IF(ISBLANK('Ingest Template'!O347),"", 'Ingest Template'!O347&amp;"|DAR"),CHAR(10), IF(ISBLANK('Ingest Template'!P347),"", 'Ingest Template'!P347&amp;"|DAR"),CHAR(10), IF(ISBLANK('Ingest Template'!Q347),"", 'Ingest Template'!Q347&amp;"|DAR"))),(CONCATENATE(IF(ISBLANK('Ingest Template'!O347),"", 'Ingest Template'!O347&amp;"|Operations - Core Title"),CHAR(10), IF(ISBLANK('Ingest Template'!P347),"", 'Ingest Template'!P347&amp;"|Operations - Core Title"),CHAR(10), IF(ISBLANK('Ingest Template'!Q347),"", 'Ingest Template'!Q347&amp;"|Operations - Core Title"))))</f>
        <v>#|Operations - Core Title
#|Operations - Core Title
</v>
      </c>
      <c r="AH347" s="21"/>
      <c r="AI347" s="21"/>
      <c r="AJ347" s="53" t="str">
        <f>if('Ingest Template'!A347="Standard",'Ingest Template'!N347&amp; "|DAR|DAR|2021-01-01",'Ingest Template'!N347&amp; "|Operations - Core Title|Operations - Core Title")</f>
        <v>#N/A</v>
      </c>
      <c r="AK347" s="53" t="str">
        <f>if('Ingest Template'!A347="Standard",'Ingest Template'!R347&amp; "|2021-01-01",'Ingest Template'!R347)</f>
        <v>#N/A</v>
      </c>
      <c r="AL347" s="21"/>
      <c r="AM347" s="21"/>
    </row>
    <row r="348">
      <c r="A348" s="21"/>
      <c r="B348" s="21" t="str">
        <f>'Ingest Template'!B348&amp;IF('Ingest Template'!A348 = "Standard", " - DAR","")</f>
        <v/>
      </c>
      <c r="C348" s="26" t="s">
        <v>109</v>
      </c>
      <c r="D348" s="29" t="str">
        <f t="array" ref="D348">CONCATENATE(INDEX(DropDown!$H$2:$H$10,MATCH(1,COUNTIF('Ingest Template'!F348,"*"&amp;DropDown!$H$2:$H$10&amp;"*"),0)),CHAR(10),'Ingest Template'!G348)</f>
        <v>#N/A</v>
      </c>
      <c r="E348" s="21" t="str">
        <f>CONCATENATE('Ingest Template'!H348,CHAR(10),'Ingest Template'!I348,CHAR(10),'Ingest Template'!J348)</f>
        <v>
</v>
      </c>
      <c r="F348" s="26" t="str">
        <f>'Ingest Template'!H348</f>
        <v/>
      </c>
      <c r="G348" s="21"/>
      <c r="H348" s="29"/>
      <c r="I348" s="21"/>
      <c r="J348" s="29" t="str">
        <f t="array" ref="J348">iF('Ingest Template'!A348="Standard","Pristine Brand",INDEX(DropDown!$M$2:$M$392,MATCH('Ingest Template'!E348,DropDown!$J$2:$J$392,0)))</f>
        <v>#N/A</v>
      </c>
      <c r="K348" s="21" t="str">
        <f>iF('Ingest Template'!A348="Standard",'Ingest Template'!K348&amp;CHAR(10)&amp;'Ingest Template'!L348,"Competitive View")</f>
        <v>Competitive View</v>
      </c>
      <c r="L348" s="29" t="s">
        <v>146</v>
      </c>
      <c r="M348" s="37" t="str">
        <f>'Ingest Template'!D348</f>
        <v/>
      </c>
      <c r="N348" s="21"/>
      <c r="O348" s="21"/>
      <c r="P348" s="21"/>
      <c r="Q348" s="21"/>
      <c r="R348" s="21" t="str">
        <f>'Ingest Template'!E348</f>
        <v/>
      </c>
      <c r="S348" s="29" t="s">
        <v>153</v>
      </c>
      <c r="T348" s="21" t="str">
        <f>'Ingest Template'!T348</f>
        <v/>
      </c>
      <c r="U348" s="21" t="str">
        <f>'Ingest Template'!S348</f>
        <v/>
      </c>
      <c r="V348" s="21" t="str">
        <f>LOWER(SUBSTITUTE(SUBSTITUTE(SUBSTITUTE(SUBSTITUTE(SUBSTITUTE('Ingest Template'!U348,"https:",""),"www.",""),"/",""),"?hl=en",""),"instagram.com",""))</f>
        <v/>
      </c>
      <c r="W348" s="41" t="str">
        <f t="array" ref="W348">IF('Ingest Template'!V348="",(INDEX(DropDown!$L$2:$L$392,MATCH('Ingest Template'!E348,DropDown!$J$2:$J$392,0))&amp;"|"&amp;'Ingest Template'!B348),(INDEX(DropDown!$L$2:$L$392,MATCH('Ingest Template'!E348,DropDown!$J$2:$J$392,0))&amp;"|"&amp;'Ingest Template'!B348)&amp;CHAR(10)&amp;'Ingest Template'!V348)</f>
        <v>#N/A</v>
      </c>
      <c r="X348" s="41" t="str">
        <f>'Ingest Template'!W348</f>
        <v/>
      </c>
      <c r="Y348" s="21" t="str">
        <f>SUBSTITUTE(SUBSTITUTE(SUBSTITUTE('Ingest Template'!X348,"http:",""),"https:",""),"/","")</f>
        <v/>
      </c>
      <c r="Z348" s="21" t="str">
        <f t="array" ref="Z348">IF('Ingest Template'!A348="Standard",(IF(ISBLANK('Ingest Template'!AA348),"", 'Ingest Template'!AA348&amp;"|DAR")),(IF(ISBLANK('Ingest Template'!AA348),"", 'Ingest Template'!AA348&amp;"|Film Ops")))</f>
        <v/>
      </c>
      <c r="AA348" s="21"/>
      <c r="AB348" s="21" t="str">
        <f>'Ingest Template'!M348</f>
        <v/>
      </c>
      <c r="AC348" s="21" t="str">
        <f>'Ingest Template'!Y348</f>
        <v/>
      </c>
      <c r="AD348" s="21" t="str">
        <f>'Ingest Template'!C348</f>
        <v/>
      </c>
      <c r="AE348" s="21" t="str">
        <f>'Ingest Template'!Z348</f>
        <v/>
      </c>
      <c r="AF348" s="29"/>
      <c r="AG348" s="21" t="str">
        <f t="array" ref="AG348">IF('Ingest Template'!A348="Standard",(CONCATENATE(IF(ISBLANK('Ingest Template'!O348),"", 'Ingest Template'!O348&amp;"|DAR"),CHAR(10), IF(ISBLANK('Ingest Template'!P348),"", 'Ingest Template'!P348&amp;"|DAR"),CHAR(10), IF(ISBLANK('Ingest Template'!Q348),"", 'Ingest Template'!Q348&amp;"|DAR"))),(CONCATENATE(IF(ISBLANK('Ingest Template'!O348),"", 'Ingest Template'!O348&amp;"|Operations - Core Title"),CHAR(10), IF(ISBLANK('Ingest Template'!P348),"", 'Ingest Template'!P348&amp;"|Operations - Core Title"),CHAR(10), IF(ISBLANK('Ingest Template'!Q348),"", 'Ingest Template'!Q348&amp;"|Operations - Core Title"))))</f>
        <v>#|Operations - Core Title
#|Operations - Core Title
</v>
      </c>
      <c r="AH348" s="21"/>
      <c r="AI348" s="21"/>
      <c r="AJ348" s="53" t="str">
        <f>if('Ingest Template'!A348="Standard",'Ingest Template'!N348&amp; "|DAR|DAR|2021-01-01",'Ingest Template'!N348&amp; "|Operations - Core Title|Operations - Core Title")</f>
        <v>#N/A</v>
      </c>
      <c r="AK348" s="53" t="str">
        <f>if('Ingest Template'!A348="Standard",'Ingest Template'!R348&amp; "|2021-01-01",'Ingest Template'!R348)</f>
        <v>#N/A</v>
      </c>
      <c r="AL348" s="21"/>
      <c r="AM348" s="21"/>
    </row>
    <row r="349">
      <c r="A349" s="21"/>
      <c r="B349" s="21" t="str">
        <f>'Ingest Template'!B349&amp;IF('Ingest Template'!A349 = "Standard", " - DAR","")</f>
        <v/>
      </c>
      <c r="C349" s="26" t="s">
        <v>109</v>
      </c>
      <c r="D349" s="29" t="str">
        <f t="array" ref="D349">CONCATENATE(INDEX(DropDown!$H$2:$H$10,MATCH(1,COUNTIF('Ingest Template'!F349,"*"&amp;DropDown!$H$2:$H$10&amp;"*"),0)),CHAR(10),'Ingest Template'!G349)</f>
        <v>#N/A</v>
      </c>
      <c r="E349" s="21" t="str">
        <f>CONCATENATE('Ingest Template'!H349,CHAR(10),'Ingest Template'!I349,CHAR(10),'Ingest Template'!J349)</f>
        <v>
</v>
      </c>
      <c r="F349" s="26" t="str">
        <f>'Ingest Template'!H349</f>
        <v/>
      </c>
      <c r="G349" s="21"/>
      <c r="H349" s="29"/>
      <c r="I349" s="21"/>
      <c r="J349" s="29" t="str">
        <f t="array" ref="J349">iF('Ingest Template'!A349="Standard","Pristine Brand",INDEX(DropDown!$M$2:$M$392,MATCH('Ingest Template'!E349,DropDown!$J$2:$J$392,0)))</f>
        <v>#N/A</v>
      </c>
      <c r="K349" s="21" t="str">
        <f>iF('Ingest Template'!A349="Standard",'Ingest Template'!K349&amp;CHAR(10)&amp;'Ingest Template'!L349,"Competitive View")</f>
        <v>Competitive View</v>
      </c>
      <c r="L349" s="29" t="s">
        <v>146</v>
      </c>
      <c r="M349" s="37" t="str">
        <f>'Ingest Template'!D349</f>
        <v/>
      </c>
      <c r="N349" s="21"/>
      <c r="O349" s="21"/>
      <c r="P349" s="21"/>
      <c r="Q349" s="21"/>
      <c r="R349" s="21" t="str">
        <f>'Ingest Template'!E349</f>
        <v/>
      </c>
      <c r="S349" s="29" t="s">
        <v>153</v>
      </c>
      <c r="T349" s="21" t="str">
        <f>'Ingest Template'!T349</f>
        <v/>
      </c>
      <c r="U349" s="21" t="str">
        <f>'Ingest Template'!S349</f>
        <v/>
      </c>
      <c r="V349" s="21" t="str">
        <f>LOWER(SUBSTITUTE(SUBSTITUTE(SUBSTITUTE(SUBSTITUTE(SUBSTITUTE('Ingest Template'!U349,"https:",""),"www.",""),"/",""),"?hl=en",""),"instagram.com",""))</f>
        <v/>
      </c>
      <c r="W349" s="41" t="str">
        <f t="array" ref="W349">IF('Ingest Template'!V349="",(INDEX(DropDown!$L$2:$L$392,MATCH('Ingest Template'!E349,DropDown!$J$2:$J$392,0))&amp;"|"&amp;'Ingest Template'!B349),(INDEX(DropDown!$L$2:$L$392,MATCH('Ingest Template'!E349,DropDown!$J$2:$J$392,0))&amp;"|"&amp;'Ingest Template'!B349)&amp;CHAR(10)&amp;'Ingest Template'!V349)</f>
        <v>#N/A</v>
      </c>
      <c r="X349" s="41" t="str">
        <f>'Ingest Template'!W349</f>
        <v/>
      </c>
      <c r="Y349" s="21" t="str">
        <f>SUBSTITUTE(SUBSTITUTE(SUBSTITUTE('Ingest Template'!X349,"http:",""),"https:",""),"/","")</f>
        <v/>
      </c>
      <c r="Z349" s="21" t="str">
        <f t="array" ref="Z349">IF('Ingest Template'!A349="Standard",(IF(ISBLANK('Ingest Template'!AA349),"", 'Ingest Template'!AA349&amp;"|DAR")),(IF(ISBLANK('Ingest Template'!AA349),"", 'Ingest Template'!AA349&amp;"|Film Ops")))</f>
        <v/>
      </c>
      <c r="AA349" s="21"/>
      <c r="AB349" s="21" t="str">
        <f>'Ingest Template'!M349</f>
        <v/>
      </c>
      <c r="AC349" s="21" t="str">
        <f>'Ingest Template'!Y349</f>
        <v/>
      </c>
      <c r="AD349" s="21" t="str">
        <f>'Ingest Template'!C349</f>
        <v/>
      </c>
      <c r="AE349" s="21" t="str">
        <f>'Ingest Template'!Z349</f>
        <v/>
      </c>
      <c r="AF349" s="29"/>
      <c r="AG349" s="21" t="str">
        <f t="array" ref="AG349">IF('Ingest Template'!A349="Standard",(CONCATENATE(IF(ISBLANK('Ingest Template'!O349),"", 'Ingest Template'!O349&amp;"|DAR"),CHAR(10), IF(ISBLANK('Ingest Template'!P349),"", 'Ingest Template'!P349&amp;"|DAR"),CHAR(10), IF(ISBLANK('Ingest Template'!Q349),"", 'Ingest Template'!Q349&amp;"|DAR"))),(CONCATENATE(IF(ISBLANK('Ingest Template'!O349),"", 'Ingest Template'!O349&amp;"|Operations - Core Title"),CHAR(10), IF(ISBLANK('Ingest Template'!P349),"", 'Ingest Template'!P349&amp;"|Operations - Core Title"),CHAR(10), IF(ISBLANK('Ingest Template'!Q349),"", 'Ingest Template'!Q349&amp;"|Operations - Core Title"))))</f>
        <v>#|Operations - Core Title
#|Operations - Core Title
</v>
      </c>
      <c r="AH349" s="21"/>
      <c r="AI349" s="21"/>
      <c r="AJ349" s="53" t="str">
        <f>if('Ingest Template'!A349="Standard",'Ingest Template'!N349&amp; "|DAR|DAR|2021-01-01",'Ingest Template'!N349&amp; "|Operations - Core Title|Operations - Core Title")</f>
        <v>#N/A</v>
      </c>
      <c r="AK349" s="53" t="str">
        <f>if('Ingest Template'!A349="Standard",'Ingest Template'!R349&amp; "|2021-01-01",'Ingest Template'!R349)</f>
        <v>#N/A</v>
      </c>
      <c r="AL349" s="21"/>
      <c r="AM349" s="21"/>
    </row>
    <row r="350">
      <c r="A350" s="21"/>
      <c r="B350" s="21" t="str">
        <f>'Ingest Template'!B350&amp;IF('Ingest Template'!A350 = "Standard", " - DAR","")</f>
        <v/>
      </c>
      <c r="C350" s="26" t="s">
        <v>109</v>
      </c>
      <c r="D350" s="29" t="str">
        <f t="array" ref="D350">CONCATENATE(INDEX(DropDown!$H$2:$H$10,MATCH(1,COUNTIF('Ingest Template'!F350,"*"&amp;DropDown!$H$2:$H$10&amp;"*"),0)),CHAR(10),'Ingest Template'!G350)</f>
        <v>#N/A</v>
      </c>
      <c r="E350" s="21" t="str">
        <f>CONCATENATE('Ingest Template'!H350,CHAR(10),'Ingest Template'!I350,CHAR(10),'Ingest Template'!J350)</f>
        <v>
</v>
      </c>
      <c r="F350" s="26" t="str">
        <f>'Ingest Template'!H350</f>
        <v/>
      </c>
      <c r="G350" s="21"/>
      <c r="H350" s="29"/>
      <c r="I350" s="21"/>
      <c r="J350" s="29" t="str">
        <f t="array" ref="J350">iF('Ingest Template'!A350="Standard","Pristine Brand",INDEX(DropDown!$M$2:$M$392,MATCH('Ingest Template'!E350,DropDown!$J$2:$J$392,0)))</f>
        <v>#N/A</v>
      </c>
      <c r="K350" s="21" t="str">
        <f>iF('Ingest Template'!A350="Standard",'Ingest Template'!K350&amp;CHAR(10)&amp;'Ingest Template'!L350,"Competitive View")</f>
        <v>Competitive View</v>
      </c>
      <c r="L350" s="29" t="s">
        <v>146</v>
      </c>
      <c r="M350" s="37" t="str">
        <f>'Ingest Template'!D350</f>
        <v/>
      </c>
      <c r="N350" s="21"/>
      <c r="O350" s="21"/>
      <c r="P350" s="21"/>
      <c r="Q350" s="21"/>
      <c r="R350" s="21" t="str">
        <f>'Ingest Template'!E350</f>
        <v/>
      </c>
      <c r="S350" s="29" t="s">
        <v>153</v>
      </c>
      <c r="T350" s="21" t="str">
        <f>'Ingest Template'!T350</f>
        <v/>
      </c>
      <c r="U350" s="21" t="str">
        <f>'Ingest Template'!S350</f>
        <v/>
      </c>
      <c r="V350" s="21" t="str">
        <f>LOWER(SUBSTITUTE(SUBSTITUTE(SUBSTITUTE(SUBSTITUTE(SUBSTITUTE('Ingest Template'!U350,"https:",""),"www.",""),"/",""),"?hl=en",""),"instagram.com",""))</f>
        <v/>
      </c>
      <c r="W350" s="41" t="str">
        <f t="array" ref="W350">IF('Ingest Template'!V350="",(INDEX(DropDown!$L$2:$L$392,MATCH('Ingest Template'!E350,DropDown!$J$2:$J$392,0))&amp;"|"&amp;'Ingest Template'!B350),(INDEX(DropDown!$L$2:$L$392,MATCH('Ingest Template'!E350,DropDown!$J$2:$J$392,0))&amp;"|"&amp;'Ingest Template'!B350)&amp;CHAR(10)&amp;'Ingest Template'!V350)</f>
        <v>#N/A</v>
      </c>
      <c r="X350" s="41" t="str">
        <f>'Ingest Template'!W350</f>
        <v/>
      </c>
      <c r="Y350" s="21" t="str">
        <f>SUBSTITUTE(SUBSTITUTE(SUBSTITUTE('Ingest Template'!X350,"http:",""),"https:",""),"/","")</f>
        <v/>
      </c>
      <c r="Z350" s="21" t="str">
        <f t="array" ref="Z350">IF('Ingest Template'!A350="Standard",(IF(ISBLANK('Ingest Template'!AA350),"", 'Ingest Template'!AA350&amp;"|DAR")),(IF(ISBLANK('Ingest Template'!AA350),"", 'Ingest Template'!AA350&amp;"|Film Ops")))</f>
        <v/>
      </c>
      <c r="AA350" s="21"/>
      <c r="AB350" s="21" t="str">
        <f>'Ingest Template'!M350</f>
        <v/>
      </c>
      <c r="AC350" s="21" t="str">
        <f>'Ingest Template'!Y350</f>
        <v/>
      </c>
      <c r="AD350" s="21" t="str">
        <f>'Ingest Template'!C350</f>
        <v/>
      </c>
      <c r="AE350" s="21" t="str">
        <f>'Ingest Template'!Z350</f>
        <v/>
      </c>
      <c r="AF350" s="29"/>
      <c r="AG350" s="21" t="str">
        <f t="array" ref="AG350">IF('Ingest Template'!A350="Standard",(CONCATENATE(IF(ISBLANK('Ingest Template'!O350),"", 'Ingest Template'!O350&amp;"|DAR"),CHAR(10), IF(ISBLANK('Ingest Template'!P350),"", 'Ingest Template'!P350&amp;"|DAR"),CHAR(10), IF(ISBLANK('Ingest Template'!Q350),"", 'Ingest Template'!Q350&amp;"|DAR"))),(CONCATENATE(IF(ISBLANK('Ingest Template'!O350),"", 'Ingest Template'!O350&amp;"|Operations - Core Title"),CHAR(10), IF(ISBLANK('Ingest Template'!P350),"", 'Ingest Template'!P350&amp;"|Operations - Core Title"),CHAR(10), IF(ISBLANK('Ingest Template'!Q350),"", 'Ingest Template'!Q350&amp;"|Operations - Core Title"))))</f>
        <v>#|Operations - Core Title
#|Operations - Core Title
</v>
      </c>
      <c r="AH350" s="21"/>
      <c r="AI350" s="21"/>
      <c r="AJ350" s="53" t="str">
        <f>if('Ingest Template'!A350="Standard",'Ingest Template'!N350&amp; "|DAR|DAR|2021-01-01",'Ingest Template'!N350&amp; "|Operations - Core Title|Operations - Core Title")</f>
        <v>#N/A</v>
      </c>
      <c r="AK350" s="53" t="str">
        <f>if('Ingest Template'!A350="Standard",'Ingest Template'!R350&amp; "|2021-01-01",'Ingest Template'!R350)</f>
        <v>#N/A</v>
      </c>
      <c r="AL350" s="21"/>
      <c r="AM350" s="21"/>
    </row>
    <row r="351">
      <c r="A351" s="21"/>
      <c r="B351" s="21" t="str">
        <f>'Ingest Template'!B351&amp;IF('Ingest Template'!A351 = "Standard", " - DAR","")</f>
        <v/>
      </c>
      <c r="C351" s="26" t="s">
        <v>109</v>
      </c>
      <c r="D351" s="29" t="str">
        <f t="array" ref="D351">CONCATENATE(INDEX(DropDown!$H$2:$H$10,MATCH(1,COUNTIF('Ingest Template'!F351,"*"&amp;DropDown!$H$2:$H$10&amp;"*"),0)),CHAR(10),'Ingest Template'!G351)</f>
        <v>#N/A</v>
      </c>
      <c r="E351" s="21" t="str">
        <f>CONCATENATE('Ingest Template'!H351,CHAR(10),'Ingest Template'!I351,CHAR(10),'Ingest Template'!J351)</f>
        <v>
</v>
      </c>
      <c r="F351" s="26" t="str">
        <f>'Ingest Template'!H351</f>
        <v/>
      </c>
      <c r="G351" s="21"/>
      <c r="H351" s="29"/>
      <c r="I351" s="21"/>
      <c r="J351" s="29" t="str">
        <f t="array" ref="J351">iF('Ingest Template'!A351="Standard","Pristine Brand",INDEX(DropDown!$M$2:$M$392,MATCH('Ingest Template'!E351,DropDown!$J$2:$J$392,0)))</f>
        <v>#N/A</v>
      </c>
      <c r="K351" s="21" t="str">
        <f>iF('Ingest Template'!A351="Standard",'Ingest Template'!K351&amp;CHAR(10)&amp;'Ingest Template'!L351,"Competitive View")</f>
        <v>Competitive View</v>
      </c>
      <c r="L351" s="29" t="s">
        <v>146</v>
      </c>
      <c r="M351" s="37" t="str">
        <f>'Ingest Template'!D351</f>
        <v/>
      </c>
      <c r="N351" s="21"/>
      <c r="O351" s="21"/>
      <c r="P351" s="21"/>
      <c r="Q351" s="21"/>
      <c r="R351" s="21" t="str">
        <f>'Ingest Template'!E351</f>
        <v/>
      </c>
      <c r="S351" s="29" t="s">
        <v>153</v>
      </c>
      <c r="T351" s="21" t="str">
        <f>'Ingest Template'!T351</f>
        <v/>
      </c>
      <c r="U351" s="21" t="str">
        <f>'Ingest Template'!S351</f>
        <v/>
      </c>
      <c r="V351" s="21" t="str">
        <f>LOWER(SUBSTITUTE(SUBSTITUTE(SUBSTITUTE(SUBSTITUTE(SUBSTITUTE('Ingest Template'!U351,"https:",""),"www.",""),"/",""),"?hl=en",""),"instagram.com",""))</f>
        <v/>
      </c>
      <c r="W351" s="41" t="str">
        <f t="array" ref="W351">IF('Ingest Template'!V351="",(INDEX(DropDown!$L$2:$L$392,MATCH('Ingest Template'!E351,DropDown!$J$2:$J$392,0))&amp;"|"&amp;'Ingest Template'!B351),(INDEX(DropDown!$L$2:$L$392,MATCH('Ingest Template'!E351,DropDown!$J$2:$J$392,0))&amp;"|"&amp;'Ingest Template'!B351)&amp;CHAR(10)&amp;'Ingest Template'!V351)</f>
        <v>#N/A</v>
      </c>
      <c r="X351" s="41" t="str">
        <f>'Ingest Template'!W351</f>
        <v/>
      </c>
      <c r="Y351" s="21" t="str">
        <f>SUBSTITUTE(SUBSTITUTE(SUBSTITUTE('Ingest Template'!X351,"http:",""),"https:",""),"/","")</f>
        <v/>
      </c>
      <c r="Z351" s="21" t="str">
        <f t="array" ref="Z351">IF('Ingest Template'!A351="Standard",(IF(ISBLANK('Ingest Template'!AA351),"", 'Ingest Template'!AA351&amp;"|DAR")),(IF(ISBLANK('Ingest Template'!AA351),"", 'Ingest Template'!AA351&amp;"|Film Ops")))</f>
        <v/>
      </c>
      <c r="AA351" s="21"/>
      <c r="AB351" s="21" t="str">
        <f>'Ingest Template'!M351</f>
        <v/>
      </c>
      <c r="AC351" s="21" t="str">
        <f>'Ingest Template'!Y351</f>
        <v/>
      </c>
      <c r="AD351" s="21" t="str">
        <f>'Ingest Template'!C351</f>
        <v/>
      </c>
      <c r="AE351" s="21" t="str">
        <f>'Ingest Template'!Z351</f>
        <v/>
      </c>
      <c r="AF351" s="29"/>
      <c r="AG351" s="21" t="str">
        <f t="array" ref="AG351">IF('Ingest Template'!A351="Standard",(CONCATENATE(IF(ISBLANK('Ingest Template'!O351),"", 'Ingest Template'!O351&amp;"|DAR"),CHAR(10), IF(ISBLANK('Ingest Template'!P351),"", 'Ingest Template'!P351&amp;"|DAR"),CHAR(10), IF(ISBLANK('Ingest Template'!Q351),"", 'Ingest Template'!Q351&amp;"|DAR"))),(CONCATENATE(IF(ISBLANK('Ingest Template'!O351),"", 'Ingest Template'!O351&amp;"|Operations - Core Title"),CHAR(10), IF(ISBLANK('Ingest Template'!P351),"", 'Ingest Template'!P351&amp;"|Operations - Core Title"),CHAR(10), IF(ISBLANK('Ingest Template'!Q351),"", 'Ingest Template'!Q351&amp;"|Operations - Core Title"))))</f>
        <v>#|Operations - Core Title
#|Operations - Core Title
</v>
      </c>
      <c r="AH351" s="21"/>
      <c r="AI351" s="21"/>
      <c r="AJ351" s="53" t="str">
        <f>if('Ingest Template'!A351="Standard",'Ingest Template'!N351&amp; "|DAR|DAR|2021-01-01",'Ingest Template'!N351&amp; "|Operations - Core Title|Operations - Core Title")</f>
        <v>#N/A</v>
      </c>
      <c r="AK351" s="53" t="str">
        <f>if('Ingest Template'!A351="Standard",'Ingest Template'!R351&amp; "|2021-01-01",'Ingest Template'!R351)</f>
        <v>#N/A</v>
      </c>
      <c r="AL351" s="21"/>
      <c r="AM351" s="21"/>
    </row>
    <row r="352">
      <c r="A352" s="21"/>
      <c r="B352" s="21" t="str">
        <f>'Ingest Template'!B352&amp;IF('Ingest Template'!A352 = "Standard", " - DAR","")</f>
        <v/>
      </c>
      <c r="C352" s="26" t="s">
        <v>109</v>
      </c>
      <c r="D352" s="29" t="str">
        <f t="array" ref="D352">CONCATENATE(INDEX(DropDown!$H$2:$H$10,MATCH(1,COUNTIF('Ingest Template'!F352,"*"&amp;DropDown!$H$2:$H$10&amp;"*"),0)),CHAR(10),'Ingest Template'!G352)</f>
        <v>#N/A</v>
      </c>
      <c r="E352" s="21" t="str">
        <f>CONCATENATE('Ingest Template'!H352,CHAR(10),'Ingest Template'!I352,CHAR(10),'Ingest Template'!J352)</f>
        <v>
</v>
      </c>
      <c r="F352" s="26" t="str">
        <f>'Ingest Template'!H352</f>
        <v/>
      </c>
      <c r="G352" s="21"/>
      <c r="H352" s="29"/>
      <c r="I352" s="21"/>
      <c r="J352" s="29" t="str">
        <f t="array" ref="J352">iF('Ingest Template'!A352="Standard","Pristine Brand",INDEX(DropDown!$M$2:$M$392,MATCH('Ingest Template'!E352,DropDown!$J$2:$J$392,0)))</f>
        <v>#N/A</v>
      </c>
      <c r="K352" s="21" t="str">
        <f>iF('Ingest Template'!A352="Standard",'Ingest Template'!K352&amp;CHAR(10)&amp;'Ingest Template'!L352,"Competitive View")</f>
        <v>Competitive View</v>
      </c>
      <c r="L352" s="29" t="s">
        <v>146</v>
      </c>
      <c r="M352" s="37" t="str">
        <f>'Ingest Template'!D352</f>
        <v/>
      </c>
      <c r="N352" s="21"/>
      <c r="O352" s="21"/>
      <c r="P352" s="21"/>
      <c r="Q352" s="21"/>
      <c r="R352" s="21" t="str">
        <f>'Ingest Template'!E352</f>
        <v/>
      </c>
      <c r="S352" s="29" t="s">
        <v>153</v>
      </c>
      <c r="T352" s="21" t="str">
        <f>'Ingest Template'!T352</f>
        <v/>
      </c>
      <c r="U352" s="21" t="str">
        <f>'Ingest Template'!S352</f>
        <v/>
      </c>
      <c r="V352" s="21" t="str">
        <f>LOWER(SUBSTITUTE(SUBSTITUTE(SUBSTITUTE(SUBSTITUTE(SUBSTITUTE('Ingest Template'!U352,"https:",""),"www.",""),"/",""),"?hl=en",""),"instagram.com",""))</f>
        <v/>
      </c>
      <c r="W352" s="41" t="str">
        <f t="array" ref="W352">IF('Ingest Template'!V352="",(INDEX(DropDown!$L$2:$L$392,MATCH('Ingest Template'!E352,DropDown!$J$2:$J$392,0))&amp;"|"&amp;'Ingest Template'!B352),(INDEX(DropDown!$L$2:$L$392,MATCH('Ingest Template'!E352,DropDown!$J$2:$J$392,0))&amp;"|"&amp;'Ingest Template'!B352)&amp;CHAR(10)&amp;'Ingest Template'!V352)</f>
        <v>#N/A</v>
      </c>
      <c r="X352" s="41" t="str">
        <f>'Ingest Template'!W352</f>
        <v/>
      </c>
      <c r="Y352" s="21" t="str">
        <f>SUBSTITUTE(SUBSTITUTE(SUBSTITUTE('Ingest Template'!X352,"http:",""),"https:",""),"/","")</f>
        <v/>
      </c>
      <c r="Z352" s="21" t="str">
        <f t="array" ref="Z352">IF('Ingest Template'!A352="Standard",(IF(ISBLANK('Ingest Template'!AA352),"", 'Ingest Template'!AA352&amp;"|DAR")),(IF(ISBLANK('Ingest Template'!AA352),"", 'Ingest Template'!AA352&amp;"|Film Ops")))</f>
        <v/>
      </c>
      <c r="AA352" s="21"/>
      <c r="AB352" s="21" t="str">
        <f>'Ingest Template'!M352</f>
        <v/>
      </c>
      <c r="AC352" s="21" t="str">
        <f>'Ingest Template'!Y352</f>
        <v/>
      </c>
      <c r="AD352" s="21" t="str">
        <f>'Ingest Template'!C352</f>
        <v/>
      </c>
      <c r="AE352" s="21" t="str">
        <f>'Ingest Template'!Z352</f>
        <v/>
      </c>
      <c r="AF352" s="29"/>
      <c r="AG352" s="21" t="str">
        <f t="array" ref="AG352">IF('Ingest Template'!A352="Standard",(CONCATENATE(IF(ISBLANK('Ingest Template'!O352),"", 'Ingest Template'!O352&amp;"|DAR"),CHAR(10), IF(ISBLANK('Ingest Template'!P352),"", 'Ingest Template'!P352&amp;"|DAR"),CHAR(10), IF(ISBLANK('Ingest Template'!Q352),"", 'Ingest Template'!Q352&amp;"|DAR"))),(CONCATENATE(IF(ISBLANK('Ingest Template'!O352),"", 'Ingest Template'!O352&amp;"|Operations - Core Title"),CHAR(10), IF(ISBLANK('Ingest Template'!P352),"", 'Ingest Template'!P352&amp;"|Operations - Core Title"),CHAR(10), IF(ISBLANK('Ingest Template'!Q352),"", 'Ingest Template'!Q352&amp;"|Operations - Core Title"))))</f>
        <v>#|Operations - Core Title
#|Operations - Core Title
</v>
      </c>
      <c r="AH352" s="21"/>
      <c r="AI352" s="21"/>
      <c r="AJ352" s="53" t="str">
        <f>if('Ingest Template'!A352="Standard",'Ingest Template'!N352&amp; "|DAR|DAR|2021-01-01",'Ingest Template'!N352&amp; "|Operations - Core Title|Operations - Core Title")</f>
        <v>#N/A</v>
      </c>
      <c r="AK352" s="53" t="str">
        <f>if('Ingest Template'!A352="Standard",'Ingest Template'!R352&amp; "|2021-01-01",'Ingest Template'!R352)</f>
        <v>#N/A</v>
      </c>
      <c r="AL352" s="21"/>
      <c r="AM352" s="21"/>
    </row>
    <row r="353">
      <c r="A353" s="21"/>
      <c r="B353" s="21" t="str">
        <f>'Ingest Template'!B353&amp;IF('Ingest Template'!A353 = "Standard", " - DAR","")</f>
        <v/>
      </c>
      <c r="C353" s="26" t="s">
        <v>109</v>
      </c>
      <c r="D353" s="29" t="str">
        <f t="array" ref="D353">CONCATENATE(INDEX(DropDown!$H$2:$H$10,MATCH(1,COUNTIF('Ingest Template'!F353,"*"&amp;DropDown!$H$2:$H$10&amp;"*"),0)),CHAR(10),'Ingest Template'!G353)</f>
        <v>#N/A</v>
      </c>
      <c r="E353" s="21" t="str">
        <f>CONCATENATE('Ingest Template'!H353,CHAR(10),'Ingest Template'!I353,CHAR(10),'Ingest Template'!J353)</f>
        <v>
</v>
      </c>
      <c r="F353" s="26" t="str">
        <f>'Ingest Template'!H353</f>
        <v/>
      </c>
      <c r="G353" s="21"/>
      <c r="H353" s="29"/>
      <c r="I353" s="21"/>
      <c r="J353" s="29" t="str">
        <f t="array" ref="J353">iF('Ingest Template'!A353="Standard","Pristine Brand",INDEX(DropDown!$M$2:$M$392,MATCH('Ingest Template'!E353,DropDown!$J$2:$J$392,0)))</f>
        <v>#N/A</v>
      </c>
      <c r="K353" s="21" t="str">
        <f>iF('Ingest Template'!A353="Standard",'Ingest Template'!K353&amp;CHAR(10)&amp;'Ingest Template'!L353,"Competitive View")</f>
        <v>Competitive View</v>
      </c>
      <c r="L353" s="29" t="s">
        <v>146</v>
      </c>
      <c r="M353" s="37" t="str">
        <f>'Ingest Template'!D353</f>
        <v/>
      </c>
      <c r="N353" s="21"/>
      <c r="O353" s="21"/>
      <c r="P353" s="21"/>
      <c r="Q353" s="21"/>
      <c r="R353" s="21" t="str">
        <f>'Ingest Template'!E353</f>
        <v/>
      </c>
      <c r="S353" s="29" t="s">
        <v>153</v>
      </c>
      <c r="T353" s="21" t="str">
        <f>'Ingest Template'!T353</f>
        <v/>
      </c>
      <c r="U353" s="21" t="str">
        <f>'Ingest Template'!S353</f>
        <v/>
      </c>
      <c r="V353" s="21" t="str">
        <f>LOWER(SUBSTITUTE(SUBSTITUTE(SUBSTITUTE(SUBSTITUTE(SUBSTITUTE('Ingest Template'!U353,"https:",""),"www.",""),"/",""),"?hl=en",""),"instagram.com",""))</f>
        <v/>
      </c>
      <c r="W353" s="41" t="str">
        <f t="array" ref="W353">IF('Ingest Template'!V353="",(INDEX(DropDown!$L$2:$L$392,MATCH('Ingest Template'!E353,DropDown!$J$2:$J$392,0))&amp;"|"&amp;'Ingest Template'!B353),(INDEX(DropDown!$L$2:$L$392,MATCH('Ingest Template'!E353,DropDown!$J$2:$J$392,0))&amp;"|"&amp;'Ingest Template'!B353)&amp;CHAR(10)&amp;'Ingest Template'!V353)</f>
        <v>#N/A</v>
      </c>
      <c r="X353" s="41" t="str">
        <f>'Ingest Template'!W353</f>
        <v/>
      </c>
      <c r="Y353" s="21" t="str">
        <f>SUBSTITUTE(SUBSTITUTE(SUBSTITUTE('Ingest Template'!X353,"http:",""),"https:",""),"/","")</f>
        <v/>
      </c>
      <c r="Z353" s="21" t="str">
        <f t="array" ref="Z353">IF('Ingest Template'!A353="Standard",(IF(ISBLANK('Ingest Template'!AA353),"", 'Ingest Template'!AA353&amp;"|DAR")),(IF(ISBLANK('Ingest Template'!AA353),"", 'Ingest Template'!AA353&amp;"|Film Ops")))</f>
        <v/>
      </c>
      <c r="AA353" s="21"/>
      <c r="AB353" s="21" t="str">
        <f>'Ingest Template'!M353</f>
        <v/>
      </c>
      <c r="AC353" s="21" t="str">
        <f>'Ingest Template'!Y353</f>
        <v/>
      </c>
      <c r="AD353" s="21" t="str">
        <f>'Ingest Template'!C353</f>
        <v/>
      </c>
      <c r="AE353" s="21" t="str">
        <f>'Ingest Template'!Z353</f>
        <v/>
      </c>
      <c r="AF353" s="29"/>
      <c r="AG353" s="21" t="str">
        <f t="array" ref="AG353">IF('Ingest Template'!A353="Standard",(CONCATENATE(IF(ISBLANK('Ingest Template'!O353),"", 'Ingest Template'!O353&amp;"|DAR"),CHAR(10), IF(ISBLANK('Ingest Template'!P353),"", 'Ingest Template'!P353&amp;"|DAR"),CHAR(10), IF(ISBLANK('Ingest Template'!Q353),"", 'Ingest Template'!Q353&amp;"|DAR"))),(CONCATENATE(IF(ISBLANK('Ingest Template'!O353),"", 'Ingest Template'!O353&amp;"|Operations - Core Title"),CHAR(10), IF(ISBLANK('Ingest Template'!P353),"", 'Ingest Template'!P353&amp;"|Operations - Core Title"),CHAR(10), IF(ISBLANK('Ingest Template'!Q353),"", 'Ingest Template'!Q353&amp;"|Operations - Core Title"))))</f>
        <v>#|Operations - Core Title
#|Operations - Core Title
</v>
      </c>
      <c r="AH353" s="21"/>
      <c r="AI353" s="21"/>
      <c r="AJ353" s="53" t="str">
        <f>if('Ingest Template'!A353="Standard",'Ingest Template'!N353&amp; "|DAR|DAR|2021-01-01",'Ingest Template'!N353&amp; "|Operations - Core Title|Operations - Core Title")</f>
        <v>#N/A</v>
      </c>
      <c r="AK353" s="53" t="str">
        <f>if('Ingest Template'!A353="Standard",'Ingest Template'!R353&amp; "|2021-01-01",'Ingest Template'!R353)</f>
        <v>#N/A</v>
      </c>
      <c r="AL353" s="21"/>
      <c r="AM353" s="21"/>
    </row>
    <row r="354">
      <c r="A354" s="21"/>
      <c r="B354" s="21" t="str">
        <f>'Ingest Template'!B354&amp;IF('Ingest Template'!A354 = "Standard", " - DAR","")</f>
        <v/>
      </c>
      <c r="C354" s="26" t="s">
        <v>109</v>
      </c>
      <c r="D354" s="29" t="str">
        <f t="array" ref="D354">CONCATENATE(INDEX(DropDown!$H$2:$H$10,MATCH(1,COUNTIF('Ingest Template'!F354,"*"&amp;DropDown!$H$2:$H$10&amp;"*"),0)),CHAR(10),'Ingest Template'!G354)</f>
        <v>#N/A</v>
      </c>
      <c r="E354" s="21" t="str">
        <f>CONCATENATE('Ingest Template'!H354,CHAR(10),'Ingest Template'!I354,CHAR(10),'Ingest Template'!J354)</f>
        <v>
</v>
      </c>
      <c r="F354" s="26" t="str">
        <f>'Ingest Template'!H354</f>
        <v/>
      </c>
      <c r="G354" s="21"/>
      <c r="H354" s="29"/>
      <c r="I354" s="21"/>
      <c r="J354" s="29" t="str">
        <f t="array" ref="J354">iF('Ingest Template'!A354="Standard","Pristine Brand",INDEX(DropDown!$M$2:$M$392,MATCH('Ingest Template'!E354,DropDown!$J$2:$J$392,0)))</f>
        <v>#N/A</v>
      </c>
      <c r="K354" s="21" t="str">
        <f>iF('Ingest Template'!A354="Standard",'Ingest Template'!K354&amp;CHAR(10)&amp;'Ingest Template'!L354,"Competitive View")</f>
        <v>Competitive View</v>
      </c>
      <c r="L354" s="29" t="s">
        <v>146</v>
      </c>
      <c r="M354" s="37" t="str">
        <f>'Ingest Template'!D354</f>
        <v/>
      </c>
      <c r="N354" s="21"/>
      <c r="O354" s="21"/>
      <c r="P354" s="21"/>
      <c r="Q354" s="21"/>
      <c r="R354" s="21" t="str">
        <f>'Ingest Template'!E354</f>
        <v/>
      </c>
      <c r="S354" s="29" t="s">
        <v>153</v>
      </c>
      <c r="T354" s="21" t="str">
        <f>'Ingest Template'!T354</f>
        <v/>
      </c>
      <c r="U354" s="21" t="str">
        <f>'Ingest Template'!S354</f>
        <v/>
      </c>
      <c r="V354" s="21" t="str">
        <f>LOWER(SUBSTITUTE(SUBSTITUTE(SUBSTITUTE(SUBSTITUTE(SUBSTITUTE('Ingest Template'!U354,"https:",""),"www.",""),"/",""),"?hl=en",""),"instagram.com",""))</f>
        <v/>
      </c>
      <c r="W354" s="41" t="str">
        <f t="array" ref="W354">IF('Ingest Template'!V354="",(INDEX(DropDown!$L$2:$L$392,MATCH('Ingest Template'!E354,DropDown!$J$2:$J$392,0))&amp;"|"&amp;'Ingest Template'!B354),(INDEX(DropDown!$L$2:$L$392,MATCH('Ingest Template'!E354,DropDown!$J$2:$J$392,0))&amp;"|"&amp;'Ingest Template'!B354)&amp;CHAR(10)&amp;'Ingest Template'!V354)</f>
        <v>#N/A</v>
      </c>
      <c r="X354" s="41" t="str">
        <f>'Ingest Template'!W354</f>
        <v/>
      </c>
      <c r="Y354" s="21" t="str">
        <f>SUBSTITUTE(SUBSTITUTE(SUBSTITUTE('Ingest Template'!X354,"http:",""),"https:",""),"/","")</f>
        <v/>
      </c>
      <c r="Z354" s="21" t="str">
        <f t="array" ref="Z354">IF('Ingest Template'!A354="Standard",(IF(ISBLANK('Ingest Template'!AA354),"", 'Ingest Template'!AA354&amp;"|DAR")),(IF(ISBLANK('Ingest Template'!AA354),"", 'Ingest Template'!AA354&amp;"|Film Ops")))</f>
        <v/>
      </c>
      <c r="AA354" s="21"/>
      <c r="AB354" s="21" t="str">
        <f>'Ingest Template'!M354</f>
        <v/>
      </c>
      <c r="AC354" s="21" t="str">
        <f>'Ingest Template'!Y354</f>
        <v/>
      </c>
      <c r="AD354" s="21" t="str">
        <f>'Ingest Template'!C354</f>
        <v/>
      </c>
      <c r="AE354" s="21" t="str">
        <f>'Ingest Template'!Z354</f>
        <v/>
      </c>
      <c r="AF354" s="29"/>
      <c r="AG354" s="21" t="str">
        <f t="array" ref="AG354">IF('Ingest Template'!A354="Standard",(CONCATENATE(IF(ISBLANK('Ingest Template'!O354),"", 'Ingest Template'!O354&amp;"|DAR"),CHAR(10), IF(ISBLANK('Ingest Template'!P354),"", 'Ingest Template'!P354&amp;"|DAR"),CHAR(10), IF(ISBLANK('Ingest Template'!Q354),"", 'Ingest Template'!Q354&amp;"|DAR"))),(CONCATENATE(IF(ISBLANK('Ingest Template'!O354),"", 'Ingest Template'!O354&amp;"|Operations - Core Title"),CHAR(10), IF(ISBLANK('Ingest Template'!P354),"", 'Ingest Template'!P354&amp;"|Operations - Core Title"),CHAR(10), IF(ISBLANK('Ingest Template'!Q354),"", 'Ingest Template'!Q354&amp;"|Operations - Core Title"))))</f>
        <v>#|Operations - Core Title
#|Operations - Core Title
</v>
      </c>
      <c r="AH354" s="21"/>
      <c r="AI354" s="21"/>
      <c r="AJ354" s="53" t="str">
        <f>if('Ingest Template'!A354="Standard",'Ingest Template'!N354&amp; "|DAR|DAR|2021-01-01",'Ingest Template'!N354&amp; "|Operations - Core Title|Operations - Core Title")</f>
        <v>#N/A</v>
      </c>
      <c r="AK354" s="53" t="str">
        <f>if('Ingest Template'!A354="Standard",'Ingest Template'!R354&amp; "|2021-01-01",'Ingest Template'!R354)</f>
        <v>#N/A</v>
      </c>
      <c r="AL354" s="21"/>
      <c r="AM354" s="21"/>
    </row>
    <row r="355">
      <c r="A355" s="21"/>
      <c r="B355" s="21" t="str">
        <f>'Ingest Template'!B355&amp;IF('Ingest Template'!A355 = "Standard", " - DAR","")</f>
        <v/>
      </c>
      <c r="C355" s="26" t="s">
        <v>109</v>
      </c>
      <c r="D355" s="29" t="str">
        <f t="array" ref="D355">CONCATENATE(INDEX(DropDown!$H$2:$H$10,MATCH(1,COUNTIF('Ingest Template'!F355,"*"&amp;DropDown!$H$2:$H$10&amp;"*"),0)),CHAR(10),'Ingest Template'!G355)</f>
        <v>#N/A</v>
      </c>
      <c r="E355" s="21" t="str">
        <f>CONCATENATE('Ingest Template'!H355,CHAR(10),'Ingest Template'!I355,CHAR(10),'Ingest Template'!J355)</f>
        <v>
</v>
      </c>
      <c r="F355" s="26" t="str">
        <f>'Ingest Template'!H355</f>
        <v/>
      </c>
      <c r="G355" s="21"/>
      <c r="H355" s="29"/>
      <c r="I355" s="21"/>
      <c r="J355" s="29" t="str">
        <f t="array" ref="J355">iF('Ingest Template'!A355="Standard","Pristine Brand",INDEX(DropDown!$M$2:$M$392,MATCH('Ingest Template'!E355,DropDown!$J$2:$J$392,0)))</f>
        <v>#N/A</v>
      </c>
      <c r="K355" s="21" t="str">
        <f>iF('Ingest Template'!A355="Standard",'Ingest Template'!K355&amp;CHAR(10)&amp;'Ingest Template'!L355,"Competitive View")</f>
        <v>Competitive View</v>
      </c>
      <c r="L355" s="29" t="s">
        <v>146</v>
      </c>
      <c r="M355" s="37" t="str">
        <f>'Ingest Template'!D355</f>
        <v/>
      </c>
      <c r="N355" s="21"/>
      <c r="O355" s="21"/>
      <c r="P355" s="21"/>
      <c r="Q355" s="21"/>
      <c r="R355" s="21" t="str">
        <f>'Ingest Template'!E355</f>
        <v/>
      </c>
      <c r="S355" s="29" t="s">
        <v>153</v>
      </c>
      <c r="T355" s="21" t="str">
        <f>'Ingest Template'!T355</f>
        <v/>
      </c>
      <c r="U355" s="21" t="str">
        <f>'Ingest Template'!S355</f>
        <v/>
      </c>
      <c r="V355" s="21" t="str">
        <f>LOWER(SUBSTITUTE(SUBSTITUTE(SUBSTITUTE(SUBSTITUTE(SUBSTITUTE('Ingest Template'!U355,"https:",""),"www.",""),"/",""),"?hl=en",""),"instagram.com",""))</f>
        <v/>
      </c>
      <c r="W355" s="41" t="str">
        <f t="array" ref="W355">IF('Ingest Template'!V355="",(INDEX(DropDown!$L$2:$L$392,MATCH('Ingest Template'!E355,DropDown!$J$2:$J$392,0))&amp;"|"&amp;'Ingest Template'!B355),(INDEX(DropDown!$L$2:$L$392,MATCH('Ingest Template'!E355,DropDown!$J$2:$J$392,0))&amp;"|"&amp;'Ingest Template'!B355)&amp;CHAR(10)&amp;'Ingest Template'!V355)</f>
        <v>#N/A</v>
      </c>
      <c r="X355" s="41" t="str">
        <f>'Ingest Template'!W355</f>
        <v/>
      </c>
      <c r="Y355" s="21" t="str">
        <f>SUBSTITUTE(SUBSTITUTE(SUBSTITUTE('Ingest Template'!X355,"http:",""),"https:",""),"/","")</f>
        <v/>
      </c>
      <c r="Z355" s="21" t="str">
        <f t="array" ref="Z355">IF('Ingest Template'!A355="Standard",(IF(ISBLANK('Ingest Template'!AA355),"", 'Ingest Template'!AA355&amp;"|DAR")),(IF(ISBLANK('Ingest Template'!AA355),"", 'Ingest Template'!AA355&amp;"|Film Ops")))</f>
        <v/>
      </c>
      <c r="AA355" s="21"/>
      <c r="AB355" s="21" t="str">
        <f>'Ingest Template'!M355</f>
        <v/>
      </c>
      <c r="AC355" s="21" t="str">
        <f>'Ingest Template'!Y355</f>
        <v/>
      </c>
      <c r="AD355" s="21" t="str">
        <f>'Ingest Template'!C355</f>
        <v/>
      </c>
      <c r="AE355" s="21" t="str">
        <f>'Ingest Template'!Z355</f>
        <v/>
      </c>
      <c r="AF355" s="29"/>
      <c r="AG355" s="21" t="str">
        <f t="array" ref="AG355">IF('Ingest Template'!A355="Standard",(CONCATENATE(IF(ISBLANK('Ingest Template'!O355),"", 'Ingest Template'!O355&amp;"|DAR"),CHAR(10), IF(ISBLANK('Ingest Template'!P355),"", 'Ingest Template'!P355&amp;"|DAR"),CHAR(10), IF(ISBLANK('Ingest Template'!Q355),"", 'Ingest Template'!Q355&amp;"|DAR"))),(CONCATENATE(IF(ISBLANK('Ingest Template'!O355),"", 'Ingest Template'!O355&amp;"|Operations - Core Title"),CHAR(10), IF(ISBLANK('Ingest Template'!P355),"", 'Ingest Template'!P355&amp;"|Operations - Core Title"),CHAR(10), IF(ISBLANK('Ingest Template'!Q355),"", 'Ingest Template'!Q355&amp;"|Operations - Core Title"))))</f>
        <v>#|Operations - Core Title
#|Operations - Core Title
</v>
      </c>
      <c r="AH355" s="21"/>
      <c r="AI355" s="21"/>
      <c r="AJ355" s="53" t="str">
        <f>if('Ingest Template'!A355="Standard",'Ingest Template'!N355&amp; "|DAR|DAR|2021-01-01",'Ingest Template'!N355&amp; "|Operations - Core Title|Operations - Core Title")</f>
        <v>#N/A</v>
      </c>
      <c r="AK355" s="53" t="str">
        <f>if('Ingest Template'!A355="Standard",'Ingest Template'!R355&amp; "|2021-01-01",'Ingest Template'!R355)</f>
        <v>#N/A</v>
      </c>
      <c r="AL355" s="21"/>
      <c r="AM355" s="21"/>
    </row>
    <row r="356">
      <c r="A356" s="21"/>
      <c r="B356" s="21" t="str">
        <f>'Ingest Template'!B356&amp;IF('Ingest Template'!A356 = "Standard", " - DAR","")</f>
        <v/>
      </c>
      <c r="C356" s="26" t="s">
        <v>109</v>
      </c>
      <c r="D356" s="29" t="str">
        <f t="array" ref="D356">CONCATENATE(INDEX(DropDown!$H$2:$H$10,MATCH(1,COUNTIF('Ingest Template'!F356,"*"&amp;DropDown!$H$2:$H$10&amp;"*"),0)),CHAR(10),'Ingest Template'!G356)</f>
        <v>#N/A</v>
      </c>
      <c r="E356" s="21" t="str">
        <f>CONCATENATE('Ingest Template'!H356,CHAR(10),'Ingest Template'!I356,CHAR(10),'Ingest Template'!J356)</f>
        <v>
</v>
      </c>
      <c r="F356" s="26" t="str">
        <f>'Ingest Template'!H356</f>
        <v/>
      </c>
      <c r="G356" s="21"/>
      <c r="H356" s="29"/>
      <c r="I356" s="21"/>
      <c r="J356" s="29" t="str">
        <f t="array" ref="J356">iF('Ingest Template'!A356="Standard","Pristine Brand",INDEX(DropDown!$M$2:$M$392,MATCH('Ingest Template'!E356,DropDown!$J$2:$J$392,0)))</f>
        <v>#N/A</v>
      </c>
      <c r="K356" s="21" t="str">
        <f>iF('Ingest Template'!A356="Standard",'Ingest Template'!K356&amp;CHAR(10)&amp;'Ingest Template'!L356,"Competitive View")</f>
        <v>Competitive View</v>
      </c>
      <c r="L356" s="29" t="s">
        <v>146</v>
      </c>
      <c r="M356" s="37" t="str">
        <f>'Ingest Template'!D356</f>
        <v/>
      </c>
      <c r="N356" s="21"/>
      <c r="O356" s="21"/>
      <c r="P356" s="21"/>
      <c r="Q356" s="21"/>
      <c r="R356" s="21" t="str">
        <f>'Ingest Template'!E356</f>
        <v/>
      </c>
      <c r="S356" s="29" t="s">
        <v>153</v>
      </c>
      <c r="T356" s="21" t="str">
        <f>'Ingest Template'!T356</f>
        <v/>
      </c>
      <c r="U356" s="21" t="str">
        <f>'Ingest Template'!S356</f>
        <v/>
      </c>
      <c r="V356" s="21" t="str">
        <f>LOWER(SUBSTITUTE(SUBSTITUTE(SUBSTITUTE(SUBSTITUTE(SUBSTITUTE('Ingest Template'!U356,"https:",""),"www.",""),"/",""),"?hl=en",""),"instagram.com",""))</f>
        <v/>
      </c>
      <c r="W356" s="41" t="str">
        <f t="array" ref="W356">IF('Ingest Template'!V356="",(INDEX(DropDown!$L$2:$L$392,MATCH('Ingest Template'!E356,DropDown!$J$2:$J$392,0))&amp;"|"&amp;'Ingest Template'!B356),(INDEX(DropDown!$L$2:$L$392,MATCH('Ingest Template'!E356,DropDown!$J$2:$J$392,0))&amp;"|"&amp;'Ingest Template'!B356)&amp;CHAR(10)&amp;'Ingest Template'!V356)</f>
        <v>#N/A</v>
      </c>
      <c r="X356" s="41" t="str">
        <f>'Ingest Template'!W356</f>
        <v/>
      </c>
      <c r="Y356" s="21" t="str">
        <f>SUBSTITUTE(SUBSTITUTE(SUBSTITUTE('Ingest Template'!X356,"http:",""),"https:",""),"/","")</f>
        <v/>
      </c>
      <c r="Z356" s="21" t="str">
        <f t="array" ref="Z356">IF('Ingest Template'!A356="Standard",(IF(ISBLANK('Ingest Template'!AA356),"", 'Ingest Template'!AA356&amp;"|DAR")),(IF(ISBLANK('Ingest Template'!AA356),"", 'Ingest Template'!AA356&amp;"|Film Ops")))</f>
        <v/>
      </c>
      <c r="AA356" s="21"/>
      <c r="AB356" s="21" t="str">
        <f>'Ingest Template'!M356</f>
        <v/>
      </c>
      <c r="AC356" s="21" t="str">
        <f>'Ingest Template'!Y356</f>
        <v/>
      </c>
      <c r="AD356" s="21" t="str">
        <f>'Ingest Template'!C356</f>
        <v/>
      </c>
      <c r="AE356" s="21" t="str">
        <f>'Ingest Template'!Z356</f>
        <v/>
      </c>
      <c r="AF356" s="29"/>
      <c r="AG356" s="21" t="str">
        <f t="array" ref="AG356">IF('Ingest Template'!A356="Standard",(CONCATENATE(IF(ISBLANK('Ingest Template'!O356),"", 'Ingest Template'!O356&amp;"|DAR"),CHAR(10), IF(ISBLANK('Ingest Template'!P356),"", 'Ingest Template'!P356&amp;"|DAR"),CHAR(10), IF(ISBLANK('Ingest Template'!Q356),"", 'Ingest Template'!Q356&amp;"|DAR"))),(CONCATENATE(IF(ISBLANK('Ingest Template'!O356),"", 'Ingest Template'!O356&amp;"|Operations - Core Title"),CHAR(10), IF(ISBLANK('Ingest Template'!P356),"", 'Ingest Template'!P356&amp;"|Operations - Core Title"),CHAR(10), IF(ISBLANK('Ingest Template'!Q356),"", 'Ingest Template'!Q356&amp;"|Operations - Core Title"))))</f>
        <v>#|Operations - Core Title
#|Operations - Core Title
</v>
      </c>
      <c r="AH356" s="21"/>
      <c r="AI356" s="21"/>
      <c r="AJ356" s="53" t="str">
        <f>if('Ingest Template'!A356="Standard",'Ingest Template'!N356&amp; "|DAR|DAR|2021-01-01",'Ingest Template'!N356&amp; "|Operations - Core Title|Operations - Core Title")</f>
        <v>#N/A</v>
      </c>
      <c r="AK356" s="53" t="str">
        <f>if('Ingest Template'!A356="Standard",'Ingest Template'!R356&amp; "|2021-01-01",'Ingest Template'!R356)</f>
        <v>#N/A</v>
      </c>
      <c r="AL356" s="21"/>
      <c r="AM356" s="21"/>
    </row>
    <row r="357">
      <c r="A357" s="21"/>
      <c r="B357" s="21" t="str">
        <f>'Ingest Template'!B357&amp;IF('Ingest Template'!A357 = "Standard", " - DAR","")</f>
        <v/>
      </c>
      <c r="C357" s="26" t="s">
        <v>109</v>
      </c>
      <c r="D357" s="29" t="str">
        <f t="array" ref="D357">CONCATENATE(INDEX(DropDown!$H$2:$H$10,MATCH(1,COUNTIF('Ingest Template'!F357,"*"&amp;DropDown!$H$2:$H$10&amp;"*"),0)),CHAR(10),'Ingest Template'!G357)</f>
        <v>#N/A</v>
      </c>
      <c r="E357" s="21" t="str">
        <f>CONCATENATE('Ingest Template'!H357,CHAR(10),'Ingest Template'!I357,CHAR(10),'Ingest Template'!J357)</f>
        <v>
</v>
      </c>
      <c r="F357" s="26" t="str">
        <f>'Ingest Template'!H357</f>
        <v/>
      </c>
      <c r="G357" s="21"/>
      <c r="H357" s="29"/>
      <c r="I357" s="21"/>
      <c r="J357" s="29" t="str">
        <f t="array" ref="J357">iF('Ingest Template'!A357="Standard","Pristine Brand",INDEX(DropDown!$M$2:$M$392,MATCH('Ingest Template'!E357,DropDown!$J$2:$J$392,0)))</f>
        <v>#N/A</v>
      </c>
      <c r="K357" s="21" t="str">
        <f>iF('Ingest Template'!A357="Standard",'Ingest Template'!K357&amp;CHAR(10)&amp;'Ingest Template'!L357,"Competitive View")</f>
        <v>Competitive View</v>
      </c>
      <c r="L357" s="29" t="s">
        <v>146</v>
      </c>
      <c r="M357" s="37" t="str">
        <f>'Ingest Template'!D357</f>
        <v/>
      </c>
      <c r="N357" s="21"/>
      <c r="O357" s="21"/>
      <c r="P357" s="21"/>
      <c r="Q357" s="21"/>
      <c r="R357" s="21" t="str">
        <f>'Ingest Template'!E357</f>
        <v/>
      </c>
      <c r="S357" s="29" t="s">
        <v>153</v>
      </c>
      <c r="T357" s="21" t="str">
        <f>'Ingest Template'!T357</f>
        <v/>
      </c>
      <c r="U357" s="21" t="str">
        <f>'Ingest Template'!S357</f>
        <v/>
      </c>
      <c r="V357" s="21" t="str">
        <f>LOWER(SUBSTITUTE(SUBSTITUTE(SUBSTITUTE(SUBSTITUTE(SUBSTITUTE('Ingest Template'!U357,"https:",""),"www.",""),"/",""),"?hl=en",""),"instagram.com",""))</f>
        <v/>
      </c>
      <c r="W357" s="41" t="str">
        <f t="array" ref="W357">IF('Ingest Template'!V357="",(INDEX(DropDown!$L$2:$L$392,MATCH('Ingest Template'!E357,DropDown!$J$2:$J$392,0))&amp;"|"&amp;'Ingest Template'!B357),(INDEX(DropDown!$L$2:$L$392,MATCH('Ingest Template'!E357,DropDown!$J$2:$J$392,0))&amp;"|"&amp;'Ingest Template'!B357)&amp;CHAR(10)&amp;'Ingest Template'!V357)</f>
        <v>#N/A</v>
      </c>
      <c r="X357" s="41" t="str">
        <f>'Ingest Template'!W357</f>
        <v/>
      </c>
      <c r="Y357" s="21" t="str">
        <f>SUBSTITUTE(SUBSTITUTE(SUBSTITUTE('Ingest Template'!X357,"http:",""),"https:",""),"/","")</f>
        <v/>
      </c>
      <c r="Z357" s="21" t="str">
        <f t="array" ref="Z357">IF('Ingest Template'!A357="Standard",(IF(ISBLANK('Ingest Template'!AA357),"", 'Ingest Template'!AA357&amp;"|DAR")),(IF(ISBLANK('Ingest Template'!AA357),"", 'Ingest Template'!AA357&amp;"|Film Ops")))</f>
        <v/>
      </c>
      <c r="AA357" s="21"/>
      <c r="AB357" s="21" t="str">
        <f>'Ingest Template'!M357</f>
        <v/>
      </c>
      <c r="AC357" s="21" t="str">
        <f>'Ingest Template'!Y357</f>
        <v/>
      </c>
      <c r="AD357" s="21" t="str">
        <f>'Ingest Template'!C357</f>
        <v/>
      </c>
      <c r="AE357" s="21" t="str">
        <f>'Ingest Template'!Z357</f>
        <v/>
      </c>
      <c r="AF357" s="29"/>
      <c r="AG357" s="21" t="str">
        <f t="array" ref="AG357">IF('Ingest Template'!A357="Standard",(CONCATENATE(IF(ISBLANK('Ingest Template'!O357),"", 'Ingest Template'!O357&amp;"|DAR"),CHAR(10), IF(ISBLANK('Ingest Template'!P357),"", 'Ingest Template'!P357&amp;"|DAR"),CHAR(10), IF(ISBLANK('Ingest Template'!Q357),"", 'Ingest Template'!Q357&amp;"|DAR"))),(CONCATENATE(IF(ISBLANK('Ingest Template'!O357),"", 'Ingest Template'!O357&amp;"|Operations - Core Title"),CHAR(10), IF(ISBLANK('Ingest Template'!P357),"", 'Ingest Template'!P357&amp;"|Operations - Core Title"),CHAR(10), IF(ISBLANK('Ingest Template'!Q357),"", 'Ingest Template'!Q357&amp;"|Operations - Core Title"))))</f>
        <v>#|Operations - Core Title
#|Operations - Core Title
</v>
      </c>
      <c r="AH357" s="21"/>
      <c r="AI357" s="21"/>
      <c r="AJ357" s="53" t="str">
        <f>if('Ingest Template'!A357="Standard",'Ingest Template'!N357&amp; "|DAR|DAR|2021-01-01",'Ingest Template'!N357&amp; "|Operations - Core Title|Operations - Core Title")</f>
        <v>#N/A</v>
      </c>
      <c r="AK357" s="53" t="str">
        <f>if('Ingest Template'!A357="Standard",'Ingest Template'!R357&amp; "|2021-01-01",'Ingest Template'!R357)</f>
        <v>#N/A</v>
      </c>
      <c r="AL357" s="21"/>
      <c r="AM357" s="21"/>
    </row>
    <row r="358">
      <c r="A358" s="21"/>
      <c r="B358" s="21" t="str">
        <f>'Ingest Template'!B358&amp;IF('Ingest Template'!A358 = "Standard", " - DAR","")</f>
        <v/>
      </c>
      <c r="C358" s="26" t="s">
        <v>109</v>
      </c>
      <c r="D358" s="29" t="str">
        <f t="array" ref="D358">CONCATENATE(INDEX(DropDown!$H$2:$H$10,MATCH(1,COUNTIF('Ingest Template'!F358,"*"&amp;DropDown!$H$2:$H$10&amp;"*"),0)),CHAR(10),'Ingest Template'!G358)</f>
        <v>#N/A</v>
      </c>
      <c r="E358" s="21" t="str">
        <f>CONCATENATE('Ingest Template'!H358,CHAR(10),'Ingest Template'!I358,CHAR(10),'Ingest Template'!J358)</f>
        <v>
</v>
      </c>
      <c r="F358" s="26" t="str">
        <f>'Ingest Template'!H358</f>
        <v/>
      </c>
      <c r="G358" s="21"/>
      <c r="H358" s="29"/>
      <c r="I358" s="21"/>
      <c r="J358" s="29" t="str">
        <f t="array" ref="J358">iF('Ingest Template'!A358="Standard","Pristine Brand",INDEX(DropDown!$M$2:$M$392,MATCH('Ingest Template'!E358,DropDown!$J$2:$J$392,0)))</f>
        <v>#N/A</v>
      </c>
      <c r="K358" s="21" t="str">
        <f>iF('Ingest Template'!A358="Standard",'Ingest Template'!K358&amp;CHAR(10)&amp;'Ingest Template'!L358,"Competitive View")</f>
        <v>Competitive View</v>
      </c>
      <c r="L358" s="29" t="s">
        <v>146</v>
      </c>
      <c r="M358" s="37" t="str">
        <f>'Ingest Template'!D358</f>
        <v/>
      </c>
      <c r="N358" s="21"/>
      <c r="O358" s="21"/>
      <c r="P358" s="21"/>
      <c r="Q358" s="21"/>
      <c r="R358" s="21" t="str">
        <f>'Ingest Template'!E358</f>
        <v/>
      </c>
      <c r="S358" s="29" t="s">
        <v>153</v>
      </c>
      <c r="T358" s="21" t="str">
        <f>'Ingest Template'!T358</f>
        <v/>
      </c>
      <c r="U358" s="21" t="str">
        <f>'Ingest Template'!S358</f>
        <v/>
      </c>
      <c r="V358" s="21" t="str">
        <f>LOWER(SUBSTITUTE(SUBSTITUTE(SUBSTITUTE(SUBSTITUTE(SUBSTITUTE('Ingest Template'!U358,"https:",""),"www.",""),"/",""),"?hl=en",""),"instagram.com",""))</f>
        <v/>
      </c>
      <c r="W358" s="41" t="str">
        <f t="array" ref="W358">IF('Ingest Template'!V358="",(INDEX(DropDown!$L$2:$L$392,MATCH('Ingest Template'!E358,DropDown!$J$2:$J$392,0))&amp;"|"&amp;'Ingest Template'!B358),(INDEX(DropDown!$L$2:$L$392,MATCH('Ingest Template'!E358,DropDown!$J$2:$J$392,0))&amp;"|"&amp;'Ingest Template'!B358)&amp;CHAR(10)&amp;'Ingest Template'!V358)</f>
        <v>#N/A</v>
      </c>
      <c r="X358" s="41" t="str">
        <f>'Ingest Template'!W358</f>
        <v/>
      </c>
      <c r="Y358" s="21" t="str">
        <f>SUBSTITUTE(SUBSTITUTE(SUBSTITUTE('Ingest Template'!X358,"http:",""),"https:",""),"/","")</f>
        <v/>
      </c>
      <c r="Z358" s="21" t="str">
        <f t="array" ref="Z358">IF('Ingest Template'!A358="Standard",(IF(ISBLANK('Ingest Template'!AA358),"", 'Ingest Template'!AA358&amp;"|DAR")),(IF(ISBLANK('Ingest Template'!AA358),"", 'Ingest Template'!AA358&amp;"|Film Ops")))</f>
        <v/>
      </c>
      <c r="AA358" s="21"/>
      <c r="AB358" s="21" t="str">
        <f>'Ingest Template'!M358</f>
        <v/>
      </c>
      <c r="AC358" s="21" t="str">
        <f>'Ingest Template'!Y358</f>
        <v/>
      </c>
      <c r="AD358" s="21" t="str">
        <f>'Ingest Template'!C358</f>
        <v/>
      </c>
      <c r="AE358" s="21" t="str">
        <f>'Ingest Template'!Z358</f>
        <v/>
      </c>
      <c r="AF358" s="29"/>
      <c r="AG358" s="21" t="str">
        <f t="array" ref="AG358">IF('Ingest Template'!A358="Standard",(CONCATENATE(IF(ISBLANK('Ingest Template'!O358),"", 'Ingest Template'!O358&amp;"|DAR"),CHAR(10), IF(ISBLANK('Ingest Template'!P358),"", 'Ingest Template'!P358&amp;"|DAR"),CHAR(10), IF(ISBLANK('Ingest Template'!Q358),"", 'Ingest Template'!Q358&amp;"|DAR"))),(CONCATENATE(IF(ISBLANK('Ingest Template'!O358),"", 'Ingest Template'!O358&amp;"|Operations - Core Title"),CHAR(10), IF(ISBLANK('Ingest Template'!P358),"", 'Ingest Template'!P358&amp;"|Operations - Core Title"),CHAR(10), IF(ISBLANK('Ingest Template'!Q358),"", 'Ingest Template'!Q358&amp;"|Operations - Core Title"))))</f>
        <v>#|Operations - Core Title
#|Operations - Core Title
</v>
      </c>
      <c r="AH358" s="21"/>
      <c r="AI358" s="21"/>
      <c r="AJ358" s="53" t="str">
        <f>if('Ingest Template'!A358="Standard",'Ingest Template'!N358&amp; "|DAR|DAR|2021-01-01",'Ingest Template'!N358&amp; "|Operations - Core Title|Operations - Core Title")</f>
        <v>#N/A</v>
      </c>
      <c r="AK358" s="53" t="str">
        <f>if('Ingest Template'!A358="Standard",'Ingest Template'!R358&amp; "|2021-01-01",'Ingest Template'!R358)</f>
        <v>#N/A</v>
      </c>
      <c r="AL358" s="21"/>
      <c r="AM358" s="21"/>
    </row>
    <row r="359">
      <c r="A359" s="21"/>
      <c r="B359" s="21" t="str">
        <f>'Ingest Template'!B359&amp;IF('Ingest Template'!A359 = "Standard", " - DAR","")</f>
        <v/>
      </c>
      <c r="C359" s="26" t="s">
        <v>109</v>
      </c>
      <c r="D359" s="29" t="str">
        <f t="array" ref="D359">CONCATENATE(INDEX(DropDown!$H$2:$H$10,MATCH(1,COUNTIF('Ingest Template'!F359,"*"&amp;DropDown!$H$2:$H$10&amp;"*"),0)),CHAR(10),'Ingest Template'!G359)</f>
        <v>#N/A</v>
      </c>
      <c r="E359" s="21" t="str">
        <f>CONCATENATE('Ingest Template'!H359,CHAR(10),'Ingest Template'!I359,CHAR(10),'Ingest Template'!J359)</f>
        <v>
</v>
      </c>
      <c r="F359" s="26" t="str">
        <f>'Ingest Template'!H359</f>
        <v/>
      </c>
      <c r="G359" s="21"/>
      <c r="H359" s="29"/>
      <c r="I359" s="21"/>
      <c r="J359" s="29" t="str">
        <f t="array" ref="J359">iF('Ingest Template'!A359="Standard","Pristine Brand",INDEX(DropDown!$M$2:$M$392,MATCH('Ingest Template'!E359,DropDown!$J$2:$J$392,0)))</f>
        <v>#N/A</v>
      </c>
      <c r="K359" s="21" t="str">
        <f>iF('Ingest Template'!A359="Standard",'Ingest Template'!K359&amp;CHAR(10)&amp;'Ingest Template'!L359,"Competitive View")</f>
        <v>Competitive View</v>
      </c>
      <c r="L359" s="29" t="s">
        <v>146</v>
      </c>
      <c r="M359" s="37" t="str">
        <f>'Ingest Template'!D359</f>
        <v/>
      </c>
      <c r="N359" s="21"/>
      <c r="O359" s="21"/>
      <c r="P359" s="21"/>
      <c r="Q359" s="21"/>
      <c r="R359" s="21" t="str">
        <f>'Ingest Template'!E359</f>
        <v/>
      </c>
      <c r="S359" s="29" t="s">
        <v>153</v>
      </c>
      <c r="T359" s="21" t="str">
        <f>'Ingest Template'!T359</f>
        <v/>
      </c>
      <c r="U359" s="21" t="str">
        <f>'Ingest Template'!S359</f>
        <v/>
      </c>
      <c r="V359" s="21" t="str">
        <f>LOWER(SUBSTITUTE(SUBSTITUTE(SUBSTITUTE(SUBSTITUTE(SUBSTITUTE('Ingest Template'!U359,"https:",""),"www.",""),"/",""),"?hl=en",""),"instagram.com",""))</f>
        <v/>
      </c>
      <c r="W359" s="41" t="str">
        <f t="array" ref="W359">IF('Ingest Template'!V359="",(INDEX(DropDown!$L$2:$L$392,MATCH('Ingest Template'!E359,DropDown!$J$2:$J$392,0))&amp;"|"&amp;'Ingest Template'!B359),(INDEX(DropDown!$L$2:$L$392,MATCH('Ingest Template'!E359,DropDown!$J$2:$J$392,0))&amp;"|"&amp;'Ingest Template'!B359)&amp;CHAR(10)&amp;'Ingest Template'!V359)</f>
        <v>#N/A</v>
      </c>
      <c r="X359" s="41" t="str">
        <f>'Ingest Template'!W359</f>
        <v/>
      </c>
      <c r="Y359" s="21" t="str">
        <f>SUBSTITUTE(SUBSTITUTE(SUBSTITUTE('Ingest Template'!X359,"http:",""),"https:",""),"/","")</f>
        <v/>
      </c>
      <c r="Z359" s="21" t="str">
        <f t="array" ref="Z359">IF('Ingest Template'!A359="Standard",(IF(ISBLANK('Ingest Template'!AA359),"", 'Ingest Template'!AA359&amp;"|DAR")),(IF(ISBLANK('Ingest Template'!AA359),"", 'Ingest Template'!AA359&amp;"|Film Ops")))</f>
        <v/>
      </c>
      <c r="AA359" s="21"/>
      <c r="AB359" s="21" t="str">
        <f>'Ingest Template'!M359</f>
        <v/>
      </c>
      <c r="AC359" s="21" t="str">
        <f>'Ingest Template'!Y359</f>
        <v/>
      </c>
      <c r="AD359" s="21" t="str">
        <f>'Ingest Template'!C359</f>
        <v/>
      </c>
      <c r="AE359" s="21" t="str">
        <f>'Ingest Template'!Z359</f>
        <v/>
      </c>
      <c r="AF359" s="29"/>
      <c r="AG359" s="21" t="str">
        <f t="array" ref="AG359">IF('Ingest Template'!A359="Standard",(CONCATENATE(IF(ISBLANK('Ingest Template'!O359),"", 'Ingest Template'!O359&amp;"|DAR"),CHAR(10), IF(ISBLANK('Ingest Template'!P359),"", 'Ingest Template'!P359&amp;"|DAR"),CHAR(10), IF(ISBLANK('Ingest Template'!Q359),"", 'Ingest Template'!Q359&amp;"|DAR"))),(CONCATENATE(IF(ISBLANK('Ingest Template'!O359),"", 'Ingest Template'!O359&amp;"|Operations - Core Title"),CHAR(10), IF(ISBLANK('Ingest Template'!P359),"", 'Ingest Template'!P359&amp;"|Operations - Core Title"),CHAR(10), IF(ISBLANK('Ingest Template'!Q359),"", 'Ingest Template'!Q359&amp;"|Operations - Core Title"))))</f>
        <v>#|Operations - Core Title
#|Operations - Core Title
</v>
      </c>
      <c r="AH359" s="21"/>
      <c r="AI359" s="21"/>
      <c r="AJ359" s="53" t="str">
        <f>if('Ingest Template'!A359="Standard",'Ingest Template'!N359&amp; "|DAR|DAR|2021-01-01",'Ingest Template'!N359&amp; "|Operations - Core Title|Operations - Core Title")</f>
        <v>#N/A</v>
      </c>
      <c r="AK359" s="53" t="str">
        <f>if('Ingest Template'!A359="Standard",'Ingest Template'!R359&amp; "|2021-01-01",'Ingest Template'!R359)</f>
        <v>#N/A</v>
      </c>
      <c r="AL359" s="21"/>
      <c r="AM359" s="21"/>
    </row>
    <row r="360">
      <c r="A360" s="21"/>
      <c r="B360" s="21" t="str">
        <f>'Ingest Template'!B360&amp;IF('Ingest Template'!A360 = "Standard", " - DAR","")</f>
        <v/>
      </c>
      <c r="C360" s="26" t="s">
        <v>109</v>
      </c>
      <c r="D360" s="29" t="str">
        <f t="array" ref="D360">CONCATENATE(INDEX(DropDown!$H$2:$H$10,MATCH(1,COUNTIF('Ingest Template'!F360,"*"&amp;DropDown!$H$2:$H$10&amp;"*"),0)),CHAR(10),'Ingest Template'!G360)</f>
        <v>#N/A</v>
      </c>
      <c r="E360" s="21" t="str">
        <f>CONCATENATE('Ingest Template'!H360,CHAR(10),'Ingest Template'!I360,CHAR(10),'Ingest Template'!J360)</f>
        <v>
</v>
      </c>
      <c r="F360" s="26" t="str">
        <f>'Ingest Template'!H360</f>
        <v/>
      </c>
      <c r="G360" s="21"/>
      <c r="H360" s="29"/>
      <c r="I360" s="21"/>
      <c r="J360" s="29" t="str">
        <f t="array" ref="J360">iF('Ingest Template'!A360="Standard","Pristine Brand",INDEX(DropDown!$M$2:$M$392,MATCH('Ingest Template'!E360,DropDown!$J$2:$J$392,0)))</f>
        <v>#N/A</v>
      </c>
      <c r="K360" s="21" t="str">
        <f>iF('Ingest Template'!A360="Standard",'Ingest Template'!K360&amp;CHAR(10)&amp;'Ingest Template'!L360,"Competitive View")</f>
        <v>Competitive View</v>
      </c>
      <c r="L360" s="29" t="s">
        <v>146</v>
      </c>
      <c r="M360" s="37" t="str">
        <f>'Ingest Template'!D360</f>
        <v/>
      </c>
      <c r="N360" s="21"/>
      <c r="O360" s="21"/>
      <c r="P360" s="21"/>
      <c r="Q360" s="21"/>
      <c r="R360" s="21" t="str">
        <f>'Ingest Template'!E360</f>
        <v/>
      </c>
      <c r="S360" s="29" t="s">
        <v>153</v>
      </c>
      <c r="T360" s="21" t="str">
        <f>'Ingest Template'!T360</f>
        <v/>
      </c>
      <c r="U360" s="21" t="str">
        <f>'Ingest Template'!S360</f>
        <v/>
      </c>
      <c r="V360" s="21" t="str">
        <f>LOWER(SUBSTITUTE(SUBSTITUTE(SUBSTITUTE(SUBSTITUTE(SUBSTITUTE('Ingest Template'!U360,"https:",""),"www.",""),"/",""),"?hl=en",""),"instagram.com",""))</f>
        <v/>
      </c>
      <c r="W360" s="41" t="str">
        <f t="array" ref="W360">IF('Ingest Template'!V360="",(INDEX(DropDown!$L$2:$L$392,MATCH('Ingest Template'!E360,DropDown!$J$2:$J$392,0))&amp;"|"&amp;'Ingest Template'!B360),(INDEX(DropDown!$L$2:$L$392,MATCH('Ingest Template'!E360,DropDown!$J$2:$J$392,0))&amp;"|"&amp;'Ingest Template'!B360)&amp;CHAR(10)&amp;'Ingest Template'!V360)</f>
        <v>#N/A</v>
      </c>
      <c r="X360" s="41" t="str">
        <f>'Ingest Template'!W360</f>
        <v/>
      </c>
      <c r="Y360" s="21" t="str">
        <f>SUBSTITUTE(SUBSTITUTE(SUBSTITUTE('Ingest Template'!X360,"http:",""),"https:",""),"/","")</f>
        <v/>
      </c>
      <c r="Z360" s="21" t="str">
        <f t="array" ref="Z360">IF('Ingest Template'!A360="Standard",(IF(ISBLANK('Ingest Template'!AA360),"", 'Ingest Template'!AA360&amp;"|DAR")),(IF(ISBLANK('Ingest Template'!AA360),"", 'Ingest Template'!AA360&amp;"|Film Ops")))</f>
        <v/>
      </c>
      <c r="AA360" s="21"/>
      <c r="AB360" s="21" t="str">
        <f>'Ingest Template'!M360</f>
        <v/>
      </c>
      <c r="AC360" s="21" t="str">
        <f>'Ingest Template'!Y360</f>
        <v/>
      </c>
      <c r="AD360" s="21" t="str">
        <f>'Ingest Template'!C360</f>
        <v/>
      </c>
      <c r="AE360" s="21" t="str">
        <f>'Ingest Template'!Z360</f>
        <v/>
      </c>
      <c r="AF360" s="29"/>
      <c r="AG360" s="21" t="str">
        <f t="array" ref="AG360">IF('Ingest Template'!A360="Standard",(CONCATENATE(IF(ISBLANK('Ingest Template'!O360),"", 'Ingest Template'!O360&amp;"|DAR"),CHAR(10), IF(ISBLANK('Ingest Template'!P360),"", 'Ingest Template'!P360&amp;"|DAR"),CHAR(10), IF(ISBLANK('Ingest Template'!Q360),"", 'Ingest Template'!Q360&amp;"|DAR"))),(CONCATENATE(IF(ISBLANK('Ingest Template'!O360),"", 'Ingest Template'!O360&amp;"|Operations - Core Title"),CHAR(10), IF(ISBLANK('Ingest Template'!P360),"", 'Ingest Template'!P360&amp;"|Operations - Core Title"),CHAR(10), IF(ISBLANK('Ingest Template'!Q360),"", 'Ingest Template'!Q360&amp;"|Operations - Core Title"))))</f>
        <v>#|Operations - Core Title
#|Operations - Core Title
</v>
      </c>
      <c r="AH360" s="21"/>
      <c r="AI360" s="21"/>
      <c r="AJ360" s="53" t="str">
        <f>if('Ingest Template'!A360="Standard",'Ingest Template'!N360&amp; "|DAR|DAR|2021-01-01",'Ingest Template'!N360&amp; "|Operations - Core Title|Operations - Core Title")</f>
        <v>#N/A</v>
      </c>
      <c r="AK360" s="53" t="str">
        <f>if('Ingest Template'!A360="Standard",'Ingest Template'!R360&amp; "|2021-01-01",'Ingest Template'!R360)</f>
        <v>#N/A</v>
      </c>
      <c r="AL360" s="21"/>
      <c r="AM360" s="21"/>
    </row>
    <row r="361">
      <c r="A361" s="21"/>
      <c r="B361" s="21" t="str">
        <f>'Ingest Template'!B361&amp;IF('Ingest Template'!A361 = "Standard", " - DAR","")</f>
        <v/>
      </c>
      <c r="C361" s="26" t="s">
        <v>109</v>
      </c>
      <c r="D361" s="29" t="str">
        <f t="array" ref="D361">CONCATENATE(INDEX(DropDown!$H$2:$H$10,MATCH(1,COUNTIF('Ingest Template'!F361,"*"&amp;DropDown!$H$2:$H$10&amp;"*"),0)),CHAR(10),'Ingest Template'!G361)</f>
        <v>#N/A</v>
      </c>
      <c r="E361" s="21" t="str">
        <f>CONCATENATE('Ingest Template'!H361,CHAR(10),'Ingest Template'!I361,CHAR(10),'Ingest Template'!J361)</f>
        <v>
</v>
      </c>
      <c r="F361" s="26" t="str">
        <f>'Ingest Template'!H361</f>
        <v/>
      </c>
      <c r="G361" s="21"/>
      <c r="H361" s="29"/>
      <c r="I361" s="21"/>
      <c r="J361" s="29" t="str">
        <f t="array" ref="J361">iF('Ingest Template'!A361="Standard","Pristine Brand",INDEX(DropDown!$M$2:$M$392,MATCH('Ingest Template'!E361,DropDown!$J$2:$J$392,0)))</f>
        <v>#N/A</v>
      </c>
      <c r="K361" s="21" t="str">
        <f>iF('Ingest Template'!A361="Standard",'Ingest Template'!K361&amp;CHAR(10)&amp;'Ingest Template'!L361,"Competitive View")</f>
        <v>Competitive View</v>
      </c>
      <c r="L361" s="29" t="s">
        <v>146</v>
      </c>
      <c r="M361" s="37" t="str">
        <f>'Ingest Template'!D361</f>
        <v/>
      </c>
      <c r="N361" s="21"/>
      <c r="O361" s="21"/>
      <c r="P361" s="21"/>
      <c r="Q361" s="21"/>
      <c r="R361" s="21" t="str">
        <f>'Ingest Template'!E361</f>
        <v/>
      </c>
      <c r="S361" s="29" t="s">
        <v>153</v>
      </c>
      <c r="T361" s="21" t="str">
        <f>'Ingest Template'!T361</f>
        <v/>
      </c>
      <c r="U361" s="21" t="str">
        <f>'Ingest Template'!S361</f>
        <v/>
      </c>
      <c r="V361" s="21" t="str">
        <f>LOWER(SUBSTITUTE(SUBSTITUTE(SUBSTITUTE(SUBSTITUTE(SUBSTITUTE('Ingest Template'!U361,"https:",""),"www.",""),"/",""),"?hl=en",""),"instagram.com",""))</f>
        <v/>
      </c>
      <c r="W361" s="41" t="str">
        <f t="array" ref="W361">IF('Ingest Template'!V361="",(INDEX(DropDown!$L$2:$L$392,MATCH('Ingest Template'!E361,DropDown!$J$2:$J$392,0))&amp;"|"&amp;'Ingest Template'!B361),(INDEX(DropDown!$L$2:$L$392,MATCH('Ingest Template'!E361,DropDown!$J$2:$J$392,0))&amp;"|"&amp;'Ingest Template'!B361)&amp;CHAR(10)&amp;'Ingest Template'!V361)</f>
        <v>#N/A</v>
      </c>
      <c r="X361" s="41" t="str">
        <f>'Ingest Template'!W361</f>
        <v/>
      </c>
      <c r="Y361" s="21" t="str">
        <f>SUBSTITUTE(SUBSTITUTE(SUBSTITUTE('Ingest Template'!X361,"http:",""),"https:",""),"/","")</f>
        <v/>
      </c>
      <c r="Z361" s="21" t="str">
        <f t="array" ref="Z361">IF('Ingest Template'!A361="Standard",(IF(ISBLANK('Ingest Template'!AA361),"", 'Ingest Template'!AA361&amp;"|DAR")),(IF(ISBLANK('Ingest Template'!AA361),"", 'Ingest Template'!AA361&amp;"|Film Ops")))</f>
        <v/>
      </c>
      <c r="AA361" s="21"/>
      <c r="AB361" s="21" t="str">
        <f>'Ingest Template'!M361</f>
        <v/>
      </c>
      <c r="AC361" s="21" t="str">
        <f>'Ingest Template'!Y361</f>
        <v/>
      </c>
      <c r="AD361" s="21" t="str">
        <f>'Ingest Template'!C361</f>
        <v/>
      </c>
      <c r="AE361" s="21" t="str">
        <f>'Ingest Template'!Z361</f>
        <v/>
      </c>
      <c r="AF361" s="29"/>
      <c r="AG361" s="21" t="str">
        <f t="array" ref="AG361">IF('Ingest Template'!A361="Standard",(CONCATENATE(IF(ISBLANK('Ingest Template'!O361),"", 'Ingest Template'!O361&amp;"|DAR"),CHAR(10), IF(ISBLANK('Ingest Template'!P361),"", 'Ingest Template'!P361&amp;"|DAR"),CHAR(10), IF(ISBLANK('Ingest Template'!Q361),"", 'Ingest Template'!Q361&amp;"|DAR"))),(CONCATENATE(IF(ISBLANK('Ingest Template'!O361),"", 'Ingest Template'!O361&amp;"|Operations - Core Title"),CHAR(10), IF(ISBLANK('Ingest Template'!P361),"", 'Ingest Template'!P361&amp;"|Operations - Core Title"),CHAR(10), IF(ISBLANK('Ingest Template'!Q361),"", 'Ingest Template'!Q361&amp;"|Operations - Core Title"))))</f>
        <v>#|Operations - Core Title
#|Operations - Core Title
</v>
      </c>
      <c r="AH361" s="21"/>
      <c r="AI361" s="21"/>
      <c r="AJ361" s="53" t="str">
        <f>if('Ingest Template'!A361="Standard",'Ingest Template'!N361&amp; "|DAR|DAR|2021-01-01",'Ingest Template'!N361&amp; "|Operations - Core Title|Operations - Core Title")</f>
        <v>#N/A</v>
      </c>
      <c r="AK361" s="53" t="str">
        <f>if('Ingest Template'!A361="Standard",'Ingest Template'!R361&amp; "|2021-01-01",'Ingest Template'!R361)</f>
        <v>#N/A</v>
      </c>
      <c r="AL361" s="21"/>
      <c r="AM361" s="21"/>
    </row>
    <row r="362">
      <c r="A362" s="21"/>
      <c r="B362" s="21" t="str">
        <f>'Ingest Template'!B362&amp;IF('Ingest Template'!A362 = "Standard", " - DAR","")</f>
        <v/>
      </c>
      <c r="C362" s="26" t="s">
        <v>109</v>
      </c>
      <c r="D362" s="29" t="str">
        <f t="array" ref="D362">CONCATENATE(INDEX(DropDown!$H$2:$H$10,MATCH(1,COUNTIF('Ingest Template'!F362,"*"&amp;DropDown!$H$2:$H$10&amp;"*"),0)),CHAR(10),'Ingest Template'!G362)</f>
        <v>#N/A</v>
      </c>
      <c r="E362" s="21" t="str">
        <f>CONCATENATE('Ingest Template'!H362,CHAR(10),'Ingest Template'!I362,CHAR(10),'Ingest Template'!J362)</f>
        <v>
</v>
      </c>
      <c r="F362" s="26" t="str">
        <f>'Ingest Template'!H362</f>
        <v/>
      </c>
      <c r="G362" s="21"/>
      <c r="H362" s="29"/>
      <c r="I362" s="21"/>
      <c r="J362" s="29" t="str">
        <f t="array" ref="J362">iF('Ingest Template'!A362="Standard","Pristine Brand",INDEX(DropDown!$M$2:$M$392,MATCH('Ingest Template'!E362,DropDown!$J$2:$J$392,0)))</f>
        <v>#N/A</v>
      </c>
      <c r="K362" s="21" t="str">
        <f>iF('Ingest Template'!A362="Standard",'Ingest Template'!K362&amp;CHAR(10)&amp;'Ingest Template'!L362,"Competitive View")</f>
        <v>Competitive View</v>
      </c>
      <c r="L362" s="29" t="s">
        <v>146</v>
      </c>
      <c r="M362" s="37" t="str">
        <f>'Ingest Template'!D362</f>
        <v/>
      </c>
      <c r="N362" s="21"/>
      <c r="O362" s="21"/>
      <c r="P362" s="21"/>
      <c r="Q362" s="21"/>
      <c r="R362" s="21" t="str">
        <f>'Ingest Template'!E362</f>
        <v/>
      </c>
      <c r="S362" s="29" t="s">
        <v>153</v>
      </c>
      <c r="T362" s="21" t="str">
        <f>'Ingest Template'!T362</f>
        <v/>
      </c>
      <c r="U362" s="21" t="str">
        <f>'Ingest Template'!S362</f>
        <v/>
      </c>
      <c r="V362" s="21" t="str">
        <f>LOWER(SUBSTITUTE(SUBSTITUTE(SUBSTITUTE(SUBSTITUTE(SUBSTITUTE('Ingest Template'!U362,"https:",""),"www.",""),"/",""),"?hl=en",""),"instagram.com",""))</f>
        <v/>
      </c>
      <c r="W362" s="41" t="str">
        <f t="array" ref="W362">IF('Ingest Template'!V362="",(INDEX(DropDown!$L$2:$L$392,MATCH('Ingest Template'!E362,DropDown!$J$2:$J$392,0))&amp;"|"&amp;'Ingest Template'!B362),(INDEX(DropDown!$L$2:$L$392,MATCH('Ingest Template'!E362,DropDown!$J$2:$J$392,0))&amp;"|"&amp;'Ingest Template'!B362)&amp;CHAR(10)&amp;'Ingest Template'!V362)</f>
        <v>#N/A</v>
      </c>
      <c r="X362" s="41" t="str">
        <f>'Ingest Template'!W362</f>
        <v/>
      </c>
      <c r="Y362" s="21" t="str">
        <f>SUBSTITUTE(SUBSTITUTE(SUBSTITUTE('Ingest Template'!X362,"http:",""),"https:",""),"/","")</f>
        <v/>
      </c>
      <c r="Z362" s="21" t="str">
        <f t="array" ref="Z362">IF('Ingest Template'!A362="Standard",(IF(ISBLANK('Ingest Template'!AA362),"", 'Ingest Template'!AA362&amp;"|DAR")),(IF(ISBLANK('Ingest Template'!AA362),"", 'Ingest Template'!AA362&amp;"|Film Ops")))</f>
        <v/>
      </c>
      <c r="AA362" s="21"/>
      <c r="AB362" s="21" t="str">
        <f>'Ingest Template'!M362</f>
        <v/>
      </c>
      <c r="AC362" s="21" t="str">
        <f>'Ingest Template'!Y362</f>
        <v/>
      </c>
      <c r="AD362" s="21" t="str">
        <f>'Ingest Template'!C362</f>
        <v/>
      </c>
      <c r="AE362" s="21" t="str">
        <f>'Ingest Template'!Z362</f>
        <v/>
      </c>
      <c r="AF362" s="29"/>
      <c r="AG362" s="21" t="str">
        <f t="array" ref="AG362">IF('Ingest Template'!A362="Standard",(CONCATENATE(IF(ISBLANK('Ingest Template'!O362),"", 'Ingest Template'!O362&amp;"|DAR"),CHAR(10), IF(ISBLANK('Ingest Template'!P362),"", 'Ingest Template'!P362&amp;"|DAR"),CHAR(10), IF(ISBLANK('Ingest Template'!Q362),"", 'Ingest Template'!Q362&amp;"|DAR"))),(CONCATENATE(IF(ISBLANK('Ingest Template'!O362),"", 'Ingest Template'!O362&amp;"|Operations - Core Title"),CHAR(10), IF(ISBLANK('Ingest Template'!P362),"", 'Ingest Template'!P362&amp;"|Operations - Core Title"),CHAR(10), IF(ISBLANK('Ingest Template'!Q362),"", 'Ingest Template'!Q362&amp;"|Operations - Core Title"))))</f>
        <v>#|Operations - Core Title
#|Operations - Core Title
</v>
      </c>
      <c r="AH362" s="21"/>
      <c r="AI362" s="21"/>
      <c r="AJ362" s="53" t="str">
        <f>if('Ingest Template'!A362="Standard",'Ingest Template'!N362&amp; "|DAR|DAR|2021-01-01",'Ingest Template'!N362&amp; "|Operations - Core Title|Operations - Core Title")</f>
        <v>#N/A</v>
      </c>
      <c r="AK362" s="53" t="str">
        <f>if('Ingest Template'!A362="Standard",'Ingest Template'!R362&amp; "|2021-01-01",'Ingest Template'!R362)</f>
        <v>#N/A</v>
      </c>
      <c r="AL362" s="21"/>
      <c r="AM362" s="21"/>
    </row>
    <row r="363">
      <c r="A363" s="21"/>
      <c r="B363" s="21" t="str">
        <f>'Ingest Template'!B363&amp;IF('Ingest Template'!A363 = "Standard", " - DAR","")</f>
        <v/>
      </c>
      <c r="C363" s="26" t="s">
        <v>109</v>
      </c>
      <c r="D363" s="29" t="str">
        <f t="array" ref="D363">CONCATENATE(INDEX(DropDown!$H$2:$H$10,MATCH(1,COUNTIF('Ingest Template'!F363,"*"&amp;DropDown!$H$2:$H$10&amp;"*"),0)),CHAR(10),'Ingest Template'!G363)</f>
        <v>#N/A</v>
      </c>
      <c r="E363" s="21" t="str">
        <f>CONCATENATE('Ingest Template'!H363,CHAR(10),'Ingest Template'!I363,CHAR(10),'Ingest Template'!J363)</f>
        <v>
</v>
      </c>
      <c r="F363" s="26" t="str">
        <f>'Ingest Template'!H363</f>
        <v/>
      </c>
      <c r="G363" s="21"/>
      <c r="H363" s="29"/>
      <c r="I363" s="21"/>
      <c r="J363" s="29" t="str">
        <f t="array" ref="J363">iF('Ingest Template'!A363="Standard","Pristine Brand",INDEX(DropDown!$M$2:$M$392,MATCH('Ingest Template'!E363,DropDown!$J$2:$J$392,0)))</f>
        <v>#N/A</v>
      </c>
      <c r="K363" s="21" t="str">
        <f>iF('Ingest Template'!A363="Standard",'Ingest Template'!K363&amp;CHAR(10)&amp;'Ingest Template'!L363,"Competitive View")</f>
        <v>Competitive View</v>
      </c>
      <c r="L363" s="29" t="s">
        <v>146</v>
      </c>
      <c r="M363" s="37" t="str">
        <f>'Ingest Template'!D363</f>
        <v/>
      </c>
      <c r="N363" s="21"/>
      <c r="O363" s="21"/>
      <c r="P363" s="21"/>
      <c r="Q363" s="21"/>
      <c r="R363" s="21" t="str">
        <f>'Ingest Template'!E363</f>
        <v/>
      </c>
      <c r="S363" s="29" t="s">
        <v>153</v>
      </c>
      <c r="T363" s="21" t="str">
        <f>'Ingest Template'!T363</f>
        <v/>
      </c>
      <c r="U363" s="21" t="str">
        <f>'Ingest Template'!S363</f>
        <v/>
      </c>
      <c r="V363" s="21" t="str">
        <f>LOWER(SUBSTITUTE(SUBSTITUTE(SUBSTITUTE(SUBSTITUTE(SUBSTITUTE('Ingest Template'!U363,"https:",""),"www.",""),"/",""),"?hl=en",""),"instagram.com",""))</f>
        <v/>
      </c>
      <c r="W363" s="41" t="str">
        <f t="array" ref="W363">IF('Ingest Template'!V363="",(INDEX(DropDown!$L$2:$L$392,MATCH('Ingest Template'!E363,DropDown!$J$2:$J$392,0))&amp;"|"&amp;'Ingest Template'!B363),(INDEX(DropDown!$L$2:$L$392,MATCH('Ingest Template'!E363,DropDown!$J$2:$J$392,0))&amp;"|"&amp;'Ingest Template'!B363)&amp;CHAR(10)&amp;'Ingest Template'!V363)</f>
        <v>#N/A</v>
      </c>
      <c r="X363" s="41" t="str">
        <f>'Ingest Template'!W363</f>
        <v/>
      </c>
      <c r="Y363" s="21" t="str">
        <f>SUBSTITUTE(SUBSTITUTE(SUBSTITUTE('Ingest Template'!X363,"http:",""),"https:",""),"/","")</f>
        <v/>
      </c>
      <c r="Z363" s="21" t="str">
        <f t="array" ref="Z363">IF('Ingest Template'!A363="Standard",(IF(ISBLANK('Ingest Template'!AA363),"", 'Ingest Template'!AA363&amp;"|DAR")),(IF(ISBLANK('Ingest Template'!AA363),"", 'Ingest Template'!AA363&amp;"|Film Ops")))</f>
        <v/>
      </c>
      <c r="AA363" s="21"/>
      <c r="AB363" s="21" t="str">
        <f>'Ingest Template'!M363</f>
        <v/>
      </c>
      <c r="AC363" s="21" t="str">
        <f>'Ingest Template'!Y363</f>
        <v/>
      </c>
      <c r="AD363" s="21" t="str">
        <f>'Ingest Template'!C363</f>
        <v/>
      </c>
      <c r="AE363" s="21" t="str">
        <f>'Ingest Template'!Z363</f>
        <v/>
      </c>
      <c r="AF363" s="29"/>
      <c r="AG363" s="21" t="str">
        <f t="array" ref="AG363">IF('Ingest Template'!A363="Standard",(CONCATENATE(IF(ISBLANK('Ingest Template'!O363),"", 'Ingest Template'!O363&amp;"|DAR"),CHAR(10), IF(ISBLANK('Ingest Template'!P363),"", 'Ingest Template'!P363&amp;"|DAR"),CHAR(10), IF(ISBLANK('Ingest Template'!Q363),"", 'Ingest Template'!Q363&amp;"|DAR"))),(CONCATENATE(IF(ISBLANK('Ingest Template'!O363),"", 'Ingest Template'!O363&amp;"|Operations - Core Title"),CHAR(10), IF(ISBLANK('Ingest Template'!P363),"", 'Ingest Template'!P363&amp;"|Operations - Core Title"),CHAR(10), IF(ISBLANK('Ingest Template'!Q363),"", 'Ingest Template'!Q363&amp;"|Operations - Core Title"))))</f>
        <v>#|Operations - Core Title
#|Operations - Core Title
</v>
      </c>
      <c r="AH363" s="21"/>
      <c r="AI363" s="21"/>
      <c r="AJ363" s="53" t="str">
        <f>if('Ingest Template'!A363="Standard",'Ingest Template'!N363&amp; "|DAR|DAR|2021-01-01",'Ingest Template'!N363&amp; "|Operations - Core Title|Operations - Core Title")</f>
        <v>#N/A</v>
      </c>
      <c r="AK363" s="53" t="str">
        <f>if('Ingest Template'!A363="Standard",'Ingest Template'!R363&amp; "|2021-01-01",'Ingest Template'!R363)</f>
        <v>#N/A</v>
      </c>
      <c r="AL363" s="21"/>
      <c r="AM363" s="21"/>
    </row>
    <row r="364">
      <c r="A364" s="21"/>
      <c r="B364" s="21" t="str">
        <f>'Ingest Template'!B364&amp;IF('Ingest Template'!A364 = "Standard", " - DAR","")</f>
        <v/>
      </c>
      <c r="C364" s="26" t="s">
        <v>109</v>
      </c>
      <c r="D364" s="29" t="str">
        <f t="array" ref="D364">CONCATENATE(INDEX(DropDown!$H$2:$H$10,MATCH(1,COUNTIF('Ingest Template'!F364,"*"&amp;DropDown!$H$2:$H$10&amp;"*"),0)),CHAR(10),'Ingest Template'!G364)</f>
        <v>#N/A</v>
      </c>
      <c r="E364" s="21" t="str">
        <f>CONCATENATE('Ingest Template'!H364,CHAR(10),'Ingest Template'!I364,CHAR(10),'Ingest Template'!J364)</f>
        <v>
</v>
      </c>
      <c r="F364" s="26" t="str">
        <f>'Ingest Template'!H364</f>
        <v/>
      </c>
      <c r="G364" s="21"/>
      <c r="H364" s="29"/>
      <c r="I364" s="21"/>
      <c r="J364" s="29" t="str">
        <f t="array" ref="J364">iF('Ingest Template'!A364="Standard","Pristine Brand",INDEX(DropDown!$M$2:$M$392,MATCH('Ingest Template'!E364,DropDown!$J$2:$J$392,0)))</f>
        <v>#N/A</v>
      </c>
      <c r="K364" s="21" t="str">
        <f>iF('Ingest Template'!A364="Standard",'Ingest Template'!K364&amp;CHAR(10)&amp;'Ingest Template'!L364,"Competitive View")</f>
        <v>Competitive View</v>
      </c>
      <c r="L364" s="29" t="s">
        <v>146</v>
      </c>
      <c r="M364" s="37" t="str">
        <f>'Ingest Template'!D364</f>
        <v/>
      </c>
      <c r="N364" s="21"/>
      <c r="O364" s="21"/>
      <c r="P364" s="21"/>
      <c r="Q364" s="21"/>
      <c r="R364" s="21" t="str">
        <f>'Ingest Template'!E364</f>
        <v/>
      </c>
      <c r="S364" s="29" t="s">
        <v>153</v>
      </c>
      <c r="T364" s="21" t="str">
        <f>'Ingest Template'!T364</f>
        <v/>
      </c>
      <c r="U364" s="21" t="str">
        <f>'Ingest Template'!S364</f>
        <v/>
      </c>
      <c r="V364" s="21" t="str">
        <f>LOWER(SUBSTITUTE(SUBSTITUTE(SUBSTITUTE(SUBSTITUTE(SUBSTITUTE('Ingest Template'!U364,"https:",""),"www.",""),"/",""),"?hl=en",""),"instagram.com",""))</f>
        <v/>
      </c>
      <c r="W364" s="41" t="str">
        <f t="array" ref="W364">IF('Ingest Template'!V364="",(INDEX(DropDown!$L$2:$L$392,MATCH('Ingest Template'!E364,DropDown!$J$2:$J$392,0))&amp;"|"&amp;'Ingest Template'!B364),(INDEX(DropDown!$L$2:$L$392,MATCH('Ingest Template'!E364,DropDown!$J$2:$J$392,0))&amp;"|"&amp;'Ingest Template'!B364)&amp;CHAR(10)&amp;'Ingest Template'!V364)</f>
        <v>#N/A</v>
      </c>
      <c r="X364" s="41" t="str">
        <f>'Ingest Template'!W364</f>
        <v/>
      </c>
      <c r="Y364" s="21" t="str">
        <f>SUBSTITUTE(SUBSTITUTE(SUBSTITUTE('Ingest Template'!X364,"http:",""),"https:",""),"/","")</f>
        <v/>
      </c>
      <c r="Z364" s="21" t="str">
        <f t="array" ref="Z364">IF('Ingest Template'!A364="Standard",(IF(ISBLANK('Ingest Template'!AA364),"", 'Ingest Template'!AA364&amp;"|DAR")),(IF(ISBLANK('Ingest Template'!AA364),"", 'Ingest Template'!AA364&amp;"|Film Ops")))</f>
        <v/>
      </c>
      <c r="AA364" s="21"/>
      <c r="AB364" s="21" t="str">
        <f>'Ingest Template'!M364</f>
        <v/>
      </c>
      <c r="AC364" s="21" t="str">
        <f>'Ingest Template'!Y364</f>
        <v/>
      </c>
      <c r="AD364" s="21" t="str">
        <f>'Ingest Template'!C364</f>
        <v/>
      </c>
      <c r="AE364" s="21" t="str">
        <f>'Ingest Template'!Z364</f>
        <v/>
      </c>
      <c r="AF364" s="29"/>
      <c r="AG364" s="21" t="str">
        <f t="array" ref="AG364">IF('Ingest Template'!A364="Standard",(CONCATENATE(IF(ISBLANK('Ingest Template'!O364),"", 'Ingest Template'!O364&amp;"|DAR"),CHAR(10), IF(ISBLANK('Ingest Template'!P364),"", 'Ingest Template'!P364&amp;"|DAR"),CHAR(10), IF(ISBLANK('Ingest Template'!Q364),"", 'Ingest Template'!Q364&amp;"|DAR"))),(CONCATENATE(IF(ISBLANK('Ingest Template'!O364),"", 'Ingest Template'!O364&amp;"|Operations - Core Title"),CHAR(10), IF(ISBLANK('Ingest Template'!P364),"", 'Ingest Template'!P364&amp;"|Operations - Core Title"),CHAR(10), IF(ISBLANK('Ingest Template'!Q364),"", 'Ingest Template'!Q364&amp;"|Operations - Core Title"))))</f>
        <v>#|Operations - Core Title
#|Operations - Core Title
</v>
      </c>
      <c r="AH364" s="21"/>
      <c r="AI364" s="21"/>
      <c r="AJ364" s="53" t="str">
        <f>if('Ingest Template'!A364="Standard",'Ingest Template'!N364&amp; "|DAR|DAR|2021-01-01",'Ingest Template'!N364&amp; "|Operations - Core Title|Operations - Core Title")</f>
        <v>#N/A</v>
      </c>
      <c r="AK364" s="53" t="str">
        <f>if('Ingest Template'!A364="Standard",'Ingest Template'!R364&amp; "|2021-01-01",'Ingest Template'!R364)</f>
        <v>#N/A</v>
      </c>
      <c r="AL364" s="21"/>
      <c r="AM364" s="21"/>
    </row>
    <row r="365">
      <c r="A365" s="21"/>
      <c r="B365" s="21" t="str">
        <f>'Ingest Template'!B365&amp;IF('Ingest Template'!A365 = "Standard", " - DAR","")</f>
        <v/>
      </c>
      <c r="C365" s="26" t="s">
        <v>109</v>
      </c>
      <c r="D365" s="29" t="str">
        <f t="array" ref="D365">CONCATENATE(INDEX(DropDown!$H$2:$H$10,MATCH(1,COUNTIF('Ingest Template'!F365,"*"&amp;DropDown!$H$2:$H$10&amp;"*"),0)),CHAR(10),'Ingest Template'!G365)</f>
        <v>#N/A</v>
      </c>
      <c r="E365" s="21" t="str">
        <f>CONCATENATE('Ingest Template'!H365,CHAR(10),'Ingest Template'!I365,CHAR(10),'Ingest Template'!J365)</f>
        <v>
</v>
      </c>
      <c r="F365" s="26" t="str">
        <f>'Ingest Template'!H365</f>
        <v/>
      </c>
      <c r="G365" s="21"/>
      <c r="H365" s="29"/>
      <c r="I365" s="21"/>
      <c r="J365" s="29" t="str">
        <f t="array" ref="J365">iF('Ingest Template'!A365="Standard","Pristine Brand",INDEX(DropDown!$M$2:$M$392,MATCH('Ingest Template'!E365,DropDown!$J$2:$J$392,0)))</f>
        <v>#N/A</v>
      </c>
      <c r="K365" s="21" t="str">
        <f>iF('Ingest Template'!A365="Standard",'Ingest Template'!K365&amp;CHAR(10)&amp;'Ingest Template'!L365,"Competitive View")</f>
        <v>Competitive View</v>
      </c>
      <c r="L365" s="29" t="s">
        <v>146</v>
      </c>
      <c r="M365" s="37" t="str">
        <f>'Ingest Template'!D365</f>
        <v/>
      </c>
      <c r="N365" s="21"/>
      <c r="O365" s="21"/>
      <c r="P365" s="21"/>
      <c r="Q365" s="21"/>
      <c r="R365" s="21" t="str">
        <f>'Ingest Template'!E365</f>
        <v/>
      </c>
      <c r="S365" s="29" t="s">
        <v>153</v>
      </c>
      <c r="T365" s="21" t="str">
        <f>'Ingest Template'!T365</f>
        <v/>
      </c>
      <c r="U365" s="21" t="str">
        <f>'Ingest Template'!S365</f>
        <v/>
      </c>
      <c r="V365" s="21" t="str">
        <f>LOWER(SUBSTITUTE(SUBSTITUTE(SUBSTITUTE(SUBSTITUTE(SUBSTITUTE('Ingest Template'!U365,"https:",""),"www.",""),"/",""),"?hl=en",""),"instagram.com",""))</f>
        <v/>
      </c>
      <c r="W365" s="41" t="str">
        <f t="array" ref="W365">IF('Ingest Template'!V365="",(INDEX(DropDown!$L$2:$L$392,MATCH('Ingest Template'!E365,DropDown!$J$2:$J$392,0))&amp;"|"&amp;'Ingest Template'!B365),(INDEX(DropDown!$L$2:$L$392,MATCH('Ingest Template'!E365,DropDown!$J$2:$J$392,0))&amp;"|"&amp;'Ingest Template'!B365)&amp;CHAR(10)&amp;'Ingest Template'!V365)</f>
        <v>#N/A</v>
      </c>
      <c r="X365" s="41" t="str">
        <f>'Ingest Template'!W365</f>
        <v/>
      </c>
      <c r="Y365" s="21" t="str">
        <f>SUBSTITUTE(SUBSTITUTE(SUBSTITUTE('Ingest Template'!X365,"http:",""),"https:",""),"/","")</f>
        <v/>
      </c>
      <c r="Z365" s="21" t="str">
        <f t="array" ref="Z365">IF('Ingest Template'!A365="Standard",(IF(ISBLANK('Ingest Template'!AA365),"", 'Ingest Template'!AA365&amp;"|DAR")),(IF(ISBLANK('Ingest Template'!AA365),"", 'Ingest Template'!AA365&amp;"|Film Ops")))</f>
        <v/>
      </c>
      <c r="AA365" s="21"/>
      <c r="AB365" s="21" t="str">
        <f>'Ingest Template'!M365</f>
        <v/>
      </c>
      <c r="AC365" s="21" t="str">
        <f>'Ingest Template'!Y365</f>
        <v/>
      </c>
      <c r="AD365" s="21" t="str">
        <f>'Ingest Template'!C365</f>
        <v/>
      </c>
      <c r="AE365" s="21" t="str">
        <f>'Ingest Template'!Z365</f>
        <v/>
      </c>
      <c r="AF365" s="29"/>
      <c r="AG365" s="21" t="str">
        <f t="array" ref="AG365">IF('Ingest Template'!A365="Standard",(CONCATENATE(IF(ISBLANK('Ingest Template'!O365),"", 'Ingest Template'!O365&amp;"|DAR"),CHAR(10), IF(ISBLANK('Ingest Template'!P365),"", 'Ingest Template'!P365&amp;"|DAR"),CHAR(10), IF(ISBLANK('Ingest Template'!Q365),"", 'Ingest Template'!Q365&amp;"|DAR"))),(CONCATENATE(IF(ISBLANK('Ingest Template'!O365),"", 'Ingest Template'!O365&amp;"|Operations - Core Title"),CHAR(10), IF(ISBLANK('Ingest Template'!P365),"", 'Ingest Template'!P365&amp;"|Operations - Core Title"),CHAR(10), IF(ISBLANK('Ingest Template'!Q365),"", 'Ingest Template'!Q365&amp;"|Operations - Core Title"))))</f>
        <v>#|Operations - Core Title
#|Operations - Core Title
</v>
      </c>
      <c r="AH365" s="21"/>
      <c r="AI365" s="21"/>
      <c r="AJ365" s="53" t="str">
        <f>if('Ingest Template'!A365="Standard",'Ingest Template'!N365&amp; "|DAR|DAR|2021-01-01",'Ingest Template'!N365&amp; "|Operations - Core Title|Operations - Core Title")</f>
        <v>#N/A</v>
      </c>
      <c r="AK365" s="53" t="str">
        <f>if('Ingest Template'!A365="Standard",'Ingest Template'!R365&amp; "|2021-01-01",'Ingest Template'!R365)</f>
        <v>#N/A</v>
      </c>
      <c r="AL365" s="21"/>
      <c r="AM365" s="21"/>
    </row>
    <row r="366">
      <c r="A366" s="21"/>
      <c r="B366" s="21" t="str">
        <f>'Ingest Template'!B366&amp;IF('Ingest Template'!A366 = "Standard", " - DAR","")</f>
        <v/>
      </c>
      <c r="C366" s="26" t="s">
        <v>109</v>
      </c>
      <c r="D366" s="29" t="str">
        <f t="array" ref="D366">CONCATENATE(INDEX(DropDown!$H$2:$H$10,MATCH(1,COUNTIF('Ingest Template'!F366,"*"&amp;DropDown!$H$2:$H$10&amp;"*"),0)),CHAR(10),'Ingest Template'!G366)</f>
        <v>#N/A</v>
      </c>
      <c r="E366" s="21" t="str">
        <f>CONCATENATE('Ingest Template'!H366,CHAR(10),'Ingest Template'!I366,CHAR(10),'Ingest Template'!J366)</f>
        <v>
</v>
      </c>
      <c r="F366" s="26" t="str">
        <f>'Ingest Template'!H366</f>
        <v/>
      </c>
      <c r="G366" s="21"/>
      <c r="H366" s="29"/>
      <c r="I366" s="21"/>
      <c r="J366" s="29" t="str">
        <f t="array" ref="J366">iF('Ingest Template'!A366="Standard","Pristine Brand",INDEX(DropDown!$M$2:$M$392,MATCH('Ingest Template'!E366,DropDown!$J$2:$J$392,0)))</f>
        <v>#N/A</v>
      </c>
      <c r="K366" s="21" t="str">
        <f>iF('Ingest Template'!A366="Standard",'Ingest Template'!K366&amp;CHAR(10)&amp;'Ingest Template'!L366,"Competitive View")</f>
        <v>Competitive View</v>
      </c>
      <c r="L366" s="29" t="s">
        <v>146</v>
      </c>
      <c r="M366" s="37" t="str">
        <f>'Ingest Template'!D366</f>
        <v/>
      </c>
      <c r="N366" s="21"/>
      <c r="O366" s="21"/>
      <c r="P366" s="21"/>
      <c r="Q366" s="21"/>
      <c r="R366" s="21" t="str">
        <f>'Ingest Template'!E366</f>
        <v/>
      </c>
      <c r="S366" s="29" t="s">
        <v>153</v>
      </c>
      <c r="T366" s="21" t="str">
        <f>'Ingest Template'!T366</f>
        <v/>
      </c>
      <c r="U366" s="21" t="str">
        <f>'Ingest Template'!S366</f>
        <v/>
      </c>
      <c r="V366" s="21" t="str">
        <f>LOWER(SUBSTITUTE(SUBSTITUTE(SUBSTITUTE(SUBSTITUTE(SUBSTITUTE('Ingest Template'!U366,"https:",""),"www.",""),"/",""),"?hl=en",""),"instagram.com",""))</f>
        <v/>
      </c>
      <c r="W366" s="41" t="str">
        <f t="array" ref="W366">IF('Ingest Template'!V366="",(INDEX(DropDown!$L$2:$L$392,MATCH('Ingest Template'!E366,DropDown!$J$2:$J$392,0))&amp;"|"&amp;'Ingest Template'!B366),(INDEX(DropDown!$L$2:$L$392,MATCH('Ingest Template'!E366,DropDown!$J$2:$J$392,0))&amp;"|"&amp;'Ingest Template'!B366)&amp;CHAR(10)&amp;'Ingest Template'!V366)</f>
        <v>#N/A</v>
      </c>
      <c r="X366" s="41" t="str">
        <f>'Ingest Template'!W366</f>
        <v/>
      </c>
      <c r="Y366" s="21" t="str">
        <f>SUBSTITUTE(SUBSTITUTE(SUBSTITUTE('Ingest Template'!X366,"http:",""),"https:",""),"/","")</f>
        <v/>
      </c>
      <c r="Z366" s="21" t="str">
        <f t="array" ref="Z366">IF('Ingest Template'!A366="Standard",(IF(ISBLANK('Ingest Template'!AA366),"", 'Ingest Template'!AA366&amp;"|DAR")),(IF(ISBLANK('Ingest Template'!AA366),"", 'Ingest Template'!AA366&amp;"|Film Ops")))</f>
        <v/>
      </c>
      <c r="AA366" s="21"/>
      <c r="AB366" s="21" t="str">
        <f>'Ingest Template'!M366</f>
        <v/>
      </c>
      <c r="AC366" s="21" t="str">
        <f>'Ingest Template'!Y366</f>
        <v/>
      </c>
      <c r="AD366" s="21" t="str">
        <f>'Ingest Template'!C366</f>
        <v/>
      </c>
      <c r="AE366" s="21" t="str">
        <f>'Ingest Template'!Z366</f>
        <v/>
      </c>
      <c r="AF366" s="29"/>
      <c r="AG366" s="21" t="str">
        <f t="array" ref="AG366">IF('Ingest Template'!A366="Standard",(CONCATENATE(IF(ISBLANK('Ingest Template'!O366),"", 'Ingest Template'!O366&amp;"|DAR"),CHAR(10), IF(ISBLANK('Ingest Template'!P366),"", 'Ingest Template'!P366&amp;"|DAR"),CHAR(10), IF(ISBLANK('Ingest Template'!Q366),"", 'Ingest Template'!Q366&amp;"|DAR"))),(CONCATENATE(IF(ISBLANK('Ingest Template'!O366),"", 'Ingest Template'!O366&amp;"|Operations - Core Title"),CHAR(10), IF(ISBLANK('Ingest Template'!P366),"", 'Ingest Template'!P366&amp;"|Operations - Core Title"),CHAR(10), IF(ISBLANK('Ingest Template'!Q366),"", 'Ingest Template'!Q366&amp;"|Operations - Core Title"))))</f>
        <v>#|Operations - Core Title
#|Operations - Core Title
</v>
      </c>
      <c r="AH366" s="21"/>
      <c r="AI366" s="21"/>
      <c r="AJ366" s="53" t="str">
        <f>if('Ingest Template'!A366="Standard",'Ingest Template'!N366&amp; "|DAR|DAR|2021-01-01",'Ingest Template'!N366&amp; "|Operations - Core Title|Operations - Core Title")</f>
        <v>#N/A</v>
      </c>
      <c r="AK366" s="53" t="str">
        <f>if('Ingest Template'!A366="Standard",'Ingest Template'!R366&amp; "|2021-01-01",'Ingest Template'!R366)</f>
        <v>#N/A</v>
      </c>
      <c r="AL366" s="21"/>
      <c r="AM366" s="21"/>
    </row>
    <row r="367">
      <c r="A367" s="21"/>
      <c r="B367" s="21" t="str">
        <f>'Ingest Template'!B367&amp;IF('Ingest Template'!A367 = "Standard", " - DAR","")</f>
        <v/>
      </c>
      <c r="C367" s="26" t="s">
        <v>109</v>
      </c>
      <c r="D367" s="29" t="str">
        <f t="array" ref="D367">CONCATENATE(INDEX(DropDown!$H$2:$H$10,MATCH(1,COUNTIF('Ingest Template'!F367,"*"&amp;DropDown!$H$2:$H$10&amp;"*"),0)),CHAR(10),'Ingest Template'!G367)</f>
        <v>#N/A</v>
      </c>
      <c r="E367" s="21" t="str">
        <f>CONCATENATE('Ingest Template'!H367,CHAR(10),'Ingest Template'!I367,CHAR(10),'Ingest Template'!J367)</f>
        <v>
</v>
      </c>
      <c r="F367" s="26" t="str">
        <f>'Ingest Template'!H367</f>
        <v/>
      </c>
      <c r="G367" s="21"/>
      <c r="H367" s="29"/>
      <c r="I367" s="21"/>
      <c r="J367" s="29" t="str">
        <f t="array" ref="J367">iF('Ingest Template'!A367="Standard","Pristine Brand",INDEX(DropDown!$M$2:$M$392,MATCH('Ingest Template'!E367,DropDown!$J$2:$J$392,0)))</f>
        <v>#N/A</v>
      </c>
      <c r="K367" s="21" t="str">
        <f>iF('Ingest Template'!A367="Standard",'Ingest Template'!K367&amp;CHAR(10)&amp;'Ingest Template'!L367,"Competitive View")</f>
        <v>Competitive View</v>
      </c>
      <c r="L367" s="29" t="s">
        <v>146</v>
      </c>
      <c r="M367" s="37" t="str">
        <f>'Ingest Template'!D367</f>
        <v/>
      </c>
      <c r="N367" s="21"/>
      <c r="O367" s="21"/>
      <c r="P367" s="21"/>
      <c r="Q367" s="21"/>
      <c r="R367" s="21" t="str">
        <f>'Ingest Template'!E367</f>
        <v/>
      </c>
      <c r="S367" s="29" t="s">
        <v>153</v>
      </c>
      <c r="T367" s="21" t="str">
        <f>'Ingest Template'!T367</f>
        <v/>
      </c>
      <c r="U367" s="21" t="str">
        <f>'Ingest Template'!S367</f>
        <v/>
      </c>
      <c r="V367" s="21" t="str">
        <f>LOWER(SUBSTITUTE(SUBSTITUTE(SUBSTITUTE(SUBSTITUTE(SUBSTITUTE('Ingest Template'!U367,"https:",""),"www.",""),"/",""),"?hl=en",""),"instagram.com",""))</f>
        <v/>
      </c>
      <c r="W367" s="41" t="str">
        <f t="array" ref="W367">IF('Ingest Template'!V367="",(INDEX(DropDown!$L$2:$L$392,MATCH('Ingest Template'!E367,DropDown!$J$2:$J$392,0))&amp;"|"&amp;'Ingest Template'!B367),(INDEX(DropDown!$L$2:$L$392,MATCH('Ingest Template'!E367,DropDown!$J$2:$J$392,0))&amp;"|"&amp;'Ingest Template'!B367)&amp;CHAR(10)&amp;'Ingest Template'!V367)</f>
        <v>#N/A</v>
      </c>
      <c r="X367" s="41" t="str">
        <f>'Ingest Template'!W367</f>
        <v/>
      </c>
      <c r="Y367" s="21" t="str">
        <f>SUBSTITUTE(SUBSTITUTE(SUBSTITUTE('Ingest Template'!X367,"http:",""),"https:",""),"/","")</f>
        <v/>
      </c>
      <c r="Z367" s="21" t="str">
        <f t="array" ref="Z367">IF('Ingest Template'!A367="Standard",(IF(ISBLANK('Ingest Template'!AA367),"", 'Ingest Template'!AA367&amp;"|DAR")),(IF(ISBLANK('Ingest Template'!AA367),"", 'Ingest Template'!AA367&amp;"|Film Ops")))</f>
        <v/>
      </c>
      <c r="AA367" s="21"/>
      <c r="AB367" s="21" t="str">
        <f>'Ingest Template'!M367</f>
        <v/>
      </c>
      <c r="AC367" s="21" t="str">
        <f>'Ingest Template'!Y367</f>
        <v/>
      </c>
      <c r="AD367" s="21" t="str">
        <f>'Ingest Template'!C367</f>
        <v/>
      </c>
      <c r="AE367" s="21" t="str">
        <f>'Ingest Template'!Z367</f>
        <v/>
      </c>
      <c r="AF367" s="29"/>
      <c r="AG367" s="21" t="str">
        <f t="array" ref="AG367">IF('Ingest Template'!A367="Standard",(CONCATENATE(IF(ISBLANK('Ingest Template'!O367),"", 'Ingest Template'!O367&amp;"|DAR"),CHAR(10), IF(ISBLANK('Ingest Template'!P367),"", 'Ingest Template'!P367&amp;"|DAR"),CHAR(10), IF(ISBLANK('Ingest Template'!Q367),"", 'Ingest Template'!Q367&amp;"|DAR"))),(CONCATENATE(IF(ISBLANK('Ingest Template'!O367),"", 'Ingest Template'!O367&amp;"|Operations - Core Title"),CHAR(10), IF(ISBLANK('Ingest Template'!P367),"", 'Ingest Template'!P367&amp;"|Operations - Core Title"),CHAR(10), IF(ISBLANK('Ingest Template'!Q367),"", 'Ingest Template'!Q367&amp;"|Operations - Core Title"))))</f>
        <v>#|Operations - Core Title
#|Operations - Core Title
</v>
      </c>
      <c r="AH367" s="21"/>
      <c r="AI367" s="21"/>
      <c r="AJ367" s="53" t="str">
        <f>if('Ingest Template'!A367="Standard",'Ingest Template'!N367&amp; "|DAR|DAR|2021-01-01",'Ingest Template'!N367&amp; "|Operations - Core Title|Operations - Core Title")</f>
        <v>#N/A</v>
      </c>
      <c r="AK367" s="53" t="str">
        <f>if('Ingest Template'!A367="Standard",'Ingest Template'!R367&amp; "|2021-01-01",'Ingest Template'!R367)</f>
        <v>#N/A</v>
      </c>
      <c r="AL367" s="21"/>
      <c r="AM367" s="21"/>
    </row>
    <row r="368">
      <c r="A368" s="21"/>
      <c r="B368" s="21" t="str">
        <f>'Ingest Template'!B368&amp;IF('Ingest Template'!A368 = "Standard", " - DAR","")</f>
        <v/>
      </c>
      <c r="C368" s="26" t="s">
        <v>109</v>
      </c>
      <c r="D368" s="29" t="str">
        <f t="array" ref="D368">CONCATENATE(INDEX(DropDown!$H$2:$H$10,MATCH(1,COUNTIF('Ingest Template'!F368,"*"&amp;DropDown!$H$2:$H$10&amp;"*"),0)),CHAR(10),'Ingest Template'!G368)</f>
        <v>#N/A</v>
      </c>
      <c r="E368" s="21" t="str">
        <f>CONCATENATE('Ingest Template'!H368,CHAR(10),'Ingest Template'!I368,CHAR(10),'Ingest Template'!J368)</f>
        <v>
</v>
      </c>
      <c r="F368" s="26" t="str">
        <f>'Ingest Template'!H368</f>
        <v/>
      </c>
      <c r="G368" s="21"/>
      <c r="H368" s="29"/>
      <c r="I368" s="21"/>
      <c r="J368" s="29" t="str">
        <f t="array" ref="J368">iF('Ingest Template'!A368="Standard","Pristine Brand",INDEX(DropDown!$M$2:$M$392,MATCH('Ingest Template'!E368,DropDown!$J$2:$J$392,0)))</f>
        <v>#N/A</v>
      </c>
      <c r="K368" s="21" t="str">
        <f>iF('Ingest Template'!A368="Standard",'Ingest Template'!K368&amp;CHAR(10)&amp;'Ingest Template'!L368,"Competitive View")</f>
        <v>Competitive View</v>
      </c>
      <c r="L368" s="29" t="s">
        <v>146</v>
      </c>
      <c r="M368" s="37" t="str">
        <f>'Ingest Template'!D368</f>
        <v/>
      </c>
      <c r="N368" s="21"/>
      <c r="O368" s="21"/>
      <c r="P368" s="21"/>
      <c r="Q368" s="21"/>
      <c r="R368" s="21" t="str">
        <f>'Ingest Template'!E368</f>
        <v/>
      </c>
      <c r="S368" s="29" t="s">
        <v>153</v>
      </c>
      <c r="T368" s="21" t="str">
        <f>'Ingest Template'!T368</f>
        <v/>
      </c>
      <c r="U368" s="21" t="str">
        <f>'Ingest Template'!S368</f>
        <v/>
      </c>
      <c r="V368" s="21" t="str">
        <f>LOWER(SUBSTITUTE(SUBSTITUTE(SUBSTITUTE(SUBSTITUTE(SUBSTITUTE('Ingest Template'!U368,"https:",""),"www.",""),"/",""),"?hl=en",""),"instagram.com",""))</f>
        <v/>
      </c>
      <c r="W368" s="41" t="str">
        <f t="array" ref="W368">IF('Ingest Template'!V368="",(INDEX(DropDown!$L$2:$L$392,MATCH('Ingest Template'!E368,DropDown!$J$2:$J$392,0))&amp;"|"&amp;'Ingest Template'!B368),(INDEX(DropDown!$L$2:$L$392,MATCH('Ingest Template'!E368,DropDown!$J$2:$J$392,0))&amp;"|"&amp;'Ingest Template'!B368)&amp;CHAR(10)&amp;'Ingest Template'!V368)</f>
        <v>#N/A</v>
      </c>
      <c r="X368" s="41" t="str">
        <f>'Ingest Template'!W368</f>
        <v/>
      </c>
      <c r="Y368" s="21" t="str">
        <f>SUBSTITUTE(SUBSTITUTE(SUBSTITUTE('Ingest Template'!X368,"http:",""),"https:",""),"/","")</f>
        <v/>
      </c>
      <c r="Z368" s="21" t="str">
        <f t="array" ref="Z368">IF('Ingest Template'!A368="Standard",(IF(ISBLANK('Ingest Template'!AA368),"", 'Ingest Template'!AA368&amp;"|DAR")),(IF(ISBLANK('Ingest Template'!AA368),"", 'Ingest Template'!AA368&amp;"|Film Ops")))</f>
        <v/>
      </c>
      <c r="AA368" s="21"/>
      <c r="AB368" s="21" t="str">
        <f>'Ingest Template'!M368</f>
        <v/>
      </c>
      <c r="AC368" s="21" t="str">
        <f>'Ingest Template'!Y368</f>
        <v/>
      </c>
      <c r="AD368" s="21" t="str">
        <f>'Ingest Template'!C368</f>
        <v/>
      </c>
      <c r="AE368" s="21" t="str">
        <f>'Ingest Template'!Z368</f>
        <v/>
      </c>
      <c r="AF368" s="29"/>
      <c r="AG368" s="21" t="str">
        <f t="array" ref="AG368">IF('Ingest Template'!A368="Standard",(CONCATENATE(IF(ISBLANK('Ingest Template'!O368),"", 'Ingest Template'!O368&amp;"|DAR"),CHAR(10), IF(ISBLANK('Ingest Template'!P368),"", 'Ingest Template'!P368&amp;"|DAR"),CHAR(10), IF(ISBLANK('Ingest Template'!Q368),"", 'Ingest Template'!Q368&amp;"|DAR"))),(CONCATENATE(IF(ISBLANK('Ingest Template'!O368),"", 'Ingest Template'!O368&amp;"|Operations - Core Title"),CHAR(10), IF(ISBLANK('Ingest Template'!P368),"", 'Ingest Template'!P368&amp;"|Operations - Core Title"),CHAR(10), IF(ISBLANK('Ingest Template'!Q368),"", 'Ingest Template'!Q368&amp;"|Operations - Core Title"))))</f>
        <v>#|Operations - Core Title
#|Operations - Core Title
</v>
      </c>
      <c r="AH368" s="21"/>
      <c r="AI368" s="21"/>
      <c r="AJ368" s="53" t="str">
        <f>if('Ingest Template'!A368="Standard",'Ingest Template'!N368&amp; "|DAR|DAR|2021-01-01",'Ingest Template'!N368&amp; "|Operations - Core Title|Operations - Core Title")</f>
        <v>#N/A</v>
      </c>
      <c r="AK368" s="53" t="str">
        <f>if('Ingest Template'!A368="Standard",'Ingest Template'!R368&amp; "|2021-01-01",'Ingest Template'!R368)</f>
        <v>#N/A</v>
      </c>
      <c r="AL368" s="21"/>
      <c r="AM368" s="21"/>
    </row>
    <row r="369">
      <c r="A369" s="21"/>
      <c r="B369" s="21" t="str">
        <f>'Ingest Template'!B369&amp;IF('Ingest Template'!A369 = "Standard", " - DAR","")</f>
        <v/>
      </c>
      <c r="C369" s="26" t="s">
        <v>109</v>
      </c>
      <c r="D369" s="29" t="str">
        <f t="array" ref="D369">CONCATENATE(INDEX(DropDown!$H$2:$H$10,MATCH(1,COUNTIF('Ingest Template'!F369,"*"&amp;DropDown!$H$2:$H$10&amp;"*"),0)),CHAR(10),'Ingest Template'!G369)</f>
        <v>#N/A</v>
      </c>
      <c r="E369" s="21" t="str">
        <f>CONCATENATE('Ingest Template'!H369,CHAR(10),'Ingest Template'!I369,CHAR(10),'Ingest Template'!J369)</f>
        <v>
</v>
      </c>
      <c r="F369" s="26" t="str">
        <f>'Ingest Template'!H369</f>
        <v/>
      </c>
      <c r="G369" s="21"/>
      <c r="H369" s="29"/>
      <c r="I369" s="21"/>
      <c r="J369" s="29" t="str">
        <f t="array" ref="J369">iF('Ingest Template'!A369="Standard","Pristine Brand",INDEX(DropDown!$M$2:$M$392,MATCH('Ingest Template'!E369,DropDown!$J$2:$J$392,0)))</f>
        <v>#N/A</v>
      </c>
      <c r="K369" s="21" t="str">
        <f>iF('Ingest Template'!A369="Standard",'Ingest Template'!K369&amp;CHAR(10)&amp;'Ingest Template'!L369,"Competitive View")</f>
        <v>Competitive View</v>
      </c>
      <c r="L369" s="29" t="s">
        <v>146</v>
      </c>
      <c r="M369" s="37" t="str">
        <f>'Ingest Template'!D369</f>
        <v/>
      </c>
      <c r="N369" s="21"/>
      <c r="O369" s="21"/>
      <c r="P369" s="21"/>
      <c r="Q369" s="21"/>
      <c r="R369" s="21" t="str">
        <f>'Ingest Template'!E369</f>
        <v/>
      </c>
      <c r="S369" s="29" t="s">
        <v>153</v>
      </c>
      <c r="T369" s="21" t="str">
        <f>'Ingest Template'!T369</f>
        <v/>
      </c>
      <c r="U369" s="21" t="str">
        <f>'Ingest Template'!S369</f>
        <v/>
      </c>
      <c r="V369" s="21" t="str">
        <f>LOWER(SUBSTITUTE(SUBSTITUTE(SUBSTITUTE(SUBSTITUTE(SUBSTITUTE('Ingest Template'!U369,"https:",""),"www.",""),"/",""),"?hl=en",""),"instagram.com",""))</f>
        <v/>
      </c>
      <c r="W369" s="41" t="str">
        <f t="array" ref="W369">IF('Ingest Template'!V369="",(INDEX(DropDown!$L$2:$L$392,MATCH('Ingest Template'!E369,DropDown!$J$2:$J$392,0))&amp;"|"&amp;'Ingest Template'!B369),(INDEX(DropDown!$L$2:$L$392,MATCH('Ingest Template'!E369,DropDown!$J$2:$J$392,0))&amp;"|"&amp;'Ingest Template'!B369)&amp;CHAR(10)&amp;'Ingest Template'!V369)</f>
        <v>#N/A</v>
      </c>
      <c r="X369" s="41" t="str">
        <f>'Ingest Template'!W369</f>
        <v/>
      </c>
      <c r="Y369" s="21" t="str">
        <f>SUBSTITUTE(SUBSTITUTE(SUBSTITUTE('Ingest Template'!X369,"http:",""),"https:",""),"/","")</f>
        <v/>
      </c>
      <c r="Z369" s="21" t="str">
        <f t="array" ref="Z369">IF('Ingest Template'!A369="Standard",(IF(ISBLANK('Ingest Template'!AA369),"", 'Ingest Template'!AA369&amp;"|DAR")),(IF(ISBLANK('Ingest Template'!AA369),"", 'Ingest Template'!AA369&amp;"|Film Ops")))</f>
        <v/>
      </c>
      <c r="AA369" s="21"/>
      <c r="AB369" s="21" t="str">
        <f>'Ingest Template'!M369</f>
        <v/>
      </c>
      <c r="AC369" s="21" t="str">
        <f>'Ingest Template'!Y369</f>
        <v/>
      </c>
      <c r="AD369" s="21" t="str">
        <f>'Ingest Template'!C369</f>
        <v/>
      </c>
      <c r="AE369" s="21" t="str">
        <f>'Ingest Template'!Z369</f>
        <v/>
      </c>
      <c r="AF369" s="29"/>
      <c r="AG369" s="21" t="str">
        <f t="array" ref="AG369">IF('Ingest Template'!A369="Standard",(CONCATENATE(IF(ISBLANK('Ingest Template'!O369),"", 'Ingest Template'!O369&amp;"|DAR"),CHAR(10), IF(ISBLANK('Ingest Template'!P369),"", 'Ingest Template'!P369&amp;"|DAR"),CHAR(10), IF(ISBLANK('Ingest Template'!Q369),"", 'Ingest Template'!Q369&amp;"|DAR"))),(CONCATENATE(IF(ISBLANK('Ingest Template'!O369),"", 'Ingest Template'!O369&amp;"|Operations - Core Title"),CHAR(10), IF(ISBLANK('Ingest Template'!P369),"", 'Ingest Template'!P369&amp;"|Operations - Core Title"),CHAR(10), IF(ISBLANK('Ingest Template'!Q369),"", 'Ingest Template'!Q369&amp;"|Operations - Core Title"))))</f>
        <v>#|Operations - Core Title
#|Operations - Core Title
</v>
      </c>
      <c r="AH369" s="21"/>
      <c r="AI369" s="21"/>
      <c r="AJ369" s="53" t="str">
        <f>if('Ingest Template'!A369="Standard",'Ingest Template'!N369&amp; "|DAR|DAR|2021-01-01",'Ingest Template'!N369&amp; "|Operations - Core Title|Operations - Core Title")</f>
        <v>#N/A</v>
      </c>
      <c r="AK369" s="53" t="str">
        <f>if('Ingest Template'!A369="Standard",'Ingest Template'!R369&amp; "|2021-01-01",'Ingest Template'!R369)</f>
        <v>#N/A</v>
      </c>
      <c r="AL369" s="21"/>
      <c r="AM369" s="21"/>
    </row>
    <row r="370">
      <c r="A370" s="21"/>
      <c r="B370" s="21" t="str">
        <f>'Ingest Template'!B370&amp;IF('Ingest Template'!A370 = "Standard", " - DAR","")</f>
        <v/>
      </c>
      <c r="C370" s="26" t="s">
        <v>109</v>
      </c>
      <c r="D370" s="29" t="str">
        <f t="array" ref="D370">CONCATENATE(INDEX(DropDown!$H$2:$H$10,MATCH(1,COUNTIF('Ingest Template'!F370,"*"&amp;DropDown!$H$2:$H$10&amp;"*"),0)),CHAR(10),'Ingest Template'!G370)</f>
        <v>#N/A</v>
      </c>
      <c r="E370" s="21" t="str">
        <f>CONCATENATE('Ingest Template'!H370,CHAR(10),'Ingest Template'!I370,CHAR(10),'Ingest Template'!J370)</f>
        <v>
</v>
      </c>
      <c r="F370" s="26" t="str">
        <f>'Ingest Template'!H370</f>
        <v/>
      </c>
      <c r="G370" s="21"/>
      <c r="H370" s="29"/>
      <c r="I370" s="21"/>
      <c r="J370" s="29" t="str">
        <f t="array" ref="J370">iF('Ingest Template'!A370="Standard","Pristine Brand",INDEX(DropDown!$M$2:$M$392,MATCH('Ingest Template'!E370,DropDown!$J$2:$J$392,0)))</f>
        <v>#N/A</v>
      </c>
      <c r="K370" s="21" t="str">
        <f>iF('Ingest Template'!A370="Standard",'Ingest Template'!K370&amp;CHAR(10)&amp;'Ingest Template'!L370,"Competitive View")</f>
        <v>Competitive View</v>
      </c>
      <c r="L370" s="29" t="s">
        <v>146</v>
      </c>
      <c r="M370" s="37" t="str">
        <f>'Ingest Template'!D370</f>
        <v/>
      </c>
      <c r="N370" s="21"/>
      <c r="O370" s="21"/>
      <c r="P370" s="21"/>
      <c r="Q370" s="21"/>
      <c r="R370" s="21" t="str">
        <f>'Ingest Template'!E370</f>
        <v/>
      </c>
      <c r="S370" s="29" t="s">
        <v>153</v>
      </c>
      <c r="T370" s="21" t="str">
        <f>'Ingest Template'!T370</f>
        <v/>
      </c>
      <c r="U370" s="21" t="str">
        <f>'Ingest Template'!S370</f>
        <v/>
      </c>
      <c r="V370" s="21" t="str">
        <f>LOWER(SUBSTITUTE(SUBSTITUTE(SUBSTITUTE(SUBSTITUTE(SUBSTITUTE('Ingest Template'!U370,"https:",""),"www.",""),"/",""),"?hl=en",""),"instagram.com",""))</f>
        <v/>
      </c>
      <c r="W370" s="41" t="str">
        <f t="array" ref="W370">IF('Ingest Template'!V370="",(INDEX(DropDown!$L$2:$L$392,MATCH('Ingest Template'!E370,DropDown!$J$2:$J$392,0))&amp;"|"&amp;'Ingest Template'!B370),(INDEX(DropDown!$L$2:$L$392,MATCH('Ingest Template'!E370,DropDown!$J$2:$J$392,0))&amp;"|"&amp;'Ingest Template'!B370)&amp;CHAR(10)&amp;'Ingest Template'!V370)</f>
        <v>#N/A</v>
      </c>
      <c r="X370" s="41" t="str">
        <f>'Ingest Template'!W370</f>
        <v/>
      </c>
      <c r="Y370" s="21" t="str">
        <f>SUBSTITUTE(SUBSTITUTE(SUBSTITUTE('Ingest Template'!X370,"http:",""),"https:",""),"/","")</f>
        <v/>
      </c>
      <c r="Z370" s="21" t="str">
        <f t="array" ref="Z370">IF('Ingest Template'!A370="Standard",(IF(ISBLANK('Ingest Template'!AA370),"", 'Ingest Template'!AA370&amp;"|DAR")),(IF(ISBLANK('Ingest Template'!AA370),"", 'Ingest Template'!AA370&amp;"|Film Ops")))</f>
        <v/>
      </c>
      <c r="AA370" s="21"/>
      <c r="AB370" s="21" t="str">
        <f>'Ingest Template'!M370</f>
        <v/>
      </c>
      <c r="AC370" s="21" t="str">
        <f>'Ingest Template'!Y370</f>
        <v/>
      </c>
      <c r="AD370" s="21" t="str">
        <f>'Ingest Template'!C370</f>
        <v/>
      </c>
      <c r="AE370" s="21" t="str">
        <f>'Ingest Template'!Z370</f>
        <v/>
      </c>
      <c r="AF370" s="29"/>
      <c r="AG370" s="21" t="str">
        <f t="array" ref="AG370">IF('Ingest Template'!A370="Standard",(CONCATENATE(IF(ISBLANK('Ingest Template'!O370),"", 'Ingest Template'!O370&amp;"|DAR"),CHAR(10), IF(ISBLANK('Ingest Template'!P370),"", 'Ingest Template'!P370&amp;"|DAR"),CHAR(10), IF(ISBLANK('Ingest Template'!Q370),"", 'Ingest Template'!Q370&amp;"|DAR"))),(CONCATENATE(IF(ISBLANK('Ingest Template'!O370),"", 'Ingest Template'!O370&amp;"|Operations - Core Title"),CHAR(10), IF(ISBLANK('Ingest Template'!P370),"", 'Ingest Template'!P370&amp;"|Operations - Core Title"),CHAR(10), IF(ISBLANK('Ingest Template'!Q370),"", 'Ingest Template'!Q370&amp;"|Operations - Core Title"))))</f>
        <v>#|Operations - Core Title
#|Operations - Core Title
</v>
      </c>
      <c r="AH370" s="21"/>
      <c r="AI370" s="21"/>
      <c r="AJ370" s="53" t="str">
        <f>if('Ingest Template'!A370="Standard",'Ingest Template'!N370&amp; "|DAR|DAR|2021-01-01",'Ingest Template'!N370&amp; "|Operations - Core Title|Operations - Core Title")</f>
        <v>#N/A</v>
      </c>
      <c r="AK370" s="53" t="str">
        <f>if('Ingest Template'!A370="Standard",'Ingest Template'!R370&amp; "|2021-01-01",'Ingest Template'!R370)</f>
        <v>#N/A</v>
      </c>
      <c r="AL370" s="21"/>
      <c r="AM370" s="21"/>
    </row>
    <row r="371">
      <c r="A371" s="21"/>
      <c r="B371" s="21" t="str">
        <f>'Ingest Template'!B371&amp;IF('Ingest Template'!A371 = "Standard", " - DAR","")</f>
        <v/>
      </c>
      <c r="C371" s="26" t="s">
        <v>109</v>
      </c>
      <c r="D371" s="29" t="str">
        <f t="array" ref="D371">CONCATENATE(INDEX(DropDown!$H$2:$H$10,MATCH(1,COUNTIF('Ingest Template'!F371,"*"&amp;DropDown!$H$2:$H$10&amp;"*"),0)),CHAR(10),'Ingest Template'!G371)</f>
        <v>#N/A</v>
      </c>
      <c r="E371" s="21" t="str">
        <f>CONCATENATE('Ingest Template'!H371,CHAR(10),'Ingest Template'!I371,CHAR(10),'Ingest Template'!J371)</f>
        <v>
</v>
      </c>
      <c r="F371" s="26" t="str">
        <f>'Ingest Template'!H371</f>
        <v/>
      </c>
      <c r="G371" s="21"/>
      <c r="H371" s="29"/>
      <c r="I371" s="21"/>
      <c r="J371" s="29" t="str">
        <f t="array" ref="J371">iF('Ingest Template'!A371="Standard","Pristine Brand",INDEX(DropDown!$M$2:$M$392,MATCH('Ingest Template'!E371,DropDown!$J$2:$J$392,0)))</f>
        <v>#N/A</v>
      </c>
      <c r="K371" s="21" t="str">
        <f>iF('Ingest Template'!A371="Standard",'Ingest Template'!K371&amp;CHAR(10)&amp;'Ingest Template'!L371,"Competitive View")</f>
        <v>Competitive View</v>
      </c>
      <c r="L371" s="29" t="s">
        <v>146</v>
      </c>
      <c r="M371" s="37" t="str">
        <f>'Ingest Template'!D371</f>
        <v/>
      </c>
      <c r="N371" s="21"/>
      <c r="O371" s="21"/>
      <c r="P371" s="21"/>
      <c r="Q371" s="21"/>
      <c r="R371" s="21" t="str">
        <f>'Ingest Template'!E371</f>
        <v/>
      </c>
      <c r="S371" s="29" t="s">
        <v>153</v>
      </c>
      <c r="T371" s="21" t="str">
        <f>'Ingest Template'!T371</f>
        <v/>
      </c>
      <c r="U371" s="21" t="str">
        <f>'Ingest Template'!S371</f>
        <v/>
      </c>
      <c r="V371" s="21" t="str">
        <f>LOWER(SUBSTITUTE(SUBSTITUTE(SUBSTITUTE(SUBSTITUTE(SUBSTITUTE('Ingest Template'!U371,"https:",""),"www.",""),"/",""),"?hl=en",""),"instagram.com",""))</f>
        <v/>
      </c>
      <c r="W371" s="41" t="str">
        <f t="array" ref="W371">IF('Ingest Template'!V371="",(INDEX(DropDown!$L$2:$L$392,MATCH('Ingest Template'!E371,DropDown!$J$2:$J$392,0))&amp;"|"&amp;'Ingest Template'!B371),(INDEX(DropDown!$L$2:$L$392,MATCH('Ingest Template'!E371,DropDown!$J$2:$J$392,0))&amp;"|"&amp;'Ingest Template'!B371)&amp;CHAR(10)&amp;'Ingest Template'!V371)</f>
        <v>#N/A</v>
      </c>
      <c r="X371" s="41" t="str">
        <f>'Ingest Template'!W371</f>
        <v/>
      </c>
      <c r="Y371" s="21" t="str">
        <f>SUBSTITUTE(SUBSTITUTE(SUBSTITUTE('Ingest Template'!X371,"http:",""),"https:",""),"/","")</f>
        <v/>
      </c>
      <c r="Z371" s="21" t="str">
        <f t="array" ref="Z371">IF('Ingest Template'!A371="Standard",(IF(ISBLANK('Ingest Template'!AA371),"", 'Ingest Template'!AA371&amp;"|DAR")),(IF(ISBLANK('Ingest Template'!AA371),"", 'Ingest Template'!AA371&amp;"|Film Ops")))</f>
        <v/>
      </c>
      <c r="AA371" s="21"/>
      <c r="AB371" s="21" t="str">
        <f>'Ingest Template'!M371</f>
        <v/>
      </c>
      <c r="AC371" s="21" t="str">
        <f>'Ingest Template'!Y371</f>
        <v/>
      </c>
      <c r="AD371" s="21" t="str">
        <f>'Ingest Template'!C371</f>
        <v/>
      </c>
      <c r="AE371" s="21" t="str">
        <f>'Ingest Template'!Z371</f>
        <v/>
      </c>
      <c r="AF371" s="29"/>
      <c r="AG371" s="21" t="str">
        <f t="array" ref="AG371">IF('Ingest Template'!A371="Standard",(CONCATENATE(IF(ISBLANK('Ingest Template'!O371),"", 'Ingest Template'!O371&amp;"|DAR"),CHAR(10), IF(ISBLANK('Ingest Template'!P371),"", 'Ingest Template'!P371&amp;"|DAR"),CHAR(10), IF(ISBLANK('Ingest Template'!Q371),"", 'Ingest Template'!Q371&amp;"|DAR"))),(CONCATENATE(IF(ISBLANK('Ingest Template'!O371),"", 'Ingest Template'!O371&amp;"|Operations - Core Title"),CHAR(10), IF(ISBLANK('Ingest Template'!P371),"", 'Ingest Template'!P371&amp;"|Operations - Core Title"),CHAR(10), IF(ISBLANK('Ingest Template'!Q371),"", 'Ingest Template'!Q371&amp;"|Operations - Core Title"))))</f>
        <v>#|Operations - Core Title
#|Operations - Core Title
</v>
      </c>
      <c r="AH371" s="21"/>
      <c r="AI371" s="21"/>
      <c r="AJ371" s="53" t="str">
        <f>if('Ingest Template'!A371="Standard",'Ingest Template'!N371&amp; "|DAR|DAR|2021-01-01",'Ingest Template'!N371&amp; "|Operations - Core Title|Operations - Core Title")</f>
        <v>#N/A</v>
      </c>
      <c r="AK371" s="53" t="str">
        <f>if('Ingest Template'!A371="Standard",'Ingest Template'!R371&amp; "|2021-01-01",'Ingest Template'!R371)</f>
        <v>#N/A</v>
      </c>
      <c r="AL371" s="21"/>
      <c r="AM371" s="21"/>
    </row>
    <row r="372">
      <c r="A372" s="21"/>
      <c r="B372" s="21" t="str">
        <f>'Ingest Template'!B372&amp;IF('Ingest Template'!A372 = "Standard", " - DAR","")</f>
        <v/>
      </c>
      <c r="C372" s="26" t="s">
        <v>109</v>
      </c>
      <c r="D372" s="29" t="str">
        <f t="array" ref="D372">CONCATENATE(INDEX(DropDown!$H$2:$H$10,MATCH(1,COUNTIF('Ingest Template'!F372,"*"&amp;DropDown!$H$2:$H$10&amp;"*"),0)),CHAR(10),'Ingest Template'!G372)</f>
        <v>#N/A</v>
      </c>
      <c r="E372" s="21" t="str">
        <f>CONCATENATE('Ingest Template'!H372,CHAR(10),'Ingest Template'!I372,CHAR(10),'Ingest Template'!J372)</f>
        <v>
</v>
      </c>
      <c r="F372" s="26" t="str">
        <f>'Ingest Template'!H372</f>
        <v/>
      </c>
      <c r="G372" s="21"/>
      <c r="H372" s="29"/>
      <c r="I372" s="21"/>
      <c r="J372" s="29" t="str">
        <f t="array" ref="J372">iF('Ingest Template'!A372="Standard","Pristine Brand",INDEX(DropDown!$M$2:$M$392,MATCH('Ingest Template'!E372,DropDown!$J$2:$J$392,0)))</f>
        <v>#N/A</v>
      </c>
      <c r="K372" s="21" t="str">
        <f>iF('Ingest Template'!A372="Standard",'Ingest Template'!K372&amp;CHAR(10)&amp;'Ingest Template'!L372,"Competitive View")</f>
        <v>Competitive View</v>
      </c>
      <c r="L372" s="29" t="s">
        <v>146</v>
      </c>
      <c r="M372" s="37" t="str">
        <f>'Ingest Template'!D372</f>
        <v/>
      </c>
      <c r="N372" s="21"/>
      <c r="O372" s="21"/>
      <c r="P372" s="21"/>
      <c r="Q372" s="21"/>
      <c r="R372" s="21" t="str">
        <f>'Ingest Template'!E372</f>
        <v/>
      </c>
      <c r="S372" s="29" t="s">
        <v>153</v>
      </c>
      <c r="T372" s="21" t="str">
        <f>'Ingest Template'!T372</f>
        <v/>
      </c>
      <c r="U372" s="21" t="str">
        <f>'Ingest Template'!S372</f>
        <v/>
      </c>
      <c r="V372" s="21" t="str">
        <f>LOWER(SUBSTITUTE(SUBSTITUTE(SUBSTITUTE(SUBSTITUTE(SUBSTITUTE('Ingest Template'!U372,"https:",""),"www.",""),"/",""),"?hl=en",""),"instagram.com",""))</f>
        <v/>
      </c>
      <c r="W372" s="41" t="str">
        <f t="array" ref="W372">IF('Ingest Template'!V372="",(INDEX(DropDown!$L$2:$L$392,MATCH('Ingest Template'!E372,DropDown!$J$2:$J$392,0))&amp;"|"&amp;'Ingest Template'!B372),(INDEX(DropDown!$L$2:$L$392,MATCH('Ingest Template'!E372,DropDown!$J$2:$J$392,0))&amp;"|"&amp;'Ingest Template'!B372)&amp;CHAR(10)&amp;'Ingest Template'!V372)</f>
        <v>#N/A</v>
      </c>
      <c r="X372" s="41" t="str">
        <f>'Ingest Template'!W372</f>
        <v/>
      </c>
      <c r="Y372" s="21" t="str">
        <f>SUBSTITUTE(SUBSTITUTE(SUBSTITUTE('Ingest Template'!X372,"http:",""),"https:",""),"/","")</f>
        <v/>
      </c>
      <c r="Z372" s="21" t="str">
        <f t="array" ref="Z372">IF('Ingest Template'!A372="Standard",(IF(ISBLANK('Ingest Template'!AA372),"", 'Ingest Template'!AA372&amp;"|DAR")),(IF(ISBLANK('Ingest Template'!AA372),"", 'Ingest Template'!AA372&amp;"|Film Ops")))</f>
        <v/>
      </c>
      <c r="AA372" s="21"/>
      <c r="AB372" s="21" t="str">
        <f>'Ingest Template'!M372</f>
        <v/>
      </c>
      <c r="AC372" s="21" t="str">
        <f>'Ingest Template'!Y372</f>
        <v/>
      </c>
      <c r="AD372" s="21" t="str">
        <f>'Ingest Template'!C372</f>
        <v/>
      </c>
      <c r="AE372" s="21" t="str">
        <f>'Ingest Template'!Z372</f>
        <v/>
      </c>
      <c r="AF372" s="29"/>
      <c r="AG372" s="21" t="str">
        <f t="array" ref="AG372">IF('Ingest Template'!A372="Standard",(CONCATENATE(IF(ISBLANK('Ingest Template'!O372),"", 'Ingest Template'!O372&amp;"|DAR"),CHAR(10), IF(ISBLANK('Ingest Template'!P372),"", 'Ingest Template'!P372&amp;"|DAR"),CHAR(10), IF(ISBLANK('Ingest Template'!Q372),"", 'Ingest Template'!Q372&amp;"|DAR"))),(CONCATENATE(IF(ISBLANK('Ingest Template'!O372),"", 'Ingest Template'!O372&amp;"|Operations - Core Title"),CHAR(10), IF(ISBLANK('Ingest Template'!P372),"", 'Ingest Template'!P372&amp;"|Operations - Core Title"),CHAR(10), IF(ISBLANK('Ingest Template'!Q372),"", 'Ingest Template'!Q372&amp;"|Operations - Core Title"))))</f>
        <v>#|Operations - Core Title
#|Operations - Core Title
</v>
      </c>
      <c r="AH372" s="21"/>
      <c r="AI372" s="21"/>
      <c r="AJ372" s="53" t="str">
        <f>if('Ingest Template'!A372="Standard",'Ingest Template'!N372&amp; "|DAR|DAR|2021-01-01",'Ingest Template'!N372&amp; "|Operations - Core Title|Operations - Core Title")</f>
        <v>#N/A</v>
      </c>
      <c r="AK372" s="53" t="str">
        <f>if('Ingest Template'!A372="Standard",'Ingest Template'!R372&amp; "|2021-01-01",'Ingest Template'!R372)</f>
        <v>#N/A</v>
      </c>
      <c r="AL372" s="21"/>
      <c r="AM372" s="21"/>
    </row>
    <row r="373">
      <c r="A373" s="21"/>
      <c r="B373" s="21" t="str">
        <f>'Ingest Template'!B373&amp;IF('Ingest Template'!A373 = "Standard", " - DAR","")</f>
        <v/>
      </c>
      <c r="C373" s="26" t="s">
        <v>109</v>
      </c>
      <c r="D373" s="29" t="str">
        <f t="array" ref="D373">CONCATENATE(INDEX(DropDown!$H$2:$H$10,MATCH(1,COUNTIF('Ingest Template'!F373,"*"&amp;DropDown!$H$2:$H$10&amp;"*"),0)),CHAR(10),'Ingest Template'!G373)</f>
        <v>#N/A</v>
      </c>
      <c r="E373" s="21" t="str">
        <f>CONCATENATE('Ingest Template'!H373,CHAR(10),'Ingest Template'!I373,CHAR(10),'Ingest Template'!J373)</f>
        <v>
</v>
      </c>
      <c r="F373" s="26" t="str">
        <f>'Ingest Template'!H373</f>
        <v/>
      </c>
      <c r="G373" s="21"/>
      <c r="H373" s="29"/>
      <c r="I373" s="21"/>
      <c r="J373" s="29" t="str">
        <f t="array" ref="J373">iF('Ingest Template'!A373="Standard","Pristine Brand",INDEX(DropDown!$M$2:$M$392,MATCH('Ingest Template'!E373,DropDown!$J$2:$J$392,0)))</f>
        <v>#N/A</v>
      </c>
      <c r="K373" s="21" t="str">
        <f>iF('Ingest Template'!A373="Standard",'Ingest Template'!K373&amp;CHAR(10)&amp;'Ingest Template'!L373,"Competitive View")</f>
        <v>Competitive View</v>
      </c>
      <c r="L373" s="29" t="s">
        <v>146</v>
      </c>
      <c r="M373" s="37" t="str">
        <f>'Ingest Template'!D373</f>
        <v/>
      </c>
      <c r="N373" s="21"/>
      <c r="O373" s="21"/>
      <c r="P373" s="21"/>
      <c r="Q373" s="21"/>
      <c r="R373" s="21" t="str">
        <f>'Ingest Template'!E373</f>
        <v/>
      </c>
      <c r="S373" s="29" t="s">
        <v>153</v>
      </c>
      <c r="T373" s="21" t="str">
        <f>'Ingest Template'!T373</f>
        <v/>
      </c>
      <c r="U373" s="21" t="str">
        <f>'Ingest Template'!S373</f>
        <v/>
      </c>
      <c r="V373" s="21" t="str">
        <f>LOWER(SUBSTITUTE(SUBSTITUTE(SUBSTITUTE(SUBSTITUTE(SUBSTITUTE('Ingest Template'!U373,"https:",""),"www.",""),"/",""),"?hl=en",""),"instagram.com",""))</f>
        <v/>
      </c>
      <c r="W373" s="41" t="str">
        <f t="array" ref="W373">IF('Ingest Template'!V373="",(INDEX(DropDown!$L$2:$L$392,MATCH('Ingest Template'!E373,DropDown!$J$2:$J$392,0))&amp;"|"&amp;'Ingest Template'!B373),(INDEX(DropDown!$L$2:$L$392,MATCH('Ingest Template'!E373,DropDown!$J$2:$J$392,0))&amp;"|"&amp;'Ingest Template'!B373)&amp;CHAR(10)&amp;'Ingest Template'!V373)</f>
        <v>#N/A</v>
      </c>
      <c r="X373" s="41" t="str">
        <f>'Ingest Template'!W373</f>
        <v/>
      </c>
      <c r="Y373" s="21" t="str">
        <f>SUBSTITUTE(SUBSTITUTE(SUBSTITUTE('Ingest Template'!X373,"http:",""),"https:",""),"/","")</f>
        <v/>
      </c>
      <c r="Z373" s="21" t="str">
        <f t="array" ref="Z373">IF('Ingest Template'!A373="Standard",(IF(ISBLANK('Ingest Template'!AA373),"", 'Ingest Template'!AA373&amp;"|DAR")),(IF(ISBLANK('Ingest Template'!AA373),"", 'Ingest Template'!AA373&amp;"|Film Ops")))</f>
        <v/>
      </c>
      <c r="AA373" s="21"/>
      <c r="AB373" s="21" t="str">
        <f>'Ingest Template'!M373</f>
        <v/>
      </c>
      <c r="AC373" s="21" t="str">
        <f>'Ingest Template'!Y373</f>
        <v/>
      </c>
      <c r="AD373" s="21" t="str">
        <f>'Ingest Template'!C373</f>
        <v/>
      </c>
      <c r="AE373" s="21" t="str">
        <f>'Ingest Template'!Z373</f>
        <v/>
      </c>
      <c r="AF373" s="29"/>
      <c r="AG373" s="21" t="str">
        <f t="array" ref="AG373">IF('Ingest Template'!A373="Standard",(CONCATENATE(IF(ISBLANK('Ingest Template'!O373),"", 'Ingest Template'!O373&amp;"|DAR"),CHAR(10), IF(ISBLANK('Ingest Template'!P373),"", 'Ingest Template'!P373&amp;"|DAR"),CHAR(10), IF(ISBLANK('Ingest Template'!Q373),"", 'Ingest Template'!Q373&amp;"|DAR"))),(CONCATENATE(IF(ISBLANK('Ingest Template'!O373),"", 'Ingest Template'!O373&amp;"|Operations - Core Title"),CHAR(10), IF(ISBLANK('Ingest Template'!P373),"", 'Ingest Template'!P373&amp;"|Operations - Core Title"),CHAR(10), IF(ISBLANK('Ingest Template'!Q373),"", 'Ingest Template'!Q373&amp;"|Operations - Core Title"))))</f>
        <v>#|Operations - Core Title
#|Operations - Core Title
</v>
      </c>
      <c r="AH373" s="21"/>
      <c r="AI373" s="21"/>
      <c r="AJ373" s="53" t="str">
        <f>if('Ingest Template'!A373="Standard",'Ingest Template'!N373&amp; "|DAR|DAR|2021-01-01",'Ingest Template'!N373&amp; "|Operations - Core Title|Operations - Core Title")</f>
        <v>#N/A</v>
      </c>
      <c r="AK373" s="53" t="str">
        <f>if('Ingest Template'!A373="Standard",'Ingest Template'!R373&amp; "|2021-01-01",'Ingest Template'!R373)</f>
        <v>#N/A</v>
      </c>
      <c r="AL373" s="21"/>
      <c r="AM373" s="21"/>
    </row>
    <row r="374">
      <c r="A374" s="21"/>
      <c r="B374" s="21" t="str">
        <f>'Ingest Template'!B374&amp;IF('Ingest Template'!A374 = "Standard", " - DAR","")</f>
        <v/>
      </c>
      <c r="C374" s="26" t="s">
        <v>109</v>
      </c>
      <c r="D374" s="29" t="str">
        <f t="array" ref="D374">CONCATENATE(INDEX(DropDown!$H$2:$H$10,MATCH(1,COUNTIF('Ingest Template'!F374,"*"&amp;DropDown!$H$2:$H$10&amp;"*"),0)),CHAR(10),'Ingest Template'!G374)</f>
        <v>#N/A</v>
      </c>
      <c r="E374" s="21" t="str">
        <f>CONCATENATE('Ingest Template'!H374,CHAR(10),'Ingest Template'!I374,CHAR(10),'Ingest Template'!J374)</f>
        <v>
</v>
      </c>
      <c r="F374" s="26" t="str">
        <f>'Ingest Template'!H374</f>
        <v/>
      </c>
      <c r="G374" s="21"/>
      <c r="H374" s="29"/>
      <c r="I374" s="21"/>
      <c r="J374" s="29" t="str">
        <f t="array" ref="J374">iF('Ingest Template'!A374="Standard","Pristine Brand",INDEX(DropDown!$M$2:$M$392,MATCH('Ingest Template'!E374,DropDown!$J$2:$J$392,0)))</f>
        <v>#N/A</v>
      </c>
      <c r="K374" s="21" t="str">
        <f>iF('Ingest Template'!A374="Standard",'Ingest Template'!K374&amp;CHAR(10)&amp;'Ingest Template'!L374,"Competitive View")</f>
        <v>Competitive View</v>
      </c>
      <c r="L374" s="29" t="s">
        <v>146</v>
      </c>
      <c r="M374" s="37" t="str">
        <f>'Ingest Template'!D374</f>
        <v/>
      </c>
      <c r="N374" s="21"/>
      <c r="O374" s="21"/>
      <c r="P374" s="21"/>
      <c r="Q374" s="21"/>
      <c r="R374" s="21" t="str">
        <f>'Ingest Template'!E374</f>
        <v/>
      </c>
      <c r="S374" s="29" t="s">
        <v>153</v>
      </c>
      <c r="T374" s="21" t="str">
        <f>'Ingest Template'!T374</f>
        <v/>
      </c>
      <c r="U374" s="21" t="str">
        <f>'Ingest Template'!S374</f>
        <v/>
      </c>
      <c r="V374" s="21" t="str">
        <f>LOWER(SUBSTITUTE(SUBSTITUTE(SUBSTITUTE(SUBSTITUTE(SUBSTITUTE('Ingest Template'!U374,"https:",""),"www.",""),"/",""),"?hl=en",""),"instagram.com",""))</f>
        <v/>
      </c>
      <c r="W374" s="41" t="str">
        <f t="array" ref="W374">IF('Ingest Template'!V374="",(INDEX(DropDown!$L$2:$L$392,MATCH('Ingest Template'!E374,DropDown!$J$2:$J$392,0))&amp;"|"&amp;'Ingest Template'!B374),(INDEX(DropDown!$L$2:$L$392,MATCH('Ingest Template'!E374,DropDown!$J$2:$J$392,0))&amp;"|"&amp;'Ingest Template'!B374)&amp;CHAR(10)&amp;'Ingest Template'!V374)</f>
        <v>#N/A</v>
      </c>
      <c r="X374" s="41" t="str">
        <f>'Ingest Template'!W374</f>
        <v/>
      </c>
      <c r="Y374" s="21" t="str">
        <f>SUBSTITUTE(SUBSTITUTE(SUBSTITUTE('Ingest Template'!X374,"http:",""),"https:",""),"/","")</f>
        <v/>
      </c>
      <c r="Z374" s="21" t="str">
        <f t="array" ref="Z374">IF('Ingest Template'!A374="Standard",(IF(ISBLANK('Ingest Template'!AA374),"", 'Ingest Template'!AA374&amp;"|DAR")),(IF(ISBLANK('Ingest Template'!AA374),"", 'Ingest Template'!AA374&amp;"|Film Ops")))</f>
        <v/>
      </c>
      <c r="AA374" s="21"/>
      <c r="AB374" s="21" t="str">
        <f>'Ingest Template'!M374</f>
        <v/>
      </c>
      <c r="AC374" s="21" t="str">
        <f>'Ingest Template'!Y374</f>
        <v/>
      </c>
      <c r="AD374" s="21" t="str">
        <f>'Ingest Template'!C374</f>
        <v/>
      </c>
      <c r="AE374" s="21" t="str">
        <f>'Ingest Template'!Z374</f>
        <v/>
      </c>
      <c r="AF374" s="29"/>
      <c r="AG374" s="21" t="str">
        <f t="array" ref="AG374">IF('Ingest Template'!A374="Standard",(CONCATENATE(IF(ISBLANK('Ingest Template'!O374),"", 'Ingest Template'!O374&amp;"|DAR"),CHAR(10), IF(ISBLANK('Ingest Template'!P374),"", 'Ingest Template'!P374&amp;"|DAR"),CHAR(10), IF(ISBLANK('Ingest Template'!Q374),"", 'Ingest Template'!Q374&amp;"|DAR"))),(CONCATENATE(IF(ISBLANK('Ingest Template'!O374),"", 'Ingest Template'!O374&amp;"|Operations - Core Title"),CHAR(10), IF(ISBLANK('Ingest Template'!P374),"", 'Ingest Template'!P374&amp;"|Operations - Core Title"),CHAR(10), IF(ISBLANK('Ingest Template'!Q374),"", 'Ingest Template'!Q374&amp;"|Operations - Core Title"))))</f>
        <v>#|Operations - Core Title
#|Operations - Core Title
</v>
      </c>
      <c r="AH374" s="21"/>
      <c r="AI374" s="21"/>
      <c r="AJ374" s="53" t="str">
        <f>if('Ingest Template'!A374="Standard",'Ingest Template'!N374&amp; "|DAR|DAR|2021-01-01",'Ingest Template'!N374&amp; "|Operations - Core Title|Operations - Core Title")</f>
        <v>#N/A</v>
      </c>
      <c r="AK374" s="53" t="str">
        <f>if('Ingest Template'!A374="Standard",'Ingest Template'!R374&amp; "|2021-01-01",'Ingest Template'!R374)</f>
        <v>#N/A</v>
      </c>
      <c r="AL374" s="21"/>
      <c r="AM374" s="21"/>
    </row>
    <row r="375">
      <c r="A375" s="21"/>
      <c r="B375" s="21" t="str">
        <f>'Ingest Template'!B375&amp;IF('Ingest Template'!A375 = "Standard", " - DAR","")</f>
        <v/>
      </c>
      <c r="C375" s="26" t="s">
        <v>109</v>
      </c>
      <c r="D375" s="29" t="str">
        <f t="array" ref="D375">CONCATENATE(INDEX(DropDown!$H$2:$H$10,MATCH(1,COUNTIF('Ingest Template'!F375,"*"&amp;DropDown!$H$2:$H$10&amp;"*"),0)),CHAR(10),'Ingest Template'!G375)</f>
        <v>#N/A</v>
      </c>
      <c r="E375" s="21" t="str">
        <f>CONCATENATE('Ingest Template'!H375,CHAR(10),'Ingest Template'!I375,CHAR(10),'Ingest Template'!J375)</f>
        <v>
</v>
      </c>
      <c r="F375" s="26" t="str">
        <f>'Ingest Template'!H375</f>
        <v/>
      </c>
      <c r="G375" s="21"/>
      <c r="H375" s="29"/>
      <c r="I375" s="21"/>
      <c r="J375" s="29" t="str">
        <f t="array" ref="J375">iF('Ingest Template'!A375="Standard","Pristine Brand",INDEX(DropDown!$M$2:$M$392,MATCH('Ingest Template'!E375,DropDown!$J$2:$J$392,0)))</f>
        <v>#N/A</v>
      </c>
      <c r="K375" s="21" t="str">
        <f>iF('Ingest Template'!A375="Standard",'Ingest Template'!K375&amp;CHAR(10)&amp;'Ingest Template'!L375,"Competitive View")</f>
        <v>Competitive View</v>
      </c>
      <c r="L375" s="29" t="s">
        <v>146</v>
      </c>
      <c r="M375" s="37" t="str">
        <f>'Ingest Template'!D375</f>
        <v/>
      </c>
      <c r="N375" s="21"/>
      <c r="O375" s="21"/>
      <c r="P375" s="21"/>
      <c r="Q375" s="21"/>
      <c r="R375" s="21" t="str">
        <f>'Ingest Template'!E375</f>
        <v/>
      </c>
      <c r="S375" s="29" t="s">
        <v>153</v>
      </c>
      <c r="T375" s="21" t="str">
        <f>'Ingest Template'!T375</f>
        <v/>
      </c>
      <c r="U375" s="21" t="str">
        <f>'Ingest Template'!S375</f>
        <v/>
      </c>
      <c r="V375" s="21" t="str">
        <f>LOWER(SUBSTITUTE(SUBSTITUTE(SUBSTITUTE(SUBSTITUTE(SUBSTITUTE('Ingest Template'!U375,"https:",""),"www.",""),"/",""),"?hl=en",""),"instagram.com",""))</f>
        <v/>
      </c>
      <c r="W375" s="41" t="str">
        <f t="array" ref="W375">IF('Ingest Template'!V375="",(INDEX(DropDown!$L$2:$L$392,MATCH('Ingest Template'!E375,DropDown!$J$2:$J$392,0))&amp;"|"&amp;'Ingest Template'!B375),(INDEX(DropDown!$L$2:$L$392,MATCH('Ingest Template'!E375,DropDown!$J$2:$J$392,0))&amp;"|"&amp;'Ingest Template'!B375)&amp;CHAR(10)&amp;'Ingest Template'!V375)</f>
        <v>#N/A</v>
      </c>
      <c r="X375" s="41" t="str">
        <f>'Ingest Template'!W375</f>
        <v/>
      </c>
      <c r="Y375" s="21" t="str">
        <f>SUBSTITUTE(SUBSTITUTE(SUBSTITUTE('Ingest Template'!X375,"http:",""),"https:",""),"/","")</f>
        <v/>
      </c>
      <c r="Z375" s="21" t="str">
        <f t="array" ref="Z375">IF('Ingest Template'!A375="Standard",(IF(ISBLANK('Ingest Template'!AA375),"", 'Ingest Template'!AA375&amp;"|DAR")),(IF(ISBLANK('Ingest Template'!AA375),"", 'Ingest Template'!AA375&amp;"|Film Ops")))</f>
        <v/>
      </c>
      <c r="AA375" s="21"/>
      <c r="AB375" s="21" t="str">
        <f>'Ingest Template'!M375</f>
        <v/>
      </c>
      <c r="AC375" s="21" t="str">
        <f>'Ingest Template'!Y375</f>
        <v/>
      </c>
      <c r="AD375" s="21" t="str">
        <f>'Ingest Template'!C375</f>
        <v/>
      </c>
      <c r="AE375" s="21" t="str">
        <f>'Ingest Template'!Z375</f>
        <v/>
      </c>
      <c r="AF375" s="29"/>
      <c r="AG375" s="21" t="str">
        <f t="array" ref="AG375">IF('Ingest Template'!A375="Standard",(CONCATENATE(IF(ISBLANK('Ingest Template'!O375),"", 'Ingest Template'!O375&amp;"|DAR"),CHAR(10), IF(ISBLANK('Ingest Template'!P375),"", 'Ingest Template'!P375&amp;"|DAR"),CHAR(10), IF(ISBLANK('Ingest Template'!Q375),"", 'Ingest Template'!Q375&amp;"|DAR"))),(CONCATENATE(IF(ISBLANK('Ingest Template'!O375),"", 'Ingest Template'!O375&amp;"|Operations - Core Title"),CHAR(10), IF(ISBLANK('Ingest Template'!P375),"", 'Ingest Template'!P375&amp;"|Operations - Core Title"),CHAR(10), IF(ISBLANK('Ingest Template'!Q375),"", 'Ingest Template'!Q375&amp;"|Operations - Core Title"))))</f>
        <v>#|Operations - Core Title
#|Operations - Core Title
</v>
      </c>
      <c r="AH375" s="21"/>
      <c r="AI375" s="21"/>
      <c r="AJ375" s="53" t="str">
        <f>if('Ingest Template'!A375="Standard",'Ingest Template'!N375&amp; "|DAR|DAR|2021-01-01",'Ingest Template'!N375&amp; "|Operations - Core Title|Operations - Core Title")</f>
        <v>#N/A</v>
      </c>
      <c r="AK375" s="53" t="str">
        <f>if('Ingest Template'!A375="Standard",'Ingest Template'!R375&amp; "|2021-01-01",'Ingest Template'!R375)</f>
        <v>#N/A</v>
      </c>
      <c r="AL375" s="21"/>
      <c r="AM375" s="21"/>
    </row>
    <row r="376">
      <c r="A376" s="21"/>
      <c r="B376" s="21" t="str">
        <f>'Ingest Template'!B376&amp;IF('Ingest Template'!A376 = "Standard", " - DAR","")</f>
        <v/>
      </c>
      <c r="C376" s="26" t="s">
        <v>109</v>
      </c>
      <c r="D376" s="29" t="str">
        <f t="array" ref="D376">CONCATENATE(INDEX(DropDown!$H$2:$H$10,MATCH(1,COUNTIF('Ingest Template'!F376,"*"&amp;DropDown!$H$2:$H$10&amp;"*"),0)),CHAR(10),'Ingest Template'!G376)</f>
        <v>#N/A</v>
      </c>
      <c r="E376" s="21" t="str">
        <f>CONCATENATE('Ingest Template'!H376,CHAR(10),'Ingest Template'!I376,CHAR(10),'Ingest Template'!J376)</f>
        <v>
</v>
      </c>
      <c r="F376" s="26" t="str">
        <f>'Ingest Template'!H376</f>
        <v/>
      </c>
      <c r="G376" s="21"/>
      <c r="H376" s="29"/>
      <c r="I376" s="21"/>
      <c r="J376" s="29" t="str">
        <f t="array" ref="J376">iF('Ingest Template'!A376="Standard","Pristine Brand",INDEX(DropDown!$M$2:$M$392,MATCH('Ingest Template'!E376,DropDown!$J$2:$J$392,0)))</f>
        <v>#N/A</v>
      </c>
      <c r="K376" s="21" t="str">
        <f>iF('Ingest Template'!A376="Standard",'Ingest Template'!K376&amp;CHAR(10)&amp;'Ingest Template'!L376,"Competitive View")</f>
        <v>Competitive View</v>
      </c>
      <c r="L376" s="29" t="s">
        <v>146</v>
      </c>
      <c r="M376" s="37" t="str">
        <f>'Ingest Template'!D376</f>
        <v/>
      </c>
      <c r="N376" s="21"/>
      <c r="O376" s="21"/>
      <c r="P376" s="21"/>
      <c r="Q376" s="21"/>
      <c r="R376" s="21" t="str">
        <f>'Ingest Template'!E376</f>
        <v/>
      </c>
      <c r="S376" s="29" t="s">
        <v>153</v>
      </c>
      <c r="T376" s="21" t="str">
        <f>'Ingest Template'!T376</f>
        <v/>
      </c>
      <c r="U376" s="21" t="str">
        <f>'Ingest Template'!S376</f>
        <v/>
      </c>
      <c r="V376" s="21" t="str">
        <f>LOWER(SUBSTITUTE(SUBSTITUTE(SUBSTITUTE(SUBSTITUTE(SUBSTITUTE('Ingest Template'!U376,"https:",""),"www.",""),"/",""),"?hl=en",""),"instagram.com",""))</f>
        <v/>
      </c>
      <c r="W376" s="41" t="str">
        <f t="array" ref="W376">IF('Ingest Template'!V376="",(INDEX(DropDown!$L$2:$L$392,MATCH('Ingest Template'!E376,DropDown!$J$2:$J$392,0))&amp;"|"&amp;'Ingest Template'!B376),(INDEX(DropDown!$L$2:$L$392,MATCH('Ingest Template'!E376,DropDown!$J$2:$J$392,0))&amp;"|"&amp;'Ingest Template'!B376)&amp;CHAR(10)&amp;'Ingest Template'!V376)</f>
        <v>#N/A</v>
      </c>
      <c r="X376" s="41" t="str">
        <f>'Ingest Template'!W376</f>
        <v/>
      </c>
      <c r="Y376" s="21" t="str">
        <f>SUBSTITUTE(SUBSTITUTE(SUBSTITUTE('Ingest Template'!X376,"http:",""),"https:",""),"/","")</f>
        <v/>
      </c>
      <c r="Z376" s="21" t="str">
        <f t="array" ref="Z376">IF('Ingest Template'!A376="Standard",(IF(ISBLANK('Ingest Template'!AA376),"", 'Ingest Template'!AA376&amp;"|DAR")),(IF(ISBLANK('Ingest Template'!AA376),"", 'Ingest Template'!AA376&amp;"|Film Ops")))</f>
        <v/>
      </c>
      <c r="AA376" s="21"/>
      <c r="AB376" s="21" t="str">
        <f>'Ingest Template'!M376</f>
        <v/>
      </c>
      <c r="AC376" s="21" t="str">
        <f>'Ingest Template'!Y376</f>
        <v/>
      </c>
      <c r="AD376" s="21" t="str">
        <f>'Ingest Template'!C376</f>
        <v/>
      </c>
      <c r="AE376" s="21" t="str">
        <f>'Ingest Template'!Z376</f>
        <v/>
      </c>
      <c r="AF376" s="29"/>
      <c r="AG376" s="21" t="str">
        <f t="array" ref="AG376">IF('Ingest Template'!A376="Standard",(CONCATENATE(IF(ISBLANK('Ingest Template'!O376),"", 'Ingest Template'!O376&amp;"|DAR"),CHAR(10), IF(ISBLANK('Ingest Template'!P376),"", 'Ingest Template'!P376&amp;"|DAR"),CHAR(10), IF(ISBLANK('Ingest Template'!Q376),"", 'Ingest Template'!Q376&amp;"|DAR"))),(CONCATENATE(IF(ISBLANK('Ingest Template'!O376),"", 'Ingest Template'!O376&amp;"|Operations - Core Title"),CHAR(10), IF(ISBLANK('Ingest Template'!P376),"", 'Ingest Template'!P376&amp;"|Operations - Core Title"),CHAR(10), IF(ISBLANK('Ingest Template'!Q376),"", 'Ingest Template'!Q376&amp;"|Operations - Core Title"))))</f>
        <v>#|Operations - Core Title
#|Operations - Core Title
</v>
      </c>
      <c r="AH376" s="21"/>
      <c r="AI376" s="21"/>
      <c r="AJ376" s="53" t="str">
        <f>if('Ingest Template'!A376="Standard",'Ingest Template'!N376&amp; "|DAR|DAR|2021-01-01",'Ingest Template'!N376&amp; "|Operations - Core Title|Operations - Core Title")</f>
        <v>#N/A</v>
      </c>
      <c r="AK376" s="53" t="str">
        <f>if('Ingest Template'!A376="Standard",'Ingest Template'!R376&amp; "|2021-01-01",'Ingest Template'!R376)</f>
        <v>#N/A</v>
      </c>
      <c r="AL376" s="21"/>
      <c r="AM376" s="21"/>
    </row>
    <row r="377">
      <c r="A377" s="21"/>
      <c r="B377" s="21" t="str">
        <f>'Ingest Template'!B377&amp;IF('Ingest Template'!A377 = "Standard", " - DAR","")</f>
        <v/>
      </c>
      <c r="C377" s="26" t="s">
        <v>109</v>
      </c>
      <c r="D377" s="29" t="str">
        <f t="array" ref="D377">CONCATENATE(INDEX(DropDown!$H$2:$H$10,MATCH(1,COUNTIF('Ingest Template'!F377,"*"&amp;DropDown!$H$2:$H$10&amp;"*"),0)),CHAR(10),'Ingest Template'!G377)</f>
        <v>#N/A</v>
      </c>
      <c r="E377" s="21" t="str">
        <f>CONCATENATE('Ingest Template'!H377,CHAR(10),'Ingest Template'!I377,CHAR(10),'Ingest Template'!J377)</f>
        <v>
</v>
      </c>
      <c r="F377" s="26" t="str">
        <f>'Ingest Template'!H377</f>
        <v/>
      </c>
      <c r="G377" s="21"/>
      <c r="H377" s="29"/>
      <c r="I377" s="21"/>
      <c r="J377" s="29" t="str">
        <f t="array" ref="J377">iF('Ingest Template'!A377="Standard","Pristine Brand",INDEX(DropDown!$M$2:$M$392,MATCH('Ingest Template'!E377,DropDown!$J$2:$J$392,0)))</f>
        <v>#N/A</v>
      </c>
      <c r="K377" s="21" t="str">
        <f>iF('Ingest Template'!A377="Standard",'Ingest Template'!K377&amp;CHAR(10)&amp;'Ingest Template'!L377,"Competitive View")</f>
        <v>Competitive View</v>
      </c>
      <c r="L377" s="29" t="s">
        <v>146</v>
      </c>
      <c r="M377" s="37" t="str">
        <f>'Ingest Template'!D377</f>
        <v/>
      </c>
      <c r="N377" s="21"/>
      <c r="O377" s="21"/>
      <c r="P377" s="21"/>
      <c r="Q377" s="21"/>
      <c r="R377" s="21" t="str">
        <f>'Ingest Template'!E377</f>
        <v/>
      </c>
      <c r="S377" s="29" t="s">
        <v>153</v>
      </c>
      <c r="T377" s="21" t="str">
        <f>'Ingest Template'!T377</f>
        <v/>
      </c>
      <c r="U377" s="21" t="str">
        <f>'Ingest Template'!S377</f>
        <v/>
      </c>
      <c r="V377" s="21" t="str">
        <f>LOWER(SUBSTITUTE(SUBSTITUTE(SUBSTITUTE(SUBSTITUTE(SUBSTITUTE('Ingest Template'!U377,"https:",""),"www.",""),"/",""),"?hl=en",""),"instagram.com",""))</f>
        <v/>
      </c>
      <c r="W377" s="41" t="str">
        <f t="array" ref="W377">IF('Ingest Template'!V377="",(INDEX(DropDown!$L$2:$L$392,MATCH('Ingest Template'!E377,DropDown!$J$2:$J$392,0))&amp;"|"&amp;'Ingest Template'!B377),(INDEX(DropDown!$L$2:$L$392,MATCH('Ingest Template'!E377,DropDown!$J$2:$J$392,0))&amp;"|"&amp;'Ingest Template'!B377)&amp;CHAR(10)&amp;'Ingest Template'!V377)</f>
        <v>#N/A</v>
      </c>
      <c r="X377" s="41" t="str">
        <f>'Ingest Template'!W377</f>
        <v/>
      </c>
      <c r="Y377" s="21" t="str">
        <f>SUBSTITUTE(SUBSTITUTE(SUBSTITUTE('Ingest Template'!X377,"http:",""),"https:",""),"/","")</f>
        <v/>
      </c>
      <c r="Z377" s="21" t="str">
        <f t="array" ref="Z377">IF('Ingest Template'!A377="Standard",(IF(ISBLANK('Ingest Template'!AA377),"", 'Ingest Template'!AA377&amp;"|DAR")),(IF(ISBLANK('Ingest Template'!AA377),"", 'Ingest Template'!AA377&amp;"|Film Ops")))</f>
        <v/>
      </c>
      <c r="AA377" s="21"/>
      <c r="AB377" s="21" t="str">
        <f>'Ingest Template'!M377</f>
        <v/>
      </c>
      <c r="AC377" s="21" t="str">
        <f>'Ingest Template'!Y377</f>
        <v/>
      </c>
      <c r="AD377" s="21" t="str">
        <f>'Ingest Template'!C377</f>
        <v/>
      </c>
      <c r="AE377" s="21" t="str">
        <f>'Ingest Template'!Z377</f>
        <v/>
      </c>
      <c r="AF377" s="29"/>
      <c r="AG377" s="21" t="str">
        <f t="array" ref="AG377">IF('Ingest Template'!A377="Standard",(CONCATENATE(IF(ISBLANK('Ingest Template'!O377),"", 'Ingest Template'!O377&amp;"|DAR"),CHAR(10), IF(ISBLANK('Ingest Template'!P377),"", 'Ingest Template'!P377&amp;"|DAR"),CHAR(10), IF(ISBLANK('Ingest Template'!Q377),"", 'Ingest Template'!Q377&amp;"|DAR"))),(CONCATENATE(IF(ISBLANK('Ingest Template'!O377),"", 'Ingest Template'!O377&amp;"|Operations - Core Title"),CHAR(10), IF(ISBLANK('Ingest Template'!P377),"", 'Ingest Template'!P377&amp;"|Operations - Core Title"),CHAR(10), IF(ISBLANK('Ingest Template'!Q377),"", 'Ingest Template'!Q377&amp;"|Operations - Core Title"))))</f>
        <v>#|Operations - Core Title
#|Operations - Core Title
</v>
      </c>
      <c r="AH377" s="21"/>
      <c r="AI377" s="21"/>
      <c r="AJ377" s="53" t="str">
        <f>if('Ingest Template'!A377="Standard",'Ingest Template'!N377&amp; "|DAR|DAR|2021-01-01",'Ingest Template'!N377&amp; "|Operations - Core Title|Operations - Core Title")</f>
        <v>#N/A</v>
      </c>
      <c r="AK377" s="53" t="str">
        <f>if('Ingest Template'!A377="Standard",'Ingest Template'!R377&amp; "|2021-01-01",'Ingest Template'!R377)</f>
        <v>#N/A</v>
      </c>
      <c r="AL377" s="21"/>
      <c r="AM377" s="21"/>
    </row>
    <row r="378">
      <c r="A378" s="21"/>
      <c r="B378" s="21" t="str">
        <f>'Ingest Template'!B378&amp;IF('Ingest Template'!A378 = "Standard", " - DAR","")</f>
        <v/>
      </c>
      <c r="C378" s="26" t="s">
        <v>109</v>
      </c>
      <c r="D378" s="29" t="str">
        <f t="array" ref="D378">CONCATENATE(INDEX(DropDown!$H$2:$H$10,MATCH(1,COUNTIF('Ingest Template'!F378,"*"&amp;DropDown!$H$2:$H$10&amp;"*"),0)),CHAR(10),'Ingest Template'!G378)</f>
        <v>#N/A</v>
      </c>
      <c r="E378" s="21" t="str">
        <f>CONCATENATE('Ingest Template'!H378,CHAR(10),'Ingest Template'!I378,CHAR(10),'Ingest Template'!J378)</f>
        <v>
</v>
      </c>
      <c r="F378" s="26" t="str">
        <f>'Ingest Template'!H378</f>
        <v/>
      </c>
      <c r="G378" s="21"/>
      <c r="H378" s="29"/>
      <c r="I378" s="21"/>
      <c r="J378" s="29" t="str">
        <f t="array" ref="J378">iF('Ingest Template'!A378="Standard","Pristine Brand",INDEX(DropDown!$M$2:$M$392,MATCH('Ingest Template'!E378,DropDown!$J$2:$J$392,0)))</f>
        <v>#N/A</v>
      </c>
      <c r="K378" s="21" t="str">
        <f>iF('Ingest Template'!A378="Standard",'Ingest Template'!K378&amp;CHAR(10)&amp;'Ingest Template'!L378,"Competitive View")</f>
        <v>Competitive View</v>
      </c>
      <c r="L378" s="29" t="s">
        <v>146</v>
      </c>
      <c r="M378" s="37" t="str">
        <f>'Ingest Template'!D378</f>
        <v/>
      </c>
      <c r="N378" s="21"/>
      <c r="O378" s="21"/>
      <c r="P378" s="21"/>
      <c r="Q378" s="21"/>
      <c r="R378" s="21" t="str">
        <f>'Ingest Template'!E378</f>
        <v/>
      </c>
      <c r="S378" s="29" t="s">
        <v>153</v>
      </c>
      <c r="T378" s="21" t="str">
        <f>'Ingest Template'!T378</f>
        <v/>
      </c>
      <c r="U378" s="21" t="str">
        <f>'Ingest Template'!S378</f>
        <v/>
      </c>
      <c r="V378" s="21" t="str">
        <f>LOWER(SUBSTITUTE(SUBSTITUTE(SUBSTITUTE(SUBSTITUTE(SUBSTITUTE('Ingest Template'!U378,"https:",""),"www.",""),"/",""),"?hl=en",""),"instagram.com",""))</f>
        <v/>
      </c>
      <c r="W378" s="41" t="str">
        <f t="array" ref="W378">IF('Ingest Template'!V378="",(INDEX(DropDown!$L$2:$L$392,MATCH('Ingest Template'!E378,DropDown!$J$2:$J$392,0))&amp;"|"&amp;'Ingest Template'!B378),(INDEX(DropDown!$L$2:$L$392,MATCH('Ingest Template'!E378,DropDown!$J$2:$J$392,0))&amp;"|"&amp;'Ingest Template'!B378)&amp;CHAR(10)&amp;'Ingest Template'!V378)</f>
        <v>#N/A</v>
      </c>
      <c r="X378" s="41" t="str">
        <f>'Ingest Template'!W378</f>
        <v/>
      </c>
      <c r="Y378" s="21" t="str">
        <f>SUBSTITUTE(SUBSTITUTE(SUBSTITUTE('Ingest Template'!X378,"http:",""),"https:",""),"/","")</f>
        <v/>
      </c>
      <c r="Z378" s="21" t="str">
        <f t="array" ref="Z378">IF('Ingest Template'!A378="Standard",(IF(ISBLANK('Ingest Template'!AA378),"", 'Ingest Template'!AA378&amp;"|DAR")),(IF(ISBLANK('Ingest Template'!AA378),"", 'Ingest Template'!AA378&amp;"|Film Ops")))</f>
        <v/>
      </c>
      <c r="AA378" s="21"/>
      <c r="AB378" s="21" t="str">
        <f>'Ingest Template'!M378</f>
        <v/>
      </c>
      <c r="AC378" s="21" t="str">
        <f>'Ingest Template'!Y378</f>
        <v/>
      </c>
      <c r="AD378" s="21" t="str">
        <f>'Ingest Template'!C378</f>
        <v/>
      </c>
      <c r="AE378" s="21" t="str">
        <f>'Ingest Template'!Z378</f>
        <v/>
      </c>
      <c r="AF378" s="29"/>
      <c r="AG378" s="21" t="str">
        <f t="array" ref="AG378">IF('Ingest Template'!A378="Standard",(CONCATENATE(IF(ISBLANK('Ingest Template'!O378),"", 'Ingest Template'!O378&amp;"|DAR"),CHAR(10), IF(ISBLANK('Ingest Template'!P378),"", 'Ingest Template'!P378&amp;"|DAR"),CHAR(10), IF(ISBLANK('Ingest Template'!Q378),"", 'Ingest Template'!Q378&amp;"|DAR"))),(CONCATENATE(IF(ISBLANK('Ingest Template'!O378),"", 'Ingest Template'!O378&amp;"|Operations - Core Title"),CHAR(10), IF(ISBLANK('Ingest Template'!P378),"", 'Ingest Template'!P378&amp;"|Operations - Core Title"),CHAR(10), IF(ISBLANK('Ingest Template'!Q378),"", 'Ingest Template'!Q378&amp;"|Operations - Core Title"))))</f>
        <v>#|Operations - Core Title
#|Operations - Core Title
</v>
      </c>
      <c r="AH378" s="21"/>
      <c r="AI378" s="21"/>
      <c r="AJ378" s="53" t="str">
        <f>if('Ingest Template'!A378="Standard",'Ingest Template'!N378&amp; "|DAR|DAR|2021-01-01",'Ingest Template'!N378&amp; "|Operations - Core Title|Operations - Core Title")</f>
        <v>#N/A</v>
      </c>
      <c r="AK378" s="53" t="str">
        <f>if('Ingest Template'!A378="Standard",'Ingest Template'!R378&amp; "|2021-01-01",'Ingest Template'!R378)</f>
        <v>#N/A</v>
      </c>
      <c r="AL378" s="21"/>
      <c r="AM378" s="21"/>
    </row>
    <row r="379">
      <c r="A379" s="21"/>
      <c r="B379" s="21" t="str">
        <f>'Ingest Template'!B379&amp;IF('Ingest Template'!A379 = "Standard", " - DAR","")</f>
        <v/>
      </c>
      <c r="C379" s="26" t="s">
        <v>109</v>
      </c>
      <c r="D379" s="29" t="str">
        <f t="array" ref="D379">CONCATENATE(INDEX(DropDown!$H$2:$H$10,MATCH(1,COUNTIF('Ingest Template'!F379,"*"&amp;DropDown!$H$2:$H$10&amp;"*"),0)),CHAR(10),'Ingest Template'!G379)</f>
        <v>#N/A</v>
      </c>
      <c r="E379" s="21" t="str">
        <f>CONCATENATE('Ingest Template'!H379,CHAR(10),'Ingest Template'!I379,CHAR(10),'Ingest Template'!J379)</f>
        <v>
</v>
      </c>
      <c r="F379" s="26" t="str">
        <f>'Ingest Template'!H379</f>
        <v/>
      </c>
      <c r="G379" s="21"/>
      <c r="H379" s="29"/>
      <c r="I379" s="21"/>
      <c r="J379" s="29" t="str">
        <f t="array" ref="J379">iF('Ingest Template'!A379="Standard","Pristine Brand",INDEX(DropDown!$M$2:$M$392,MATCH('Ingest Template'!E379,DropDown!$J$2:$J$392,0)))</f>
        <v>#N/A</v>
      </c>
      <c r="K379" s="21" t="str">
        <f>iF('Ingest Template'!A379="Standard",'Ingest Template'!K379&amp;CHAR(10)&amp;'Ingest Template'!L379,"Competitive View")</f>
        <v>Competitive View</v>
      </c>
      <c r="L379" s="29" t="s">
        <v>146</v>
      </c>
      <c r="M379" s="37" t="str">
        <f>'Ingest Template'!D379</f>
        <v/>
      </c>
      <c r="N379" s="21"/>
      <c r="O379" s="21"/>
      <c r="P379" s="21"/>
      <c r="Q379" s="21"/>
      <c r="R379" s="21" t="str">
        <f>'Ingest Template'!E379</f>
        <v/>
      </c>
      <c r="S379" s="29" t="s">
        <v>153</v>
      </c>
      <c r="T379" s="21" t="str">
        <f>'Ingest Template'!T379</f>
        <v/>
      </c>
      <c r="U379" s="21" t="str">
        <f>'Ingest Template'!S379</f>
        <v/>
      </c>
      <c r="V379" s="21" t="str">
        <f>LOWER(SUBSTITUTE(SUBSTITUTE(SUBSTITUTE(SUBSTITUTE(SUBSTITUTE('Ingest Template'!U379,"https:",""),"www.",""),"/",""),"?hl=en",""),"instagram.com",""))</f>
        <v/>
      </c>
      <c r="W379" s="41" t="str">
        <f t="array" ref="W379">IF('Ingest Template'!V379="",(INDEX(DropDown!$L$2:$L$392,MATCH('Ingest Template'!E379,DropDown!$J$2:$J$392,0))&amp;"|"&amp;'Ingest Template'!B379),(INDEX(DropDown!$L$2:$L$392,MATCH('Ingest Template'!E379,DropDown!$J$2:$J$392,0))&amp;"|"&amp;'Ingest Template'!B379)&amp;CHAR(10)&amp;'Ingest Template'!V379)</f>
        <v>#N/A</v>
      </c>
      <c r="X379" s="41" t="str">
        <f>'Ingest Template'!W379</f>
        <v/>
      </c>
      <c r="Y379" s="21" t="str">
        <f>SUBSTITUTE(SUBSTITUTE(SUBSTITUTE('Ingest Template'!X379,"http:",""),"https:",""),"/","")</f>
        <v/>
      </c>
      <c r="Z379" s="21" t="str">
        <f t="array" ref="Z379">IF('Ingest Template'!A379="Standard",(IF(ISBLANK('Ingest Template'!AA379),"", 'Ingest Template'!AA379&amp;"|DAR")),(IF(ISBLANK('Ingest Template'!AA379),"", 'Ingest Template'!AA379&amp;"|Film Ops")))</f>
        <v/>
      </c>
      <c r="AA379" s="21"/>
      <c r="AB379" s="21" t="str">
        <f>'Ingest Template'!M379</f>
        <v/>
      </c>
      <c r="AC379" s="21" t="str">
        <f>'Ingest Template'!Y379</f>
        <v/>
      </c>
      <c r="AD379" s="21" t="str">
        <f>'Ingest Template'!C379</f>
        <v/>
      </c>
      <c r="AE379" s="21" t="str">
        <f>'Ingest Template'!Z379</f>
        <v/>
      </c>
      <c r="AF379" s="29"/>
      <c r="AG379" s="21" t="str">
        <f t="array" ref="AG379">IF('Ingest Template'!A379="Standard",(CONCATENATE(IF(ISBLANK('Ingest Template'!O379),"", 'Ingest Template'!O379&amp;"|DAR"),CHAR(10), IF(ISBLANK('Ingest Template'!P379),"", 'Ingest Template'!P379&amp;"|DAR"),CHAR(10), IF(ISBLANK('Ingest Template'!Q379),"", 'Ingest Template'!Q379&amp;"|DAR"))),(CONCATENATE(IF(ISBLANK('Ingest Template'!O379),"", 'Ingest Template'!O379&amp;"|Operations - Core Title"),CHAR(10), IF(ISBLANK('Ingest Template'!P379),"", 'Ingest Template'!P379&amp;"|Operations - Core Title"),CHAR(10), IF(ISBLANK('Ingest Template'!Q379),"", 'Ingest Template'!Q379&amp;"|Operations - Core Title"))))</f>
        <v>#|Operations - Core Title
#|Operations - Core Title
</v>
      </c>
      <c r="AH379" s="21"/>
      <c r="AI379" s="21"/>
      <c r="AJ379" s="53" t="str">
        <f>if('Ingest Template'!A379="Standard",'Ingest Template'!N379&amp; "|DAR|DAR|2021-01-01",'Ingest Template'!N379&amp; "|Operations - Core Title|Operations - Core Title")</f>
        <v>#N/A</v>
      </c>
      <c r="AK379" s="53" t="str">
        <f>if('Ingest Template'!A379="Standard",'Ingest Template'!R379&amp; "|2021-01-01",'Ingest Template'!R379)</f>
        <v>#N/A</v>
      </c>
      <c r="AL379" s="21"/>
      <c r="AM379" s="21"/>
    </row>
    <row r="380">
      <c r="A380" s="21"/>
      <c r="B380" s="21" t="str">
        <f>'Ingest Template'!B380&amp;IF('Ingest Template'!A380 = "Standard", " - DAR","")</f>
        <v/>
      </c>
      <c r="C380" s="26" t="s">
        <v>109</v>
      </c>
      <c r="D380" s="29" t="str">
        <f t="array" ref="D380">CONCATENATE(INDEX(DropDown!$H$2:$H$10,MATCH(1,COUNTIF('Ingest Template'!F380,"*"&amp;DropDown!$H$2:$H$10&amp;"*"),0)),CHAR(10),'Ingest Template'!G380)</f>
        <v>#N/A</v>
      </c>
      <c r="E380" s="21" t="str">
        <f>CONCATENATE('Ingest Template'!H380,CHAR(10),'Ingest Template'!I380,CHAR(10),'Ingest Template'!J380)</f>
        <v>
</v>
      </c>
      <c r="F380" s="26" t="str">
        <f>'Ingest Template'!H380</f>
        <v/>
      </c>
      <c r="G380" s="21"/>
      <c r="H380" s="29"/>
      <c r="I380" s="21"/>
      <c r="J380" s="29" t="str">
        <f t="array" ref="J380">iF('Ingest Template'!A380="Standard","Pristine Brand",INDEX(DropDown!$M$2:$M$392,MATCH('Ingest Template'!E380,DropDown!$J$2:$J$392,0)))</f>
        <v>#N/A</v>
      </c>
      <c r="K380" s="21" t="str">
        <f>iF('Ingest Template'!A380="Standard",'Ingest Template'!K380&amp;CHAR(10)&amp;'Ingest Template'!L380,"Competitive View")</f>
        <v>Competitive View</v>
      </c>
      <c r="L380" s="29" t="s">
        <v>146</v>
      </c>
      <c r="M380" s="37" t="str">
        <f>'Ingest Template'!D380</f>
        <v/>
      </c>
      <c r="N380" s="21"/>
      <c r="O380" s="21"/>
      <c r="P380" s="21"/>
      <c r="Q380" s="21"/>
      <c r="R380" s="21" t="str">
        <f>'Ingest Template'!E380</f>
        <v/>
      </c>
      <c r="S380" s="29" t="s">
        <v>153</v>
      </c>
      <c r="T380" s="21" t="str">
        <f>'Ingest Template'!T380</f>
        <v/>
      </c>
      <c r="U380" s="21" t="str">
        <f>'Ingest Template'!S380</f>
        <v/>
      </c>
      <c r="V380" s="21" t="str">
        <f>LOWER(SUBSTITUTE(SUBSTITUTE(SUBSTITUTE(SUBSTITUTE(SUBSTITUTE('Ingest Template'!U380,"https:",""),"www.",""),"/",""),"?hl=en",""),"instagram.com",""))</f>
        <v/>
      </c>
      <c r="W380" s="41" t="str">
        <f t="array" ref="W380">IF('Ingest Template'!V380="",(INDEX(DropDown!$L$2:$L$392,MATCH('Ingest Template'!E380,DropDown!$J$2:$J$392,0))&amp;"|"&amp;'Ingest Template'!B380),(INDEX(DropDown!$L$2:$L$392,MATCH('Ingest Template'!E380,DropDown!$J$2:$J$392,0))&amp;"|"&amp;'Ingest Template'!B380)&amp;CHAR(10)&amp;'Ingest Template'!V380)</f>
        <v>#N/A</v>
      </c>
      <c r="X380" s="41" t="str">
        <f>'Ingest Template'!W380</f>
        <v/>
      </c>
      <c r="Y380" s="21" t="str">
        <f>SUBSTITUTE(SUBSTITUTE(SUBSTITUTE('Ingest Template'!X380,"http:",""),"https:",""),"/","")</f>
        <v/>
      </c>
      <c r="Z380" s="21" t="str">
        <f t="array" ref="Z380">IF('Ingest Template'!A380="Standard",(IF(ISBLANK('Ingest Template'!AA380),"", 'Ingest Template'!AA380&amp;"|DAR")),(IF(ISBLANK('Ingest Template'!AA380),"", 'Ingest Template'!AA380&amp;"|Film Ops")))</f>
        <v/>
      </c>
      <c r="AA380" s="21"/>
      <c r="AB380" s="21" t="str">
        <f>'Ingest Template'!M380</f>
        <v/>
      </c>
      <c r="AC380" s="21" t="str">
        <f>'Ingest Template'!Y380</f>
        <v/>
      </c>
      <c r="AD380" s="21" t="str">
        <f>'Ingest Template'!C380</f>
        <v/>
      </c>
      <c r="AE380" s="21" t="str">
        <f>'Ingest Template'!Z380</f>
        <v/>
      </c>
      <c r="AF380" s="29"/>
      <c r="AG380" s="21" t="str">
        <f t="array" ref="AG380">IF('Ingest Template'!A380="Standard",(CONCATENATE(IF(ISBLANK('Ingest Template'!O380),"", 'Ingest Template'!O380&amp;"|DAR"),CHAR(10), IF(ISBLANK('Ingest Template'!P380),"", 'Ingest Template'!P380&amp;"|DAR"),CHAR(10), IF(ISBLANK('Ingest Template'!Q380),"", 'Ingest Template'!Q380&amp;"|DAR"))),(CONCATENATE(IF(ISBLANK('Ingest Template'!O380),"", 'Ingest Template'!O380&amp;"|Operations - Core Title"),CHAR(10), IF(ISBLANK('Ingest Template'!P380),"", 'Ingest Template'!P380&amp;"|Operations - Core Title"),CHAR(10), IF(ISBLANK('Ingest Template'!Q380),"", 'Ingest Template'!Q380&amp;"|Operations - Core Title"))))</f>
        <v>#|Operations - Core Title
#|Operations - Core Title
</v>
      </c>
      <c r="AH380" s="21"/>
      <c r="AI380" s="21"/>
      <c r="AJ380" s="53" t="str">
        <f>if('Ingest Template'!A380="Standard",'Ingest Template'!N380&amp; "|DAR|DAR|2021-01-01",'Ingest Template'!N380&amp; "|Operations - Core Title|Operations - Core Title")</f>
        <v>#N/A</v>
      </c>
      <c r="AK380" s="53" t="str">
        <f>if('Ingest Template'!A380="Standard",'Ingest Template'!R380&amp; "|2021-01-01",'Ingest Template'!R380)</f>
        <v>#N/A</v>
      </c>
      <c r="AL380" s="21"/>
      <c r="AM380" s="21"/>
    </row>
    <row r="381">
      <c r="A381" s="21"/>
      <c r="B381" s="21" t="str">
        <f>'Ingest Template'!B381&amp;IF('Ingest Template'!A381 = "Standard", " - DAR","")</f>
        <v/>
      </c>
      <c r="C381" s="26" t="s">
        <v>109</v>
      </c>
      <c r="D381" s="29" t="str">
        <f t="array" ref="D381">CONCATENATE(INDEX(DropDown!$H$2:$H$10,MATCH(1,COUNTIF('Ingest Template'!F381,"*"&amp;DropDown!$H$2:$H$10&amp;"*"),0)),CHAR(10),'Ingest Template'!G381)</f>
        <v>#N/A</v>
      </c>
      <c r="E381" s="21" t="str">
        <f>CONCATENATE('Ingest Template'!H381,CHAR(10),'Ingest Template'!I381,CHAR(10),'Ingest Template'!J381)</f>
        <v>
</v>
      </c>
      <c r="F381" s="26" t="str">
        <f>'Ingest Template'!H381</f>
        <v/>
      </c>
      <c r="G381" s="21"/>
      <c r="H381" s="29"/>
      <c r="I381" s="21"/>
      <c r="J381" s="29" t="str">
        <f t="array" ref="J381">iF('Ingest Template'!A381="Standard","Pristine Brand",INDEX(DropDown!$M$2:$M$392,MATCH('Ingest Template'!E381,DropDown!$J$2:$J$392,0)))</f>
        <v>#N/A</v>
      </c>
      <c r="K381" s="21" t="str">
        <f>iF('Ingest Template'!A381="Standard",'Ingest Template'!K381&amp;CHAR(10)&amp;'Ingest Template'!L381,"Competitive View")</f>
        <v>Competitive View</v>
      </c>
      <c r="L381" s="29" t="s">
        <v>146</v>
      </c>
      <c r="M381" s="37" t="str">
        <f>'Ingest Template'!D381</f>
        <v/>
      </c>
      <c r="N381" s="21"/>
      <c r="O381" s="21"/>
      <c r="P381" s="21"/>
      <c r="Q381" s="21"/>
      <c r="R381" s="21" t="str">
        <f>'Ingest Template'!E381</f>
        <v/>
      </c>
      <c r="S381" s="29" t="s">
        <v>153</v>
      </c>
      <c r="T381" s="21" t="str">
        <f>'Ingest Template'!T381</f>
        <v/>
      </c>
      <c r="U381" s="21" t="str">
        <f>'Ingest Template'!S381</f>
        <v/>
      </c>
      <c r="V381" s="21" t="str">
        <f>LOWER(SUBSTITUTE(SUBSTITUTE(SUBSTITUTE(SUBSTITUTE(SUBSTITUTE('Ingest Template'!U381,"https:",""),"www.",""),"/",""),"?hl=en",""),"instagram.com",""))</f>
        <v/>
      </c>
      <c r="W381" s="41" t="str">
        <f t="array" ref="W381">IF('Ingest Template'!V381="",(INDEX(DropDown!$L$2:$L$392,MATCH('Ingest Template'!E381,DropDown!$J$2:$J$392,0))&amp;"|"&amp;'Ingest Template'!B381),(INDEX(DropDown!$L$2:$L$392,MATCH('Ingest Template'!E381,DropDown!$J$2:$J$392,0))&amp;"|"&amp;'Ingest Template'!B381)&amp;CHAR(10)&amp;'Ingest Template'!V381)</f>
        <v>#N/A</v>
      </c>
      <c r="X381" s="41" t="str">
        <f>'Ingest Template'!W381</f>
        <v/>
      </c>
      <c r="Y381" s="21" t="str">
        <f>SUBSTITUTE(SUBSTITUTE(SUBSTITUTE('Ingest Template'!X381,"http:",""),"https:",""),"/","")</f>
        <v/>
      </c>
      <c r="Z381" s="21" t="str">
        <f t="array" ref="Z381">IF('Ingest Template'!A381="Standard",(IF(ISBLANK('Ingest Template'!AA381),"", 'Ingest Template'!AA381&amp;"|DAR")),(IF(ISBLANK('Ingest Template'!AA381),"", 'Ingest Template'!AA381&amp;"|Film Ops")))</f>
        <v/>
      </c>
      <c r="AA381" s="21"/>
      <c r="AB381" s="21" t="str">
        <f>'Ingest Template'!M381</f>
        <v/>
      </c>
      <c r="AC381" s="21" t="str">
        <f>'Ingest Template'!Y381</f>
        <v/>
      </c>
      <c r="AD381" s="21" t="str">
        <f>'Ingest Template'!C381</f>
        <v/>
      </c>
      <c r="AE381" s="21" t="str">
        <f>'Ingest Template'!Z381</f>
        <v/>
      </c>
      <c r="AF381" s="29"/>
      <c r="AG381" s="21" t="str">
        <f t="array" ref="AG381">IF('Ingest Template'!A381="Standard",(CONCATENATE(IF(ISBLANK('Ingest Template'!O381),"", 'Ingest Template'!O381&amp;"|DAR"),CHAR(10), IF(ISBLANK('Ingest Template'!P381),"", 'Ingest Template'!P381&amp;"|DAR"),CHAR(10), IF(ISBLANK('Ingest Template'!Q381),"", 'Ingest Template'!Q381&amp;"|DAR"))),(CONCATENATE(IF(ISBLANK('Ingest Template'!O381),"", 'Ingest Template'!O381&amp;"|Operations - Core Title"),CHAR(10), IF(ISBLANK('Ingest Template'!P381),"", 'Ingest Template'!P381&amp;"|Operations - Core Title"),CHAR(10), IF(ISBLANK('Ingest Template'!Q381),"", 'Ingest Template'!Q381&amp;"|Operations - Core Title"))))</f>
        <v>#|Operations - Core Title
#|Operations - Core Title
</v>
      </c>
      <c r="AH381" s="21"/>
      <c r="AI381" s="21"/>
      <c r="AJ381" s="53" t="str">
        <f>if('Ingest Template'!A381="Standard",'Ingest Template'!N381&amp; "|DAR|DAR|2021-01-01",'Ingest Template'!N381&amp; "|Operations - Core Title|Operations - Core Title")</f>
        <v>#N/A</v>
      </c>
      <c r="AK381" s="53" t="str">
        <f>if('Ingest Template'!A381="Standard",'Ingest Template'!R381&amp; "|2021-01-01",'Ingest Template'!R381)</f>
        <v>#N/A</v>
      </c>
      <c r="AL381" s="21"/>
      <c r="AM381" s="21"/>
    </row>
    <row r="382">
      <c r="A382" s="21"/>
      <c r="B382" s="21" t="str">
        <f>'Ingest Template'!B382&amp;IF('Ingest Template'!A382 = "Standard", " - DAR","")</f>
        <v/>
      </c>
      <c r="C382" s="26" t="s">
        <v>109</v>
      </c>
      <c r="D382" s="29" t="str">
        <f t="array" ref="D382">CONCATENATE(INDEX(DropDown!$H$2:$H$10,MATCH(1,COUNTIF('Ingest Template'!F382,"*"&amp;DropDown!$H$2:$H$10&amp;"*"),0)),CHAR(10),'Ingest Template'!G382)</f>
        <v>#N/A</v>
      </c>
      <c r="E382" s="21" t="str">
        <f>CONCATENATE('Ingest Template'!H382,CHAR(10),'Ingest Template'!I382,CHAR(10),'Ingest Template'!J382)</f>
        <v>
</v>
      </c>
      <c r="F382" s="26" t="str">
        <f>'Ingest Template'!H382</f>
        <v/>
      </c>
      <c r="G382" s="21"/>
      <c r="H382" s="29"/>
      <c r="I382" s="21"/>
      <c r="J382" s="29" t="str">
        <f t="array" ref="J382">iF('Ingest Template'!A382="Standard","Pristine Brand",INDEX(DropDown!$M$2:$M$392,MATCH('Ingest Template'!E382,DropDown!$J$2:$J$392,0)))</f>
        <v>#N/A</v>
      </c>
      <c r="K382" s="21" t="str">
        <f>iF('Ingest Template'!A382="Standard",'Ingest Template'!K382&amp;CHAR(10)&amp;'Ingest Template'!L382,"Competitive View")</f>
        <v>Competitive View</v>
      </c>
      <c r="L382" s="29" t="s">
        <v>146</v>
      </c>
      <c r="M382" s="37" t="str">
        <f>'Ingest Template'!D382</f>
        <v/>
      </c>
      <c r="N382" s="21"/>
      <c r="O382" s="21"/>
      <c r="P382" s="21"/>
      <c r="Q382" s="21"/>
      <c r="R382" s="21" t="str">
        <f>'Ingest Template'!E382</f>
        <v/>
      </c>
      <c r="S382" s="29" t="s">
        <v>153</v>
      </c>
      <c r="T382" s="21" t="str">
        <f>'Ingest Template'!T382</f>
        <v/>
      </c>
      <c r="U382" s="21" t="str">
        <f>'Ingest Template'!S382</f>
        <v/>
      </c>
      <c r="V382" s="21" t="str">
        <f>LOWER(SUBSTITUTE(SUBSTITUTE(SUBSTITUTE(SUBSTITUTE(SUBSTITUTE('Ingest Template'!U382,"https:",""),"www.",""),"/",""),"?hl=en",""),"instagram.com",""))</f>
        <v/>
      </c>
      <c r="W382" s="41" t="str">
        <f t="array" ref="W382">IF('Ingest Template'!V382="",(INDEX(DropDown!$L$2:$L$392,MATCH('Ingest Template'!E382,DropDown!$J$2:$J$392,0))&amp;"|"&amp;'Ingest Template'!B382),(INDEX(DropDown!$L$2:$L$392,MATCH('Ingest Template'!E382,DropDown!$J$2:$J$392,0))&amp;"|"&amp;'Ingest Template'!B382)&amp;CHAR(10)&amp;'Ingest Template'!V382)</f>
        <v>#N/A</v>
      </c>
      <c r="X382" s="41" t="str">
        <f>'Ingest Template'!W382</f>
        <v/>
      </c>
      <c r="Y382" s="21" t="str">
        <f>SUBSTITUTE(SUBSTITUTE(SUBSTITUTE('Ingest Template'!X382,"http:",""),"https:",""),"/","")</f>
        <v/>
      </c>
      <c r="Z382" s="21" t="str">
        <f t="array" ref="Z382">IF('Ingest Template'!A382="Standard",(IF(ISBLANK('Ingest Template'!AA382),"", 'Ingest Template'!AA382&amp;"|DAR")),(IF(ISBLANK('Ingest Template'!AA382),"", 'Ingest Template'!AA382&amp;"|Film Ops")))</f>
        <v/>
      </c>
      <c r="AA382" s="21"/>
      <c r="AB382" s="21" t="str">
        <f>'Ingest Template'!M382</f>
        <v/>
      </c>
      <c r="AC382" s="21" t="str">
        <f>'Ingest Template'!Y382</f>
        <v/>
      </c>
      <c r="AD382" s="21" t="str">
        <f>'Ingest Template'!C382</f>
        <v/>
      </c>
      <c r="AE382" s="21" t="str">
        <f>'Ingest Template'!Z382</f>
        <v/>
      </c>
      <c r="AF382" s="29"/>
      <c r="AG382" s="21" t="str">
        <f t="array" ref="AG382">IF('Ingest Template'!A382="Standard",(CONCATENATE(IF(ISBLANK('Ingest Template'!O382),"", 'Ingest Template'!O382&amp;"|DAR"),CHAR(10), IF(ISBLANK('Ingest Template'!P382),"", 'Ingest Template'!P382&amp;"|DAR"),CHAR(10), IF(ISBLANK('Ingest Template'!Q382),"", 'Ingest Template'!Q382&amp;"|DAR"))),(CONCATENATE(IF(ISBLANK('Ingest Template'!O382),"", 'Ingest Template'!O382&amp;"|Operations - Core Title"),CHAR(10), IF(ISBLANK('Ingest Template'!P382),"", 'Ingest Template'!P382&amp;"|Operations - Core Title"),CHAR(10), IF(ISBLANK('Ingest Template'!Q382),"", 'Ingest Template'!Q382&amp;"|Operations - Core Title"))))</f>
        <v>#|Operations - Core Title
#|Operations - Core Title
</v>
      </c>
      <c r="AH382" s="21"/>
      <c r="AI382" s="21"/>
      <c r="AJ382" s="53" t="str">
        <f>if('Ingest Template'!A382="Standard",'Ingest Template'!N382&amp; "|DAR|DAR|2021-01-01",'Ingest Template'!N382&amp; "|Operations - Core Title|Operations - Core Title")</f>
        <v>#N/A</v>
      </c>
      <c r="AK382" s="53" t="str">
        <f>if('Ingest Template'!A382="Standard",'Ingest Template'!R382&amp; "|2021-01-01",'Ingest Template'!R382)</f>
        <v>#N/A</v>
      </c>
      <c r="AL382" s="21"/>
      <c r="AM382" s="21"/>
    </row>
    <row r="383">
      <c r="A383" s="21"/>
      <c r="B383" s="21" t="str">
        <f>'Ingest Template'!B383&amp;IF('Ingest Template'!A383 = "Standard", " - DAR","")</f>
        <v/>
      </c>
      <c r="C383" s="26" t="s">
        <v>109</v>
      </c>
      <c r="D383" s="29" t="str">
        <f t="array" ref="D383">CONCATENATE(INDEX(DropDown!$H$2:$H$10,MATCH(1,COUNTIF('Ingest Template'!F383,"*"&amp;DropDown!$H$2:$H$10&amp;"*"),0)),CHAR(10),'Ingest Template'!G383)</f>
        <v>#N/A</v>
      </c>
      <c r="E383" s="21" t="str">
        <f>CONCATENATE('Ingest Template'!H383,CHAR(10),'Ingest Template'!I383,CHAR(10),'Ingest Template'!J383)</f>
        <v>
</v>
      </c>
      <c r="F383" s="26" t="str">
        <f>'Ingest Template'!H383</f>
        <v/>
      </c>
      <c r="G383" s="21"/>
      <c r="H383" s="29"/>
      <c r="I383" s="21"/>
      <c r="J383" s="29" t="str">
        <f t="array" ref="J383">iF('Ingest Template'!A383="Standard","Pristine Brand",INDEX(DropDown!$M$2:$M$392,MATCH('Ingest Template'!E383,DropDown!$J$2:$J$392,0)))</f>
        <v>#N/A</v>
      </c>
      <c r="K383" s="21" t="str">
        <f>iF('Ingest Template'!A383="Standard",'Ingest Template'!K383&amp;CHAR(10)&amp;'Ingest Template'!L383,"Competitive View")</f>
        <v>Competitive View</v>
      </c>
      <c r="L383" s="29" t="s">
        <v>146</v>
      </c>
      <c r="M383" s="37" t="str">
        <f>'Ingest Template'!D383</f>
        <v/>
      </c>
      <c r="N383" s="21"/>
      <c r="O383" s="21"/>
      <c r="P383" s="21"/>
      <c r="Q383" s="21"/>
      <c r="R383" s="21" t="str">
        <f>'Ingest Template'!E383</f>
        <v/>
      </c>
      <c r="S383" s="29" t="s">
        <v>153</v>
      </c>
      <c r="T383" s="21" t="str">
        <f>'Ingest Template'!T383</f>
        <v/>
      </c>
      <c r="U383" s="21" t="str">
        <f>'Ingest Template'!S383</f>
        <v/>
      </c>
      <c r="V383" s="21" t="str">
        <f>LOWER(SUBSTITUTE(SUBSTITUTE(SUBSTITUTE(SUBSTITUTE(SUBSTITUTE('Ingest Template'!U383,"https:",""),"www.",""),"/",""),"?hl=en",""),"instagram.com",""))</f>
        <v/>
      </c>
      <c r="W383" s="41" t="str">
        <f t="array" ref="W383">IF('Ingest Template'!V383="",(INDEX(DropDown!$L$2:$L$392,MATCH('Ingest Template'!E383,DropDown!$J$2:$J$392,0))&amp;"|"&amp;'Ingest Template'!B383),(INDEX(DropDown!$L$2:$L$392,MATCH('Ingest Template'!E383,DropDown!$J$2:$J$392,0))&amp;"|"&amp;'Ingest Template'!B383)&amp;CHAR(10)&amp;'Ingest Template'!V383)</f>
        <v>#N/A</v>
      </c>
      <c r="X383" s="41" t="str">
        <f>'Ingest Template'!W383</f>
        <v/>
      </c>
      <c r="Y383" s="21" t="str">
        <f>SUBSTITUTE(SUBSTITUTE(SUBSTITUTE('Ingest Template'!X383,"http:",""),"https:",""),"/","")</f>
        <v/>
      </c>
      <c r="Z383" s="21" t="str">
        <f t="array" ref="Z383">IF('Ingest Template'!A383="Standard",(IF(ISBLANK('Ingest Template'!AA383),"", 'Ingest Template'!AA383&amp;"|DAR")),(IF(ISBLANK('Ingest Template'!AA383),"", 'Ingest Template'!AA383&amp;"|Film Ops")))</f>
        <v/>
      </c>
      <c r="AA383" s="21"/>
      <c r="AB383" s="21" t="str">
        <f>'Ingest Template'!M383</f>
        <v/>
      </c>
      <c r="AC383" s="21" t="str">
        <f>'Ingest Template'!Y383</f>
        <v/>
      </c>
      <c r="AD383" s="21" t="str">
        <f>'Ingest Template'!C383</f>
        <v/>
      </c>
      <c r="AE383" s="21" t="str">
        <f>'Ingest Template'!Z383</f>
        <v/>
      </c>
      <c r="AF383" s="29"/>
      <c r="AG383" s="21" t="str">
        <f t="array" ref="AG383">IF('Ingest Template'!A383="Standard",(CONCATENATE(IF(ISBLANK('Ingest Template'!O383),"", 'Ingest Template'!O383&amp;"|DAR"),CHAR(10), IF(ISBLANK('Ingest Template'!P383),"", 'Ingest Template'!P383&amp;"|DAR"),CHAR(10), IF(ISBLANK('Ingest Template'!Q383),"", 'Ingest Template'!Q383&amp;"|DAR"))),(CONCATENATE(IF(ISBLANK('Ingest Template'!O383),"", 'Ingest Template'!O383&amp;"|Operations - Core Title"),CHAR(10), IF(ISBLANK('Ingest Template'!P383),"", 'Ingest Template'!P383&amp;"|Operations - Core Title"),CHAR(10), IF(ISBLANK('Ingest Template'!Q383),"", 'Ingest Template'!Q383&amp;"|Operations - Core Title"))))</f>
        <v>#|Operations - Core Title
#|Operations - Core Title
</v>
      </c>
      <c r="AH383" s="21"/>
      <c r="AI383" s="21"/>
      <c r="AJ383" s="53" t="str">
        <f>if('Ingest Template'!A383="Standard",'Ingest Template'!N383&amp; "|DAR|DAR|2021-01-01",'Ingest Template'!N383&amp; "|Operations - Core Title|Operations - Core Title")</f>
        <v>#N/A</v>
      </c>
      <c r="AK383" s="53" t="str">
        <f>if('Ingest Template'!A383="Standard",'Ingest Template'!R383&amp; "|2021-01-01",'Ingest Template'!R383)</f>
        <v>#N/A</v>
      </c>
      <c r="AL383" s="21"/>
      <c r="AM383" s="21"/>
    </row>
    <row r="384">
      <c r="A384" s="21"/>
      <c r="B384" s="21" t="str">
        <f>'Ingest Template'!B384&amp;IF('Ingest Template'!A384 = "Standard", " - DAR","")</f>
        <v/>
      </c>
      <c r="C384" s="26" t="s">
        <v>109</v>
      </c>
      <c r="D384" s="29" t="str">
        <f t="array" ref="D384">CONCATENATE(INDEX(DropDown!$H$2:$H$10,MATCH(1,COUNTIF('Ingest Template'!F384,"*"&amp;DropDown!$H$2:$H$10&amp;"*"),0)),CHAR(10),'Ingest Template'!G384)</f>
        <v>#N/A</v>
      </c>
      <c r="E384" s="21" t="str">
        <f>CONCATENATE('Ingest Template'!H384,CHAR(10),'Ingest Template'!I384,CHAR(10),'Ingest Template'!J384)</f>
        <v>
</v>
      </c>
      <c r="F384" s="26" t="str">
        <f>'Ingest Template'!H384</f>
        <v/>
      </c>
      <c r="G384" s="21"/>
      <c r="H384" s="29"/>
      <c r="I384" s="21"/>
      <c r="J384" s="29" t="str">
        <f t="array" ref="J384">iF('Ingest Template'!A384="Standard","Pristine Brand",INDEX(DropDown!$M$2:$M$392,MATCH('Ingest Template'!E384,DropDown!$J$2:$J$392,0)))</f>
        <v>#N/A</v>
      </c>
      <c r="K384" s="21" t="str">
        <f>iF('Ingest Template'!A384="Standard",'Ingest Template'!K384&amp;CHAR(10)&amp;'Ingest Template'!L384,"Competitive View")</f>
        <v>Competitive View</v>
      </c>
      <c r="L384" s="29" t="s">
        <v>146</v>
      </c>
      <c r="M384" s="37" t="str">
        <f>'Ingest Template'!D384</f>
        <v/>
      </c>
      <c r="N384" s="21"/>
      <c r="O384" s="21"/>
      <c r="P384" s="21"/>
      <c r="Q384" s="21"/>
      <c r="R384" s="21" t="str">
        <f>'Ingest Template'!E384</f>
        <v/>
      </c>
      <c r="S384" s="29" t="s">
        <v>153</v>
      </c>
      <c r="T384" s="21" t="str">
        <f>'Ingest Template'!T384</f>
        <v/>
      </c>
      <c r="U384" s="21" t="str">
        <f>'Ingest Template'!S384</f>
        <v/>
      </c>
      <c r="V384" s="21" t="str">
        <f>LOWER(SUBSTITUTE(SUBSTITUTE(SUBSTITUTE(SUBSTITUTE(SUBSTITUTE('Ingest Template'!U384,"https:",""),"www.",""),"/",""),"?hl=en",""),"instagram.com",""))</f>
        <v/>
      </c>
      <c r="W384" s="41" t="str">
        <f t="array" ref="W384">IF('Ingest Template'!V384="",(INDEX(DropDown!$L$2:$L$392,MATCH('Ingest Template'!E384,DropDown!$J$2:$J$392,0))&amp;"|"&amp;'Ingest Template'!B384),(INDEX(DropDown!$L$2:$L$392,MATCH('Ingest Template'!E384,DropDown!$J$2:$J$392,0))&amp;"|"&amp;'Ingest Template'!B384)&amp;CHAR(10)&amp;'Ingest Template'!V384)</f>
        <v>#N/A</v>
      </c>
      <c r="X384" s="41" t="str">
        <f>'Ingest Template'!W384</f>
        <v/>
      </c>
      <c r="Y384" s="21" t="str">
        <f>SUBSTITUTE(SUBSTITUTE(SUBSTITUTE('Ingest Template'!X384,"http:",""),"https:",""),"/","")</f>
        <v/>
      </c>
      <c r="Z384" s="21" t="str">
        <f t="array" ref="Z384">IF('Ingest Template'!A384="Standard",(IF(ISBLANK('Ingest Template'!AA384),"", 'Ingest Template'!AA384&amp;"|DAR")),(IF(ISBLANK('Ingest Template'!AA384),"", 'Ingest Template'!AA384&amp;"|Film Ops")))</f>
        <v/>
      </c>
      <c r="AA384" s="21"/>
      <c r="AB384" s="21" t="str">
        <f>'Ingest Template'!M384</f>
        <v/>
      </c>
      <c r="AC384" s="21" t="str">
        <f>'Ingest Template'!Y384</f>
        <v/>
      </c>
      <c r="AD384" s="21" t="str">
        <f>'Ingest Template'!C384</f>
        <v/>
      </c>
      <c r="AE384" s="21" t="str">
        <f>'Ingest Template'!Z384</f>
        <v/>
      </c>
      <c r="AF384" s="29"/>
      <c r="AG384" s="21" t="str">
        <f t="array" ref="AG384">IF('Ingest Template'!A384="Standard",(CONCATENATE(IF(ISBLANK('Ingest Template'!O384),"", 'Ingest Template'!O384&amp;"|DAR"),CHAR(10), IF(ISBLANK('Ingest Template'!P384),"", 'Ingest Template'!P384&amp;"|DAR"),CHAR(10), IF(ISBLANK('Ingest Template'!Q384),"", 'Ingest Template'!Q384&amp;"|DAR"))),(CONCATENATE(IF(ISBLANK('Ingest Template'!O384),"", 'Ingest Template'!O384&amp;"|Operations - Core Title"),CHAR(10), IF(ISBLANK('Ingest Template'!P384),"", 'Ingest Template'!P384&amp;"|Operations - Core Title"),CHAR(10), IF(ISBLANK('Ingest Template'!Q384),"", 'Ingest Template'!Q384&amp;"|Operations - Core Title"))))</f>
        <v>#|Operations - Core Title
#|Operations - Core Title
</v>
      </c>
      <c r="AH384" s="21"/>
      <c r="AI384" s="21"/>
      <c r="AJ384" s="53" t="str">
        <f>if('Ingest Template'!A384="Standard",'Ingest Template'!N384&amp; "|DAR|DAR|2021-01-01",'Ingest Template'!N384&amp; "|Operations - Core Title|Operations - Core Title")</f>
        <v>#N/A</v>
      </c>
      <c r="AK384" s="53" t="str">
        <f>if('Ingest Template'!A384="Standard",'Ingest Template'!R384&amp; "|2021-01-01",'Ingest Template'!R384)</f>
        <v>#N/A</v>
      </c>
      <c r="AL384" s="21"/>
      <c r="AM384" s="21"/>
    </row>
    <row r="385">
      <c r="A385" s="21"/>
      <c r="B385" s="21" t="str">
        <f>'Ingest Template'!B385&amp;IF('Ingest Template'!A385 = "Standard", " - DAR","")</f>
        <v/>
      </c>
      <c r="C385" s="26" t="s">
        <v>109</v>
      </c>
      <c r="D385" s="29" t="str">
        <f t="array" ref="D385">CONCATENATE(INDEX(DropDown!$H$2:$H$10,MATCH(1,COUNTIF('Ingest Template'!F385,"*"&amp;DropDown!$H$2:$H$10&amp;"*"),0)),CHAR(10),'Ingest Template'!G385)</f>
        <v>#N/A</v>
      </c>
      <c r="E385" s="21" t="str">
        <f>CONCATENATE('Ingest Template'!H385,CHAR(10),'Ingest Template'!I385,CHAR(10),'Ingest Template'!J385)</f>
        <v>
</v>
      </c>
      <c r="F385" s="26" t="str">
        <f>'Ingest Template'!H385</f>
        <v/>
      </c>
      <c r="G385" s="21"/>
      <c r="H385" s="29"/>
      <c r="I385" s="21"/>
      <c r="J385" s="29" t="str">
        <f t="array" ref="J385">iF('Ingest Template'!A385="Standard","Pristine Brand",INDEX(DropDown!$M$2:$M$392,MATCH('Ingest Template'!E385,DropDown!$J$2:$J$392,0)))</f>
        <v>#N/A</v>
      </c>
      <c r="K385" s="21" t="str">
        <f>iF('Ingest Template'!A385="Standard",'Ingest Template'!K385&amp;CHAR(10)&amp;'Ingest Template'!L385,"Competitive View")</f>
        <v>Competitive View</v>
      </c>
      <c r="L385" s="29" t="s">
        <v>146</v>
      </c>
      <c r="M385" s="37" t="str">
        <f>'Ingest Template'!D385</f>
        <v/>
      </c>
      <c r="N385" s="21"/>
      <c r="O385" s="21"/>
      <c r="P385" s="21"/>
      <c r="Q385" s="21"/>
      <c r="R385" s="21" t="str">
        <f>'Ingest Template'!E385</f>
        <v/>
      </c>
      <c r="S385" s="29" t="s">
        <v>153</v>
      </c>
      <c r="T385" s="21" t="str">
        <f>'Ingest Template'!T385</f>
        <v/>
      </c>
      <c r="U385" s="21" t="str">
        <f>'Ingest Template'!S385</f>
        <v/>
      </c>
      <c r="V385" s="21" t="str">
        <f>LOWER(SUBSTITUTE(SUBSTITUTE(SUBSTITUTE(SUBSTITUTE(SUBSTITUTE('Ingest Template'!U385,"https:",""),"www.",""),"/",""),"?hl=en",""),"instagram.com",""))</f>
        <v/>
      </c>
      <c r="W385" s="41" t="str">
        <f t="array" ref="W385">IF('Ingest Template'!V385="",(INDEX(DropDown!$L$2:$L$392,MATCH('Ingest Template'!E385,DropDown!$J$2:$J$392,0))&amp;"|"&amp;'Ingest Template'!B385),(INDEX(DropDown!$L$2:$L$392,MATCH('Ingest Template'!E385,DropDown!$J$2:$J$392,0))&amp;"|"&amp;'Ingest Template'!B385)&amp;CHAR(10)&amp;'Ingest Template'!V385)</f>
        <v>#N/A</v>
      </c>
      <c r="X385" s="41" t="str">
        <f>'Ingest Template'!W385</f>
        <v/>
      </c>
      <c r="Y385" s="21" t="str">
        <f>SUBSTITUTE(SUBSTITUTE(SUBSTITUTE('Ingest Template'!X385,"http:",""),"https:",""),"/","")</f>
        <v/>
      </c>
      <c r="Z385" s="21" t="str">
        <f t="array" ref="Z385">IF('Ingest Template'!A385="Standard",(IF(ISBLANK('Ingest Template'!AA385),"", 'Ingest Template'!AA385&amp;"|DAR")),(IF(ISBLANK('Ingest Template'!AA385),"", 'Ingest Template'!AA385&amp;"|Film Ops")))</f>
        <v/>
      </c>
      <c r="AA385" s="21"/>
      <c r="AB385" s="21" t="str">
        <f>'Ingest Template'!M385</f>
        <v/>
      </c>
      <c r="AC385" s="21" t="str">
        <f>'Ingest Template'!Y385</f>
        <v/>
      </c>
      <c r="AD385" s="21" t="str">
        <f>'Ingest Template'!C385</f>
        <v/>
      </c>
      <c r="AE385" s="21" t="str">
        <f>'Ingest Template'!Z385</f>
        <v/>
      </c>
      <c r="AF385" s="29"/>
      <c r="AG385" s="21" t="str">
        <f t="array" ref="AG385">IF('Ingest Template'!A385="Standard",(CONCATENATE(IF(ISBLANK('Ingest Template'!O385),"", 'Ingest Template'!O385&amp;"|DAR"),CHAR(10), IF(ISBLANK('Ingest Template'!P385),"", 'Ingest Template'!P385&amp;"|DAR"),CHAR(10), IF(ISBLANK('Ingest Template'!Q385),"", 'Ingest Template'!Q385&amp;"|DAR"))),(CONCATENATE(IF(ISBLANK('Ingest Template'!O385),"", 'Ingest Template'!O385&amp;"|Operations - Core Title"),CHAR(10), IF(ISBLANK('Ingest Template'!P385),"", 'Ingest Template'!P385&amp;"|Operations - Core Title"),CHAR(10), IF(ISBLANK('Ingest Template'!Q385),"", 'Ingest Template'!Q385&amp;"|Operations - Core Title"))))</f>
        <v>#|Operations - Core Title
#|Operations - Core Title
</v>
      </c>
      <c r="AH385" s="21"/>
      <c r="AI385" s="21"/>
      <c r="AJ385" s="53" t="str">
        <f>if('Ingest Template'!A385="Standard",'Ingest Template'!N385&amp; "|DAR|DAR|2021-01-01",'Ingest Template'!N385&amp; "|Operations - Core Title|Operations - Core Title")</f>
        <v>#N/A</v>
      </c>
      <c r="AK385" s="53" t="str">
        <f>if('Ingest Template'!A385="Standard",'Ingest Template'!R385&amp; "|2021-01-01",'Ingest Template'!R385)</f>
        <v>#N/A</v>
      </c>
      <c r="AL385" s="21"/>
      <c r="AM385" s="21"/>
    </row>
    <row r="386">
      <c r="A386" s="21"/>
      <c r="B386" s="21" t="str">
        <f>'Ingest Template'!B386&amp;IF('Ingest Template'!A386 = "Standard", " - DAR","")</f>
        <v/>
      </c>
      <c r="C386" s="26" t="s">
        <v>109</v>
      </c>
      <c r="D386" s="29" t="str">
        <f t="array" ref="D386">CONCATENATE(INDEX(DropDown!$H$2:$H$10,MATCH(1,COUNTIF('Ingest Template'!F386,"*"&amp;DropDown!$H$2:$H$10&amp;"*"),0)),CHAR(10),'Ingest Template'!G386)</f>
        <v>#N/A</v>
      </c>
      <c r="E386" s="21" t="str">
        <f>CONCATENATE('Ingest Template'!H386,CHAR(10),'Ingest Template'!I386,CHAR(10),'Ingest Template'!J386)</f>
        <v>
</v>
      </c>
      <c r="F386" s="26" t="str">
        <f>'Ingest Template'!H386</f>
        <v/>
      </c>
      <c r="G386" s="21"/>
      <c r="H386" s="29"/>
      <c r="I386" s="21"/>
      <c r="J386" s="29" t="str">
        <f t="array" ref="J386">iF('Ingest Template'!A386="Standard","Pristine Brand",INDEX(DropDown!$M$2:$M$392,MATCH('Ingest Template'!E386,DropDown!$J$2:$J$392,0)))</f>
        <v>#N/A</v>
      </c>
      <c r="K386" s="21" t="str">
        <f>iF('Ingest Template'!A386="Standard",'Ingest Template'!K386&amp;CHAR(10)&amp;'Ingest Template'!L386,"Competitive View")</f>
        <v>Competitive View</v>
      </c>
      <c r="L386" s="29" t="s">
        <v>146</v>
      </c>
      <c r="M386" s="37" t="str">
        <f>'Ingest Template'!D386</f>
        <v/>
      </c>
      <c r="N386" s="21"/>
      <c r="O386" s="21"/>
      <c r="P386" s="21"/>
      <c r="Q386" s="21"/>
      <c r="R386" s="21" t="str">
        <f>'Ingest Template'!E386</f>
        <v/>
      </c>
      <c r="S386" s="29" t="s">
        <v>153</v>
      </c>
      <c r="T386" s="21" t="str">
        <f>'Ingest Template'!T386</f>
        <v/>
      </c>
      <c r="U386" s="21" t="str">
        <f>'Ingest Template'!S386</f>
        <v/>
      </c>
      <c r="V386" s="21" t="str">
        <f>LOWER(SUBSTITUTE(SUBSTITUTE(SUBSTITUTE(SUBSTITUTE(SUBSTITUTE('Ingest Template'!U386,"https:",""),"www.",""),"/",""),"?hl=en",""),"instagram.com",""))</f>
        <v/>
      </c>
      <c r="W386" s="41" t="str">
        <f t="array" ref="W386">IF('Ingest Template'!V386="",(INDEX(DropDown!$L$2:$L$392,MATCH('Ingest Template'!E386,DropDown!$J$2:$J$392,0))&amp;"|"&amp;'Ingest Template'!B386),(INDEX(DropDown!$L$2:$L$392,MATCH('Ingest Template'!E386,DropDown!$J$2:$J$392,0))&amp;"|"&amp;'Ingest Template'!B386)&amp;CHAR(10)&amp;'Ingest Template'!V386)</f>
        <v>#N/A</v>
      </c>
      <c r="X386" s="41" t="str">
        <f>'Ingest Template'!W386</f>
        <v/>
      </c>
      <c r="Y386" s="21" t="str">
        <f>SUBSTITUTE(SUBSTITUTE(SUBSTITUTE('Ingest Template'!X386,"http:",""),"https:",""),"/","")</f>
        <v/>
      </c>
      <c r="Z386" s="21" t="str">
        <f t="array" ref="Z386">IF('Ingest Template'!A386="Standard",(IF(ISBLANK('Ingest Template'!AA386),"", 'Ingest Template'!AA386&amp;"|DAR")),(IF(ISBLANK('Ingest Template'!AA386),"", 'Ingest Template'!AA386&amp;"|Film Ops")))</f>
        <v/>
      </c>
      <c r="AA386" s="21"/>
      <c r="AB386" s="21" t="str">
        <f>'Ingest Template'!M386</f>
        <v/>
      </c>
      <c r="AC386" s="21" t="str">
        <f>'Ingest Template'!Y386</f>
        <v/>
      </c>
      <c r="AD386" s="21" t="str">
        <f>'Ingest Template'!C386</f>
        <v/>
      </c>
      <c r="AE386" s="21" t="str">
        <f>'Ingest Template'!Z386</f>
        <v/>
      </c>
      <c r="AF386" s="29"/>
      <c r="AG386" s="21" t="str">
        <f t="array" ref="AG386">IF('Ingest Template'!A386="Standard",(CONCATENATE(IF(ISBLANK('Ingest Template'!O386),"", 'Ingest Template'!O386&amp;"|DAR"),CHAR(10), IF(ISBLANK('Ingest Template'!P386),"", 'Ingest Template'!P386&amp;"|DAR"),CHAR(10), IF(ISBLANK('Ingest Template'!Q386),"", 'Ingest Template'!Q386&amp;"|DAR"))),(CONCATENATE(IF(ISBLANK('Ingest Template'!O386),"", 'Ingest Template'!O386&amp;"|Operations - Core Title"),CHAR(10), IF(ISBLANK('Ingest Template'!P386),"", 'Ingest Template'!P386&amp;"|Operations - Core Title"),CHAR(10), IF(ISBLANK('Ingest Template'!Q386),"", 'Ingest Template'!Q386&amp;"|Operations - Core Title"))))</f>
        <v>#|Operations - Core Title
#|Operations - Core Title
</v>
      </c>
      <c r="AH386" s="21"/>
      <c r="AI386" s="21"/>
      <c r="AJ386" s="53" t="str">
        <f>if('Ingest Template'!A386="Standard",'Ingest Template'!N386&amp; "|DAR|DAR|2021-01-01",'Ingest Template'!N386&amp; "|Operations - Core Title|Operations - Core Title")</f>
        <v>#N/A</v>
      </c>
      <c r="AK386" s="53" t="str">
        <f>if('Ingest Template'!A386="Standard",'Ingest Template'!R386&amp; "|2021-01-01",'Ingest Template'!R386)</f>
        <v>#N/A</v>
      </c>
      <c r="AL386" s="21"/>
      <c r="AM386" s="21"/>
    </row>
    <row r="387">
      <c r="A387" s="21"/>
      <c r="B387" s="21" t="str">
        <f>'Ingest Template'!B387&amp;IF('Ingest Template'!A387 = "Standard", " - DAR","")</f>
        <v/>
      </c>
      <c r="C387" s="26" t="s">
        <v>109</v>
      </c>
      <c r="D387" s="29" t="str">
        <f t="array" ref="D387">CONCATENATE(INDEX(DropDown!$H$2:$H$10,MATCH(1,COUNTIF('Ingest Template'!F387,"*"&amp;DropDown!$H$2:$H$10&amp;"*"),0)),CHAR(10),'Ingest Template'!G387)</f>
        <v>#N/A</v>
      </c>
      <c r="E387" s="21" t="str">
        <f>CONCATENATE('Ingest Template'!H387,CHAR(10),'Ingest Template'!I387,CHAR(10),'Ingest Template'!J387)</f>
        <v>
</v>
      </c>
      <c r="F387" s="26" t="str">
        <f>'Ingest Template'!H387</f>
        <v/>
      </c>
      <c r="G387" s="21"/>
      <c r="H387" s="29"/>
      <c r="I387" s="21"/>
      <c r="J387" s="29" t="str">
        <f t="array" ref="J387">iF('Ingest Template'!A387="Standard","Pristine Brand",INDEX(DropDown!$M$2:$M$392,MATCH('Ingest Template'!E387,DropDown!$J$2:$J$392,0)))</f>
        <v>#N/A</v>
      </c>
      <c r="K387" s="21" t="str">
        <f>iF('Ingest Template'!A387="Standard",'Ingest Template'!K387&amp;CHAR(10)&amp;'Ingest Template'!L387,"Competitive View")</f>
        <v>Competitive View</v>
      </c>
      <c r="L387" s="29" t="s">
        <v>146</v>
      </c>
      <c r="M387" s="37" t="str">
        <f>'Ingest Template'!D387</f>
        <v/>
      </c>
      <c r="N387" s="21"/>
      <c r="O387" s="21"/>
      <c r="P387" s="21"/>
      <c r="Q387" s="21"/>
      <c r="R387" s="21" t="str">
        <f>'Ingest Template'!E387</f>
        <v/>
      </c>
      <c r="S387" s="29" t="s">
        <v>153</v>
      </c>
      <c r="T387" s="21" t="str">
        <f>'Ingest Template'!T387</f>
        <v/>
      </c>
      <c r="U387" s="21" t="str">
        <f>'Ingest Template'!S387</f>
        <v/>
      </c>
      <c r="V387" s="21" t="str">
        <f>LOWER(SUBSTITUTE(SUBSTITUTE(SUBSTITUTE(SUBSTITUTE(SUBSTITUTE('Ingest Template'!U387,"https:",""),"www.",""),"/",""),"?hl=en",""),"instagram.com",""))</f>
        <v/>
      </c>
      <c r="W387" s="41" t="str">
        <f t="array" ref="W387">IF('Ingest Template'!V387="",(INDEX(DropDown!$L$2:$L$392,MATCH('Ingest Template'!E387,DropDown!$J$2:$J$392,0))&amp;"|"&amp;'Ingest Template'!B387),(INDEX(DropDown!$L$2:$L$392,MATCH('Ingest Template'!E387,DropDown!$J$2:$J$392,0))&amp;"|"&amp;'Ingest Template'!B387)&amp;CHAR(10)&amp;'Ingest Template'!V387)</f>
        <v>#N/A</v>
      </c>
      <c r="X387" s="41" t="str">
        <f>'Ingest Template'!W387</f>
        <v/>
      </c>
      <c r="Y387" s="21" t="str">
        <f>SUBSTITUTE(SUBSTITUTE(SUBSTITUTE('Ingest Template'!X387,"http:",""),"https:",""),"/","")</f>
        <v/>
      </c>
      <c r="Z387" s="21" t="str">
        <f t="array" ref="Z387">IF('Ingest Template'!A387="Standard",(IF(ISBLANK('Ingest Template'!AA387),"", 'Ingest Template'!AA387&amp;"|DAR")),(IF(ISBLANK('Ingest Template'!AA387),"", 'Ingest Template'!AA387&amp;"|Film Ops")))</f>
        <v/>
      </c>
      <c r="AA387" s="21"/>
      <c r="AB387" s="21" t="str">
        <f>'Ingest Template'!M387</f>
        <v/>
      </c>
      <c r="AC387" s="21" t="str">
        <f>'Ingest Template'!Y387</f>
        <v/>
      </c>
      <c r="AD387" s="21" t="str">
        <f>'Ingest Template'!C387</f>
        <v/>
      </c>
      <c r="AE387" s="21" t="str">
        <f>'Ingest Template'!Z387</f>
        <v/>
      </c>
      <c r="AF387" s="29"/>
      <c r="AG387" s="21" t="str">
        <f t="array" ref="AG387">IF('Ingest Template'!A387="Standard",(CONCATENATE(IF(ISBLANK('Ingest Template'!O387),"", 'Ingest Template'!O387&amp;"|DAR"),CHAR(10), IF(ISBLANK('Ingest Template'!P387),"", 'Ingest Template'!P387&amp;"|DAR"),CHAR(10), IF(ISBLANK('Ingest Template'!Q387),"", 'Ingest Template'!Q387&amp;"|DAR"))),(CONCATENATE(IF(ISBLANK('Ingest Template'!O387),"", 'Ingest Template'!O387&amp;"|Operations - Core Title"),CHAR(10), IF(ISBLANK('Ingest Template'!P387),"", 'Ingest Template'!P387&amp;"|Operations - Core Title"),CHAR(10), IF(ISBLANK('Ingest Template'!Q387),"", 'Ingest Template'!Q387&amp;"|Operations - Core Title"))))</f>
        <v>#|Operations - Core Title
#|Operations - Core Title
</v>
      </c>
      <c r="AH387" s="21"/>
      <c r="AI387" s="21"/>
      <c r="AJ387" s="53" t="str">
        <f>if('Ingest Template'!A387="Standard",'Ingest Template'!N387&amp; "|DAR|DAR|2021-01-01",'Ingest Template'!N387&amp; "|Operations - Core Title|Operations - Core Title")</f>
        <v>#N/A</v>
      </c>
      <c r="AK387" s="53" t="str">
        <f>if('Ingest Template'!A387="Standard",'Ingest Template'!R387&amp; "|2021-01-01",'Ingest Template'!R387)</f>
        <v>#N/A</v>
      </c>
      <c r="AL387" s="21"/>
      <c r="AM387" s="21"/>
    </row>
    <row r="388">
      <c r="A388" s="21"/>
      <c r="B388" s="21" t="str">
        <f>'Ingest Template'!B388&amp;IF('Ingest Template'!A388 = "Standard", " - DAR","")</f>
        <v/>
      </c>
      <c r="C388" s="26" t="s">
        <v>109</v>
      </c>
      <c r="D388" s="29" t="str">
        <f t="array" ref="D388">CONCATENATE(INDEX(DropDown!$H$2:$H$10,MATCH(1,COUNTIF('Ingest Template'!F388,"*"&amp;DropDown!$H$2:$H$10&amp;"*"),0)),CHAR(10),'Ingest Template'!G388)</f>
        <v>#N/A</v>
      </c>
      <c r="E388" s="21" t="str">
        <f>CONCATENATE('Ingest Template'!H388,CHAR(10),'Ingest Template'!I388,CHAR(10),'Ingest Template'!J388)</f>
        <v>
</v>
      </c>
      <c r="F388" s="26" t="str">
        <f>'Ingest Template'!H388</f>
        <v/>
      </c>
      <c r="G388" s="21"/>
      <c r="H388" s="29"/>
      <c r="I388" s="21"/>
      <c r="J388" s="29" t="str">
        <f t="array" ref="J388">iF('Ingest Template'!A388="Standard","Pristine Brand",INDEX(DropDown!$M$2:$M$392,MATCH('Ingest Template'!E388,DropDown!$J$2:$J$392,0)))</f>
        <v>#N/A</v>
      </c>
      <c r="K388" s="21" t="str">
        <f>iF('Ingest Template'!A388="Standard",'Ingest Template'!K388&amp;CHAR(10)&amp;'Ingest Template'!L388,"Competitive View")</f>
        <v>Competitive View</v>
      </c>
      <c r="L388" s="29" t="s">
        <v>146</v>
      </c>
      <c r="M388" s="37" t="str">
        <f>'Ingest Template'!D388</f>
        <v/>
      </c>
      <c r="N388" s="21"/>
      <c r="O388" s="21"/>
      <c r="P388" s="21"/>
      <c r="Q388" s="21"/>
      <c r="R388" s="21" t="str">
        <f>'Ingest Template'!E388</f>
        <v/>
      </c>
      <c r="S388" s="29" t="s">
        <v>153</v>
      </c>
      <c r="T388" s="21" t="str">
        <f>'Ingest Template'!T388</f>
        <v/>
      </c>
      <c r="U388" s="21" t="str">
        <f>'Ingest Template'!S388</f>
        <v/>
      </c>
      <c r="V388" s="21" t="str">
        <f>LOWER(SUBSTITUTE(SUBSTITUTE(SUBSTITUTE(SUBSTITUTE(SUBSTITUTE('Ingest Template'!U388,"https:",""),"www.",""),"/",""),"?hl=en",""),"instagram.com",""))</f>
        <v/>
      </c>
      <c r="W388" s="41" t="str">
        <f t="array" ref="W388">IF('Ingest Template'!V388="",(INDEX(DropDown!$L$2:$L$392,MATCH('Ingest Template'!E388,DropDown!$J$2:$J$392,0))&amp;"|"&amp;'Ingest Template'!B388),(INDEX(DropDown!$L$2:$L$392,MATCH('Ingest Template'!E388,DropDown!$J$2:$J$392,0))&amp;"|"&amp;'Ingest Template'!B388)&amp;CHAR(10)&amp;'Ingest Template'!V388)</f>
        <v>#N/A</v>
      </c>
      <c r="X388" s="41" t="str">
        <f>'Ingest Template'!W388</f>
        <v/>
      </c>
      <c r="Y388" s="21" t="str">
        <f>SUBSTITUTE(SUBSTITUTE(SUBSTITUTE('Ingest Template'!X388,"http:",""),"https:",""),"/","")</f>
        <v/>
      </c>
      <c r="Z388" s="21" t="str">
        <f t="array" ref="Z388">IF('Ingest Template'!A388="Standard",(IF(ISBLANK('Ingest Template'!AA388),"", 'Ingest Template'!AA388&amp;"|DAR")),(IF(ISBLANK('Ingest Template'!AA388),"", 'Ingest Template'!AA388&amp;"|Film Ops")))</f>
        <v/>
      </c>
      <c r="AA388" s="21"/>
      <c r="AB388" s="21" t="str">
        <f>'Ingest Template'!M388</f>
        <v/>
      </c>
      <c r="AC388" s="21" t="str">
        <f>'Ingest Template'!Y388</f>
        <v/>
      </c>
      <c r="AD388" s="21" t="str">
        <f>'Ingest Template'!C388</f>
        <v/>
      </c>
      <c r="AE388" s="21" t="str">
        <f>'Ingest Template'!Z388</f>
        <v/>
      </c>
      <c r="AF388" s="29"/>
      <c r="AG388" s="21" t="str">
        <f t="array" ref="AG388">IF('Ingest Template'!A388="Standard",(CONCATENATE(IF(ISBLANK('Ingest Template'!O388),"", 'Ingest Template'!O388&amp;"|DAR"),CHAR(10), IF(ISBLANK('Ingest Template'!P388),"", 'Ingest Template'!P388&amp;"|DAR"),CHAR(10), IF(ISBLANK('Ingest Template'!Q388),"", 'Ingest Template'!Q388&amp;"|DAR"))),(CONCATENATE(IF(ISBLANK('Ingest Template'!O388),"", 'Ingest Template'!O388&amp;"|Operations - Core Title"),CHAR(10), IF(ISBLANK('Ingest Template'!P388),"", 'Ingest Template'!P388&amp;"|Operations - Core Title"),CHAR(10), IF(ISBLANK('Ingest Template'!Q388),"", 'Ingest Template'!Q388&amp;"|Operations - Core Title"))))</f>
        <v>#|Operations - Core Title
#|Operations - Core Title
</v>
      </c>
      <c r="AH388" s="21"/>
      <c r="AI388" s="21"/>
      <c r="AJ388" s="53" t="str">
        <f>if('Ingest Template'!A388="Standard",'Ingest Template'!N388&amp; "|DAR|DAR|2021-01-01",'Ingest Template'!N388&amp; "|Operations - Core Title|Operations - Core Title")</f>
        <v>#N/A</v>
      </c>
      <c r="AK388" s="53" t="str">
        <f>if('Ingest Template'!A388="Standard",'Ingest Template'!R388&amp; "|2021-01-01",'Ingest Template'!R388)</f>
        <v>#N/A</v>
      </c>
      <c r="AL388" s="21"/>
      <c r="AM388" s="21"/>
    </row>
    <row r="389">
      <c r="A389" s="21"/>
      <c r="B389" s="21" t="str">
        <f>'Ingest Template'!B389&amp;IF('Ingest Template'!A389 = "Standard", " - DAR","")</f>
        <v/>
      </c>
      <c r="C389" s="26" t="s">
        <v>109</v>
      </c>
      <c r="D389" s="29" t="str">
        <f t="array" ref="D389">CONCATENATE(INDEX(DropDown!$H$2:$H$10,MATCH(1,COUNTIF('Ingest Template'!F389,"*"&amp;DropDown!$H$2:$H$10&amp;"*"),0)),CHAR(10),'Ingest Template'!G389)</f>
        <v>#N/A</v>
      </c>
      <c r="E389" s="21" t="str">
        <f>CONCATENATE('Ingest Template'!H389,CHAR(10),'Ingest Template'!I389,CHAR(10),'Ingest Template'!J389)</f>
        <v>
</v>
      </c>
      <c r="F389" s="26" t="str">
        <f>'Ingest Template'!H389</f>
        <v/>
      </c>
      <c r="G389" s="21"/>
      <c r="H389" s="29"/>
      <c r="I389" s="21"/>
      <c r="J389" s="29" t="str">
        <f t="array" ref="J389">iF('Ingest Template'!A389="Standard","Pristine Brand",INDEX(DropDown!$M$2:$M$392,MATCH('Ingest Template'!E389,DropDown!$J$2:$J$392,0)))</f>
        <v>#N/A</v>
      </c>
      <c r="K389" s="21" t="str">
        <f>iF('Ingest Template'!A389="Standard",'Ingest Template'!K389&amp;CHAR(10)&amp;'Ingest Template'!L389,"Competitive View")</f>
        <v>Competitive View</v>
      </c>
      <c r="L389" s="29" t="s">
        <v>146</v>
      </c>
      <c r="M389" s="37" t="str">
        <f>'Ingest Template'!D389</f>
        <v/>
      </c>
      <c r="N389" s="21"/>
      <c r="O389" s="21"/>
      <c r="P389" s="21"/>
      <c r="Q389" s="21"/>
      <c r="R389" s="21" t="str">
        <f>'Ingest Template'!E389</f>
        <v/>
      </c>
      <c r="S389" s="29" t="s">
        <v>153</v>
      </c>
      <c r="T389" s="21" t="str">
        <f>'Ingest Template'!T389</f>
        <v/>
      </c>
      <c r="U389" s="21" t="str">
        <f>'Ingest Template'!S389</f>
        <v/>
      </c>
      <c r="V389" s="21" t="str">
        <f>LOWER(SUBSTITUTE(SUBSTITUTE(SUBSTITUTE(SUBSTITUTE(SUBSTITUTE('Ingest Template'!U389,"https:",""),"www.",""),"/",""),"?hl=en",""),"instagram.com",""))</f>
        <v/>
      </c>
      <c r="W389" s="41" t="str">
        <f t="array" ref="W389">IF('Ingest Template'!V389="",(INDEX(DropDown!$L$2:$L$392,MATCH('Ingest Template'!E389,DropDown!$J$2:$J$392,0))&amp;"|"&amp;'Ingest Template'!B389),(INDEX(DropDown!$L$2:$L$392,MATCH('Ingest Template'!E389,DropDown!$J$2:$J$392,0))&amp;"|"&amp;'Ingest Template'!B389)&amp;CHAR(10)&amp;'Ingest Template'!V389)</f>
        <v>#N/A</v>
      </c>
      <c r="X389" s="41" t="str">
        <f>'Ingest Template'!W389</f>
        <v/>
      </c>
      <c r="Y389" s="21" t="str">
        <f>SUBSTITUTE(SUBSTITUTE(SUBSTITUTE('Ingest Template'!X389,"http:",""),"https:",""),"/","")</f>
        <v/>
      </c>
      <c r="Z389" s="21" t="str">
        <f t="array" ref="Z389">IF('Ingest Template'!A389="Standard",(IF(ISBLANK('Ingest Template'!AA389),"", 'Ingest Template'!AA389&amp;"|DAR")),(IF(ISBLANK('Ingest Template'!AA389),"", 'Ingest Template'!AA389&amp;"|Film Ops")))</f>
        <v/>
      </c>
      <c r="AA389" s="21"/>
      <c r="AB389" s="21" t="str">
        <f>'Ingest Template'!M389</f>
        <v/>
      </c>
      <c r="AC389" s="21" t="str">
        <f>'Ingest Template'!Y389</f>
        <v/>
      </c>
      <c r="AD389" s="21" t="str">
        <f>'Ingest Template'!C389</f>
        <v/>
      </c>
      <c r="AE389" s="21" t="str">
        <f>'Ingest Template'!Z389</f>
        <v/>
      </c>
      <c r="AF389" s="29"/>
      <c r="AG389" s="21" t="str">
        <f t="array" ref="AG389">IF('Ingest Template'!A389="Standard",(CONCATENATE(IF(ISBLANK('Ingest Template'!O389),"", 'Ingest Template'!O389&amp;"|DAR"),CHAR(10), IF(ISBLANK('Ingest Template'!P389),"", 'Ingest Template'!P389&amp;"|DAR"),CHAR(10), IF(ISBLANK('Ingest Template'!Q389),"", 'Ingest Template'!Q389&amp;"|DAR"))),(CONCATENATE(IF(ISBLANK('Ingest Template'!O389),"", 'Ingest Template'!O389&amp;"|Operations - Core Title"),CHAR(10), IF(ISBLANK('Ingest Template'!P389),"", 'Ingest Template'!P389&amp;"|Operations - Core Title"),CHAR(10), IF(ISBLANK('Ingest Template'!Q389),"", 'Ingest Template'!Q389&amp;"|Operations - Core Title"))))</f>
        <v>#|Operations - Core Title
#|Operations - Core Title
</v>
      </c>
      <c r="AH389" s="21"/>
      <c r="AI389" s="21"/>
      <c r="AJ389" s="53" t="str">
        <f>if('Ingest Template'!A389="Standard",'Ingest Template'!N389&amp; "|DAR|DAR|2021-01-01",'Ingest Template'!N389&amp; "|Operations - Core Title|Operations - Core Title")</f>
        <v>#N/A</v>
      </c>
      <c r="AK389" s="53" t="str">
        <f>if('Ingest Template'!A389="Standard",'Ingest Template'!R389&amp; "|2021-01-01",'Ingest Template'!R389)</f>
        <v>#N/A</v>
      </c>
      <c r="AL389" s="21"/>
      <c r="AM389" s="21"/>
    </row>
    <row r="390">
      <c r="A390" s="21"/>
      <c r="B390" s="21" t="str">
        <f>'Ingest Template'!B390&amp;IF('Ingest Template'!A390 = "Standard", " - DAR","")</f>
        <v/>
      </c>
      <c r="C390" s="26" t="s">
        <v>109</v>
      </c>
      <c r="D390" s="29" t="str">
        <f t="array" ref="D390">CONCATENATE(INDEX(DropDown!$H$2:$H$10,MATCH(1,COUNTIF('Ingest Template'!F390,"*"&amp;DropDown!$H$2:$H$10&amp;"*"),0)),CHAR(10),'Ingest Template'!G390)</f>
        <v>#N/A</v>
      </c>
      <c r="E390" s="21" t="str">
        <f>CONCATENATE('Ingest Template'!H390,CHAR(10),'Ingest Template'!I390,CHAR(10),'Ingest Template'!J390)</f>
        <v>
</v>
      </c>
      <c r="F390" s="26" t="str">
        <f>'Ingest Template'!H390</f>
        <v/>
      </c>
      <c r="G390" s="21"/>
      <c r="H390" s="29"/>
      <c r="I390" s="21"/>
      <c r="J390" s="29" t="str">
        <f t="array" ref="J390">iF('Ingest Template'!A390="Standard","Pristine Brand",INDEX(DropDown!$M$2:$M$392,MATCH('Ingest Template'!E390,DropDown!$J$2:$J$392,0)))</f>
        <v>#N/A</v>
      </c>
      <c r="K390" s="21" t="str">
        <f>iF('Ingest Template'!A390="Standard",'Ingest Template'!K390&amp;CHAR(10)&amp;'Ingest Template'!L390,"Competitive View")</f>
        <v>Competitive View</v>
      </c>
      <c r="L390" s="29" t="s">
        <v>146</v>
      </c>
      <c r="M390" s="37" t="str">
        <f>'Ingest Template'!D390</f>
        <v/>
      </c>
      <c r="N390" s="21"/>
      <c r="O390" s="21"/>
      <c r="P390" s="21"/>
      <c r="Q390" s="21"/>
      <c r="R390" s="21" t="str">
        <f>'Ingest Template'!E390</f>
        <v/>
      </c>
      <c r="S390" s="29" t="s">
        <v>153</v>
      </c>
      <c r="T390" s="21" t="str">
        <f>'Ingest Template'!T390</f>
        <v/>
      </c>
      <c r="U390" s="21" t="str">
        <f>'Ingest Template'!S390</f>
        <v/>
      </c>
      <c r="V390" s="21" t="str">
        <f>LOWER(SUBSTITUTE(SUBSTITUTE(SUBSTITUTE(SUBSTITUTE(SUBSTITUTE('Ingest Template'!U390,"https:",""),"www.",""),"/",""),"?hl=en",""),"instagram.com",""))</f>
        <v/>
      </c>
      <c r="W390" s="41" t="str">
        <f t="array" ref="W390">IF('Ingest Template'!V390="",(INDEX(DropDown!$L$2:$L$392,MATCH('Ingest Template'!E390,DropDown!$J$2:$J$392,0))&amp;"|"&amp;'Ingest Template'!B390),(INDEX(DropDown!$L$2:$L$392,MATCH('Ingest Template'!E390,DropDown!$J$2:$J$392,0))&amp;"|"&amp;'Ingest Template'!B390)&amp;CHAR(10)&amp;'Ingest Template'!V390)</f>
        <v>#N/A</v>
      </c>
      <c r="X390" s="41" t="str">
        <f>'Ingest Template'!W390</f>
        <v/>
      </c>
      <c r="Y390" s="21" t="str">
        <f>SUBSTITUTE(SUBSTITUTE(SUBSTITUTE('Ingest Template'!X390,"http:",""),"https:",""),"/","")</f>
        <v/>
      </c>
      <c r="Z390" s="21" t="str">
        <f t="array" ref="Z390">IF('Ingest Template'!A390="Standard",(IF(ISBLANK('Ingest Template'!AA390),"", 'Ingest Template'!AA390&amp;"|DAR")),(IF(ISBLANK('Ingest Template'!AA390),"", 'Ingest Template'!AA390&amp;"|Film Ops")))</f>
        <v/>
      </c>
      <c r="AA390" s="21"/>
      <c r="AB390" s="21" t="str">
        <f>'Ingest Template'!M390</f>
        <v/>
      </c>
      <c r="AC390" s="21" t="str">
        <f>'Ingest Template'!Y390</f>
        <v/>
      </c>
      <c r="AD390" s="21" t="str">
        <f>'Ingest Template'!C390</f>
        <v/>
      </c>
      <c r="AE390" s="21" t="str">
        <f>'Ingest Template'!Z390</f>
        <v/>
      </c>
      <c r="AF390" s="29"/>
      <c r="AG390" s="21" t="str">
        <f t="array" ref="AG390">IF('Ingest Template'!A390="Standard",(CONCATENATE(IF(ISBLANK('Ingest Template'!O390),"", 'Ingest Template'!O390&amp;"|DAR"),CHAR(10), IF(ISBLANK('Ingest Template'!P390),"", 'Ingest Template'!P390&amp;"|DAR"),CHAR(10), IF(ISBLANK('Ingest Template'!Q390),"", 'Ingest Template'!Q390&amp;"|DAR"))),(CONCATENATE(IF(ISBLANK('Ingest Template'!O390),"", 'Ingest Template'!O390&amp;"|Operations - Core Title"),CHAR(10), IF(ISBLANK('Ingest Template'!P390),"", 'Ingest Template'!P390&amp;"|Operations - Core Title"),CHAR(10), IF(ISBLANK('Ingest Template'!Q390),"", 'Ingest Template'!Q390&amp;"|Operations - Core Title"))))</f>
        <v>#|Operations - Core Title
#|Operations - Core Title
</v>
      </c>
      <c r="AH390" s="21"/>
      <c r="AI390" s="21"/>
      <c r="AJ390" s="53" t="str">
        <f>if('Ingest Template'!A390="Standard",'Ingest Template'!N390&amp; "|DAR|DAR|2021-01-01",'Ingest Template'!N390&amp; "|Operations - Core Title|Operations - Core Title")</f>
        <v>#N/A</v>
      </c>
      <c r="AK390" s="53" t="str">
        <f>if('Ingest Template'!A390="Standard",'Ingest Template'!R390&amp; "|2021-01-01",'Ingest Template'!R390)</f>
        <v>#N/A</v>
      </c>
      <c r="AL390" s="21"/>
      <c r="AM390" s="21"/>
    </row>
    <row r="391">
      <c r="A391" s="21"/>
      <c r="B391" s="21" t="str">
        <f>'Ingest Template'!B391&amp;IF('Ingest Template'!A391 = "Standard", " - DAR","")</f>
        <v/>
      </c>
      <c r="C391" s="26" t="s">
        <v>109</v>
      </c>
      <c r="D391" s="29" t="str">
        <f t="array" ref="D391">CONCATENATE(INDEX(DropDown!$H$2:$H$10,MATCH(1,COUNTIF('Ingest Template'!F391,"*"&amp;DropDown!$H$2:$H$10&amp;"*"),0)),CHAR(10),'Ingest Template'!G391)</f>
        <v>#N/A</v>
      </c>
      <c r="E391" s="21" t="str">
        <f>CONCATENATE('Ingest Template'!H391,CHAR(10),'Ingest Template'!I391,CHAR(10),'Ingest Template'!J391)</f>
        <v>
</v>
      </c>
      <c r="F391" s="26" t="str">
        <f>'Ingest Template'!H391</f>
        <v/>
      </c>
      <c r="G391" s="21"/>
      <c r="H391" s="29"/>
      <c r="I391" s="21"/>
      <c r="J391" s="29" t="str">
        <f t="array" ref="J391">iF('Ingest Template'!A391="Standard","Pristine Brand",INDEX(DropDown!$M$2:$M$392,MATCH('Ingest Template'!E391,DropDown!$J$2:$J$392,0)))</f>
        <v>#N/A</v>
      </c>
      <c r="K391" s="21" t="str">
        <f>iF('Ingest Template'!A391="Standard",'Ingest Template'!K391&amp;CHAR(10)&amp;'Ingest Template'!L391,"Competitive View")</f>
        <v>Competitive View</v>
      </c>
      <c r="L391" s="29" t="s">
        <v>146</v>
      </c>
      <c r="M391" s="37" t="str">
        <f>'Ingest Template'!D391</f>
        <v/>
      </c>
      <c r="N391" s="21"/>
      <c r="O391" s="21"/>
      <c r="P391" s="21"/>
      <c r="Q391" s="21"/>
      <c r="R391" s="21" t="str">
        <f>'Ingest Template'!E391</f>
        <v/>
      </c>
      <c r="S391" s="29" t="s">
        <v>153</v>
      </c>
      <c r="T391" s="21" t="str">
        <f>'Ingest Template'!T391</f>
        <v/>
      </c>
      <c r="U391" s="21" t="str">
        <f>'Ingest Template'!S391</f>
        <v/>
      </c>
      <c r="V391" s="21" t="str">
        <f>LOWER(SUBSTITUTE(SUBSTITUTE(SUBSTITUTE(SUBSTITUTE(SUBSTITUTE('Ingest Template'!U391,"https:",""),"www.",""),"/",""),"?hl=en",""),"instagram.com",""))</f>
        <v/>
      </c>
      <c r="W391" s="41" t="str">
        <f t="array" ref="W391">IF('Ingest Template'!V391="",(INDEX(DropDown!$L$2:$L$392,MATCH('Ingest Template'!E391,DropDown!$J$2:$J$392,0))&amp;"|"&amp;'Ingest Template'!B391),(INDEX(DropDown!$L$2:$L$392,MATCH('Ingest Template'!E391,DropDown!$J$2:$J$392,0))&amp;"|"&amp;'Ingest Template'!B391)&amp;CHAR(10)&amp;'Ingest Template'!V391)</f>
        <v>#N/A</v>
      </c>
      <c r="X391" s="41" t="str">
        <f>'Ingest Template'!W391</f>
        <v/>
      </c>
      <c r="Y391" s="21" t="str">
        <f>SUBSTITUTE(SUBSTITUTE(SUBSTITUTE('Ingest Template'!X391,"http:",""),"https:",""),"/","")</f>
        <v/>
      </c>
      <c r="Z391" s="21" t="str">
        <f t="array" ref="Z391">IF('Ingest Template'!A391="Standard",(IF(ISBLANK('Ingest Template'!AA391),"", 'Ingest Template'!AA391&amp;"|DAR")),(IF(ISBLANK('Ingest Template'!AA391),"", 'Ingest Template'!AA391&amp;"|Film Ops")))</f>
        <v/>
      </c>
      <c r="AA391" s="21"/>
      <c r="AB391" s="21" t="str">
        <f>'Ingest Template'!M391</f>
        <v/>
      </c>
      <c r="AC391" s="21" t="str">
        <f>'Ingest Template'!Y391</f>
        <v/>
      </c>
      <c r="AD391" s="21" t="str">
        <f>'Ingest Template'!C391</f>
        <v/>
      </c>
      <c r="AE391" s="21" t="str">
        <f>'Ingest Template'!Z391</f>
        <v/>
      </c>
      <c r="AF391" s="29"/>
      <c r="AG391" s="21" t="str">
        <f t="array" ref="AG391">IF('Ingest Template'!A391="Standard",(CONCATENATE(IF(ISBLANK('Ingest Template'!O391),"", 'Ingest Template'!O391&amp;"|DAR"),CHAR(10), IF(ISBLANK('Ingest Template'!P391),"", 'Ingest Template'!P391&amp;"|DAR"),CHAR(10), IF(ISBLANK('Ingest Template'!Q391),"", 'Ingest Template'!Q391&amp;"|DAR"))),(CONCATENATE(IF(ISBLANK('Ingest Template'!O391),"", 'Ingest Template'!O391&amp;"|Operations - Core Title"),CHAR(10), IF(ISBLANK('Ingest Template'!P391),"", 'Ingest Template'!P391&amp;"|Operations - Core Title"),CHAR(10), IF(ISBLANK('Ingest Template'!Q391),"", 'Ingest Template'!Q391&amp;"|Operations - Core Title"))))</f>
        <v>#|Operations - Core Title
#|Operations - Core Title
</v>
      </c>
      <c r="AH391" s="21"/>
      <c r="AI391" s="21"/>
      <c r="AJ391" s="53" t="str">
        <f>if('Ingest Template'!A391="Standard",'Ingest Template'!N391&amp; "|DAR|DAR|2021-01-01",'Ingest Template'!N391&amp; "|Operations - Core Title|Operations - Core Title")</f>
        <v>#N/A</v>
      </c>
      <c r="AK391" s="53" t="str">
        <f>if('Ingest Template'!A391="Standard",'Ingest Template'!R391&amp; "|2021-01-01",'Ingest Template'!R391)</f>
        <v>#N/A</v>
      </c>
      <c r="AL391" s="21"/>
      <c r="AM391" s="21"/>
    </row>
    <row r="392">
      <c r="A392" s="21"/>
      <c r="B392" s="21" t="str">
        <f>'Ingest Template'!B392&amp;IF('Ingest Template'!A392 = "Standard", " - DAR","")</f>
        <v/>
      </c>
      <c r="C392" s="26" t="s">
        <v>109</v>
      </c>
      <c r="D392" s="29" t="str">
        <f t="array" ref="D392">CONCATENATE(INDEX(DropDown!$H$2:$H$10,MATCH(1,COUNTIF('Ingest Template'!F392,"*"&amp;DropDown!$H$2:$H$10&amp;"*"),0)),CHAR(10),'Ingest Template'!G392)</f>
        <v>#N/A</v>
      </c>
      <c r="E392" s="21" t="str">
        <f>CONCATENATE('Ingest Template'!H392,CHAR(10),'Ingest Template'!I392,CHAR(10),'Ingest Template'!J392)</f>
        <v>
</v>
      </c>
      <c r="F392" s="26" t="str">
        <f>'Ingest Template'!H392</f>
        <v/>
      </c>
      <c r="G392" s="21"/>
      <c r="H392" s="29"/>
      <c r="I392" s="21"/>
      <c r="J392" s="29" t="str">
        <f t="array" ref="J392">iF('Ingest Template'!A392="Standard","Pristine Brand",INDEX(DropDown!$M$2:$M$392,MATCH('Ingest Template'!E392,DropDown!$J$2:$J$392,0)))</f>
        <v>#N/A</v>
      </c>
      <c r="K392" s="21" t="str">
        <f>iF('Ingest Template'!A392="Standard",'Ingest Template'!K392&amp;CHAR(10)&amp;'Ingest Template'!L392,"Competitive View")</f>
        <v>Competitive View</v>
      </c>
      <c r="L392" s="29" t="s">
        <v>146</v>
      </c>
      <c r="M392" s="37" t="str">
        <f>'Ingest Template'!D392</f>
        <v/>
      </c>
      <c r="N392" s="21"/>
      <c r="O392" s="21"/>
      <c r="P392" s="21"/>
      <c r="Q392" s="21"/>
      <c r="R392" s="21" t="str">
        <f>'Ingest Template'!E392</f>
        <v/>
      </c>
      <c r="S392" s="29" t="s">
        <v>153</v>
      </c>
      <c r="T392" s="21" t="str">
        <f>'Ingest Template'!T392</f>
        <v/>
      </c>
      <c r="U392" s="21" t="str">
        <f>'Ingest Template'!S392</f>
        <v/>
      </c>
      <c r="V392" s="21" t="str">
        <f>LOWER(SUBSTITUTE(SUBSTITUTE(SUBSTITUTE(SUBSTITUTE(SUBSTITUTE('Ingest Template'!U392,"https:",""),"www.",""),"/",""),"?hl=en",""),"instagram.com",""))</f>
        <v/>
      </c>
      <c r="W392" s="41" t="str">
        <f t="array" ref="W392">IF('Ingest Template'!V392="",(INDEX(DropDown!$L$2:$L$392,MATCH('Ingest Template'!E392,DropDown!$J$2:$J$392,0))&amp;"|"&amp;'Ingest Template'!B392),(INDEX(DropDown!$L$2:$L$392,MATCH('Ingest Template'!E392,DropDown!$J$2:$J$392,0))&amp;"|"&amp;'Ingest Template'!B392)&amp;CHAR(10)&amp;'Ingest Template'!V392)</f>
        <v>#N/A</v>
      </c>
      <c r="X392" s="41" t="str">
        <f>'Ingest Template'!W392</f>
        <v/>
      </c>
      <c r="Y392" s="21" t="str">
        <f>SUBSTITUTE(SUBSTITUTE(SUBSTITUTE('Ingest Template'!X392,"http:",""),"https:",""),"/","")</f>
        <v/>
      </c>
      <c r="Z392" s="21" t="str">
        <f t="array" ref="Z392">IF('Ingest Template'!A392="Standard",(IF(ISBLANK('Ingest Template'!AA392),"", 'Ingest Template'!AA392&amp;"|DAR")),(IF(ISBLANK('Ingest Template'!AA392),"", 'Ingest Template'!AA392&amp;"|Film Ops")))</f>
        <v/>
      </c>
      <c r="AA392" s="21"/>
      <c r="AB392" s="21" t="str">
        <f>'Ingest Template'!M392</f>
        <v/>
      </c>
      <c r="AC392" s="21" t="str">
        <f>'Ingest Template'!Y392</f>
        <v/>
      </c>
      <c r="AD392" s="21" t="str">
        <f>'Ingest Template'!C392</f>
        <v/>
      </c>
      <c r="AE392" s="21" t="str">
        <f>'Ingest Template'!Z392</f>
        <v/>
      </c>
      <c r="AF392" s="29"/>
      <c r="AG392" s="21" t="str">
        <f t="array" ref="AG392">IF('Ingest Template'!A392="Standard",(CONCATENATE(IF(ISBLANK('Ingest Template'!O392),"", 'Ingest Template'!O392&amp;"|DAR"),CHAR(10), IF(ISBLANK('Ingest Template'!P392),"", 'Ingest Template'!P392&amp;"|DAR"),CHAR(10), IF(ISBLANK('Ingest Template'!Q392),"", 'Ingest Template'!Q392&amp;"|DAR"))),(CONCATENATE(IF(ISBLANK('Ingest Template'!O392),"", 'Ingest Template'!O392&amp;"|Operations - Core Title"),CHAR(10), IF(ISBLANK('Ingest Template'!P392),"", 'Ingest Template'!P392&amp;"|Operations - Core Title"),CHAR(10), IF(ISBLANK('Ingest Template'!Q392),"", 'Ingest Template'!Q392&amp;"|Operations - Core Title"))))</f>
        <v>#|Operations - Core Title
#|Operations - Core Title
</v>
      </c>
      <c r="AH392" s="21"/>
      <c r="AI392" s="21"/>
      <c r="AJ392" s="53" t="str">
        <f>if('Ingest Template'!A392="Standard",'Ingest Template'!N392&amp; "|DAR|DAR|2021-01-01",'Ingest Template'!N392&amp; "|Operations - Core Title|Operations - Core Title")</f>
        <v>#N/A</v>
      </c>
      <c r="AK392" s="53" t="str">
        <f>if('Ingest Template'!A392="Standard",'Ingest Template'!R392&amp; "|2021-01-01",'Ingest Template'!R392)</f>
        <v>#N/A</v>
      </c>
      <c r="AL392" s="21"/>
      <c r="AM392" s="21"/>
    </row>
    <row r="393">
      <c r="A393" s="21"/>
      <c r="B393" s="21" t="str">
        <f>'Ingest Template'!B393&amp;IF('Ingest Template'!A393 = "Standard", " - DAR","")</f>
        <v/>
      </c>
      <c r="C393" s="26" t="s">
        <v>109</v>
      </c>
      <c r="D393" s="29" t="str">
        <f t="array" ref="D393">CONCATENATE(INDEX(DropDown!$H$2:$H$10,MATCH(1,COUNTIF('Ingest Template'!F393,"*"&amp;DropDown!$H$2:$H$10&amp;"*"),0)),CHAR(10),'Ingest Template'!G393)</f>
        <v>#N/A</v>
      </c>
      <c r="E393" s="21" t="str">
        <f>CONCATENATE('Ingest Template'!H393,CHAR(10),'Ingest Template'!I393,CHAR(10),'Ingest Template'!J393)</f>
        <v>
</v>
      </c>
      <c r="F393" s="26" t="str">
        <f>'Ingest Template'!H393</f>
        <v/>
      </c>
      <c r="G393" s="21"/>
      <c r="H393" s="29"/>
      <c r="I393" s="21"/>
      <c r="J393" s="29" t="str">
        <f t="array" ref="J393">iF('Ingest Template'!A393="Standard","Pristine Brand",INDEX(DropDown!$M$2:$M$392,MATCH('Ingest Template'!E393,DropDown!$J$2:$J$392,0)))</f>
        <v>#N/A</v>
      </c>
      <c r="K393" s="21" t="str">
        <f>iF('Ingest Template'!A393="Standard",'Ingest Template'!K393&amp;CHAR(10)&amp;'Ingest Template'!L393,"Competitive View")</f>
        <v>Competitive View</v>
      </c>
      <c r="L393" s="29" t="s">
        <v>146</v>
      </c>
      <c r="M393" s="37" t="str">
        <f>'Ingest Template'!D393</f>
        <v/>
      </c>
      <c r="N393" s="21"/>
      <c r="O393" s="21"/>
      <c r="P393" s="21"/>
      <c r="Q393" s="21"/>
      <c r="R393" s="21" t="str">
        <f>'Ingest Template'!E393</f>
        <v/>
      </c>
      <c r="S393" s="29" t="s">
        <v>153</v>
      </c>
      <c r="T393" s="21" t="str">
        <f>'Ingest Template'!T393</f>
        <v/>
      </c>
      <c r="U393" s="21" t="str">
        <f>'Ingest Template'!S393</f>
        <v/>
      </c>
      <c r="V393" s="21" t="str">
        <f>LOWER(SUBSTITUTE(SUBSTITUTE(SUBSTITUTE(SUBSTITUTE(SUBSTITUTE('Ingest Template'!U393,"https:",""),"www.",""),"/",""),"?hl=en",""),"instagram.com",""))</f>
        <v/>
      </c>
      <c r="W393" s="41" t="str">
        <f t="array" ref="W393">IF('Ingest Template'!V393="",(INDEX(DropDown!$L$2:$L$392,MATCH('Ingest Template'!E393,DropDown!$J$2:$J$392,0))&amp;"|"&amp;'Ingest Template'!B393),(INDEX(DropDown!$L$2:$L$392,MATCH('Ingest Template'!E393,DropDown!$J$2:$J$392,0))&amp;"|"&amp;'Ingest Template'!B393)&amp;CHAR(10)&amp;'Ingest Template'!V393)</f>
        <v>#N/A</v>
      </c>
      <c r="X393" s="41" t="str">
        <f>'Ingest Template'!W393</f>
        <v/>
      </c>
      <c r="Y393" s="21" t="str">
        <f>SUBSTITUTE(SUBSTITUTE(SUBSTITUTE('Ingest Template'!X393,"http:",""),"https:",""),"/","")</f>
        <v/>
      </c>
      <c r="Z393" s="21" t="str">
        <f t="array" ref="Z393">IF('Ingest Template'!A393="Standard",(IF(ISBLANK('Ingest Template'!AA393),"", 'Ingest Template'!AA393&amp;"|DAR")),(IF(ISBLANK('Ingest Template'!AA393),"", 'Ingest Template'!AA393&amp;"|Film Ops")))</f>
        <v/>
      </c>
      <c r="AA393" s="21"/>
      <c r="AB393" s="21" t="str">
        <f>'Ingest Template'!M393</f>
        <v/>
      </c>
      <c r="AC393" s="21" t="str">
        <f>'Ingest Template'!Y393</f>
        <v/>
      </c>
      <c r="AD393" s="21" t="str">
        <f>'Ingest Template'!C393</f>
        <v/>
      </c>
      <c r="AE393" s="21" t="str">
        <f>'Ingest Template'!Z393</f>
        <v/>
      </c>
      <c r="AF393" s="29"/>
      <c r="AG393" s="21" t="str">
        <f t="array" ref="AG393">IF('Ingest Template'!A393="Standard",(CONCATENATE(IF(ISBLANK('Ingest Template'!O393),"", 'Ingest Template'!O393&amp;"|DAR"),CHAR(10), IF(ISBLANK('Ingest Template'!P393),"", 'Ingest Template'!P393&amp;"|DAR"),CHAR(10), IF(ISBLANK('Ingest Template'!Q393),"", 'Ingest Template'!Q393&amp;"|DAR"))),(CONCATENATE(IF(ISBLANK('Ingest Template'!O393),"", 'Ingest Template'!O393&amp;"|Operations - Core Title"),CHAR(10), IF(ISBLANK('Ingest Template'!P393),"", 'Ingest Template'!P393&amp;"|Operations - Core Title"),CHAR(10), IF(ISBLANK('Ingest Template'!Q393),"", 'Ingest Template'!Q393&amp;"|Operations - Core Title"))))</f>
        <v>#|Operations - Core Title
#|Operations - Core Title
</v>
      </c>
      <c r="AH393" s="21"/>
      <c r="AI393" s="21"/>
      <c r="AJ393" s="53" t="str">
        <f>if('Ingest Template'!A393="Standard",'Ingest Template'!N393&amp; "|DAR|DAR|2021-01-01",'Ingest Template'!N393&amp; "|Operations - Core Title|Operations - Core Title")</f>
        <v>#N/A</v>
      </c>
      <c r="AK393" s="53" t="str">
        <f>if('Ingest Template'!A393="Standard",'Ingest Template'!R393&amp; "|2021-01-01",'Ingest Template'!R393)</f>
        <v>#N/A</v>
      </c>
      <c r="AL393" s="21"/>
      <c r="AM393" s="21"/>
    </row>
    <row r="394">
      <c r="A394" s="21"/>
      <c r="B394" s="21" t="str">
        <f>'Ingest Template'!B394&amp;IF('Ingest Template'!A394 = "Standard", " - DAR","")</f>
        <v/>
      </c>
      <c r="C394" s="26" t="s">
        <v>109</v>
      </c>
      <c r="D394" s="29" t="str">
        <f t="array" ref="D394">CONCATENATE(INDEX(DropDown!$H$2:$H$10,MATCH(1,COUNTIF('Ingest Template'!F394,"*"&amp;DropDown!$H$2:$H$10&amp;"*"),0)),CHAR(10),'Ingest Template'!G394)</f>
        <v>#N/A</v>
      </c>
      <c r="E394" s="21" t="str">
        <f>CONCATENATE('Ingest Template'!H394,CHAR(10),'Ingest Template'!I394,CHAR(10),'Ingest Template'!J394)</f>
        <v>
</v>
      </c>
      <c r="F394" s="26" t="str">
        <f>'Ingest Template'!H394</f>
        <v/>
      </c>
      <c r="G394" s="21"/>
      <c r="H394" s="29"/>
      <c r="I394" s="21"/>
      <c r="J394" s="29" t="str">
        <f t="array" ref="J394">iF('Ingest Template'!A394="Standard","Pristine Brand",INDEX(DropDown!$M$2:$M$392,MATCH('Ingest Template'!E394,DropDown!$J$2:$J$392,0)))</f>
        <v>#N/A</v>
      </c>
      <c r="K394" s="21" t="str">
        <f>iF('Ingest Template'!A394="Standard",'Ingest Template'!K394&amp;CHAR(10)&amp;'Ingest Template'!L394,"Competitive View")</f>
        <v>Competitive View</v>
      </c>
      <c r="L394" s="29" t="s">
        <v>146</v>
      </c>
      <c r="M394" s="37" t="str">
        <f>'Ingest Template'!D394</f>
        <v/>
      </c>
      <c r="N394" s="21"/>
      <c r="O394" s="21"/>
      <c r="P394" s="21"/>
      <c r="Q394" s="21"/>
      <c r="R394" s="21" t="str">
        <f>'Ingest Template'!E394</f>
        <v/>
      </c>
      <c r="S394" s="29" t="s">
        <v>153</v>
      </c>
      <c r="T394" s="21" t="str">
        <f>'Ingest Template'!T394</f>
        <v/>
      </c>
      <c r="U394" s="21" t="str">
        <f>'Ingest Template'!S394</f>
        <v/>
      </c>
      <c r="V394" s="21" t="str">
        <f>LOWER(SUBSTITUTE(SUBSTITUTE(SUBSTITUTE(SUBSTITUTE(SUBSTITUTE('Ingest Template'!U394,"https:",""),"www.",""),"/",""),"?hl=en",""),"instagram.com",""))</f>
        <v/>
      </c>
      <c r="W394" s="41" t="str">
        <f t="array" ref="W394">IF('Ingest Template'!V394="",(INDEX(DropDown!$L$2:$L$392,MATCH('Ingest Template'!E394,DropDown!$J$2:$J$392,0))&amp;"|"&amp;'Ingest Template'!B394),(INDEX(DropDown!$L$2:$L$392,MATCH('Ingest Template'!E394,DropDown!$J$2:$J$392,0))&amp;"|"&amp;'Ingest Template'!B394)&amp;CHAR(10)&amp;'Ingest Template'!V394)</f>
        <v>#N/A</v>
      </c>
      <c r="X394" s="41" t="str">
        <f>'Ingest Template'!W394</f>
        <v/>
      </c>
      <c r="Y394" s="21" t="str">
        <f>SUBSTITUTE(SUBSTITUTE(SUBSTITUTE('Ingest Template'!X394,"http:",""),"https:",""),"/","")</f>
        <v/>
      </c>
      <c r="Z394" s="21" t="str">
        <f t="array" ref="Z394">IF('Ingest Template'!A394="Standard",(IF(ISBLANK('Ingest Template'!AA394),"", 'Ingest Template'!AA394&amp;"|DAR")),(IF(ISBLANK('Ingest Template'!AA394),"", 'Ingest Template'!AA394&amp;"|Film Ops")))</f>
        <v/>
      </c>
      <c r="AA394" s="21"/>
      <c r="AB394" s="21" t="str">
        <f>'Ingest Template'!M394</f>
        <v/>
      </c>
      <c r="AC394" s="21" t="str">
        <f>'Ingest Template'!Y394</f>
        <v/>
      </c>
      <c r="AD394" s="21" t="str">
        <f>'Ingest Template'!C394</f>
        <v/>
      </c>
      <c r="AE394" s="21" t="str">
        <f>'Ingest Template'!Z394</f>
        <v/>
      </c>
      <c r="AF394" s="29"/>
      <c r="AG394" s="21" t="str">
        <f t="array" ref="AG394">IF('Ingest Template'!A394="Standard",(CONCATENATE(IF(ISBLANK('Ingest Template'!O394),"", 'Ingest Template'!O394&amp;"|DAR"),CHAR(10), IF(ISBLANK('Ingest Template'!P394),"", 'Ingest Template'!P394&amp;"|DAR"),CHAR(10), IF(ISBLANK('Ingest Template'!Q394),"", 'Ingest Template'!Q394&amp;"|DAR"))),(CONCATENATE(IF(ISBLANK('Ingest Template'!O394),"", 'Ingest Template'!O394&amp;"|Operations - Core Title"),CHAR(10), IF(ISBLANK('Ingest Template'!P394),"", 'Ingest Template'!P394&amp;"|Operations - Core Title"),CHAR(10), IF(ISBLANK('Ingest Template'!Q394),"", 'Ingest Template'!Q394&amp;"|Operations - Core Title"))))</f>
        <v>#|Operations - Core Title
#|Operations - Core Title
</v>
      </c>
      <c r="AH394" s="21"/>
      <c r="AI394" s="21"/>
      <c r="AJ394" s="53" t="str">
        <f>if('Ingest Template'!A394="Standard",'Ingest Template'!N394&amp; "|DAR|DAR|2021-01-01",'Ingest Template'!N394&amp; "|Operations - Core Title|Operations - Core Title")</f>
        <v>#N/A</v>
      </c>
      <c r="AK394" s="53" t="str">
        <f>if('Ingest Template'!A394="Standard",'Ingest Template'!R394&amp; "|2021-01-01",'Ingest Template'!R394)</f>
        <v>#N/A</v>
      </c>
      <c r="AL394" s="21"/>
      <c r="AM394" s="21"/>
    </row>
    <row r="395">
      <c r="A395" s="21"/>
      <c r="B395" s="21" t="str">
        <f>'Ingest Template'!B395&amp;IF('Ingest Template'!A395 = "Standard", " - DAR","")</f>
        <v/>
      </c>
      <c r="C395" s="26" t="s">
        <v>109</v>
      </c>
      <c r="D395" s="29" t="str">
        <f t="array" ref="D395">CONCATENATE(INDEX(DropDown!$H$2:$H$10,MATCH(1,COUNTIF('Ingest Template'!F395,"*"&amp;DropDown!$H$2:$H$10&amp;"*"),0)),CHAR(10),'Ingest Template'!G395)</f>
        <v>#N/A</v>
      </c>
      <c r="E395" s="21" t="str">
        <f>CONCATENATE('Ingest Template'!H395,CHAR(10),'Ingest Template'!I395,CHAR(10),'Ingest Template'!J395)</f>
        <v>
</v>
      </c>
      <c r="F395" s="26" t="str">
        <f>'Ingest Template'!H395</f>
        <v/>
      </c>
      <c r="G395" s="21"/>
      <c r="H395" s="29"/>
      <c r="I395" s="21"/>
      <c r="J395" s="29" t="str">
        <f t="array" ref="J395">iF('Ingest Template'!A395="Standard","Pristine Brand",INDEX(DropDown!$M$2:$M$392,MATCH('Ingest Template'!E395,DropDown!$J$2:$J$392,0)))</f>
        <v>#N/A</v>
      </c>
      <c r="K395" s="21" t="str">
        <f>iF('Ingest Template'!A395="Standard",'Ingest Template'!K395&amp;CHAR(10)&amp;'Ingest Template'!L395,"Competitive View")</f>
        <v>Competitive View</v>
      </c>
      <c r="L395" s="29" t="s">
        <v>146</v>
      </c>
      <c r="M395" s="37" t="str">
        <f>'Ingest Template'!D395</f>
        <v/>
      </c>
      <c r="N395" s="21"/>
      <c r="O395" s="21"/>
      <c r="P395" s="21"/>
      <c r="Q395" s="21"/>
      <c r="R395" s="21" t="str">
        <f>'Ingest Template'!E395</f>
        <v/>
      </c>
      <c r="S395" s="29" t="s">
        <v>153</v>
      </c>
      <c r="T395" s="21" t="str">
        <f>'Ingest Template'!T395</f>
        <v/>
      </c>
      <c r="U395" s="21" t="str">
        <f>'Ingest Template'!S395</f>
        <v/>
      </c>
      <c r="V395" s="21" t="str">
        <f>LOWER(SUBSTITUTE(SUBSTITUTE(SUBSTITUTE(SUBSTITUTE(SUBSTITUTE('Ingest Template'!U395,"https:",""),"www.",""),"/",""),"?hl=en",""),"instagram.com",""))</f>
        <v/>
      </c>
      <c r="W395" s="41" t="str">
        <f t="array" ref="W395">IF('Ingest Template'!V395="",(INDEX(DropDown!$L$2:$L$392,MATCH('Ingest Template'!E395,DropDown!$J$2:$J$392,0))&amp;"|"&amp;'Ingest Template'!B395),(INDEX(DropDown!$L$2:$L$392,MATCH('Ingest Template'!E395,DropDown!$J$2:$J$392,0))&amp;"|"&amp;'Ingest Template'!B395)&amp;CHAR(10)&amp;'Ingest Template'!V395)</f>
        <v>#N/A</v>
      </c>
      <c r="X395" s="41" t="str">
        <f>'Ingest Template'!W395</f>
        <v/>
      </c>
      <c r="Y395" s="21" t="str">
        <f>SUBSTITUTE(SUBSTITUTE(SUBSTITUTE('Ingest Template'!X395,"http:",""),"https:",""),"/","")</f>
        <v/>
      </c>
      <c r="Z395" s="21" t="str">
        <f t="array" ref="Z395">IF('Ingest Template'!A395="Standard",(IF(ISBLANK('Ingest Template'!AA395),"", 'Ingest Template'!AA395&amp;"|DAR")),(IF(ISBLANK('Ingest Template'!AA395),"", 'Ingest Template'!AA395&amp;"|Film Ops")))</f>
        <v/>
      </c>
      <c r="AA395" s="21"/>
      <c r="AB395" s="21" t="str">
        <f>'Ingest Template'!M395</f>
        <v/>
      </c>
      <c r="AC395" s="21" t="str">
        <f>'Ingest Template'!Y395</f>
        <v/>
      </c>
      <c r="AD395" s="21" t="str">
        <f>'Ingest Template'!C395</f>
        <v/>
      </c>
      <c r="AE395" s="21" t="str">
        <f>'Ingest Template'!Z395</f>
        <v/>
      </c>
      <c r="AF395" s="29"/>
      <c r="AG395" s="21" t="str">
        <f t="array" ref="AG395">IF('Ingest Template'!A395="Standard",(CONCATENATE(IF(ISBLANK('Ingest Template'!O395),"", 'Ingest Template'!O395&amp;"|DAR"),CHAR(10), IF(ISBLANK('Ingest Template'!P395),"", 'Ingest Template'!P395&amp;"|DAR"),CHAR(10), IF(ISBLANK('Ingest Template'!Q395),"", 'Ingest Template'!Q395&amp;"|DAR"))),(CONCATENATE(IF(ISBLANK('Ingest Template'!O395),"", 'Ingest Template'!O395&amp;"|Operations - Core Title"),CHAR(10), IF(ISBLANK('Ingest Template'!P395),"", 'Ingest Template'!P395&amp;"|Operations - Core Title"),CHAR(10), IF(ISBLANK('Ingest Template'!Q395),"", 'Ingest Template'!Q395&amp;"|Operations - Core Title"))))</f>
        <v>#|Operations - Core Title
#|Operations - Core Title
</v>
      </c>
      <c r="AH395" s="21"/>
      <c r="AI395" s="21"/>
      <c r="AJ395" s="53" t="str">
        <f>if('Ingest Template'!A395="Standard",'Ingest Template'!N395&amp; "|DAR|DAR|2021-01-01",'Ingest Template'!N395&amp; "|Operations - Core Title|Operations - Core Title")</f>
        <v>#N/A</v>
      </c>
      <c r="AK395" s="53" t="str">
        <f>if('Ingest Template'!A395="Standard",'Ingest Template'!R395&amp; "|2021-01-01",'Ingest Template'!R395)</f>
        <v>#N/A</v>
      </c>
      <c r="AL395" s="21"/>
      <c r="AM395" s="21"/>
    </row>
    <row r="396">
      <c r="A396" s="21"/>
      <c r="B396" s="21" t="str">
        <f>'Ingest Template'!B396&amp;IF('Ingest Template'!A396 = "Standard", " - DAR","")</f>
        <v/>
      </c>
      <c r="C396" s="26" t="s">
        <v>109</v>
      </c>
      <c r="D396" s="29" t="str">
        <f t="array" ref="D396">CONCATENATE(INDEX(DropDown!$H$2:$H$10,MATCH(1,COUNTIF('Ingest Template'!F396,"*"&amp;DropDown!$H$2:$H$10&amp;"*"),0)),CHAR(10),'Ingest Template'!G396)</f>
        <v>#N/A</v>
      </c>
      <c r="E396" s="21" t="str">
        <f>CONCATENATE('Ingest Template'!H396,CHAR(10),'Ingest Template'!I396,CHAR(10),'Ingest Template'!J396)</f>
        <v>
</v>
      </c>
      <c r="F396" s="26" t="str">
        <f>'Ingest Template'!H396</f>
        <v/>
      </c>
      <c r="G396" s="21"/>
      <c r="H396" s="29"/>
      <c r="I396" s="21"/>
      <c r="J396" s="29" t="str">
        <f t="array" ref="J396">iF('Ingest Template'!A396="Standard","Pristine Brand",INDEX(DropDown!$M$2:$M$392,MATCH('Ingest Template'!E396,DropDown!$J$2:$J$392,0)))</f>
        <v>#N/A</v>
      </c>
      <c r="K396" s="21" t="str">
        <f>iF('Ingest Template'!A396="Standard",'Ingest Template'!K396&amp;CHAR(10)&amp;'Ingest Template'!L396,"Competitive View")</f>
        <v>Competitive View</v>
      </c>
      <c r="L396" s="29" t="s">
        <v>146</v>
      </c>
      <c r="M396" s="37" t="str">
        <f>'Ingest Template'!D396</f>
        <v/>
      </c>
      <c r="N396" s="21"/>
      <c r="O396" s="21"/>
      <c r="P396" s="21"/>
      <c r="Q396" s="21"/>
      <c r="R396" s="21" t="str">
        <f>'Ingest Template'!E396</f>
        <v/>
      </c>
      <c r="S396" s="29" t="s">
        <v>153</v>
      </c>
      <c r="T396" s="21" t="str">
        <f>'Ingest Template'!T396</f>
        <v/>
      </c>
      <c r="U396" s="21" t="str">
        <f>'Ingest Template'!S396</f>
        <v/>
      </c>
      <c r="V396" s="21" t="str">
        <f>LOWER(SUBSTITUTE(SUBSTITUTE(SUBSTITUTE(SUBSTITUTE(SUBSTITUTE('Ingest Template'!U396,"https:",""),"www.",""),"/",""),"?hl=en",""),"instagram.com",""))</f>
        <v/>
      </c>
      <c r="W396" s="41" t="str">
        <f t="array" ref="W396">IF('Ingest Template'!V396="",(INDEX(DropDown!$L$2:$L$392,MATCH('Ingest Template'!E396,DropDown!$J$2:$J$392,0))&amp;"|"&amp;'Ingest Template'!B396),(INDEX(DropDown!$L$2:$L$392,MATCH('Ingest Template'!E396,DropDown!$J$2:$J$392,0))&amp;"|"&amp;'Ingest Template'!B396)&amp;CHAR(10)&amp;'Ingest Template'!V396)</f>
        <v>#N/A</v>
      </c>
      <c r="X396" s="41" t="str">
        <f>'Ingest Template'!W396</f>
        <v/>
      </c>
      <c r="Y396" s="21" t="str">
        <f>SUBSTITUTE(SUBSTITUTE(SUBSTITUTE('Ingest Template'!X396,"http:",""),"https:",""),"/","")</f>
        <v/>
      </c>
      <c r="Z396" s="21" t="str">
        <f t="array" ref="Z396">IF('Ingest Template'!A396="Standard",(IF(ISBLANK('Ingest Template'!AA396),"", 'Ingest Template'!AA396&amp;"|DAR")),(IF(ISBLANK('Ingest Template'!AA396),"", 'Ingest Template'!AA396&amp;"|Film Ops")))</f>
        <v/>
      </c>
      <c r="AA396" s="21"/>
      <c r="AB396" s="21" t="str">
        <f>'Ingest Template'!M396</f>
        <v/>
      </c>
      <c r="AC396" s="21" t="str">
        <f>'Ingest Template'!Y396</f>
        <v/>
      </c>
      <c r="AD396" s="21" t="str">
        <f>'Ingest Template'!C396</f>
        <v/>
      </c>
      <c r="AE396" s="21" t="str">
        <f>'Ingest Template'!Z396</f>
        <v/>
      </c>
      <c r="AF396" s="29"/>
      <c r="AG396" s="21" t="str">
        <f t="array" ref="AG396">IF('Ingest Template'!A396="Standard",(CONCATENATE(IF(ISBLANK('Ingest Template'!O396),"", 'Ingest Template'!O396&amp;"|DAR"),CHAR(10), IF(ISBLANK('Ingest Template'!P396),"", 'Ingest Template'!P396&amp;"|DAR"),CHAR(10), IF(ISBLANK('Ingest Template'!Q396),"", 'Ingest Template'!Q396&amp;"|DAR"))),(CONCATENATE(IF(ISBLANK('Ingest Template'!O396),"", 'Ingest Template'!O396&amp;"|Operations - Core Title"),CHAR(10), IF(ISBLANK('Ingest Template'!P396),"", 'Ingest Template'!P396&amp;"|Operations - Core Title"),CHAR(10), IF(ISBLANK('Ingest Template'!Q396),"", 'Ingest Template'!Q396&amp;"|Operations - Core Title"))))</f>
        <v>#|Operations - Core Title
#|Operations - Core Title
</v>
      </c>
      <c r="AH396" s="21"/>
      <c r="AI396" s="21"/>
      <c r="AJ396" s="53" t="str">
        <f>if('Ingest Template'!A396="Standard",'Ingest Template'!N396&amp; "|DAR|DAR|2021-01-01",'Ingest Template'!N396&amp; "|Operations - Core Title|Operations - Core Title")</f>
        <v>#N/A</v>
      </c>
      <c r="AK396" s="53" t="str">
        <f>if('Ingest Template'!A396="Standard",'Ingest Template'!R396&amp; "|2021-01-01",'Ingest Template'!R396)</f>
        <v>#N/A</v>
      </c>
      <c r="AL396" s="21"/>
      <c r="AM396" s="21"/>
    </row>
    <row r="397">
      <c r="A397" s="21"/>
      <c r="B397" s="21" t="str">
        <f>'Ingest Template'!B397&amp;IF('Ingest Template'!A397 = "Standard", " - DAR","")</f>
        <v/>
      </c>
      <c r="C397" s="26" t="s">
        <v>109</v>
      </c>
      <c r="D397" s="29" t="str">
        <f t="array" ref="D397">CONCATENATE(INDEX(DropDown!$H$2:$H$10,MATCH(1,COUNTIF('Ingest Template'!F397,"*"&amp;DropDown!$H$2:$H$10&amp;"*"),0)),CHAR(10),'Ingest Template'!G397)</f>
        <v>#N/A</v>
      </c>
      <c r="E397" s="21" t="str">
        <f>CONCATENATE('Ingest Template'!H397,CHAR(10),'Ingest Template'!I397,CHAR(10),'Ingest Template'!J397)</f>
        <v>
</v>
      </c>
      <c r="F397" s="26" t="str">
        <f>'Ingest Template'!H397</f>
        <v/>
      </c>
      <c r="G397" s="21"/>
      <c r="H397" s="29"/>
      <c r="I397" s="21"/>
      <c r="J397" s="29" t="str">
        <f t="array" ref="J397">iF('Ingest Template'!A397="Standard","Pristine Brand",INDEX(DropDown!$M$2:$M$392,MATCH('Ingest Template'!E397,DropDown!$J$2:$J$392,0)))</f>
        <v>#N/A</v>
      </c>
      <c r="K397" s="21" t="str">
        <f>iF('Ingest Template'!A397="Standard",'Ingest Template'!K397&amp;CHAR(10)&amp;'Ingest Template'!L397,"Competitive View")</f>
        <v>Competitive View</v>
      </c>
      <c r="L397" s="29" t="s">
        <v>146</v>
      </c>
      <c r="M397" s="37" t="str">
        <f>'Ingest Template'!D397</f>
        <v/>
      </c>
      <c r="N397" s="21"/>
      <c r="O397" s="21"/>
      <c r="P397" s="21"/>
      <c r="Q397" s="21"/>
      <c r="R397" s="21" t="str">
        <f>'Ingest Template'!E397</f>
        <v/>
      </c>
      <c r="S397" s="29" t="s">
        <v>153</v>
      </c>
      <c r="T397" s="21" t="str">
        <f>'Ingest Template'!T397</f>
        <v/>
      </c>
      <c r="U397" s="21" t="str">
        <f>'Ingest Template'!S397</f>
        <v/>
      </c>
      <c r="V397" s="21" t="str">
        <f>LOWER(SUBSTITUTE(SUBSTITUTE(SUBSTITUTE(SUBSTITUTE(SUBSTITUTE('Ingest Template'!U397,"https:",""),"www.",""),"/",""),"?hl=en",""),"instagram.com",""))</f>
        <v/>
      </c>
      <c r="W397" s="41" t="str">
        <f t="array" ref="W397">IF('Ingest Template'!V397="",(INDEX(DropDown!$L$2:$L$392,MATCH('Ingest Template'!E397,DropDown!$J$2:$J$392,0))&amp;"|"&amp;'Ingest Template'!B397),(INDEX(DropDown!$L$2:$L$392,MATCH('Ingest Template'!E397,DropDown!$J$2:$J$392,0))&amp;"|"&amp;'Ingest Template'!B397)&amp;CHAR(10)&amp;'Ingest Template'!V397)</f>
        <v>#N/A</v>
      </c>
      <c r="X397" s="41" t="str">
        <f>'Ingest Template'!W397</f>
        <v/>
      </c>
      <c r="Y397" s="21" t="str">
        <f>SUBSTITUTE(SUBSTITUTE(SUBSTITUTE('Ingest Template'!X397,"http:",""),"https:",""),"/","")</f>
        <v/>
      </c>
      <c r="Z397" s="21" t="str">
        <f t="array" ref="Z397">IF('Ingest Template'!A397="Standard",(IF(ISBLANK('Ingest Template'!AA397),"", 'Ingest Template'!AA397&amp;"|DAR")),(IF(ISBLANK('Ingest Template'!AA397),"", 'Ingest Template'!AA397&amp;"|Film Ops")))</f>
        <v/>
      </c>
      <c r="AA397" s="21"/>
      <c r="AB397" s="21" t="str">
        <f>'Ingest Template'!M397</f>
        <v/>
      </c>
      <c r="AC397" s="21" t="str">
        <f>'Ingest Template'!Y397</f>
        <v/>
      </c>
      <c r="AD397" s="21" t="str">
        <f>'Ingest Template'!C397</f>
        <v/>
      </c>
      <c r="AE397" s="21" t="str">
        <f>'Ingest Template'!Z397</f>
        <v/>
      </c>
      <c r="AF397" s="29"/>
      <c r="AG397" s="21" t="str">
        <f t="array" ref="AG397">IF('Ingest Template'!A397="Standard",(CONCATENATE(IF(ISBLANK('Ingest Template'!O397),"", 'Ingest Template'!O397&amp;"|DAR"),CHAR(10), IF(ISBLANK('Ingest Template'!P397),"", 'Ingest Template'!P397&amp;"|DAR"),CHAR(10), IF(ISBLANK('Ingest Template'!Q397),"", 'Ingest Template'!Q397&amp;"|DAR"))),(CONCATENATE(IF(ISBLANK('Ingest Template'!O397),"", 'Ingest Template'!O397&amp;"|Operations - Core Title"),CHAR(10), IF(ISBLANK('Ingest Template'!P397),"", 'Ingest Template'!P397&amp;"|Operations - Core Title"),CHAR(10), IF(ISBLANK('Ingest Template'!Q397),"", 'Ingest Template'!Q397&amp;"|Operations - Core Title"))))</f>
        <v>#|Operations - Core Title
#|Operations - Core Title
</v>
      </c>
      <c r="AH397" s="21"/>
      <c r="AI397" s="21"/>
      <c r="AJ397" s="53" t="str">
        <f>if('Ingest Template'!A397="Standard",'Ingest Template'!N397&amp; "|DAR|DAR|2021-01-01",'Ingest Template'!N397&amp; "|Operations - Core Title|Operations - Core Title")</f>
        <v>#N/A</v>
      </c>
      <c r="AK397" s="53" t="str">
        <f>if('Ingest Template'!A397="Standard",'Ingest Template'!R397&amp; "|2021-01-01",'Ingest Template'!R397)</f>
        <v>#N/A</v>
      </c>
      <c r="AL397" s="21"/>
      <c r="AM397" s="21"/>
    </row>
    <row r="398">
      <c r="A398" s="21"/>
      <c r="B398" s="21" t="str">
        <f>'Ingest Template'!B398&amp;IF('Ingest Template'!A398 = "Standard", " - DAR","")</f>
        <v/>
      </c>
      <c r="C398" s="26" t="s">
        <v>109</v>
      </c>
      <c r="D398" s="29" t="str">
        <f t="array" ref="D398">CONCATENATE(INDEX(DropDown!$H$2:$H$10,MATCH(1,COUNTIF('Ingest Template'!F398,"*"&amp;DropDown!$H$2:$H$10&amp;"*"),0)),CHAR(10),'Ingest Template'!G398)</f>
        <v>#N/A</v>
      </c>
      <c r="E398" s="21" t="str">
        <f>CONCATENATE('Ingest Template'!H398,CHAR(10),'Ingest Template'!I398,CHAR(10),'Ingest Template'!J398)</f>
        <v>
</v>
      </c>
      <c r="F398" s="26" t="str">
        <f>'Ingest Template'!H398</f>
        <v/>
      </c>
      <c r="G398" s="21"/>
      <c r="H398" s="29"/>
      <c r="I398" s="21"/>
      <c r="J398" s="29" t="str">
        <f t="array" ref="J398">iF('Ingest Template'!A398="Standard","Pristine Brand",INDEX(DropDown!$M$2:$M$392,MATCH('Ingest Template'!E398,DropDown!$J$2:$J$392,0)))</f>
        <v>#N/A</v>
      </c>
      <c r="K398" s="21" t="str">
        <f>iF('Ingest Template'!A398="Standard",'Ingest Template'!K398&amp;CHAR(10)&amp;'Ingest Template'!L398,"Competitive View")</f>
        <v>Competitive View</v>
      </c>
      <c r="L398" s="29" t="s">
        <v>146</v>
      </c>
      <c r="M398" s="37" t="str">
        <f>'Ingest Template'!D398</f>
        <v/>
      </c>
      <c r="N398" s="21"/>
      <c r="O398" s="21"/>
      <c r="P398" s="21"/>
      <c r="Q398" s="21"/>
      <c r="R398" s="21" t="str">
        <f>'Ingest Template'!E398</f>
        <v/>
      </c>
      <c r="S398" s="29" t="s">
        <v>153</v>
      </c>
      <c r="T398" s="21" t="str">
        <f>'Ingest Template'!T398</f>
        <v/>
      </c>
      <c r="U398" s="21" t="str">
        <f>'Ingest Template'!S398</f>
        <v/>
      </c>
      <c r="V398" s="21" t="str">
        <f>LOWER(SUBSTITUTE(SUBSTITUTE(SUBSTITUTE(SUBSTITUTE(SUBSTITUTE('Ingest Template'!U398,"https:",""),"www.",""),"/",""),"?hl=en",""),"instagram.com",""))</f>
        <v/>
      </c>
      <c r="W398" s="41" t="str">
        <f t="array" ref="W398">IF('Ingest Template'!V398="",(INDEX(DropDown!$L$2:$L$392,MATCH('Ingest Template'!E398,DropDown!$J$2:$J$392,0))&amp;"|"&amp;'Ingest Template'!B398),(INDEX(DropDown!$L$2:$L$392,MATCH('Ingest Template'!E398,DropDown!$J$2:$J$392,0))&amp;"|"&amp;'Ingest Template'!B398)&amp;CHAR(10)&amp;'Ingest Template'!V398)</f>
        <v>#N/A</v>
      </c>
      <c r="X398" s="41" t="str">
        <f>'Ingest Template'!W398</f>
        <v/>
      </c>
      <c r="Y398" s="21" t="str">
        <f>SUBSTITUTE(SUBSTITUTE(SUBSTITUTE('Ingest Template'!X398,"http:",""),"https:",""),"/","")</f>
        <v/>
      </c>
      <c r="Z398" s="21" t="str">
        <f t="array" ref="Z398">IF('Ingest Template'!A398="Standard",(IF(ISBLANK('Ingest Template'!AA398),"", 'Ingest Template'!AA398&amp;"|DAR")),(IF(ISBLANK('Ingest Template'!AA398),"", 'Ingest Template'!AA398&amp;"|Film Ops")))</f>
        <v/>
      </c>
      <c r="AA398" s="21"/>
      <c r="AB398" s="21" t="str">
        <f>'Ingest Template'!M398</f>
        <v/>
      </c>
      <c r="AC398" s="21" t="str">
        <f>'Ingest Template'!Y398</f>
        <v/>
      </c>
      <c r="AD398" s="21" t="str">
        <f>'Ingest Template'!C398</f>
        <v/>
      </c>
      <c r="AE398" s="21" t="str">
        <f>'Ingest Template'!Z398</f>
        <v/>
      </c>
      <c r="AF398" s="29"/>
      <c r="AG398" s="21" t="str">
        <f t="array" ref="AG398">IF('Ingest Template'!A398="Standard",(CONCATENATE(IF(ISBLANK('Ingest Template'!O398),"", 'Ingest Template'!O398&amp;"|DAR"),CHAR(10), IF(ISBLANK('Ingest Template'!P398),"", 'Ingest Template'!P398&amp;"|DAR"),CHAR(10), IF(ISBLANK('Ingest Template'!Q398),"", 'Ingest Template'!Q398&amp;"|DAR"))),(CONCATENATE(IF(ISBLANK('Ingest Template'!O398),"", 'Ingest Template'!O398&amp;"|Operations - Core Title"),CHAR(10), IF(ISBLANK('Ingest Template'!P398),"", 'Ingest Template'!P398&amp;"|Operations - Core Title"),CHAR(10), IF(ISBLANK('Ingest Template'!Q398),"", 'Ingest Template'!Q398&amp;"|Operations - Core Title"))))</f>
        <v>#|Operations - Core Title
#|Operations - Core Title
</v>
      </c>
      <c r="AH398" s="21"/>
      <c r="AI398" s="21"/>
      <c r="AJ398" s="53" t="str">
        <f>if('Ingest Template'!A398="Standard",'Ingest Template'!N398&amp; "|DAR|DAR|2021-01-01",'Ingest Template'!N398&amp; "|Operations - Core Title|Operations - Core Title")</f>
        <v>#N/A</v>
      </c>
      <c r="AK398" s="53" t="str">
        <f>if('Ingest Template'!A398="Standard",'Ingest Template'!R398&amp; "|2021-01-01",'Ingest Template'!R398)</f>
        <v>#N/A</v>
      </c>
      <c r="AL398" s="21"/>
      <c r="AM398" s="21"/>
    </row>
    <row r="399">
      <c r="A399" s="21"/>
      <c r="B399" s="21" t="str">
        <f>'Ingest Template'!B399&amp;IF('Ingest Template'!A399 = "Standard", " - DAR","")</f>
        <v/>
      </c>
      <c r="C399" s="26" t="s">
        <v>109</v>
      </c>
      <c r="D399" s="29" t="str">
        <f t="array" ref="D399">CONCATENATE(INDEX(DropDown!$H$2:$H$10,MATCH(1,COUNTIF('Ingest Template'!F399,"*"&amp;DropDown!$H$2:$H$10&amp;"*"),0)),CHAR(10),'Ingest Template'!G399)</f>
        <v>#N/A</v>
      </c>
      <c r="E399" s="21" t="str">
        <f>CONCATENATE('Ingest Template'!H399,CHAR(10),'Ingest Template'!I399,CHAR(10),'Ingest Template'!J399)</f>
        <v>
</v>
      </c>
      <c r="F399" s="26" t="str">
        <f>'Ingest Template'!H399</f>
        <v/>
      </c>
      <c r="G399" s="21"/>
      <c r="H399" s="29"/>
      <c r="I399" s="21"/>
      <c r="J399" s="29" t="str">
        <f t="array" ref="J399">iF('Ingest Template'!A399="Standard","Pristine Brand",INDEX(DropDown!$M$2:$M$392,MATCH('Ingest Template'!E399,DropDown!$J$2:$J$392,0)))</f>
        <v>#N/A</v>
      </c>
      <c r="K399" s="21" t="str">
        <f>iF('Ingest Template'!A399="Standard",'Ingest Template'!K399&amp;CHAR(10)&amp;'Ingest Template'!L399,"Competitive View")</f>
        <v>Competitive View</v>
      </c>
      <c r="L399" s="29" t="s">
        <v>146</v>
      </c>
      <c r="M399" s="37" t="str">
        <f>'Ingest Template'!D399</f>
        <v/>
      </c>
      <c r="N399" s="21"/>
      <c r="O399" s="21"/>
      <c r="P399" s="21"/>
      <c r="Q399" s="21"/>
      <c r="R399" s="21" t="str">
        <f>'Ingest Template'!E399</f>
        <v/>
      </c>
      <c r="S399" s="29" t="s">
        <v>153</v>
      </c>
      <c r="T399" s="21" t="str">
        <f>'Ingest Template'!T399</f>
        <v/>
      </c>
      <c r="U399" s="21" t="str">
        <f>'Ingest Template'!S399</f>
        <v/>
      </c>
      <c r="V399" s="21" t="str">
        <f>LOWER(SUBSTITUTE(SUBSTITUTE(SUBSTITUTE(SUBSTITUTE(SUBSTITUTE('Ingest Template'!U399,"https:",""),"www.",""),"/",""),"?hl=en",""),"instagram.com",""))</f>
        <v/>
      </c>
      <c r="W399" s="41" t="str">
        <f t="array" ref="W399">IF('Ingest Template'!V399="",(INDEX(DropDown!$L$2:$L$392,MATCH('Ingest Template'!E399,DropDown!$J$2:$J$392,0))&amp;"|"&amp;'Ingest Template'!B399),(INDEX(DropDown!$L$2:$L$392,MATCH('Ingest Template'!E399,DropDown!$J$2:$J$392,0))&amp;"|"&amp;'Ingest Template'!B399)&amp;CHAR(10)&amp;'Ingest Template'!V399)</f>
        <v>#N/A</v>
      </c>
      <c r="X399" s="41" t="str">
        <f>'Ingest Template'!W399</f>
        <v/>
      </c>
      <c r="Y399" s="21" t="str">
        <f>SUBSTITUTE(SUBSTITUTE(SUBSTITUTE('Ingest Template'!X399,"http:",""),"https:",""),"/","")</f>
        <v/>
      </c>
      <c r="Z399" s="21" t="str">
        <f t="array" ref="Z399">IF('Ingest Template'!A399="Standard",(IF(ISBLANK('Ingest Template'!AA399),"", 'Ingest Template'!AA399&amp;"|DAR")),(IF(ISBLANK('Ingest Template'!AA399),"", 'Ingest Template'!AA399&amp;"|Film Ops")))</f>
        <v/>
      </c>
      <c r="AA399" s="21"/>
      <c r="AB399" s="21" t="str">
        <f>'Ingest Template'!M399</f>
        <v/>
      </c>
      <c r="AC399" s="21" t="str">
        <f>'Ingest Template'!Y399</f>
        <v/>
      </c>
      <c r="AD399" s="21" t="str">
        <f>'Ingest Template'!C399</f>
        <v/>
      </c>
      <c r="AE399" s="21" t="str">
        <f>'Ingest Template'!Z399</f>
        <v/>
      </c>
      <c r="AF399" s="29"/>
      <c r="AG399" s="21" t="str">
        <f t="array" ref="AG399">IF('Ingest Template'!A399="Standard",(CONCATENATE(IF(ISBLANK('Ingest Template'!O399),"", 'Ingest Template'!O399&amp;"|DAR"),CHAR(10), IF(ISBLANK('Ingest Template'!P399),"", 'Ingest Template'!P399&amp;"|DAR"),CHAR(10), IF(ISBLANK('Ingest Template'!Q399),"", 'Ingest Template'!Q399&amp;"|DAR"))),(CONCATENATE(IF(ISBLANK('Ingest Template'!O399),"", 'Ingest Template'!O399&amp;"|Operations - Core Title"),CHAR(10), IF(ISBLANK('Ingest Template'!P399),"", 'Ingest Template'!P399&amp;"|Operations - Core Title"),CHAR(10), IF(ISBLANK('Ingest Template'!Q399),"", 'Ingest Template'!Q399&amp;"|Operations - Core Title"))))</f>
        <v>#|Operations - Core Title
#|Operations - Core Title
</v>
      </c>
      <c r="AH399" s="21"/>
      <c r="AI399" s="21"/>
      <c r="AJ399" s="53" t="str">
        <f>if('Ingest Template'!A399="Standard",'Ingest Template'!N399&amp; "|DAR|DAR|2021-01-01",'Ingest Template'!N399&amp; "|Operations - Core Title|Operations - Core Title")</f>
        <v>#N/A</v>
      </c>
      <c r="AK399" s="53" t="str">
        <f>if('Ingest Template'!A399="Standard",'Ingest Template'!R399&amp; "|2021-01-01",'Ingest Template'!R399)</f>
        <v>#N/A</v>
      </c>
      <c r="AL399" s="21"/>
      <c r="AM399" s="21"/>
    </row>
    <row r="400">
      <c r="A400" s="21"/>
      <c r="B400" s="21" t="str">
        <f>'Ingest Template'!B400&amp;IF('Ingest Template'!A400 = "Standard", " - DAR","")</f>
        <v/>
      </c>
      <c r="C400" s="26" t="s">
        <v>109</v>
      </c>
      <c r="D400" s="29" t="str">
        <f t="array" ref="D400">CONCATENATE(INDEX(DropDown!$H$2:$H$10,MATCH(1,COUNTIF('Ingest Template'!F400,"*"&amp;DropDown!$H$2:$H$10&amp;"*"),0)),CHAR(10),'Ingest Template'!G400)</f>
        <v>#N/A</v>
      </c>
      <c r="E400" s="21" t="str">
        <f>CONCATENATE('Ingest Template'!H400,CHAR(10),'Ingest Template'!I400,CHAR(10),'Ingest Template'!J400)</f>
        <v>
</v>
      </c>
      <c r="F400" s="26" t="str">
        <f>'Ingest Template'!H400</f>
        <v/>
      </c>
      <c r="G400" s="21"/>
      <c r="H400" s="29"/>
      <c r="I400" s="21"/>
      <c r="J400" s="29" t="str">
        <f t="array" ref="J400">iF('Ingest Template'!A400="Standard","Pristine Brand",INDEX(DropDown!$M$2:$M$392,MATCH('Ingest Template'!E400,DropDown!$J$2:$J$392,0)))</f>
        <v>#N/A</v>
      </c>
      <c r="K400" s="21" t="str">
        <f>iF('Ingest Template'!A400="Standard",'Ingest Template'!K400&amp;CHAR(10)&amp;'Ingest Template'!L400,"Competitive View")</f>
        <v>Competitive View</v>
      </c>
      <c r="L400" s="29" t="s">
        <v>146</v>
      </c>
      <c r="M400" s="37" t="str">
        <f>'Ingest Template'!D400</f>
        <v/>
      </c>
      <c r="N400" s="21"/>
      <c r="O400" s="21"/>
      <c r="P400" s="21"/>
      <c r="Q400" s="21"/>
      <c r="R400" s="21" t="str">
        <f>'Ingest Template'!E400</f>
        <v/>
      </c>
      <c r="S400" s="29" t="s">
        <v>153</v>
      </c>
      <c r="T400" s="21" t="str">
        <f>'Ingest Template'!T400</f>
        <v/>
      </c>
      <c r="U400" s="21" t="str">
        <f>'Ingest Template'!S400</f>
        <v/>
      </c>
      <c r="V400" s="21" t="str">
        <f>LOWER(SUBSTITUTE(SUBSTITUTE(SUBSTITUTE(SUBSTITUTE(SUBSTITUTE('Ingest Template'!U400,"https:",""),"www.",""),"/",""),"?hl=en",""),"instagram.com",""))</f>
        <v/>
      </c>
      <c r="W400" s="41" t="str">
        <f t="array" ref="W400">IF('Ingest Template'!V400="",(INDEX(DropDown!$L$2:$L$392,MATCH('Ingest Template'!E400,DropDown!$J$2:$J$392,0))&amp;"|"&amp;'Ingest Template'!B400),(INDEX(DropDown!$L$2:$L$392,MATCH('Ingest Template'!E400,DropDown!$J$2:$J$392,0))&amp;"|"&amp;'Ingest Template'!B400)&amp;CHAR(10)&amp;'Ingest Template'!V400)</f>
        <v>#N/A</v>
      </c>
      <c r="X400" s="41" t="str">
        <f>'Ingest Template'!W400</f>
        <v/>
      </c>
      <c r="Y400" s="21" t="str">
        <f>SUBSTITUTE(SUBSTITUTE(SUBSTITUTE('Ingest Template'!X400,"http:",""),"https:",""),"/","")</f>
        <v/>
      </c>
      <c r="Z400" s="21" t="str">
        <f t="array" ref="Z400">IF('Ingest Template'!A400="Standard",(IF(ISBLANK('Ingest Template'!AA400),"", 'Ingest Template'!AA400&amp;"|DAR")),(IF(ISBLANK('Ingest Template'!AA400),"", 'Ingest Template'!AA400&amp;"|Film Ops")))</f>
        <v/>
      </c>
      <c r="AA400" s="21"/>
      <c r="AB400" s="21" t="str">
        <f>'Ingest Template'!M400</f>
        <v/>
      </c>
      <c r="AC400" s="21" t="str">
        <f>'Ingest Template'!Y400</f>
        <v/>
      </c>
      <c r="AD400" s="21" t="str">
        <f>'Ingest Template'!C400</f>
        <v/>
      </c>
      <c r="AE400" s="21" t="str">
        <f>'Ingest Template'!Z400</f>
        <v/>
      </c>
      <c r="AF400" s="29"/>
      <c r="AG400" s="21" t="str">
        <f t="array" ref="AG400">IF('Ingest Template'!A400="Standard",(CONCATENATE(IF(ISBLANK('Ingest Template'!O400),"", 'Ingest Template'!O400&amp;"|DAR"),CHAR(10), IF(ISBLANK('Ingest Template'!P400),"", 'Ingest Template'!P400&amp;"|DAR"),CHAR(10), IF(ISBLANK('Ingest Template'!Q400),"", 'Ingest Template'!Q400&amp;"|DAR"))),(CONCATENATE(IF(ISBLANK('Ingest Template'!O400),"", 'Ingest Template'!O400&amp;"|Operations - Core Title"),CHAR(10), IF(ISBLANK('Ingest Template'!P400),"", 'Ingest Template'!P400&amp;"|Operations - Core Title"),CHAR(10), IF(ISBLANK('Ingest Template'!Q400),"", 'Ingest Template'!Q400&amp;"|Operations - Core Title"))))</f>
        <v>#|Operations - Core Title
#|Operations - Core Title
</v>
      </c>
      <c r="AH400" s="21"/>
      <c r="AI400" s="21"/>
      <c r="AJ400" s="53" t="str">
        <f>if('Ingest Template'!A400="Standard",'Ingest Template'!N400&amp; "|DAR|DAR|2021-01-01",'Ingest Template'!N400&amp; "|Operations - Core Title|Operations - Core Title")</f>
        <v>#N/A</v>
      </c>
      <c r="AK400" s="53" t="str">
        <f>if('Ingest Template'!A400="Standard",'Ingest Template'!R400&amp; "|2021-01-01",'Ingest Template'!R400)</f>
        <v>#N/A</v>
      </c>
      <c r="AL400" s="21"/>
      <c r="AM400" s="21"/>
    </row>
    <row r="401">
      <c r="A401" s="21"/>
      <c r="B401" s="21" t="str">
        <f>'Ingest Template'!B401&amp;IF('Ingest Template'!A401 = "Standard", " - DAR","")</f>
        <v/>
      </c>
      <c r="C401" s="26" t="s">
        <v>109</v>
      </c>
      <c r="D401" s="29" t="str">
        <f t="array" ref="D401">CONCATENATE(INDEX(DropDown!$H$2:$H$10,MATCH(1,COUNTIF('Ingest Template'!F401,"*"&amp;DropDown!$H$2:$H$10&amp;"*"),0)),CHAR(10),'Ingest Template'!G401)</f>
        <v>#N/A</v>
      </c>
      <c r="E401" s="21" t="str">
        <f>CONCATENATE('Ingest Template'!H401,CHAR(10),'Ingest Template'!I401,CHAR(10),'Ingest Template'!J401)</f>
        <v>
</v>
      </c>
      <c r="F401" s="26" t="str">
        <f>'Ingest Template'!H401</f>
        <v/>
      </c>
      <c r="G401" s="21"/>
      <c r="H401" s="29"/>
      <c r="I401" s="21"/>
      <c r="J401" s="29" t="str">
        <f t="array" ref="J401">iF('Ingest Template'!A401="Standard","Pristine Brand",INDEX(DropDown!$M$2:$M$392,MATCH('Ingest Template'!E401,DropDown!$J$2:$J$392,0)))</f>
        <v>#N/A</v>
      </c>
      <c r="K401" s="21" t="str">
        <f>iF('Ingest Template'!A401="Standard",'Ingest Template'!K401&amp;CHAR(10)&amp;'Ingest Template'!L401,"Competitive View")</f>
        <v>Competitive View</v>
      </c>
      <c r="L401" s="29" t="s">
        <v>146</v>
      </c>
      <c r="M401" s="37" t="str">
        <f>'Ingest Template'!D401</f>
        <v/>
      </c>
      <c r="N401" s="21"/>
      <c r="O401" s="21"/>
      <c r="P401" s="21"/>
      <c r="Q401" s="21"/>
      <c r="R401" s="21" t="str">
        <f>'Ingest Template'!E401</f>
        <v/>
      </c>
      <c r="S401" s="29" t="s">
        <v>153</v>
      </c>
      <c r="T401" s="21" t="str">
        <f>'Ingest Template'!T401</f>
        <v/>
      </c>
      <c r="U401" s="21" t="str">
        <f>'Ingest Template'!S401</f>
        <v/>
      </c>
      <c r="V401" s="21" t="str">
        <f>LOWER(SUBSTITUTE(SUBSTITUTE(SUBSTITUTE(SUBSTITUTE(SUBSTITUTE('Ingest Template'!U401,"https:",""),"www.",""),"/",""),"?hl=en",""),"instagram.com",""))</f>
        <v/>
      </c>
      <c r="W401" s="41" t="str">
        <f t="array" ref="W401">IF('Ingest Template'!V401="",(INDEX(DropDown!$L$2:$L$392,MATCH('Ingest Template'!E401,DropDown!$J$2:$J$392,0))&amp;"|"&amp;'Ingest Template'!B401),(INDEX(DropDown!$L$2:$L$392,MATCH('Ingest Template'!E401,DropDown!$J$2:$J$392,0))&amp;"|"&amp;'Ingest Template'!B401)&amp;CHAR(10)&amp;'Ingest Template'!V401)</f>
        <v>#N/A</v>
      </c>
      <c r="X401" s="41" t="str">
        <f>'Ingest Template'!W401</f>
        <v/>
      </c>
      <c r="Y401" s="21" t="str">
        <f>SUBSTITUTE(SUBSTITUTE(SUBSTITUTE('Ingest Template'!X401,"http:",""),"https:",""),"/","")</f>
        <v/>
      </c>
      <c r="Z401" s="21" t="str">
        <f t="array" ref="Z401">IF('Ingest Template'!A401="Standard",(IF(ISBLANK('Ingest Template'!AA401),"", 'Ingest Template'!AA401&amp;"|DAR")),(IF(ISBLANK('Ingest Template'!AA401),"", 'Ingest Template'!AA401&amp;"|Film Ops")))</f>
        <v/>
      </c>
      <c r="AA401" s="21"/>
      <c r="AB401" s="21" t="str">
        <f>'Ingest Template'!M401</f>
        <v/>
      </c>
      <c r="AC401" s="21" t="str">
        <f>'Ingest Template'!Y401</f>
        <v/>
      </c>
      <c r="AD401" s="21" t="str">
        <f>'Ingest Template'!C401</f>
        <v/>
      </c>
      <c r="AE401" s="21" t="str">
        <f>'Ingest Template'!Z401</f>
        <v/>
      </c>
      <c r="AF401" s="29"/>
      <c r="AG401" s="21" t="str">
        <f t="array" ref="AG401">IF('Ingest Template'!A401="Standard",(CONCATENATE(IF(ISBLANK('Ingest Template'!O401),"", 'Ingest Template'!O401&amp;"|DAR"),CHAR(10), IF(ISBLANK('Ingest Template'!P401),"", 'Ingest Template'!P401&amp;"|DAR"),CHAR(10), IF(ISBLANK('Ingest Template'!Q401),"", 'Ingest Template'!Q401&amp;"|DAR"))),(CONCATENATE(IF(ISBLANK('Ingest Template'!O401),"", 'Ingest Template'!O401&amp;"|Operations - Core Title"),CHAR(10), IF(ISBLANK('Ingest Template'!P401),"", 'Ingest Template'!P401&amp;"|Operations - Core Title"),CHAR(10), IF(ISBLANK('Ingest Template'!Q401),"", 'Ingest Template'!Q401&amp;"|Operations - Core Title"))))</f>
        <v>#|Operations - Core Title
#|Operations - Core Title
</v>
      </c>
      <c r="AH401" s="21"/>
      <c r="AI401" s="21"/>
      <c r="AJ401" s="53" t="str">
        <f>if('Ingest Template'!A401="Standard",'Ingest Template'!N401&amp; "|DAR|DAR|2021-01-01",'Ingest Template'!N401&amp; "|Operations - Core Title|Operations - Core Title")</f>
        <v>#N/A</v>
      </c>
      <c r="AK401" s="53" t="str">
        <f>if('Ingest Template'!A401="Standard",'Ingest Template'!R401&amp; "|2021-01-01",'Ingest Template'!R401)</f>
        <v>#N/A</v>
      </c>
      <c r="AL401" s="21"/>
      <c r="AM401" s="21"/>
    </row>
    <row r="402">
      <c r="A402" s="21"/>
      <c r="B402" s="21" t="str">
        <f>'Ingest Template'!B402&amp;IF('Ingest Template'!A402 = "Standard", " - DAR","")</f>
        <v/>
      </c>
      <c r="C402" s="26" t="s">
        <v>109</v>
      </c>
      <c r="D402" s="29" t="str">
        <f t="array" ref="D402">CONCATENATE(INDEX(DropDown!$H$2:$H$10,MATCH(1,COUNTIF('Ingest Template'!F402,"*"&amp;DropDown!$H$2:$H$10&amp;"*"),0)),CHAR(10),'Ingest Template'!G402)</f>
        <v>#N/A</v>
      </c>
      <c r="E402" s="21" t="str">
        <f>CONCATENATE('Ingest Template'!H402,CHAR(10),'Ingest Template'!I402,CHAR(10),'Ingest Template'!J402)</f>
        <v>
</v>
      </c>
      <c r="F402" s="26" t="str">
        <f>'Ingest Template'!H402</f>
        <v/>
      </c>
      <c r="G402" s="21"/>
      <c r="H402" s="29"/>
      <c r="I402" s="21"/>
      <c r="J402" s="29" t="str">
        <f t="array" ref="J402">iF('Ingest Template'!A402="Standard","Pristine Brand",INDEX(DropDown!$M$2:$M$392,MATCH('Ingest Template'!E402,DropDown!$J$2:$J$392,0)))</f>
        <v>#N/A</v>
      </c>
      <c r="K402" s="21" t="str">
        <f>iF('Ingest Template'!A402="Standard",'Ingest Template'!K402&amp;CHAR(10)&amp;'Ingest Template'!L402,"Competitive View")</f>
        <v>Competitive View</v>
      </c>
      <c r="L402" s="29" t="s">
        <v>146</v>
      </c>
      <c r="M402" s="37" t="str">
        <f>'Ingest Template'!D402</f>
        <v/>
      </c>
      <c r="N402" s="21"/>
      <c r="O402" s="21"/>
      <c r="P402" s="21"/>
      <c r="Q402" s="21"/>
      <c r="R402" s="21" t="str">
        <f>'Ingest Template'!E402</f>
        <v/>
      </c>
      <c r="S402" s="29" t="s">
        <v>153</v>
      </c>
      <c r="T402" s="21" t="str">
        <f>'Ingest Template'!T402</f>
        <v/>
      </c>
      <c r="U402" s="21" t="str">
        <f>'Ingest Template'!S402</f>
        <v/>
      </c>
      <c r="V402" s="21" t="str">
        <f>LOWER(SUBSTITUTE(SUBSTITUTE(SUBSTITUTE(SUBSTITUTE(SUBSTITUTE('Ingest Template'!U402,"https:",""),"www.",""),"/",""),"?hl=en",""),"instagram.com",""))</f>
        <v/>
      </c>
      <c r="W402" s="41" t="str">
        <f t="array" ref="W402">IF('Ingest Template'!V402="",(INDEX(DropDown!$L$2:$L$392,MATCH('Ingest Template'!E402,DropDown!$J$2:$J$392,0))&amp;"|"&amp;'Ingest Template'!B402),(INDEX(DropDown!$L$2:$L$392,MATCH('Ingest Template'!E402,DropDown!$J$2:$J$392,0))&amp;"|"&amp;'Ingest Template'!B402)&amp;CHAR(10)&amp;'Ingest Template'!V402)</f>
        <v>#N/A</v>
      </c>
      <c r="X402" s="41" t="str">
        <f>'Ingest Template'!W402</f>
        <v/>
      </c>
      <c r="Y402" s="21" t="str">
        <f>SUBSTITUTE(SUBSTITUTE(SUBSTITUTE('Ingest Template'!X402,"http:",""),"https:",""),"/","")</f>
        <v/>
      </c>
      <c r="Z402" s="21" t="str">
        <f t="array" ref="Z402">IF('Ingest Template'!A402="Standard",(IF(ISBLANK('Ingest Template'!AA402),"", 'Ingest Template'!AA402&amp;"|DAR")),(IF(ISBLANK('Ingest Template'!AA402),"", 'Ingest Template'!AA402&amp;"|Film Ops")))</f>
        <v/>
      </c>
      <c r="AA402" s="21"/>
      <c r="AB402" s="21" t="str">
        <f>'Ingest Template'!M402</f>
        <v/>
      </c>
      <c r="AC402" s="21" t="str">
        <f>'Ingest Template'!Y402</f>
        <v/>
      </c>
      <c r="AD402" s="21" t="str">
        <f>'Ingest Template'!C402</f>
        <v/>
      </c>
      <c r="AE402" s="21" t="str">
        <f>'Ingest Template'!Z402</f>
        <v/>
      </c>
      <c r="AF402" s="29"/>
      <c r="AG402" s="21" t="str">
        <f t="array" ref="AG402">IF('Ingest Template'!A402="Standard",(CONCATENATE(IF(ISBLANK('Ingest Template'!O402),"", 'Ingest Template'!O402&amp;"|DAR"),CHAR(10), IF(ISBLANK('Ingest Template'!P402),"", 'Ingest Template'!P402&amp;"|DAR"),CHAR(10), IF(ISBLANK('Ingest Template'!Q402),"", 'Ingest Template'!Q402&amp;"|DAR"))),(CONCATENATE(IF(ISBLANK('Ingest Template'!O402),"", 'Ingest Template'!O402&amp;"|Operations - Core Title"),CHAR(10), IF(ISBLANK('Ingest Template'!P402),"", 'Ingest Template'!P402&amp;"|Operations - Core Title"),CHAR(10), IF(ISBLANK('Ingest Template'!Q402),"", 'Ingest Template'!Q402&amp;"|Operations - Core Title"))))</f>
        <v>#|Operations - Core Title
#|Operations - Core Title
</v>
      </c>
      <c r="AH402" s="21"/>
      <c r="AI402" s="21"/>
      <c r="AJ402" s="53" t="str">
        <f>if('Ingest Template'!A402="Standard",'Ingest Template'!N402&amp; "|DAR|DAR|2021-01-01",'Ingest Template'!N402&amp; "|Operations - Core Title|Operations - Core Title")</f>
        <v>#N/A</v>
      </c>
      <c r="AK402" s="53" t="str">
        <f>if('Ingest Template'!A402="Standard",'Ingest Template'!R402&amp; "|2021-01-01",'Ingest Template'!R402)</f>
        <v>#N/A</v>
      </c>
      <c r="AL402" s="21"/>
      <c r="AM402" s="21"/>
    </row>
    <row r="403">
      <c r="A403" s="21"/>
      <c r="B403" s="21" t="str">
        <f>'Ingest Template'!B403&amp;IF('Ingest Template'!A403 = "Standard", " - DAR","")</f>
        <v/>
      </c>
      <c r="C403" s="26" t="s">
        <v>109</v>
      </c>
      <c r="D403" s="29" t="str">
        <f t="array" ref="D403">CONCATENATE(INDEX(DropDown!$H$2:$H$10,MATCH(1,COUNTIF('Ingest Template'!F403,"*"&amp;DropDown!$H$2:$H$10&amp;"*"),0)),CHAR(10),'Ingest Template'!G403)</f>
        <v>#N/A</v>
      </c>
      <c r="E403" s="21" t="str">
        <f>CONCATENATE('Ingest Template'!H403,CHAR(10),'Ingest Template'!I403,CHAR(10),'Ingest Template'!J403)</f>
        <v>
</v>
      </c>
      <c r="F403" s="26" t="str">
        <f>'Ingest Template'!H403</f>
        <v/>
      </c>
      <c r="G403" s="21"/>
      <c r="H403" s="29"/>
      <c r="I403" s="21"/>
      <c r="J403" s="29" t="str">
        <f t="array" ref="J403">iF('Ingest Template'!A403="Standard","Pristine Brand",INDEX(DropDown!$M$2:$M$392,MATCH('Ingest Template'!E403,DropDown!$J$2:$J$392,0)))</f>
        <v>#N/A</v>
      </c>
      <c r="K403" s="21" t="str">
        <f>iF('Ingest Template'!A403="Standard",'Ingest Template'!K403&amp;CHAR(10)&amp;'Ingest Template'!L403,"Competitive View")</f>
        <v>Competitive View</v>
      </c>
      <c r="L403" s="29" t="s">
        <v>146</v>
      </c>
      <c r="M403" s="37" t="str">
        <f>'Ingest Template'!D403</f>
        <v/>
      </c>
      <c r="N403" s="21"/>
      <c r="O403" s="21"/>
      <c r="P403" s="21"/>
      <c r="Q403" s="21"/>
      <c r="R403" s="21" t="str">
        <f>'Ingest Template'!E403</f>
        <v/>
      </c>
      <c r="S403" s="29" t="s">
        <v>153</v>
      </c>
      <c r="T403" s="21" t="str">
        <f>'Ingest Template'!T403</f>
        <v/>
      </c>
      <c r="U403" s="21" t="str">
        <f>'Ingest Template'!S403</f>
        <v/>
      </c>
      <c r="V403" s="21" t="str">
        <f>LOWER(SUBSTITUTE(SUBSTITUTE(SUBSTITUTE(SUBSTITUTE(SUBSTITUTE('Ingest Template'!U403,"https:",""),"www.",""),"/",""),"?hl=en",""),"instagram.com",""))</f>
        <v/>
      </c>
      <c r="W403" s="41" t="str">
        <f t="array" ref="W403">IF('Ingest Template'!V403="",(INDEX(DropDown!$L$2:$L$392,MATCH('Ingest Template'!E403,DropDown!$J$2:$J$392,0))&amp;"|"&amp;'Ingest Template'!B403),(INDEX(DropDown!$L$2:$L$392,MATCH('Ingest Template'!E403,DropDown!$J$2:$J$392,0))&amp;"|"&amp;'Ingest Template'!B403)&amp;CHAR(10)&amp;'Ingest Template'!V403)</f>
        <v>#N/A</v>
      </c>
      <c r="X403" s="41" t="str">
        <f>'Ingest Template'!W403</f>
        <v/>
      </c>
      <c r="Y403" s="21" t="str">
        <f>SUBSTITUTE(SUBSTITUTE(SUBSTITUTE('Ingest Template'!X403,"http:",""),"https:",""),"/","")</f>
        <v/>
      </c>
      <c r="Z403" s="21" t="str">
        <f t="array" ref="Z403">IF('Ingest Template'!A403="Standard",(IF(ISBLANK('Ingest Template'!AA403),"", 'Ingest Template'!AA403&amp;"|DAR")),(IF(ISBLANK('Ingest Template'!AA403),"", 'Ingest Template'!AA403&amp;"|Film Ops")))</f>
        <v/>
      </c>
      <c r="AA403" s="21"/>
      <c r="AB403" s="21" t="str">
        <f>'Ingest Template'!M403</f>
        <v/>
      </c>
      <c r="AC403" s="21" t="str">
        <f>'Ingest Template'!Y403</f>
        <v/>
      </c>
      <c r="AD403" s="21" t="str">
        <f>'Ingest Template'!C403</f>
        <v/>
      </c>
      <c r="AE403" s="21" t="str">
        <f>'Ingest Template'!Z403</f>
        <v/>
      </c>
      <c r="AF403" s="29"/>
      <c r="AG403" s="21" t="str">
        <f t="array" ref="AG403">IF('Ingest Template'!A403="Standard",(CONCATENATE(IF(ISBLANK('Ingest Template'!O403),"", 'Ingest Template'!O403&amp;"|DAR"),CHAR(10), IF(ISBLANK('Ingest Template'!P403),"", 'Ingest Template'!P403&amp;"|DAR"),CHAR(10), IF(ISBLANK('Ingest Template'!Q403),"", 'Ingest Template'!Q403&amp;"|DAR"))),(CONCATENATE(IF(ISBLANK('Ingest Template'!O403),"", 'Ingest Template'!O403&amp;"|Operations - Core Title"),CHAR(10), IF(ISBLANK('Ingest Template'!P403),"", 'Ingest Template'!P403&amp;"|Operations - Core Title"),CHAR(10), IF(ISBLANK('Ingest Template'!Q403),"", 'Ingest Template'!Q403&amp;"|Operations - Core Title"))))</f>
        <v>#|Operations - Core Title
#|Operations - Core Title
</v>
      </c>
      <c r="AH403" s="21"/>
      <c r="AI403" s="21"/>
      <c r="AJ403" s="53" t="str">
        <f>if('Ingest Template'!A403="Standard",'Ingest Template'!N403&amp; "|DAR|DAR|2021-01-01",'Ingest Template'!N403&amp; "|Operations - Core Title|Operations - Core Title")</f>
        <v>#N/A</v>
      </c>
      <c r="AK403" s="53" t="str">
        <f>if('Ingest Template'!A403="Standard",'Ingest Template'!R403&amp; "|2021-01-01",'Ingest Template'!R403)</f>
        <v>#N/A</v>
      </c>
      <c r="AL403" s="21"/>
      <c r="AM403" s="21"/>
    </row>
    <row r="404">
      <c r="A404" s="21"/>
      <c r="B404" s="21" t="str">
        <f>'Ingest Template'!B404&amp;IF('Ingest Template'!A404 = "Standard", " - DAR","")</f>
        <v/>
      </c>
      <c r="C404" s="26" t="s">
        <v>109</v>
      </c>
      <c r="D404" s="29" t="str">
        <f t="array" ref="D404">CONCATENATE(INDEX(DropDown!$H$2:$H$10,MATCH(1,COUNTIF('Ingest Template'!F404,"*"&amp;DropDown!$H$2:$H$10&amp;"*"),0)),CHAR(10),'Ingest Template'!G404)</f>
        <v>#N/A</v>
      </c>
      <c r="E404" s="21" t="str">
        <f>CONCATENATE('Ingest Template'!H404,CHAR(10),'Ingest Template'!I404,CHAR(10),'Ingest Template'!J404)</f>
        <v>
</v>
      </c>
      <c r="F404" s="26" t="str">
        <f>'Ingest Template'!H404</f>
        <v/>
      </c>
      <c r="G404" s="21"/>
      <c r="H404" s="29"/>
      <c r="I404" s="21"/>
      <c r="J404" s="29" t="str">
        <f t="array" ref="J404">iF('Ingest Template'!A404="Standard","Pristine Brand",INDEX(DropDown!$M$2:$M$392,MATCH('Ingest Template'!E404,DropDown!$J$2:$J$392,0)))</f>
        <v>#N/A</v>
      </c>
      <c r="K404" s="21" t="str">
        <f>iF('Ingest Template'!A404="Standard",'Ingest Template'!K404&amp;CHAR(10)&amp;'Ingest Template'!L404,"Competitive View")</f>
        <v>Competitive View</v>
      </c>
      <c r="L404" s="29" t="s">
        <v>146</v>
      </c>
      <c r="M404" s="37" t="str">
        <f>'Ingest Template'!D404</f>
        <v/>
      </c>
      <c r="N404" s="21"/>
      <c r="O404" s="21"/>
      <c r="P404" s="21"/>
      <c r="Q404" s="21"/>
      <c r="R404" s="21" t="str">
        <f>'Ingest Template'!E404</f>
        <v/>
      </c>
      <c r="S404" s="29" t="s">
        <v>153</v>
      </c>
      <c r="T404" s="21" t="str">
        <f>'Ingest Template'!T404</f>
        <v/>
      </c>
      <c r="U404" s="21" t="str">
        <f>'Ingest Template'!S404</f>
        <v/>
      </c>
      <c r="V404" s="21" t="str">
        <f>LOWER(SUBSTITUTE(SUBSTITUTE(SUBSTITUTE(SUBSTITUTE(SUBSTITUTE('Ingest Template'!U404,"https:",""),"www.",""),"/",""),"?hl=en",""),"instagram.com",""))</f>
        <v/>
      </c>
      <c r="W404" s="41" t="str">
        <f t="array" ref="W404">IF('Ingest Template'!V404="",(INDEX(DropDown!$L$2:$L$392,MATCH('Ingest Template'!E404,DropDown!$J$2:$J$392,0))&amp;"|"&amp;'Ingest Template'!B404),(INDEX(DropDown!$L$2:$L$392,MATCH('Ingest Template'!E404,DropDown!$J$2:$J$392,0))&amp;"|"&amp;'Ingest Template'!B404)&amp;CHAR(10)&amp;'Ingest Template'!V404)</f>
        <v>#N/A</v>
      </c>
      <c r="X404" s="41" t="str">
        <f>'Ingest Template'!W404</f>
        <v/>
      </c>
      <c r="Y404" s="21" t="str">
        <f>SUBSTITUTE(SUBSTITUTE(SUBSTITUTE('Ingest Template'!X404,"http:",""),"https:",""),"/","")</f>
        <v/>
      </c>
      <c r="Z404" s="21" t="str">
        <f t="array" ref="Z404">IF('Ingest Template'!A404="Standard",(IF(ISBLANK('Ingest Template'!AA404),"", 'Ingest Template'!AA404&amp;"|DAR")),(IF(ISBLANK('Ingest Template'!AA404),"", 'Ingest Template'!AA404&amp;"|Film Ops")))</f>
        <v/>
      </c>
      <c r="AA404" s="21"/>
      <c r="AB404" s="21" t="str">
        <f>'Ingest Template'!M404</f>
        <v/>
      </c>
      <c r="AC404" s="21" t="str">
        <f>'Ingest Template'!Y404</f>
        <v/>
      </c>
      <c r="AD404" s="21" t="str">
        <f>'Ingest Template'!C404</f>
        <v/>
      </c>
      <c r="AE404" s="21" t="str">
        <f>'Ingest Template'!Z404</f>
        <v/>
      </c>
      <c r="AF404" s="29"/>
      <c r="AG404" s="21" t="str">
        <f t="array" ref="AG404">IF('Ingest Template'!A404="Standard",(CONCATENATE(IF(ISBLANK('Ingest Template'!O404),"", 'Ingest Template'!O404&amp;"|DAR"),CHAR(10), IF(ISBLANK('Ingest Template'!P404),"", 'Ingest Template'!P404&amp;"|DAR"),CHAR(10), IF(ISBLANK('Ingest Template'!Q404),"", 'Ingest Template'!Q404&amp;"|DAR"))),(CONCATENATE(IF(ISBLANK('Ingest Template'!O404),"", 'Ingest Template'!O404&amp;"|Operations - Core Title"),CHAR(10), IF(ISBLANK('Ingest Template'!P404),"", 'Ingest Template'!P404&amp;"|Operations - Core Title"),CHAR(10), IF(ISBLANK('Ingest Template'!Q404),"", 'Ingest Template'!Q404&amp;"|Operations - Core Title"))))</f>
        <v>#|Operations - Core Title
#|Operations - Core Title
</v>
      </c>
      <c r="AH404" s="21"/>
      <c r="AI404" s="21"/>
      <c r="AJ404" s="53" t="str">
        <f>if('Ingest Template'!A404="Standard",'Ingest Template'!N404&amp; "|DAR|DAR|2021-01-01",'Ingest Template'!N404&amp; "|Operations - Core Title|Operations - Core Title")</f>
        <v>#N/A</v>
      </c>
      <c r="AK404" s="53" t="str">
        <f>if('Ingest Template'!A404="Standard",'Ingest Template'!R404&amp; "|2021-01-01",'Ingest Template'!R404)</f>
        <v>#N/A</v>
      </c>
      <c r="AL404" s="21"/>
      <c r="AM404" s="21"/>
    </row>
    <row r="405">
      <c r="A405" s="21"/>
      <c r="B405" s="21" t="str">
        <f>'Ingest Template'!B405&amp;IF('Ingest Template'!A405 = "Standard", " - DAR","")</f>
        <v/>
      </c>
      <c r="C405" s="26" t="s">
        <v>109</v>
      </c>
      <c r="D405" s="29" t="str">
        <f t="array" ref="D405">CONCATENATE(INDEX(DropDown!$H$2:$H$10,MATCH(1,COUNTIF('Ingest Template'!F405,"*"&amp;DropDown!$H$2:$H$10&amp;"*"),0)),CHAR(10),'Ingest Template'!G405)</f>
        <v>#N/A</v>
      </c>
      <c r="E405" s="21" t="str">
        <f>CONCATENATE('Ingest Template'!H405,CHAR(10),'Ingest Template'!I405,CHAR(10),'Ingest Template'!J405)</f>
        <v>
</v>
      </c>
      <c r="F405" s="26" t="str">
        <f>'Ingest Template'!H405</f>
        <v/>
      </c>
      <c r="G405" s="21"/>
      <c r="H405" s="29"/>
      <c r="I405" s="21"/>
      <c r="J405" s="29" t="str">
        <f t="array" ref="J405">iF('Ingest Template'!A405="Standard","Pristine Brand",INDEX(DropDown!$M$2:$M$392,MATCH('Ingest Template'!E405,DropDown!$J$2:$J$392,0)))</f>
        <v>#N/A</v>
      </c>
      <c r="K405" s="21" t="str">
        <f>iF('Ingest Template'!A405="Standard",'Ingest Template'!K405&amp;CHAR(10)&amp;'Ingest Template'!L405,"Competitive View")</f>
        <v>Competitive View</v>
      </c>
      <c r="L405" s="29" t="s">
        <v>146</v>
      </c>
      <c r="M405" s="37" t="str">
        <f>'Ingest Template'!D405</f>
        <v/>
      </c>
      <c r="N405" s="21"/>
      <c r="O405" s="21"/>
      <c r="P405" s="21"/>
      <c r="Q405" s="21"/>
      <c r="R405" s="21" t="str">
        <f>'Ingest Template'!E405</f>
        <v/>
      </c>
      <c r="S405" s="29" t="s">
        <v>153</v>
      </c>
      <c r="T405" s="21" t="str">
        <f>'Ingest Template'!T405</f>
        <v/>
      </c>
      <c r="U405" s="21" t="str">
        <f>'Ingest Template'!S405</f>
        <v/>
      </c>
      <c r="V405" s="21" t="str">
        <f>LOWER(SUBSTITUTE(SUBSTITUTE(SUBSTITUTE(SUBSTITUTE(SUBSTITUTE('Ingest Template'!U405,"https:",""),"www.",""),"/",""),"?hl=en",""),"instagram.com",""))</f>
        <v/>
      </c>
      <c r="W405" s="41" t="str">
        <f t="array" ref="W405">IF('Ingest Template'!V405="",(INDEX(DropDown!$L$2:$L$392,MATCH('Ingest Template'!E405,DropDown!$J$2:$J$392,0))&amp;"|"&amp;'Ingest Template'!B405),(INDEX(DropDown!$L$2:$L$392,MATCH('Ingest Template'!E405,DropDown!$J$2:$J$392,0))&amp;"|"&amp;'Ingest Template'!B405)&amp;CHAR(10)&amp;'Ingest Template'!V405)</f>
        <v>#N/A</v>
      </c>
      <c r="X405" s="41" t="str">
        <f>'Ingest Template'!W405</f>
        <v/>
      </c>
      <c r="Y405" s="21" t="str">
        <f>SUBSTITUTE(SUBSTITUTE(SUBSTITUTE('Ingest Template'!X405,"http:",""),"https:",""),"/","")</f>
        <v/>
      </c>
      <c r="Z405" s="21" t="str">
        <f t="array" ref="Z405">IF('Ingest Template'!A405="Standard",(IF(ISBLANK('Ingest Template'!AA405),"", 'Ingest Template'!AA405&amp;"|DAR")),(IF(ISBLANK('Ingest Template'!AA405),"", 'Ingest Template'!AA405&amp;"|Film Ops")))</f>
        <v/>
      </c>
      <c r="AA405" s="21"/>
      <c r="AB405" s="21" t="str">
        <f>'Ingest Template'!M405</f>
        <v/>
      </c>
      <c r="AC405" s="21" t="str">
        <f>'Ingest Template'!Y405</f>
        <v/>
      </c>
      <c r="AD405" s="21" t="str">
        <f>'Ingest Template'!C405</f>
        <v/>
      </c>
      <c r="AE405" s="21" t="str">
        <f>'Ingest Template'!Z405</f>
        <v/>
      </c>
      <c r="AF405" s="29"/>
      <c r="AG405" s="21" t="str">
        <f t="array" ref="AG405">IF('Ingest Template'!A405="Standard",(CONCATENATE(IF(ISBLANK('Ingest Template'!O405),"", 'Ingest Template'!O405&amp;"|DAR"),CHAR(10), IF(ISBLANK('Ingest Template'!P405),"", 'Ingest Template'!P405&amp;"|DAR"),CHAR(10), IF(ISBLANK('Ingest Template'!Q405),"", 'Ingest Template'!Q405&amp;"|DAR"))),(CONCATENATE(IF(ISBLANK('Ingest Template'!O405),"", 'Ingest Template'!O405&amp;"|Operations - Core Title"),CHAR(10), IF(ISBLANK('Ingest Template'!P405),"", 'Ingest Template'!P405&amp;"|Operations - Core Title"),CHAR(10), IF(ISBLANK('Ingest Template'!Q405),"", 'Ingest Template'!Q405&amp;"|Operations - Core Title"))))</f>
        <v>#|Operations - Core Title
#|Operations - Core Title
</v>
      </c>
      <c r="AH405" s="21"/>
      <c r="AI405" s="21"/>
      <c r="AJ405" s="53" t="str">
        <f>if('Ingest Template'!A405="Standard",'Ingest Template'!N405&amp; "|DAR|DAR|2021-01-01",'Ingest Template'!N405&amp; "|Operations - Core Title|Operations - Core Title")</f>
        <v>#N/A</v>
      </c>
      <c r="AK405" s="53" t="str">
        <f>if('Ingest Template'!A405="Standard",'Ingest Template'!R405&amp; "|2021-01-01",'Ingest Template'!R405)</f>
        <v>#N/A</v>
      </c>
      <c r="AL405" s="21"/>
      <c r="AM405" s="21"/>
    </row>
    <row r="406">
      <c r="A406" s="21"/>
      <c r="B406" s="21" t="str">
        <f>'Ingest Template'!B406&amp;IF('Ingest Template'!A406 = "Standard", " - DAR","")</f>
        <v/>
      </c>
      <c r="C406" s="26" t="s">
        <v>109</v>
      </c>
      <c r="D406" s="29" t="str">
        <f t="array" ref="D406">CONCATENATE(INDEX(DropDown!$H$2:$H$10,MATCH(1,COUNTIF('Ingest Template'!F406,"*"&amp;DropDown!$H$2:$H$10&amp;"*"),0)),CHAR(10),'Ingest Template'!G406)</f>
        <v>#N/A</v>
      </c>
      <c r="E406" s="21" t="str">
        <f>CONCATENATE('Ingest Template'!H406,CHAR(10),'Ingest Template'!I406,CHAR(10),'Ingest Template'!J406)</f>
        <v>
</v>
      </c>
      <c r="F406" s="26" t="str">
        <f>'Ingest Template'!H406</f>
        <v/>
      </c>
      <c r="G406" s="21"/>
      <c r="H406" s="29"/>
      <c r="I406" s="21"/>
      <c r="J406" s="29" t="str">
        <f t="array" ref="J406">iF('Ingest Template'!A406="Standard","Pristine Brand",INDEX(DropDown!$M$2:$M$392,MATCH('Ingest Template'!E406,DropDown!$J$2:$J$392,0)))</f>
        <v>#N/A</v>
      </c>
      <c r="K406" s="21" t="str">
        <f>iF('Ingest Template'!A406="Standard",'Ingest Template'!K406&amp;CHAR(10)&amp;'Ingest Template'!L406,"Competitive View")</f>
        <v>Competitive View</v>
      </c>
      <c r="L406" s="29" t="s">
        <v>146</v>
      </c>
      <c r="M406" s="37" t="str">
        <f>'Ingest Template'!D406</f>
        <v/>
      </c>
      <c r="N406" s="21"/>
      <c r="O406" s="21"/>
      <c r="P406" s="21"/>
      <c r="Q406" s="21"/>
      <c r="R406" s="21" t="str">
        <f>'Ingest Template'!E406</f>
        <v/>
      </c>
      <c r="S406" s="29" t="s">
        <v>153</v>
      </c>
      <c r="T406" s="21" t="str">
        <f>'Ingest Template'!T406</f>
        <v/>
      </c>
      <c r="U406" s="21" t="str">
        <f>'Ingest Template'!S406</f>
        <v/>
      </c>
      <c r="V406" s="21" t="str">
        <f>LOWER(SUBSTITUTE(SUBSTITUTE(SUBSTITUTE(SUBSTITUTE(SUBSTITUTE('Ingest Template'!U406,"https:",""),"www.",""),"/",""),"?hl=en",""),"instagram.com",""))</f>
        <v/>
      </c>
      <c r="W406" s="41" t="str">
        <f t="array" ref="W406">IF('Ingest Template'!V406="",(INDEX(DropDown!$L$2:$L$392,MATCH('Ingest Template'!E406,DropDown!$J$2:$J$392,0))&amp;"|"&amp;'Ingest Template'!B406),(INDEX(DropDown!$L$2:$L$392,MATCH('Ingest Template'!E406,DropDown!$J$2:$J$392,0))&amp;"|"&amp;'Ingest Template'!B406)&amp;CHAR(10)&amp;'Ingest Template'!V406)</f>
        <v>#N/A</v>
      </c>
      <c r="X406" s="41" t="str">
        <f>'Ingest Template'!W406</f>
        <v/>
      </c>
      <c r="Y406" s="21" t="str">
        <f>SUBSTITUTE(SUBSTITUTE(SUBSTITUTE('Ingest Template'!X406,"http:",""),"https:",""),"/","")</f>
        <v/>
      </c>
      <c r="Z406" s="21" t="str">
        <f t="array" ref="Z406">IF('Ingest Template'!A406="Standard",(IF(ISBLANK('Ingest Template'!AA406),"", 'Ingest Template'!AA406&amp;"|DAR")),(IF(ISBLANK('Ingest Template'!AA406),"", 'Ingest Template'!AA406&amp;"|Film Ops")))</f>
        <v/>
      </c>
      <c r="AA406" s="21"/>
      <c r="AB406" s="21" t="str">
        <f>'Ingest Template'!M406</f>
        <v/>
      </c>
      <c r="AC406" s="21" t="str">
        <f>'Ingest Template'!Y406</f>
        <v/>
      </c>
      <c r="AD406" s="21" t="str">
        <f>'Ingest Template'!C406</f>
        <v/>
      </c>
      <c r="AE406" s="21" t="str">
        <f>'Ingest Template'!Z406</f>
        <v/>
      </c>
      <c r="AF406" s="29"/>
      <c r="AG406" s="21" t="str">
        <f t="array" ref="AG406">IF('Ingest Template'!A406="Standard",(CONCATENATE(IF(ISBLANK('Ingest Template'!O406),"", 'Ingest Template'!O406&amp;"|DAR"),CHAR(10), IF(ISBLANK('Ingest Template'!P406),"", 'Ingest Template'!P406&amp;"|DAR"),CHAR(10), IF(ISBLANK('Ingest Template'!Q406),"", 'Ingest Template'!Q406&amp;"|DAR"))),(CONCATENATE(IF(ISBLANK('Ingest Template'!O406),"", 'Ingest Template'!O406&amp;"|Operations - Core Title"),CHAR(10), IF(ISBLANK('Ingest Template'!P406),"", 'Ingest Template'!P406&amp;"|Operations - Core Title"),CHAR(10), IF(ISBLANK('Ingest Template'!Q406),"", 'Ingest Template'!Q406&amp;"|Operations - Core Title"))))</f>
        <v>#|Operations - Core Title
#|Operations - Core Title
</v>
      </c>
      <c r="AH406" s="21"/>
      <c r="AI406" s="21"/>
      <c r="AJ406" s="53" t="str">
        <f>if('Ingest Template'!A406="Standard",'Ingest Template'!N406&amp; "|DAR|DAR|2021-01-01",'Ingest Template'!N406&amp; "|Operations - Core Title|Operations - Core Title")</f>
        <v>#N/A</v>
      </c>
      <c r="AK406" s="53" t="str">
        <f>if('Ingest Template'!A406="Standard",'Ingest Template'!R406&amp; "|2021-01-01",'Ingest Template'!R406)</f>
        <v>#N/A</v>
      </c>
      <c r="AL406" s="21"/>
      <c r="AM406" s="21"/>
    </row>
    <row r="407">
      <c r="A407" s="21"/>
      <c r="B407" s="21" t="str">
        <f>'Ingest Template'!B407&amp;IF('Ingest Template'!A407 = "Standard", " - DAR","")</f>
        <v/>
      </c>
      <c r="C407" s="26" t="s">
        <v>109</v>
      </c>
      <c r="D407" s="29" t="str">
        <f t="array" ref="D407">CONCATENATE(INDEX(DropDown!$H$2:$H$10,MATCH(1,COUNTIF('Ingest Template'!F407,"*"&amp;DropDown!$H$2:$H$10&amp;"*"),0)),CHAR(10),'Ingest Template'!G407)</f>
        <v>#N/A</v>
      </c>
      <c r="E407" s="21" t="str">
        <f>CONCATENATE('Ingest Template'!H407,CHAR(10),'Ingest Template'!I407,CHAR(10),'Ingest Template'!J407)</f>
        <v>
</v>
      </c>
      <c r="F407" s="26" t="str">
        <f>'Ingest Template'!H407</f>
        <v/>
      </c>
      <c r="G407" s="21"/>
      <c r="H407" s="29"/>
      <c r="I407" s="21"/>
      <c r="J407" s="29" t="str">
        <f t="array" ref="J407">iF('Ingest Template'!A407="Standard","Pristine Brand",INDEX(DropDown!$M$2:$M$392,MATCH('Ingest Template'!E407,DropDown!$J$2:$J$392,0)))</f>
        <v>#N/A</v>
      </c>
      <c r="K407" s="21" t="str">
        <f>iF('Ingest Template'!A407="Standard",'Ingest Template'!K407&amp;CHAR(10)&amp;'Ingest Template'!L407,"Competitive View")</f>
        <v>Competitive View</v>
      </c>
      <c r="L407" s="29" t="s">
        <v>146</v>
      </c>
      <c r="M407" s="37" t="str">
        <f>'Ingest Template'!D407</f>
        <v/>
      </c>
      <c r="N407" s="21"/>
      <c r="O407" s="21"/>
      <c r="P407" s="21"/>
      <c r="Q407" s="21"/>
      <c r="R407" s="21" t="str">
        <f>'Ingest Template'!E407</f>
        <v/>
      </c>
      <c r="S407" s="29" t="s">
        <v>153</v>
      </c>
      <c r="T407" s="21" t="str">
        <f>'Ingest Template'!T407</f>
        <v/>
      </c>
      <c r="U407" s="21" t="str">
        <f>'Ingest Template'!S407</f>
        <v/>
      </c>
      <c r="V407" s="21" t="str">
        <f>LOWER(SUBSTITUTE(SUBSTITUTE(SUBSTITUTE(SUBSTITUTE(SUBSTITUTE('Ingest Template'!U407,"https:",""),"www.",""),"/",""),"?hl=en",""),"instagram.com",""))</f>
        <v/>
      </c>
      <c r="W407" s="41" t="str">
        <f t="array" ref="W407">IF('Ingest Template'!V407="",(INDEX(DropDown!$L$2:$L$392,MATCH('Ingest Template'!E407,DropDown!$J$2:$J$392,0))&amp;"|"&amp;'Ingest Template'!B407),(INDEX(DropDown!$L$2:$L$392,MATCH('Ingest Template'!E407,DropDown!$J$2:$J$392,0))&amp;"|"&amp;'Ingest Template'!B407)&amp;CHAR(10)&amp;'Ingest Template'!V407)</f>
        <v>#N/A</v>
      </c>
      <c r="X407" s="41" t="str">
        <f>'Ingest Template'!W407</f>
        <v/>
      </c>
      <c r="Y407" s="21" t="str">
        <f>SUBSTITUTE(SUBSTITUTE(SUBSTITUTE('Ingest Template'!X407,"http:",""),"https:",""),"/","")</f>
        <v/>
      </c>
      <c r="Z407" s="21" t="str">
        <f t="array" ref="Z407">IF('Ingest Template'!A407="Standard",(IF(ISBLANK('Ingest Template'!AA407),"", 'Ingest Template'!AA407&amp;"|DAR")),(IF(ISBLANK('Ingest Template'!AA407),"", 'Ingest Template'!AA407&amp;"|Film Ops")))</f>
        <v/>
      </c>
      <c r="AA407" s="21"/>
      <c r="AB407" s="21" t="str">
        <f>'Ingest Template'!M407</f>
        <v/>
      </c>
      <c r="AC407" s="21" t="str">
        <f>'Ingest Template'!Y407</f>
        <v/>
      </c>
      <c r="AD407" s="21" t="str">
        <f>'Ingest Template'!C407</f>
        <v/>
      </c>
      <c r="AE407" s="21" t="str">
        <f>'Ingest Template'!Z407</f>
        <v/>
      </c>
      <c r="AF407" s="29"/>
      <c r="AG407" s="21" t="str">
        <f t="array" ref="AG407">IF('Ingest Template'!A407="Standard",(CONCATENATE(IF(ISBLANK('Ingest Template'!O407),"", 'Ingest Template'!O407&amp;"|DAR"),CHAR(10), IF(ISBLANK('Ingest Template'!P407),"", 'Ingest Template'!P407&amp;"|DAR"),CHAR(10), IF(ISBLANK('Ingest Template'!Q407),"", 'Ingest Template'!Q407&amp;"|DAR"))),(CONCATENATE(IF(ISBLANK('Ingest Template'!O407),"", 'Ingest Template'!O407&amp;"|Operations - Core Title"),CHAR(10), IF(ISBLANK('Ingest Template'!P407),"", 'Ingest Template'!P407&amp;"|Operations - Core Title"),CHAR(10), IF(ISBLANK('Ingest Template'!Q407),"", 'Ingest Template'!Q407&amp;"|Operations - Core Title"))))</f>
        <v>#|Operations - Core Title
#|Operations - Core Title
</v>
      </c>
      <c r="AH407" s="21"/>
      <c r="AI407" s="21"/>
      <c r="AJ407" s="53" t="str">
        <f>if('Ingest Template'!A407="Standard",'Ingest Template'!N407&amp; "|DAR|DAR|2021-01-01",'Ingest Template'!N407&amp; "|Operations - Core Title|Operations - Core Title")</f>
        <v>#N/A</v>
      </c>
      <c r="AK407" s="53" t="str">
        <f>if('Ingest Template'!A407="Standard",'Ingest Template'!R407&amp; "|2021-01-01",'Ingest Template'!R407)</f>
        <v>#N/A</v>
      </c>
      <c r="AL407" s="21"/>
      <c r="AM407" s="21"/>
    </row>
    <row r="408">
      <c r="A408" s="21"/>
      <c r="B408" s="21" t="str">
        <f>'Ingest Template'!B408&amp;IF('Ingest Template'!A408 = "Standard", " - DAR","")</f>
        <v/>
      </c>
      <c r="C408" s="26" t="s">
        <v>109</v>
      </c>
      <c r="D408" s="29" t="str">
        <f t="array" ref="D408">CONCATENATE(INDEX(DropDown!$H$2:$H$10,MATCH(1,COUNTIF('Ingest Template'!F408,"*"&amp;DropDown!$H$2:$H$10&amp;"*"),0)),CHAR(10),'Ingest Template'!G408)</f>
        <v>#N/A</v>
      </c>
      <c r="E408" s="21" t="str">
        <f>CONCATENATE('Ingest Template'!H408,CHAR(10),'Ingest Template'!I408,CHAR(10),'Ingest Template'!J408)</f>
        <v>
</v>
      </c>
      <c r="F408" s="26" t="str">
        <f>'Ingest Template'!H408</f>
        <v/>
      </c>
      <c r="G408" s="21"/>
      <c r="H408" s="29"/>
      <c r="I408" s="21"/>
      <c r="J408" s="29" t="str">
        <f t="array" ref="J408">iF('Ingest Template'!A408="Standard","Pristine Brand",INDEX(DropDown!$M$2:$M$392,MATCH('Ingest Template'!E408,DropDown!$J$2:$J$392,0)))</f>
        <v>#N/A</v>
      </c>
      <c r="K408" s="21" t="str">
        <f>iF('Ingest Template'!A408="Standard",'Ingest Template'!K408&amp;CHAR(10)&amp;'Ingest Template'!L408,"Competitive View")</f>
        <v>Competitive View</v>
      </c>
      <c r="L408" s="29" t="s">
        <v>146</v>
      </c>
      <c r="M408" s="37" t="str">
        <f>'Ingest Template'!D408</f>
        <v/>
      </c>
      <c r="N408" s="21"/>
      <c r="O408" s="21"/>
      <c r="P408" s="21"/>
      <c r="Q408" s="21"/>
      <c r="R408" s="21" t="str">
        <f>'Ingest Template'!E408</f>
        <v/>
      </c>
      <c r="S408" s="29" t="s">
        <v>153</v>
      </c>
      <c r="T408" s="21" t="str">
        <f>'Ingest Template'!T408</f>
        <v/>
      </c>
      <c r="U408" s="21" t="str">
        <f>'Ingest Template'!S408</f>
        <v/>
      </c>
      <c r="V408" s="21" t="str">
        <f>LOWER(SUBSTITUTE(SUBSTITUTE(SUBSTITUTE(SUBSTITUTE(SUBSTITUTE('Ingest Template'!U408,"https:",""),"www.",""),"/",""),"?hl=en",""),"instagram.com",""))</f>
        <v/>
      </c>
      <c r="W408" s="41" t="str">
        <f t="array" ref="W408">IF('Ingest Template'!V408="",(INDEX(DropDown!$L$2:$L$392,MATCH('Ingest Template'!E408,DropDown!$J$2:$J$392,0))&amp;"|"&amp;'Ingest Template'!B408),(INDEX(DropDown!$L$2:$L$392,MATCH('Ingest Template'!E408,DropDown!$J$2:$J$392,0))&amp;"|"&amp;'Ingest Template'!B408)&amp;CHAR(10)&amp;'Ingest Template'!V408)</f>
        <v>#N/A</v>
      </c>
      <c r="X408" s="41" t="str">
        <f>'Ingest Template'!W408</f>
        <v/>
      </c>
      <c r="Y408" s="21" t="str">
        <f>SUBSTITUTE(SUBSTITUTE(SUBSTITUTE('Ingest Template'!X408,"http:",""),"https:",""),"/","")</f>
        <v/>
      </c>
      <c r="Z408" s="21" t="str">
        <f t="array" ref="Z408">IF('Ingest Template'!A408="Standard",(IF(ISBLANK('Ingest Template'!AA408),"", 'Ingest Template'!AA408&amp;"|DAR")),(IF(ISBLANK('Ingest Template'!AA408),"", 'Ingest Template'!AA408&amp;"|Film Ops")))</f>
        <v/>
      </c>
      <c r="AA408" s="21"/>
      <c r="AB408" s="21" t="str">
        <f>'Ingest Template'!M408</f>
        <v/>
      </c>
      <c r="AC408" s="21" t="str">
        <f>'Ingest Template'!Y408</f>
        <v/>
      </c>
      <c r="AD408" s="21" t="str">
        <f>'Ingest Template'!C408</f>
        <v/>
      </c>
      <c r="AE408" s="21" t="str">
        <f>'Ingest Template'!Z408</f>
        <v/>
      </c>
      <c r="AF408" s="29"/>
      <c r="AG408" s="21" t="str">
        <f t="array" ref="AG408">IF('Ingest Template'!A408="Standard",(CONCATENATE(IF(ISBLANK('Ingest Template'!O408),"", 'Ingest Template'!O408&amp;"|DAR"),CHAR(10), IF(ISBLANK('Ingest Template'!P408),"", 'Ingest Template'!P408&amp;"|DAR"),CHAR(10), IF(ISBLANK('Ingest Template'!Q408),"", 'Ingest Template'!Q408&amp;"|DAR"))),(CONCATENATE(IF(ISBLANK('Ingest Template'!O408),"", 'Ingest Template'!O408&amp;"|Operations - Core Title"),CHAR(10), IF(ISBLANK('Ingest Template'!P408),"", 'Ingest Template'!P408&amp;"|Operations - Core Title"),CHAR(10), IF(ISBLANK('Ingest Template'!Q408),"", 'Ingest Template'!Q408&amp;"|Operations - Core Title"))))</f>
        <v>#|Operations - Core Title
#|Operations - Core Title
</v>
      </c>
      <c r="AH408" s="21"/>
      <c r="AI408" s="21"/>
      <c r="AJ408" s="53" t="str">
        <f>if('Ingest Template'!A408="Standard",'Ingest Template'!N408&amp; "|DAR|DAR|2021-01-01",'Ingest Template'!N408&amp; "|Operations - Core Title|Operations - Core Title")</f>
        <v>#N/A</v>
      </c>
      <c r="AK408" s="53" t="str">
        <f>if('Ingest Template'!A408="Standard",'Ingest Template'!R408&amp; "|2021-01-01",'Ingest Template'!R408)</f>
        <v>#N/A</v>
      </c>
      <c r="AL408" s="21"/>
      <c r="AM408" s="21"/>
    </row>
    <row r="409">
      <c r="A409" s="21"/>
      <c r="B409" s="21" t="str">
        <f>'Ingest Template'!B409&amp;IF('Ingest Template'!A409 = "Standard", " - DAR","")</f>
        <v/>
      </c>
      <c r="C409" s="26" t="s">
        <v>109</v>
      </c>
      <c r="D409" s="29" t="str">
        <f t="array" ref="D409">CONCATENATE(INDEX(DropDown!$H$2:$H$10,MATCH(1,COUNTIF('Ingest Template'!F409,"*"&amp;DropDown!$H$2:$H$10&amp;"*"),0)),CHAR(10),'Ingest Template'!G409)</f>
        <v>#N/A</v>
      </c>
      <c r="E409" s="21" t="str">
        <f>CONCATENATE('Ingest Template'!H409,CHAR(10),'Ingest Template'!I409,CHAR(10),'Ingest Template'!J409)</f>
        <v>
</v>
      </c>
      <c r="F409" s="26" t="str">
        <f>'Ingest Template'!H409</f>
        <v/>
      </c>
      <c r="G409" s="21"/>
      <c r="H409" s="29"/>
      <c r="I409" s="21"/>
      <c r="J409" s="29" t="str">
        <f t="array" ref="J409">iF('Ingest Template'!A409="Standard","Pristine Brand",INDEX(DropDown!$M$2:$M$392,MATCH('Ingest Template'!E409,DropDown!$J$2:$J$392,0)))</f>
        <v>#N/A</v>
      </c>
      <c r="K409" s="21" t="str">
        <f>iF('Ingest Template'!A409="Standard",'Ingest Template'!K409&amp;CHAR(10)&amp;'Ingest Template'!L409,"Competitive View")</f>
        <v>Competitive View</v>
      </c>
      <c r="L409" s="29" t="s">
        <v>146</v>
      </c>
      <c r="M409" s="37" t="str">
        <f>'Ingest Template'!D409</f>
        <v/>
      </c>
      <c r="N409" s="21"/>
      <c r="O409" s="21"/>
      <c r="P409" s="21"/>
      <c r="Q409" s="21"/>
      <c r="R409" s="21" t="str">
        <f>'Ingest Template'!E409</f>
        <v/>
      </c>
      <c r="S409" s="29" t="s">
        <v>153</v>
      </c>
      <c r="T409" s="21" t="str">
        <f>'Ingest Template'!T409</f>
        <v/>
      </c>
      <c r="U409" s="21" t="str">
        <f>'Ingest Template'!S409</f>
        <v/>
      </c>
      <c r="V409" s="21" t="str">
        <f>LOWER(SUBSTITUTE(SUBSTITUTE(SUBSTITUTE(SUBSTITUTE(SUBSTITUTE('Ingest Template'!U409,"https:",""),"www.",""),"/",""),"?hl=en",""),"instagram.com",""))</f>
        <v/>
      </c>
      <c r="W409" s="41" t="str">
        <f t="array" ref="W409">IF('Ingest Template'!V409="",(INDEX(DropDown!$L$2:$L$392,MATCH('Ingest Template'!E409,DropDown!$J$2:$J$392,0))&amp;"|"&amp;'Ingest Template'!B409),(INDEX(DropDown!$L$2:$L$392,MATCH('Ingest Template'!E409,DropDown!$J$2:$J$392,0))&amp;"|"&amp;'Ingest Template'!B409)&amp;CHAR(10)&amp;'Ingest Template'!V409)</f>
        <v>#N/A</v>
      </c>
      <c r="X409" s="41" t="str">
        <f>'Ingest Template'!W409</f>
        <v/>
      </c>
      <c r="Y409" s="21" t="str">
        <f>SUBSTITUTE(SUBSTITUTE(SUBSTITUTE('Ingest Template'!X409,"http:",""),"https:",""),"/","")</f>
        <v/>
      </c>
      <c r="Z409" s="21" t="str">
        <f t="array" ref="Z409">IF('Ingest Template'!A409="Standard",(IF(ISBLANK('Ingest Template'!AA409),"", 'Ingest Template'!AA409&amp;"|DAR")),(IF(ISBLANK('Ingest Template'!AA409),"", 'Ingest Template'!AA409&amp;"|Film Ops")))</f>
        <v/>
      </c>
      <c r="AA409" s="21"/>
      <c r="AB409" s="21" t="str">
        <f>'Ingest Template'!M409</f>
        <v/>
      </c>
      <c r="AC409" s="21" t="str">
        <f>'Ingest Template'!Y409</f>
        <v/>
      </c>
      <c r="AD409" s="21" t="str">
        <f>'Ingest Template'!C409</f>
        <v/>
      </c>
      <c r="AE409" s="21" t="str">
        <f>'Ingest Template'!Z409</f>
        <v/>
      </c>
      <c r="AF409" s="29"/>
      <c r="AG409" s="21" t="str">
        <f t="array" ref="AG409">IF('Ingest Template'!A409="Standard",(CONCATENATE(IF(ISBLANK('Ingest Template'!O409),"", 'Ingest Template'!O409&amp;"|DAR"),CHAR(10), IF(ISBLANK('Ingest Template'!P409),"", 'Ingest Template'!P409&amp;"|DAR"),CHAR(10), IF(ISBLANK('Ingest Template'!Q409),"", 'Ingest Template'!Q409&amp;"|DAR"))),(CONCATENATE(IF(ISBLANK('Ingest Template'!O409),"", 'Ingest Template'!O409&amp;"|Operations - Core Title"),CHAR(10), IF(ISBLANK('Ingest Template'!P409),"", 'Ingest Template'!P409&amp;"|Operations - Core Title"),CHAR(10), IF(ISBLANK('Ingest Template'!Q409),"", 'Ingest Template'!Q409&amp;"|Operations - Core Title"))))</f>
        <v>#|Operations - Core Title
#|Operations - Core Title
</v>
      </c>
      <c r="AH409" s="21"/>
      <c r="AI409" s="21"/>
      <c r="AJ409" s="53" t="str">
        <f>if('Ingest Template'!A409="Standard",'Ingest Template'!N409&amp; "|DAR|DAR|2021-01-01",'Ingest Template'!N409&amp; "|Operations - Core Title|Operations - Core Title")</f>
        <v>#N/A</v>
      </c>
      <c r="AK409" s="53" t="str">
        <f>if('Ingest Template'!A409="Standard",'Ingest Template'!R409&amp; "|2021-01-01",'Ingest Template'!R409)</f>
        <v>#N/A</v>
      </c>
      <c r="AL409" s="21"/>
      <c r="AM409" s="21"/>
    </row>
    <row r="410">
      <c r="A410" s="21"/>
      <c r="B410" s="21" t="str">
        <f>'Ingest Template'!B410&amp;IF('Ingest Template'!A410 = "Standard", " - DAR","")</f>
        <v/>
      </c>
      <c r="C410" s="26" t="s">
        <v>109</v>
      </c>
      <c r="D410" s="29" t="str">
        <f t="array" ref="D410">CONCATENATE(INDEX(DropDown!$H$2:$H$10,MATCH(1,COUNTIF('Ingest Template'!F410,"*"&amp;DropDown!$H$2:$H$10&amp;"*"),0)),CHAR(10),'Ingest Template'!G410)</f>
        <v>#N/A</v>
      </c>
      <c r="E410" s="21" t="str">
        <f>CONCATENATE('Ingest Template'!H410,CHAR(10),'Ingest Template'!I410,CHAR(10),'Ingest Template'!J410)</f>
        <v>
</v>
      </c>
      <c r="F410" s="26" t="str">
        <f>'Ingest Template'!H410</f>
        <v/>
      </c>
      <c r="G410" s="21"/>
      <c r="H410" s="29"/>
      <c r="I410" s="21"/>
      <c r="J410" s="29" t="str">
        <f t="array" ref="J410">iF('Ingest Template'!A410="Standard","Pristine Brand",INDEX(DropDown!$M$2:$M$392,MATCH('Ingest Template'!E410,DropDown!$J$2:$J$392,0)))</f>
        <v>#N/A</v>
      </c>
      <c r="K410" s="21" t="str">
        <f>iF('Ingest Template'!A410="Standard",'Ingest Template'!K410&amp;CHAR(10)&amp;'Ingest Template'!L410,"Competitive View")</f>
        <v>Competitive View</v>
      </c>
      <c r="L410" s="29" t="s">
        <v>146</v>
      </c>
      <c r="M410" s="37" t="str">
        <f>'Ingest Template'!D410</f>
        <v/>
      </c>
      <c r="N410" s="21"/>
      <c r="O410" s="21"/>
      <c r="P410" s="21"/>
      <c r="Q410" s="21"/>
      <c r="R410" s="21" t="str">
        <f>'Ingest Template'!E410</f>
        <v/>
      </c>
      <c r="S410" s="29" t="s">
        <v>153</v>
      </c>
      <c r="T410" s="21" t="str">
        <f>'Ingest Template'!T410</f>
        <v/>
      </c>
      <c r="U410" s="21" t="str">
        <f>'Ingest Template'!S410</f>
        <v/>
      </c>
      <c r="V410" s="21" t="str">
        <f>LOWER(SUBSTITUTE(SUBSTITUTE(SUBSTITUTE(SUBSTITUTE(SUBSTITUTE('Ingest Template'!U410,"https:",""),"www.",""),"/",""),"?hl=en",""),"instagram.com",""))</f>
        <v/>
      </c>
      <c r="W410" s="41" t="str">
        <f t="array" ref="W410">IF('Ingest Template'!V410="",(INDEX(DropDown!$L$2:$L$392,MATCH('Ingest Template'!E410,DropDown!$J$2:$J$392,0))&amp;"|"&amp;'Ingest Template'!B410),(INDEX(DropDown!$L$2:$L$392,MATCH('Ingest Template'!E410,DropDown!$J$2:$J$392,0))&amp;"|"&amp;'Ingest Template'!B410)&amp;CHAR(10)&amp;'Ingest Template'!V410)</f>
        <v>#N/A</v>
      </c>
      <c r="X410" s="41" t="str">
        <f>'Ingest Template'!W410</f>
        <v/>
      </c>
      <c r="Y410" s="21" t="str">
        <f>SUBSTITUTE(SUBSTITUTE(SUBSTITUTE('Ingest Template'!X410,"http:",""),"https:",""),"/","")</f>
        <v/>
      </c>
      <c r="Z410" s="21" t="str">
        <f t="array" ref="Z410">IF('Ingest Template'!A410="Standard",(IF(ISBLANK('Ingest Template'!AA410),"", 'Ingest Template'!AA410&amp;"|DAR")),(IF(ISBLANK('Ingest Template'!AA410),"", 'Ingest Template'!AA410&amp;"|Film Ops")))</f>
        <v/>
      </c>
      <c r="AA410" s="21"/>
      <c r="AB410" s="21" t="str">
        <f>'Ingest Template'!M410</f>
        <v/>
      </c>
      <c r="AC410" s="21" t="str">
        <f>'Ingest Template'!Y410</f>
        <v/>
      </c>
      <c r="AD410" s="21" t="str">
        <f>'Ingest Template'!C410</f>
        <v/>
      </c>
      <c r="AE410" s="21" t="str">
        <f>'Ingest Template'!Z410</f>
        <v/>
      </c>
      <c r="AF410" s="29"/>
      <c r="AG410" s="21" t="str">
        <f t="array" ref="AG410">IF('Ingest Template'!A410="Standard",(CONCATENATE(IF(ISBLANK('Ingest Template'!O410),"", 'Ingest Template'!O410&amp;"|DAR"),CHAR(10), IF(ISBLANK('Ingest Template'!P410),"", 'Ingest Template'!P410&amp;"|DAR"),CHAR(10), IF(ISBLANK('Ingest Template'!Q410),"", 'Ingest Template'!Q410&amp;"|DAR"))),(CONCATENATE(IF(ISBLANK('Ingest Template'!O410),"", 'Ingest Template'!O410&amp;"|Operations - Core Title"),CHAR(10), IF(ISBLANK('Ingest Template'!P410),"", 'Ingest Template'!P410&amp;"|Operations - Core Title"),CHAR(10), IF(ISBLANK('Ingest Template'!Q410),"", 'Ingest Template'!Q410&amp;"|Operations - Core Title"))))</f>
        <v>#|Operations - Core Title
#|Operations - Core Title
</v>
      </c>
      <c r="AH410" s="21"/>
      <c r="AI410" s="21"/>
      <c r="AJ410" s="53" t="str">
        <f>if('Ingest Template'!A410="Standard",'Ingest Template'!N410&amp; "|DAR|DAR|2021-01-01",'Ingest Template'!N410&amp; "|Operations - Core Title|Operations - Core Title")</f>
        <v>#N/A</v>
      </c>
      <c r="AK410" s="53" t="str">
        <f>if('Ingest Template'!A410="Standard",'Ingest Template'!R410&amp; "|2021-01-01",'Ingest Template'!R410)</f>
        <v>#N/A</v>
      </c>
      <c r="AL410" s="21"/>
      <c r="AM410" s="21"/>
    </row>
    <row r="411">
      <c r="A411" s="21"/>
      <c r="B411" s="21" t="str">
        <f>'Ingest Template'!B411&amp;IF('Ingest Template'!A411 = "Standard", " - DAR","")</f>
        <v/>
      </c>
      <c r="C411" s="26" t="s">
        <v>109</v>
      </c>
      <c r="D411" s="29" t="str">
        <f t="array" ref="D411">CONCATENATE(INDEX(DropDown!$H$2:$H$10,MATCH(1,COUNTIF('Ingest Template'!F411,"*"&amp;DropDown!$H$2:$H$10&amp;"*"),0)),CHAR(10),'Ingest Template'!G411)</f>
        <v>#N/A</v>
      </c>
      <c r="E411" s="21" t="str">
        <f>CONCATENATE('Ingest Template'!H411,CHAR(10),'Ingest Template'!I411,CHAR(10),'Ingest Template'!J411)</f>
        <v>
</v>
      </c>
      <c r="F411" s="26" t="str">
        <f>'Ingest Template'!H411</f>
        <v/>
      </c>
      <c r="G411" s="21"/>
      <c r="H411" s="29"/>
      <c r="I411" s="21"/>
      <c r="J411" s="29" t="str">
        <f t="array" ref="J411">iF('Ingest Template'!A411="Standard","Pristine Brand",INDEX(DropDown!$M$2:$M$392,MATCH('Ingest Template'!E411,DropDown!$J$2:$J$392,0)))</f>
        <v>#N/A</v>
      </c>
      <c r="K411" s="21" t="str">
        <f>iF('Ingest Template'!A411="Standard",'Ingest Template'!K411&amp;CHAR(10)&amp;'Ingest Template'!L411,"Competitive View")</f>
        <v>Competitive View</v>
      </c>
      <c r="L411" s="29" t="s">
        <v>146</v>
      </c>
      <c r="M411" s="37" t="str">
        <f>'Ingest Template'!D411</f>
        <v/>
      </c>
      <c r="N411" s="21"/>
      <c r="O411" s="21"/>
      <c r="P411" s="21"/>
      <c r="Q411" s="21"/>
      <c r="R411" s="21" t="str">
        <f>'Ingest Template'!E411</f>
        <v/>
      </c>
      <c r="S411" s="29" t="s">
        <v>153</v>
      </c>
      <c r="T411" s="21" t="str">
        <f>'Ingest Template'!T411</f>
        <v/>
      </c>
      <c r="U411" s="21" t="str">
        <f>'Ingest Template'!S411</f>
        <v/>
      </c>
      <c r="V411" s="21" t="str">
        <f>LOWER(SUBSTITUTE(SUBSTITUTE(SUBSTITUTE(SUBSTITUTE(SUBSTITUTE('Ingest Template'!U411,"https:",""),"www.",""),"/",""),"?hl=en",""),"instagram.com",""))</f>
        <v/>
      </c>
      <c r="W411" s="41" t="str">
        <f t="array" ref="W411">IF('Ingest Template'!V411="",(INDEX(DropDown!$L$2:$L$392,MATCH('Ingest Template'!E411,DropDown!$J$2:$J$392,0))&amp;"|"&amp;'Ingest Template'!B411),(INDEX(DropDown!$L$2:$L$392,MATCH('Ingest Template'!E411,DropDown!$J$2:$J$392,0))&amp;"|"&amp;'Ingest Template'!B411)&amp;CHAR(10)&amp;'Ingest Template'!V411)</f>
        <v>#N/A</v>
      </c>
      <c r="X411" s="41" t="str">
        <f>'Ingest Template'!W411</f>
        <v/>
      </c>
      <c r="Y411" s="21" t="str">
        <f>SUBSTITUTE(SUBSTITUTE(SUBSTITUTE('Ingest Template'!X411,"http:",""),"https:",""),"/","")</f>
        <v/>
      </c>
      <c r="Z411" s="21" t="str">
        <f t="array" ref="Z411">IF('Ingest Template'!A411="Standard",(IF(ISBLANK('Ingest Template'!AA411),"", 'Ingest Template'!AA411&amp;"|DAR")),(IF(ISBLANK('Ingest Template'!AA411),"", 'Ingest Template'!AA411&amp;"|Film Ops")))</f>
        <v/>
      </c>
      <c r="AA411" s="21"/>
      <c r="AB411" s="21" t="str">
        <f>'Ingest Template'!M411</f>
        <v/>
      </c>
      <c r="AC411" s="21" t="str">
        <f>'Ingest Template'!Y411</f>
        <v/>
      </c>
      <c r="AD411" s="21" t="str">
        <f>'Ingest Template'!C411</f>
        <v/>
      </c>
      <c r="AE411" s="21" t="str">
        <f>'Ingest Template'!Z411</f>
        <v/>
      </c>
      <c r="AF411" s="29"/>
      <c r="AG411" s="21" t="str">
        <f t="array" ref="AG411">IF('Ingest Template'!A411="Standard",(CONCATENATE(IF(ISBLANK('Ingest Template'!O411),"", 'Ingest Template'!O411&amp;"|DAR"),CHAR(10), IF(ISBLANK('Ingest Template'!P411),"", 'Ingest Template'!P411&amp;"|DAR"),CHAR(10), IF(ISBLANK('Ingest Template'!Q411),"", 'Ingest Template'!Q411&amp;"|DAR"))),(CONCATENATE(IF(ISBLANK('Ingest Template'!O411),"", 'Ingest Template'!O411&amp;"|Operations - Core Title"),CHAR(10), IF(ISBLANK('Ingest Template'!P411),"", 'Ingest Template'!P411&amp;"|Operations - Core Title"),CHAR(10), IF(ISBLANK('Ingest Template'!Q411),"", 'Ingest Template'!Q411&amp;"|Operations - Core Title"))))</f>
        <v>#|Operations - Core Title
#|Operations - Core Title
</v>
      </c>
      <c r="AH411" s="21"/>
      <c r="AI411" s="21"/>
      <c r="AJ411" s="53" t="str">
        <f>if('Ingest Template'!A411="Standard",'Ingest Template'!N411&amp; "|DAR|DAR|2021-01-01",'Ingest Template'!N411&amp; "|Operations - Core Title|Operations - Core Title")</f>
        <v>#N/A</v>
      </c>
      <c r="AK411" s="53" t="str">
        <f>if('Ingest Template'!A411="Standard",'Ingest Template'!R411&amp; "|2021-01-01",'Ingest Template'!R411)</f>
        <v>#N/A</v>
      </c>
      <c r="AL411" s="21"/>
      <c r="AM411" s="21"/>
    </row>
    <row r="412">
      <c r="A412" s="21"/>
      <c r="B412" s="21" t="str">
        <f>'Ingest Template'!B412&amp;IF('Ingest Template'!A412 = "Standard", " - DAR","")</f>
        <v/>
      </c>
      <c r="C412" s="26" t="s">
        <v>109</v>
      </c>
      <c r="D412" s="29" t="str">
        <f t="array" ref="D412">CONCATENATE(INDEX(DropDown!$H$2:$H$10,MATCH(1,COUNTIF('Ingest Template'!F412,"*"&amp;DropDown!$H$2:$H$10&amp;"*"),0)),CHAR(10),'Ingest Template'!G412)</f>
        <v>#N/A</v>
      </c>
      <c r="E412" s="21" t="str">
        <f>CONCATENATE('Ingest Template'!H412,CHAR(10),'Ingest Template'!I412,CHAR(10),'Ingest Template'!J412)</f>
        <v>
</v>
      </c>
      <c r="F412" s="26" t="str">
        <f>'Ingest Template'!H412</f>
        <v/>
      </c>
      <c r="G412" s="21"/>
      <c r="H412" s="29"/>
      <c r="I412" s="21"/>
      <c r="J412" s="29" t="str">
        <f t="array" ref="J412">iF('Ingest Template'!A412="Standard","Pristine Brand",INDEX(DropDown!$M$2:$M$392,MATCH('Ingest Template'!E412,DropDown!$J$2:$J$392,0)))</f>
        <v>#N/A</v>
      </c>
      <c r="K412" s="21" t="str">
        <f>iF('Ingest Template'!A412="Standard",'Ingest Template'!K412&amp;CHAR(10)&amp;'Ingest Template'!L412,"Competitive View")</f>
        <v>Competitive View</v>
      </c>
      <c r="L412" s="29" t="s">
        <v>146</v>
      </c>
      <c r="M412" s="37" t="str">
        <f>'Ingest Template'!D412</f>
        <v/>
      </c>
      <c r="N412" s="21"/>
      <c r="O412" s="21"/>
      <c r="P412" s="21"/>
      <c r="Q412" s="21"/>
      <c r="R412" s="21" t="str">
        <f>'Ingest Template'!E412</f>
        <v/>
      </c>
      <c r="S412" s="29" t="s">
        <v>153</v>
      </c>
      <c r="T412" s="21" t="str">
        <f>'Ingest Template'!T412</f>
        <v/>
      </c>
      <c r="U412" s="21" t="str">
        <f>'Ingest Template'!S412</f>
        <v/>
      </c>
      <c r="V412" s="21" t="str">
        <f>LOWER(SUBSTITUTE(SUBSTITUTE(SUBSTITUTE(SUBSTITUTE(SUBSTITUTE('Ingest Template'!U412,"https:",""),"www.",""),"/",""),"?hl=en",""),"instagram.com",""))</f>
        <v/>
      </c>
      <c r="W412" s="41" t="str">
        <f t="array" ref="W412">IF('Ingest Template'!V412="",(INDEX(DropDown!$L$2:$L$392,MATCH('Ingest Template'!E412,DropDown!$J$2:$J$392,0))&amp;"|"&amp;'Ingest Template'!B412),(INDEX(DropDown!$L$2:$L$392,MATCH('Ingest Template'!E412,DropDown!$J$2:$J$392,0))&amp;"|"&amp;'Ingest Template'!B412)&amp;CHAR(10)&amp;'Ingest Template'!V412)</f>
        <v>#N/A</v>
      </c>
      <c r="X412" s="41" t="str">
        <f>'Ingest Template'!W412</f>
        <v/>
      </c>
      <c r="Y412" s="21" t="str">
        <f>SUBSTITUTE(SUBSTITUTE(SUBSTITUTE('Ingest Template'!X412,"http:",""),"https:",""),"/","")</f>
        <v/>
      </c>
      <c r="Z412" s="21" t="str">
        <f t="array" ref="Z412">IF('Ingest Template'!A412="Standard",(IF(ISBLANK('Ingest Template'!AA412),"", 'Ingest Template'!AA412&amp;"|DAR")),(IF(ISBLANK('Ingest Template'!AA412),"", 'Ingest Template'!AA412&amp;"|Film Ops")))</f>
        <v/>
      </c>
      <c r="AA412" s="21"/>
      <c r="AB412" s="21" t="str">
        <f>'Ingest Template'!M412</f>
        <v/>
      </c>
      <c r="AC412" s="21" t="str">
        <f>'Ingest Template'!Y412</f>
        <v/>
      </c>
      <c r="AD412" s="21" t="str">
        <f>'Ingest Template'!C412</f>
        <v/>
      </c>
      <c r="AE412" s="21" t="str">
        <f>'Ingest Template'!Z412</f>
        <v/>
      </c>
      <c r="AF412" s="29"/>
      <c r="AG412" s="21" t="str">
        <f t="array" ref="AG412">IF('Ingest Template'!A412="Standard",(CONCATENATE(IF(ISBLANK('Ingest Template'!O412),"", 'Ingest Template'!O412&amp;"|DAR"),CHAR(10), IF(ISBLANK('Ingest Template'!P412),"", 'Ingest Template'!P412&amp;"|DAR"),CHAR(10), IF(ISBLANK('Ingest Template'!Q412),"", 'Ingest Template'!Q412&amp;"|DAR"))),(CONCATENATE(IF(ISBLANK('Ingest Template'!O412),"", 'Ingest Template'!O412&amp;"|Operations - Core Title"),CHAR(10), IF(ISBLANK('Ingest Template'!P412),"", 'Ingest Template'!P412&amp;"|Operations - Core Title"),CHAR(10), IF(ISBLANK('Ingest Template'!Q412),"", 'Ingest Template'!Q412&amp;"|Operations - Core Title"))))</f>
        <v>#|Operations - Core Title
#|Operations - Core Title
</v>
      </c>
      <c r="AH412" s="21"/>
      <c r="AI412" s="21"/>
      <c r="AJ412" s="53" t="str">
        <f>if('Ingest Template'!A412="Standard",'Ingest Template'!N412&amp; "|DAR|DAR|2021-01-01",'Ingest Template'!N412&amp; "|Operations - Core Title|Operations - Core Title")</f>
        <v>#N/A</v>
      </c>
      <c r="AK412" s="53" t="str">
        <f>if('Ingest Template'!A412="Standard",'Ingest Template'!R412&amp; "|2021-01-01",'Ingest Template'!R412)</f>
        <v>#N/A</v>
      </c>
      <c r="AL412" s="21"/>
      <c r="AM412" s="21"/>
    </row>
    <row r="413">
      <c r="A413" s="21"/>
      <c r="B413" s="21" t="str">
        <f>'Ingest Template'!B413&amp;IF('Ingest Template'!A413 = "Standard", " - DAR","")</f>
        <v/>
      </c>
      <c r="C413" s="26" t="s">
        <v>109</v>
      </c>
      <c r="D413" s="29" t="str">
        <f t="array" ref="D413">CONCATENATE(INDEX(DropDown!$H$2:$H$10,MATCH(1,COUNTIF('Ingest Template'!F413,"*"&amp;DropDown!$H$2:$H$10&amp;"*"),0)),CHAR(10),'Ingest Template'!G413)</f>
        <v>#N/A</v>
      </c>
      <c r="E413" s="21" t="str">
        <f>CONCATENATE('Ingest Template'!H413,CHAR(10),'Ingest Template'!I413,CHAR(10),'Ingest Template'!J413)</f>
        <v>
</v>
      </c>
      <c r="F413" s="26" t="str">
        <f>'Ingest Template'!H413</f>
        <v/>
      </c>
      <c r="G413" s="21"/>
      <c r="H413" s="29"/>
      <c r="I413" s="21"/>
      <c r="J413" s="29" t="str">
        <f t="array" ref="J413">iF('Ingest Template'!A413="Standard","Pristine Brand",INDEX(DropDown!$M$2:$M$392,MATCH('Ingest Template'!E413,DropDown!$J$2:$J$392,0)))</f>
        <v>#N/A</v>
      </c>
      <c r="K413" s="21" t="str">
        <f>iF('Ingest Template'!A413="Standard",'Ingest Template'!K413&amp;CHAR(10)&amp;'Ingest Template'!L413,"Competitive View")</f>
        <v>Competitive View</v>
      </c>
      <c r="L413" s="29" t="s">
        <v>146</v>
      </c>
      <c r="M413" s="37" t="str">
        <f>'Ingest Template'!D413</f>
        <v/>
      </c>
      <c r="N413" s="21"/>
      <c r="O413" s="21"/>
      <c r="P413" s="21"/>
      <c r="Q413" s="21"/>
      <c r="R413" s="21" t="str">
        <f>'Ingest Template'!E413</f>
        <v/>
      </c>
      <c r="S413" s="29" t="s">
        <v>153</v>
      </c>
      <c r="T413" s="21" t="str">
        <f>'Ingest Template'!T413</f>
        <v/>
      </c>
      <c r="U413" s="21" t="str">
        <f>'Ingest Template'!S413</f>
        <v/>
      </c>
      <c r="V413" s="21" t="str">
        <f>LOWER(SUBSTITUTE(SUBSTITUTE(SUBSTITUTE(SUBSTITUTE(SUBSTITUTE('Ingest Template'!U413,"https:",""),"www.",""),"/",""),"?hl=en",""),"instagram.com",""))</f>
        <v/>
      </c>
      <c r="W413" s="41" t="str">
        <f t="array" ref="W413">IF('Ingest Template'!V413="",(INDEX(DropDown!$L$2:$L$392,MATCH('Ingest Template'!E413,DropDown!$J$2:$J$392,0))&amp;"|"&amp;'Ingest Template'!B413),(INDEX(DropDown!$L$2:$L$392,MATCH('Ingest Template'!E413,DropDown!$J$2:$J$392,0))&amp;"|"&amp;'Ingest Template'!B413)&amp;CHAR(10)&amp;'Ingest Template'!V413)</f>
        <v>#N/A</v>
      </c>
      <c r="X413" s="41" t="str">
        <f>'Ingest Template'!W413</f>
        <v/>
      </c>
      <c r="Y413" s="21" t="str">
        <f>SUBSTITUTE(SUBSTITUTE(SUBSTITUTE('Ingest Template'!X413,"http:",""),"https:",""),"/","")</f>
        <v/>
      </c>
      <c r="Z413" s="21" t="str">
        <f t="array" ref="Z413">IF('Ingest Template'!A413="Standard",(IF(ISBLANK('Ingest Template'!AA413),"", 'Ingest Template'!AA413&amp;"|DAR")),(IF(ISBLANK('Ingest Template'!AA413),"", 'Ingest Template'!AA413&amp;"|Film Ops")))</f>
        <v/>
      </c>
      <c r="AA413" s="21"/>
      <c r="AB413" s="21" t="str">
        <f>'Ingest Template'!M413</f>
        <v/>
      </c>
      <c r="AC413" s="21" t="str">
        <f>'Ingest Template'!Y413</f>
        <v/>
      </c>
      <c r="AD413" s="21" t="str">
        <f>'Ingest Template'!C413</f>
        <v/>
      </c>
      <c r="AE413" s="21" t="str">
        <f>'Ingest Template'!Z413</f>
        <v/>
      </c>
      <c r="AF413" s="29"/>
      <c r="AG413" s="21" t="str">
        <f t="array" ref="AG413">IF('Ingest Template'!A413="Standard",(CONCATENATE(IF(ISBLANK('Ingest Template'!O413),"", 'Ingest Template'!O413&amp;"|DAR"),CHAR(10), IF(ISBLANK('Ingest Template'!P413),"", 'Ingest Template'!P413&amp;"|DAR"),CHAR(10), IF(ISBLANK('Ingest Template'!Q413),"", 'Ingest Template'!Q413&amp;"|DAR"))),(CONCATENATE(IF(ISBLANK('Ingest Template'!O413),"", 'Ingest Template'!O413&amp;"|Operations - Core Title"),CHAR(10), IF(ISBLANK('Ingest Template'!P413),"", 'Ingest Template'!P413&amp;"|Operations - Core Title"),CHAR(10), IF(ISBLANK('Ingest Template'!Q413),"", 'Ingest Template'!Q413&amp;"|Operations - Core Title"))))</f>
        <v>#|Operations - Core Title
#|Operations - Core Title
</v>
      </c>
      <c r="AH413" s="21"/>
      <c r="AI413" s="21"/>
      <c r="AJ413" s="53" t="str">
        <f>if('Ingest Template'!A413="Standard",'Ingest Template'!N413&amp; "|DAR|DAR|2021-01-01",'Ingest Template'!N413&amp; "|Operations - Core Title|Operations - Core Title")</f>
        <v>#N/A</v>
      </c>
      <c r="AK413" s="53" t="str">
        <f>if('Ingest Template'!A413="Standard",'Ingest Template'!R413&amp; "|2021-01-01",'Ingest Template'!R413)</f>
        <v>#N/A</v>
      </c>
      <c r="AL413" s="21"/>
      <c r="AM413" s="21"/>
    </row>
    <row r="414">
      <c r="A414" s="21"/>
      <c r="B414" s="21" t="str">
        <f>'Ingest Template'!B414&amp;IF('Ingest Template'!A414 = "Standard", " - DAR","")</f>
        <v/>
      </c>
      <c r="C414" s="26" t="s">
        <v>109</v>
      </c>
      <c r="D414" s="29" t="str">
        <f t="array" ref="D414">CONCATENATE(INDEX(DropDown!$H$2:$H$10,MATCH(1,COUNTIF('Ingest Template'!F414,"*"&amp;DropDown!$H$2:$H$10&amp;"*"),0)),CHAR(10),'Ingest Template'!G414)</f>
        <v>#N/A</v>
      </c>
      <c r="E414" s="21" t="str">
        <f>CONCATENATE('Ingest Template'!H414,CHAR(10),'Ingest Template'!I414,CHAR(10),'Ingest Template'!J414)</f>
        <v>
</v>
      </c>
      <c r="F414" s="26" t="str">
        <f>'Ingest Template'!H414</f>
        <v/>
      </c>
      <c r="G414" s="21"/>
      <c r="H414" s="29"/>
      <c r="I414" s="21"/>
      <c r="J414" s="29" t="str">
        <f t="array" ref="J414">iF('Ingest Template'!A414="Standard","Pristine Brand",INDEX(DropDown!$M$2:$M$392,MATCH('Ingest Template'!E414,DropDown!$J$2:$J$392,0)))</f>
        <v>#N/A</v>
      </c>
      <c r="K414" s="21" t="str">
        <f>iF('Ingest Template'!A414="Standard",'Ingest Template'!K414&amp;CHAR(10)&amp;'Ingest Template'!L414,"Competitive View")</f>
        <v>Competitive View</v>
      </c>
      <c r="L414" s="29" t="s">
        <v>146</v>
      </c>
      <c r="M414" s="37" t="str">
        <f>'Ingest Template'!D414</f>
        <v/>
      </c>
      <c r="N414" s="21"/>
      <c r="O414" s="21"/>
      <c r="P414" s="21"/>
      <c r="Q414" s="21"/>
      <c r="R414" s="21" t="str">
        <f>'Ingest Template'!E414</f>
        <v/>
      </c>
      <c r="S414" s="29" t="s">
        <v>153</v>
      </c>
      <c r="T414" s="21" t="str">
        <f>'Ingest Template'!T414</f>
        <v/>
      </c>
      <c r="U414" s="21" t="str">
        <f>'Ingest Template'!S414</f>
        <v/>
      </c>
      <c r="V414" s="21" t="str">
        <f>LOWER(SUBSTITUTE(SUBSTITUTE(SUBSTITUTE(SUBSTITUTE(SUBSTITUTE('Ingest Template'!U414,"https:",""),"www.",""),"/",""),"?hl=en",""),"instagram.com",""))</f>
        <v/>
      </c>
      <c r="W414" s="41" t="str">
        <f t="array" ref="W414">IF('Ingest Template'!V414="",(INDEX(DropDown!$L$2:$L$392,MATCH('Ingest Template'!E414,DropDown!$J$2:$J$392,0))&amp;"|"&amp;'Ingest Template'!B414),(INDEX(DropDown!$L$2:$L$392,MATCH('Ingest Template'!E414,DropDown!$J$2:$J$392,0))&amp;"|"&amp;'Ingest Template'!B414)&amp;CHAR(10)&amp;'Ingest Template'!V414)</f>
        <v>#N/A</v>
      </c>
      <c r="X414" s="41" t="str">
        <f>'Ingest Template'!W414</f>
        <v/>
      </c>
      <c r="Y414" s="21" t="str">
        <f>SUBSTITUTE(SUBSTITUTE(SUBSTITUTE('Ingest Template'!X414,"http:",""),"https:",""),"/","")</f>
        <v/>
      </c>
      <c r="Z414" s="21" t="str">
        <f t="array" ref="Z414">IF('Ingest Template'!A414="Standard",(IF(ISBLANK('Ingest Template'!AA414),"", 'Ingest Template'!AA414&amp;"|DAR")),(IF(ISBLANK('Ingest Template'!AA414),"", 'Ingest Template'!AA414&amp;"|Film Ops")))</f>
        <v/>
      </c>
      <c r="AA414" s="21"/>
      <c r="AB414" s="21" t="str">
        <f>'Ingest Template'!M414</f>
        <v/>
      </c>
      <c r="AC414" s="21" t="str">
        <f>'Ingest Template'!Y414</f>
        <v/>
      </c>
      <c r="AD414" s="21" t="str">
        <f>'Ingest Template'!C414</f>
        <v/>
      </c>
      <c r="AE414" s="21" t="str">
        <f>'Ingest Template'!Z414</f>
        <v/>
      </c>
      <c r="AF414" s="29"/>
      <c r="AG414" s="21" t="str">
        <f t="array" ref="AG414">IF('Ingest Template'!A414="Standard",(CONCATENATE(IF(ISBLANK('Ingest Template'!O414),"", 'Ingest Template'!O414&amp;"|DAR"),CHAR(10), IF(ISBLANK('Ingest Template'!P414),"", 'Ingest Template'!P414&amp;"|DAR"),CHAR(10), IF(ISBLANK('Ingest Template'!Q414),"", 'Ingest Template'!Q414&amp;"|DAR"))),(CONCATENATE(IF(ISBLANK('Ingest Template'!O414),"", 'Ingest Template'!O414&amp;"|Operations - Core Title"),CHAR(10), IF(ISBLANK('Ingest Template'!P414),"", 'Ingest Template'!P414&amp;"|Operations - Core Title"),CHAR(10), IF(ISBLANK('Ingest Template'!Q414),"", 'Ingest Template'!Q414&amp;"|Operations - Core Title"))))</f>
        <v>#|Operations - Core Title
#|Operations - Core Title
</v>
      </c>
      <c r="AH414" s="21"/>
      <c r="AI414" s="21"/>
      <c r="AJ414" s="53" t="str">
        <f>if('Ingest Template'!A414="Standard",'Ingest Template'!N414&amp; "|DAR|DAR|2021-01-01",'Ingest Template'!N414&amp; "|Operations - Core Title|Operations - Core Title")</f>
        <v>#N/A</v>
      </c>
      <c r="AK414" s="53" t="str">
        <f>if('Ingest Template'!A414="Standard",'Ingest Template'!R414&amp; "|2021-01-01",'Ingest Template'!R414)</f>
        <v>#N/A</v>
      </c>
      <c r="AL414" s="21"/>
      <c r="AM414" s="21"/>
    </row>
    <row r="415">
      <c r="A415" s="21"/>
      <c r="B415" s="21" t="str">
        <f>'Ingest Template'!B415&amp;IF('Ingest Template'!A415 = "Standard", " - DAR","")</f>
        <v/>
      </c>
      <c r="C415" s="26" t="s">
        <v>109</v>
      </c>
      <c r="D415" s="29" t="str">
        <f t="array" ref="D415">CONCATENATE(INDEX(DropDown!$H$2:$H$10,MATCH(1,COUNTIF('Ingest Template'!F415,"*"&amp;DropDown!$H$2:$H$10&amp;"*"),0)),CHAR(10),'Ingest Template'!G415)</f>
        <v>#N/A</v>
      </c>
      <c r="E415" s="21" t="str">
        <f>CONCATENATE('Ingest Template'!H415,CHAR(10),'Ingest Template'!I415,CHAR(10),'Ingest Template'!J415)</f>
        <v>
</v>
      </c>
      <c r="F415" s="26" t="str">
        <f>'Ingest Template'!H415</f>
        <v/>
      </c>
      <c r="G415" s="21"/>
      <c r="H415" s="29"/>
      <c r="I415" s="21"/>
      <c r="J415" s="29" t="str">
        <f t="array" ref="J415">iF('Ingest Template'!A415="Standard","Pristine Brand",INDEX(DropDown!$M$2:$M$392,MATCH('Ingest Template'!E415,DropDown!$J$2:$J$392,0)))</f>
        <v>#N/A</v>
      </c>
      <c r="K415" s="21" t="str">
        <f>iF('Ingest Template'!A415="Standard",'Ingest Template'!K415&amp;CHAR(10)&amp;'Ingest Template'!L415,"Competitive View")</f>
        <v>Competitive View</v>
      </c>
      <c r="L415" s="29" t="s">
        <v>146</v>
      </c>
      <c r="M415" s="37" t="str">
        <f>'Ingest Template'!D415</f>
        <v/>
      </c>
      <c r="N415" s="21"/>
      <c r="O415" s="21"/>
      <c r="P415" s="21"/>
      <c r="Q415" s="21"/>
      <c r="R415" s="21" t="str">
        <f>'Ingest Template'!E415</f>
        <v/>
      </c>
      <c r="S415" s="29" t="s">
        <v>153</v>
      </c>
      <c r="T415" s="21" t="str">
        <f>'Ingest Template'!T415</f>
        <v/>
      </c>
      <c r="U415" s="21" t="str">
        <f>'Ingest Template'!S415</f>
        <v/>
      </c>
      <c r="V415" s="21" t="str">
        <f>LOWER(SUBSTITUTE(SUBSTITUTE(SUBSTITUTE(SUBSTITUTE(SUBSTITUTE('Ingest Template'!U415,"https:",""),"www.",""),"/",""),"?hl=en",""),"instagram.com",""))</f>
        <v/>
      </c>
      <c r="W415" s="41" t="str">
        <f t="array" ref="W415">IF('Ingest Template'!V415="",(INDEX(DropDown!$L$2:$L$392,MATCH('Ingest Template'!E415,DropDown!$J$2:$J$392,0))&amp;"|"&amp;'Ingest Template'!B415),(INDEX(DropDown!$L$2:$L$392,MATCH('Ingest Template'!E415,DropDown!$J$2:$J$392,0))&amp;"|"&amp;'Ingest Template'!B415)&amp;CHAR(10)&amp;'Ingest Template'!V415)</f>
        <v>#N/A</v>
      </c>
      <c r="X415" s="41" t="str">
        <f>'Ingest Template'!W415</f>
        <v/>
      </c>
      <c r="Y415" s="21" t="str">
        <f>SUBSTITUTE(SUBSTITUTE(SUBSTITUTE('Ingest Template'!X415,"http:",""),"https:",""),"/","")</f>
        <v/>
      </c>
      <c r="Z415" s="21" t="str">
        <f t="array" ref="Z415">IF('Ingest Template'!A415="Standard",(IF(ISBLANK('Ingest Template'!AA415),"", 'Ingest Template'!AA415&amp;"|DAR")),(IF(ISBLANK('Ingest Template'!AA415),"", 'Ingest Template'!AA415&amp;"|Film Ops")))</f>
        <v/>
      </c>
      <c r="AA415" s="21"/>
      <c r="AB415" s="21" t="str">
        <f>'Ingest Template'!M415</f>
        <v/>
      </c>
      <c r="AC415" s="21" t="str">
        <f>'Ingest Template'!Y415</f>
        <v/>
      </c>
      <c r="AD415" s="21" t="str">
        <f>'Ingest Template'!C415</f>
        <v/>
      </c>
      <c r="AE415" s="21" t="str">
        <f>'Ingest Template'!Z415</f>
        <v/>
      </c>
      <c r="AF415" s="29"/>
      <c r="AG415" s="21" t="str">
        <f t="array" ref="AG415">IF('Ingest Template'!A415="Standard",(CONCATENATE(IF(ISBLANK('Ingest Template'!O415),"", 'Ingest Template'!O415&amp;"|DAR"),CHAR(10), IF(ISBLANK('Ingest Template'!P415),"", 'Ingest Template'!P415&amp;"|DAR"),CHAR(10), IF(ISBLANK('Ingest Template'!Q415),"", 'Ingest Template'!Q415&amp;"|DAR"))),(CONCATENATE(IF(ISBLANK('Ingest Template'!O415),"", 'Ingest Template'!O415&amp;"|Operations - Core Title"),CHAR(10), IF(ISBLANK('Ingest Template'!P415),"", 'Ingest Template'!P415&amp;"|Operations - Core Title"),CHAR(10), IF(ISBLANK('Ingest Template'!Q415),"", 'Ingest Template'!Q415&amp;"|Operations - Core Title"))))</f>
        <v>#|Operations - Core Title
#|Operations - Core Title
</v>
      </c>
      <c r="AH415" s="21"/>
      <c r="AI415" s="21"/>
      <c r="AJ415" s="53" t="str">
        <f>if('Ingest Template'!A415="Standard",'Ingest Template'!N415&amp; "|DAR|DAR|2021-01-01",'Ingest Template'!N415&amp; "|Operations - Core Title|Operations - Core Title")</f>
        <v>#N/A</v>
      </c>
      <c r="AK415" s="53" t="str">
        <f>if('Ingest Template'!A415="Standard",'Ingest Template'!R415&amp; "|2021-01-01",'Ingest Template'!R415)</f>
        <v>#N/A</v>
      </c>
      <c r="AL415" s="21"/>
      <c r="AM415" s="21"/>
    </row>
    <row r="416">
      <c r="A416" s="21"/>
      <c r="B416" s="21" t="str">
        <f>'Ingest Template'!B416&amp;IF('Ingest Template'!A416 = "Standard", " - DAR","")</f>
        <v/>
      </c>
      <c r="C416" s="26" t="s">
        <v>109</v>
      </c>
      <c r="D416" s="29" t="str">
        <f t="array" ref="D416">CONCATENATE(INDEX(DropDown!$H$2:$H$10,MATCH(1,COUNTIF('Ingest Template'!F416,"*"&amp;DropDown!$H$2:$H$10&amp;"*"),0)),CHAR(10),'Ingest Template'!G416)</f>
        <v>#N/A</v>
      </c>
      <c r="E416" s="21" t="str">
        <f>CONCATENATE('Ingest Template'!H416,CHAR(10),'Ingest Template'!I416,CHAR(10),'Ingest Template'!J416)</f>
        <v>
</v>
      </c>
      <c r="F416" s="26" t="str">
        <f>'Ingest Template'!H416</f>
        <v/>
      </c>
      <c r="G416" s="21"/>
      <c r="H416" s="29"/>
      <c r="I416" s="21"/>
      <c r="J416" s="29" t="str">
        <f t="array" ref="J416">iF('Ingest Template'!A416="Standard","Pristine Brand",INDEX(DropDown!$M$2:$M$392,MATCH('Ingest Template'!E416,DropDown!$J$2:$J$392,0)))</f>
        <v>#N/A</v>
      </c>
      <c r="K416" s="21" t="str">
        <f>iF('Ingest Template'!A416="Standard",'Ingest Template'!K416&amp;CHAR(10)&amp;'Ingest Template'!L416,"Competitive View")</f>
        <v>Competitive View</v>
      </c>
      <c r="L416" s="29" t="s">
        <v>146</v>
      </c>
      <c r="M416" s="37" t="str">
        <f>'Ingest Template'!D416</f>
        <v/>
      </c>
      <c r="N416" s="21"/>
      <c r="O416" s="21"/>
      <c r="P416" s="21"/>
      <c r="Q416" s="21"/>
      <c r="R416" s="21" t="str">
        <f>'Ingest Template'!E416</f>
        <v/>
      </c>
      <c r="S416" s="29" t="s">
        <v>153</v>
      </c>
      <c r="T416" s="21" t="str">
        <f>'Ingest Template'!T416</f>
        <v/>
      </c>
      <c r="U416" s="21" t="str">
        <f>'Ingest Template'!S416</f>
        <v/>
      </c>
      <c r="V416" s="21" t="str">
        <f>LOWER(SUBSTITUTE(SUBSTITUTE(SUBSTITUTE(SUBSTITUTE(SUBSTITUTE('Ingest Template'!U416,"https:",""),"www.",""),"/",""),"?hl=en",""),"instagram.com",""))</f>
        <v/>
      </c>
      <c r="W416" s="41" t="str">
        <f t="array" ref="W416">IF('Ingest Template'!V416="",(INDEX(DropDown!$L$2:$L$392,MATCH('Ingest Template'!E416,DropDown!$J$2:$J$392,0))&amp;"|"&amp;'Ingest Template'!B416),(INDEX(DropDown!$L$2:$L$392,MATCH('Ingest Template'!E416,DropDown!$J$2:$J$392,0))&amp;"|"&amp;'Ingest Template'!B416)&amp;CHAR(10)&amp;'Ingest Template'!V416)</f>
        <v>#N/A</v>
      </c>
      <c r="X416" s="41" t="str">
        <f>'Ingest Template'!W416</f>
        <v/>
      </c>
      <c r="Y416" s="21" t="str">
        <f>SUBSTITUTE(SUBSTITUTE(SUBSTITUTE('Ingest Template'!X416,"http:",""),"https:",""),"/","")</f>
        <v/>
      </c>
      <c r="Z416" s="21" t="str">
        <f t="array" ref="Z416">IF('Ingest Template'!A416="Standard",(IF(ISBLANK('Ingest Template'!AA416),"", 'Ingest Template'!AA416&amp;"|DAR")),(IF(ISBLANK('Ingest Template'!AA416),"", 'Ingest Template'!AA416&amp;"|Film Ops")))</f>
        <v/>
      </c>
      <c r="AA416" s="21"/>
      <c r="AB416" s="21" t="str">
        <f>'Ingest Template'!M416</f>
        <v/>
      </c>
      <c r="AC416" s="21" t="str">
        <f>'Ingest Template'!Y416</f>
        <v/>
      </c>
      <c r="AD416" s="21" t="str">
        <f>'Ingest Template'!C416</f>
        <v/>
      </c>
      <c r="AE416" s="21" t="str">
        <f>'Ingest Template'!Z416</f>
        <v/>
      </c>
      <c r="AF416" s="29"/>
      <c r="AG416" s="21" t="str">
        <f t="array" ref="AG416">IF('Ingest Template'!A416="Standard",(CONCATENATE(IF(ISBLANK('Ingest Template'!O416),"", 'Ingest Template'!O416&amp;"|DAR"),CHAR(10), IF(ISBLANK('Ingest Template'!P416),"", 'Ingest Template'!P416&amp;"|DAR"),CHAR(10), IF(ISBLANK('Ingest Template'!Q416),"", 'Ingest Template'!Q416&amp;"|DAR"))),(CONCATENATE(IF(ISBLANK('Ingest Template'!O416),"", 'Ingest Template'!O416&amp;"|Operations - Core Title"),CHAR(10), IF(ISBLANK('Ingest Template'!P416),"", 'Ingest Template'!P416&amp;"|Operations - Core Title"),CHAR(10), IF(ISBLANK('Ingest Template'!Q416),"", 'Ingest Template'!Q416&amp;"|Operations - Core Title"))))</f>
        <v>#|Operations - Core Title
#|Operations - Core Title
</v>
      </c>
      <c r="AH416" s="21"/>
      <c r="AI416" s="21"/>
      <c r="AJ416" s="53" t="str">
        <f>if('Ingest Template'!A416="Standard",'Ingest Template'!N416&amp; "|DAR|DAR|2021-01-01",'Ingest Template'!N416&amp; "|Operations - Core Title|Operations - Core Title")</f>
        <v>#N/A</v>
      </c>
      <c r="AK416" s="53" t="str">
        <f>if('Ingest Template'!A416="Standard",'Ingest Template'!R416&amp; "|2021-01-01",'Ingest Template'!R416)</f>
        <v>#N/A</v>
      </c>
      <c r="AL416" s="21"/>
      <c r="AM416" s="21"/>
    </row>
    <row r="417">
      <c r="A417" s="21"/>
      <c r="B417" s="21" t="str">
        <f>'Ingest Template'!B417&amp;IF('Ingest Template'!A417 = "Standard", " - DAR","")</f>
        <v/>
      </c>
      <c r="C417" s="26" t="s">
        <v>109</v>
      </c>
      <c r="D417" s="29" t="str">
        <f t="array" ref="D417">CONCATENATE(INDEX(DropDown!$H$2:$H$10,MATCH(1,COUNTIF('Ingest Template'!F417,"*"&amp;DropDown!$H$2:$H$10&amp;"*"),0)),CHAR(10),'Ingest Template'!G417)</f>
        <v>#N/A</v>
      </c>
      <c r="E417" s="21" t="str">
        <f>CONCATENATE('Ingest Template'!H417,CHAR(10),'Ingest Template'!I417,CHAR(10),'Ingest Template'!J417)</f>
        <v>
</v>
      </c>
      <c r="F417" s="26" t="str">
        <f>'Ingest Template'!H417</f>
        <v/>
      </c>
      <c r="G417" s="21"/>
      <c r="H417" s="29"/>
      <c r="I417" s="21"/>
      <c r="J417" s="29" t="str">
        <f t="array" ref="J417">iF('Ingest Template'!A417="Standard","Pristine Brand",INDEX(DropDown!$M$2:$M$392,MATCH('Ingest Template'!E417,DropDown!$J$2:$J$392,0)))</f>
        <v>#N/A</v>
      </c>
      <c r="K417" s="21" t="str">
        <f>iF('Ingest Template'!A417="Standard",'Ingest Template'!K417&amp;CHAR(10)&amp;'Ingest Template'!L417,"Competitive View")</f>
        <v>Competitive View</v>
      </c>
      <c r="L417" s="29" t="s">
        <v>146</v>
      </c>
      <c r="M417" s="37" t="str">
        <f>'Ingest Template'!D417</f>
        <v/>
      </c>
      <c r="N417" s="21"/>
      <c r="O417" s="21"/>
      <c r="P417" s="21"/>
      <c r="Q417" s="21"/>
      <c r="R417" s="21" t="str">
        <f>'Ingest Template'!E417</f>
        <v/>
      </c>
      <c r="S417" s="29" t="s">
        <v>153</v>
      </c>
      <c r="T417" s="21" t="str">
        <f>'Ingest Template'!T417</f>
        <v/>
      </c>
      <c r="U417" s="21" t="str">
        <f>'Ingest Template'!S417</f>
        <v/>
      </c>
      <c r="V417" s="21" t="str">
        <f>LOWER(SUBSTITUTE(SUBSTITUTE(SUBSTITUTE(SUBSTITUTE(SUBSTITUTE('Ingest Template'!U417,"https:",""),"www.",""),"/",""),"?hl=en",""),"instagram.com",""))</f>
        <v/>
      </c>
      <c r="W417" s="41" t="str">
        <f t="array" ref="W417">IF('Ingest Template'!V417="",(INDEX(DropDown!$L$2:$L$392,MATCH('Ingest Template'!E417,DropDown!$J$2:$J$392,0))&amp;"|"&amp;'Ingest Template'!B417),(INDEX(DropDown!$L$2:$L$392,MATCH('Ingest Template'!E417,DropDown!$J$2:$J$392,0))&amp;"|"&amp;'Ingest Template'!B417)&amp;CHAR(10)&amp;'Ingest Template'!V417)</f>
        <v>#N/A</v>
      </c>
      <c r="X417" s="41" t="str">
        <f>'Ingest Template'!W417</f>
        <v/>
      </c>
      <c r="Y417" s="21" t="str">
        <f>SUBSTITUTE(SUBSTITUTE(SUBSTITUTE('Ingest Template'!X417,"http:",""),"https:",""),"/","")</f>
        <v/>
      </c>
      <c r="Z417" s="21" t="str">
        <f t="array" ref="Z417">IF('Ingest Template'!A417="Standard",(IF(ISBLANK('Ingest Template'!AA417),"", 'Ingest Template'!AA417&amp;"|DAR")),(IF(ISBLANK('Ingest Template'!AA417),"", 'Ingest Template'!AA417&amp;"|Film Ops")))</f>
        <v/>
      </c>
      <c r="AA417" s="21"/>
      <c r="AB417" s="21" t="str">
        <f>'Ingest Template'!M417</f>
        <v/>
      </c>
      <c r="AC417" s="21" t="str">
        <f>'Ingest Template'!Y417</f>
        <v/>
      </c>
      <c r="AD417" s="21" t="str">
        <f>'Ingest Template'!C417</f>
        <v/>
      </c>
      <c r="AE417" s="21" t="str">
        <f>'Ingest Template'!Z417</f>
        <v/>
      </c>
      <c r="AF417" s="29"/>
      <c r="AG417" s="21" t="str">
        <f t="array" ref="AG417">IF('Ingest Template'!A417="Standard",(CONCATENATE(IF(ISBLANK('Ingest Template'!O417),"", 'Ingest Template'!O417&amp;"|DAR"),CHAR(10), IF(ISBLANK('Ingest Template'!P417),"", 'Ingest Template'!P417&amp;"|DAR"),CHAR(10), IF(ISBLANK('Ingest Template'!Q417),"", 'Ingest Template'!Q417&amp;"|DAR"))),(CONCATENATE(IF(ISBLANK('Ingest Template'!O417),"", 'Ingest Template'!O417&amp;"|Operations - Core Title"),CHAR(10), IF(ISBLANK('Ingest Template'!P417),"", 'Ingest Template'!P417&amp;"|Operations - Core Title"),CHAR(10), IF(ISBLANK('Ingest Template'!Q417),"", 'Ingest Template'!Q417&amp;"|Operations - Core Title"))))</f>
        <v>#|Operations - Core Title
#|Operations - Core Title
</v>
      </c>
      <c r="AH417" s="21"/>
      <c r="AI417" s="21"/>
      <c r="AJ417" s="53" t="str">
        <f>if('Ingest Template'!A417="Standard",'Ingest Template'!N417&amp; "|DAR|DAR|2021-01-01",'Ingest Template'!N417&amp; "|Operations - Core Title|Operations - Core Title")</f>
        <v>#N/A</v>
      </c>
      <c r="AK417" s="53" t="str">
        <f>if('Ingest Template'!A417="Standard",'Ingest Template'!R417&amp; "|2021-01-01",'Ingest Template'!R417)</f>
        <v>#N/A</v>
      </c>
      <c r="AL417" s="21"/>
      <c r="AM417" s="21"/>
    </row>
    <row r="418">
      <c r="A418" s="21"/>
      <c r="B418" s="21" t="str">
        <f>'Ingest Template'!B418&amp;IF('Ingest Template'!A418 = "Standard", " - DAR","")</f>
        <v/>
      </c>
      <c r="C418" s="26" t="s">
        <v>109</v>
      </c>
      <c r="D418" s="29" t="str">
        <f t="array" ref="D418">CONCATENATE(INDEX(DropDown!$H$2:$H$10,MATCH(1,COUNTIF('Ingest Template'!F418,"*"&amp;DropDown!$H$2:$H$10&amp;"*"),0)),CHAR(10),'Ingest Template'!G418)</f>
        <v>#N/A</v>
      </c>
      <c r="E418" s="21" t="str">
        <f>CONCATENATE('Ingest Template'!H418,CHAR(10),'Ingest Template'!I418,CHAR(10),'Ingest Template'!J418)</f>
        <v>
</v>
      </c>
      <c r="F418" s="26" t="str">
        <f>'Ingest Template'!H418</f>
        <v/>
      </c>
      <c r="G418" s="21"/>
      <c r="H418" s="29"/>
      <c r="I418" s="21"/>
      <c r="J418" s="29" t="str">
        <f t="array" ref="J418">iF('Ingest Template'!A418="Standard","Pristine Brand",INDEX(DropDown!$M$2:$M$392,MATCH('Ingest Template'!E418,DropDown!$J$2:$J$392,0)))</f>
        <v>#N/A</v>
      </c>
      <c r="K418" s="21" t="str">
        <f>iF('Ingest Template'!A418="Standard",'Ingest Template'!K418&amp;CHAR(10)&amp;'Ingest Template'!L418,"Competitive View")</f>
        <v>Competitive View</v>
      </c>
      <c r="L418" s="29" t="s">
        <v>146</v>
      </c>
      <c r="M418" s="37" t="str">
        <f>'Ingest Template'!D418</f>
        <v/>
      </c>
      <c r="N418" s="21"/>
      <c r="O418" s="21"/>
      <c r="P418" s="21"/>
      <c r="Q418" s="21"/>
      <c r="R418" s="21" t="str">
        <f>'Ingest Template'!E418</f>
        <v/>
      </c>
      <c r="S418" s="29" t="s">
        <v>153</v>
      </c>
      <c r="T418" s="21" t="str">
        <f>'Ingest Template'!T418</f>
        <v/>
      </c>
      <c r="U418" s="21" t="str">
        <f>'Ingest Template'!S418</f>
        <v/>
      </c>
      <c r="V418" s="21" t="str">
        <f>LOWER(SUBSTITUTE(SUBSTITUTE(SUBSTITUTE(SUBSTITUTE(SUBSTITUTE('Ingest Template'!U418,"https:",""),"www.",""),"/",""),"?hl=en",""),"instagram.com",""))</f>
        <v/>
      </c>
      <c r="W418" s="41" t="str">
        <f t="array" ref="W418">IF('Ingest Template'!V418="",(INDEX(DropDown!$L$2:$L$392,MATCH('Ingest Template'!E418,DropDown!$J$2:$J$392,0))&amp;"|"&amp;'Ingest Template'!B418),(INDEX(DropDown!$L$2:$L$392,MATCH('Ingest Template'!E418,DropDown!$J$2:$J$392,0))&amp;"|"&amp;'Ingest Template'!B418)&amp;CHAR(10)&amp;'Ingest Template'!V418)</f>
        <v>#N/A</v>
      </c>
      <c r="X418" s="41" t="str">
        <f>'Ingest Template'!W418</f>
        <v/>
      </c>
      <c r="Y418" s="21" t="str">
        <f>SUBSTITUTE(SUBSTITUTE(SUBSTITUTE('Ingest Template'!X418,"http:",""),"https:",""),"/","")</f>
        <v/>
      </c>
      <c r="Z418" s="21" t="str">
        <f t="array" ref="Z418">IF('Ingest Template'!A418="Standard",(IF(ISBLANK('Ingest Template'!AA418),"", 'Ingest Template'!AA418&amp;"|DAR")),(IF(ISBLANK('Ingest Template'!AA418),"", 'Ingest Template'!AA418&amp;"|Film Ops")))</f>
        <v/>
      </c>
      <c r="AA418" s="21"/>
      <c r="AB418" s="21" t="str">
        <f>'Ingest Template'!M418</f>
        <v/>
      </c>
      <c r="AC418" s="21" t="str">
        <f>'Ingest Template'!Y418</f>
        <v/>
      </c>
      <c r="AD418" s="21" t="str">
        <f>'Ingest Template'!C418</f>
        <v/>
      </c>
      <c r="AE418" s="21" t="str">
        <f>'Ingest Template'!Z418</f>
        <v/>
      </c>
      <c r="AF418" s="29"/>
      <c r="AG418" s="21" t="str">
        <f t="array" ref="AG418">IF('Ingest Template'!A418="Standard",(CONCATENATE(IF(ISBLANK('Ingest Template'!O418),"", 'Ingest Template'!O418&amp;"|DAR"),CHAR(10), IF(ISBLANK('Ingest Template'!P418),"", 'Ingest Template'!P418&amp;"|DAR"),CHAR(10), IF(ISBLANK('Ingest Template'!Q418),"", 'Ingest Template'!Q418&amp;"|DAR"))),(CONCATENATE(IF(ISBLANK('Ingest Template'!O418),"", 'Ingest Template'!O418&amp;"|Operations - Core Title"),CHAR(10), IF(ISBLANK('Ingest Template'!P418),"", 'Ingest Template'!P418&amp;"|Operations - Core Title"),CHAR(10), IF(ISBLANK('Ingest Template'!Q418),"", 'Ingest Template'!Q418&amp;"|Operations - Core Title"))))</f>
        <v>#|Operations - Core Title
#|Operations - Core Title
</v>
      </c>
      <c r="AH418" s="21"/>
      <c r="AI418" s="21"/>
      <c r="AJ418" s="53" t="str">
        <f>if('Ingest Template'!A418="Standard",'Ingest Template'!N418&amp; "|DAR|DAR|2021-01-01",'Ingest Template'!N418&amp; "|Operations - Core Title|Operations - Core Title")</f>
        <v>#N/A</v>
      </c>
      <c r="AK418" s="53" t="str">
        <f>if('Ingest Template'!A418="Standard",'Ingest Template'!R418&amp; "|2021-01-01",'Ingest Template'!R418)</f>
        <v>#N/A</v>
      </c>
      <c r="AL418" s="21"/>
      <c r="AM418" s="21"/>
    </row>
    <row r="419">
      <c r="A419" s="21"/>
      <c r="B419" s="21" t="str">
        <f>'Ingest Template'!B419&amp;IF('Ingest Template'!A419 = "Standard", " - DAR","")</f>
        <v/>
      </c>
      <c r="C419" s="26" t="s">
        <v>109</v>
      </c>
      <c r="D419" s="29" t="str">
        <f t="array" ref="D419">CONCATENATE(INDEX(DropDown!$H$2:$H$10,MATCH(1,COUNTIF('Ingest Template'!F419,"*"&amp;DropDown!$H$2:$H$10&amp;"*"),0)),CHAR(10),'Ingest Template'!G419)</f>
        <v>#N/A</v>
      </c>
      <c r="E419" s="21" t="str">
        <f>CONCATENATE('Ingest Template'!H419,CHAR(10),'Ingest Template'!I419,CHAR(10),'Ingest Template'!J419)</f>
        <v>
</v>
      </c>
      <c r="F419" s="26" t="str">
        <f>'Ingest Template'!H419</f>
        <v/>
      </c>
      <c r="G419" s="21"/>
      <c r="H419" s="29"/>
      <c r="I419" s="21"/>
      <c r="J419" s="29" t="str">
        <f t="array" ref="J419">iF('Ingest Template'!A419="Standard","Pristine Brand",INDEX(DropDown!$M$2:$M$392,MATCH('Ingest Template'!E419,DropDown!$J$2:$J$392,0)))</f>
        <v>#N/A</v>
      </c>
      <c r="K419" s="21" t="str">
        <f>iF('Ingest Template'!A419="Standard",'Ingest Template'!K419&amp;CHAR(10)&amp;'Ingest Template'!L419,"Competitive View")</f>
        <v>Competitive View</v>
      </c>
      <c r="L419" s="29" t="s">
        <v>146</v>
      </c>
      <c r="M419" s="37" t="str">
        <f>'Ingest Template'!D419</f>
        <v/>
      </c>
      <c r="N419" s="21"/>
      <c r="O419" s="21"/>
      <c r="P419" s="21"/>
      <c r="Q419" s="21"/>
      <c r="R419" s="21" t="str">
        <f>'Ingest Template'!E419</f>
        <v/>
      </c>
      <c r="S419" s="29" t="s">
        <v>153</v>
      </c>
      <c r="T419" s="21" t="str">
        <f>'Ingest Template'!T419</f>
        <v/>
      </c>
      <c r="U419" s="21" t="str">
        <f>'Ingest Template'!S419</f>
        <v/>
      </c>
      <c r="V419" s="21" t="str">
        <f>LOWER(SUBSTITUTE(SUBSTITUTE(SUBSTITUTE(SUBSTITUTE(SUBSTITUTE('Ingest Template'!U419,"https:",""),"www.",""),"/",""),"?hl=en",""),"instagram.com",""))</f>
        <v/>
      </c>
      <c r="W419" s="41" t="str">
        <f t="array" ref="W419">IF('Ingest Template'!V419="",(INDEX(DropDown!$L$2:$L$392,MATCH('Ingest Template'!E419,DropDown!$J$2:$J$392,0))&amp;"|"&amp;'Ingest Template'!B419),(INDEX(DropDown!$L$2:$L$392,MATCH('Ingest Template'!E419,DropDown!$J$2:$J$392,0))&amp;"|"&amp;'Ingest Template'!B419)&amp;CHAR(10)&amp;'Ingest Template'!V419)</f>
        <v>#N/A</v>
      </c>
      <c r="X419" s="41" t="str">
        <f>'Ingest Template'!W419</f>
        <v/>
      </c>
      <c r="Y419" s="21" t="str">
        <f>SUBSTITUTE(SUBSTITUTE(SUBSTITUTE('Ingest Template'!X419,"http:",""),"https:",""),"/","")</f>
        <v/>
      </c>
      <c r="Z419" s="21" t="str">
        <f t="array" ref="Z419">IF('Ingest Template'!A419="Standard",(IF(ISBLANK('Ingest Template'!AA419),"", 'Ingest Template'!AA419&amp;"|DAR")),(IF(ISBLANK('Ingest Template'!AA419),"", 'Ingest Template'!AA419&amp;"|Film Ops")))</f>
        <v/>
      </c>
      <c r="AA419" s="21"/>
      <c r="AB419" s="21" t="str">
        <f>'Ingest Template'!M419</f>
        <v/>
      </c>
      <c r="AC419" s="21" t="str">
        <f>'Ingest Template'!Y419</f>
        <v/>
      </c>
      <c r="AD419" s="21" t="str">
        <f>'Ingest Template'!C419</f>
        <v/>
      </c>
      <c r="AE419" s="21" t="str">
        <f>'Ingest Template'!Z419</f>
        <v/>
      </c>
      <c r="AF419" s="29"/>
      <c r="AG419" s="21" t="str">
        <f t="array" ref="AG419">IF('Ingest Template'!A419="Standard",(CONCATENATE(IF(ISBLANK('Ingest Template'!O419),"", 'Ingest Template'!O419&amp;"|DAR"),CHAR(10), IF(ISBLANK('Ingest Template'!P419),"", 'Ingest Template'!P419&amp;"|DAR"),CHAR(10), IF(ISBLANK('Ingest Template'!Q419),"", 'Ingest Template'!Q419&amp;"|DAR"))),(CONCATENATE(IF(ISBLANK('Ingest Template'!O419),"", 'Ingest Template'!O419&amp;"|Operations - Core Title"),CHAR(10), IF(ISBLANK('Ingest Template'!P419),"", 'Ingest Template'!P419&amp;"|Operations - Core Title"),CHAR(10), IF(ISBLANK('Ingest Template'!Q419),"", 'Ingest Template'!Q419&amp;"|Operations - Core Title"))))</f>
        <v>#|Operations - Core Title
#|Operations - Core Title
</v>
      </c>
      <c r="AH419" s="21"/>
      <c r="AI419" s="21"/>
      <c r="AJ419" s="53" t="str">
        <f>if('Ingest Template'!A419="Standard",'Ingest Template'!N419&amp; "|DAR|DAR|2021-01-01",'Ingest Template'!N419&amp; "|Operations - Core Title|Operations - Core Title")</f>
        <v>#N/A</v>
      </c>
      <c r="AK419" s="53" t="str">
        <f>if('Ingest Template'!A419="Standard",'Ingest Template'!R419&amp; "|2021-01-01",'Ingest Template'!R419)</f>
        <v>#N/A</v>
      </c>
      <c r="AL419" s="21"/>
      <c r="AM419" s="21"/>
    </row>
    <row r="420">
      <c r="A420" s="21"/>
      <c r="B420" s="21" t="str">
        <f>'Ingest Template'!B420&amp;IF('Ingest Template'!A420 = "Standard", " - DAR","")</f>
        <v/>
      </c>
      <c r="C420" s="26" t="s">
        <v>109</v>
      </c>
      <c r="D420" s="29" t="str">
        <f t="array" ref="D420">CONCATENATE(INDEX(DropDown!$H$2:$H$10,MATCH(1,COUNTIF('Ingest Template'!F420,"*"&amp;DropDown!$H$2:$H$10&amp;"*"),0)),CHAR(10),'Ingest Template'!G420)</f>
        <v>#N/A</v>
      </c>
      <c r="E420" s="21" t="str">
        <f>CONCATENATE('Ingest Template'!H420,CHAR(10),'Ingest Template'!I420,CHAR(10),'Ingest Template'!J420)</f>
        <v>
</v>
      </c>
      <c r="F420" s="26" t="str">
        <f>'Ingest Template'!H420</f>
        <v/>
      </c>
      <c r="G420" s="21"/>
      <c r="H420" s="29"/>
      <c r="I420" s="21"/>
      <c r="J420" s="29" t="str">
        <f t="array" ref="J420">iF('Ingest Template'!A420="Standard","Pristine Brand",INDEX(DropDown!$M$2:$M$392,MATCH('Ingest Template'!E420,DropDown!$J$2:$J$392,0)))</f>
        <v>#N/A</v>
      </c>
      <c r="K420" s="21" t="str">
        <f>iF('Ingest Template'!A420="Standard",'Ingest Template'!K420&amp;CHAR(10)&amp;'Ingest Template'!L420,"Competitive View")</f>
        <v>Competitive View</v>
      </c>
      <c r="L420" s="29" t="s">
        <v>146</v>
      </c>
      <c r="M420" s="37" t="str">
        <f>'Ingest Template'!D420</f>
        <v/>
      </c>
      <c r="N420" s="21"/>
      <c r="O420" s="21"/>
      <c r="P420" s="21"/>
      <c r="Q420" s="21"/>
      <c r="R420" s="21" t="str">
        <f>'Ingest Template'!E420</f>
        <v/>
      </c>
      <c r="S420" s="29" t="s">
        <v>153</v>
      </c>
      <c r="T420" s="21" t="str">
        <f>'Ingest Template'!T420</f>
        <v/>
      </c>
      <c r="U420" s="21" t="str">
        <f>'Ingest Template'!S420</f>
        <v/>
      </c>
      <c r="V420" s="21" t="str">
        <f>LOWER(SUBSTITUTE(SUBSTITUTE(SUBSTITUTE(SUBSTITUTE(SUBSTITUTE('Ingest Template'!U420,"https:",""),"www.",""),"/",""),"?hl=en",""),"instagram.com",""))</f>
        <v/>
      </c>
      <c r="W420" s="41" t="str">
        <f t="array" ref="W420">IF('Ingest Template'!V420="",(INDEX(DropDown!$L$2:$L$392,MATCH('Ingest Template'!E420,DropDown!$J$2:$J$392,0))&amp;"|"&amp;'Ingest Template'!B420),(INDEX(DropDown!$L$2:$L$392,MATCH('Ingest Template'!E420,DropDown!$J$2:$J$392,0))&amp;"|"&amp;'Ingest Template'!B420)&amp;CHAR(10)&amp;'Ingest Template'!V420)</f>
        <v>#N/A</v>
      </c>
      <c r="X420" s="41" t="str">
        <f>'Ingest Template'!W420</f>
        <v/>
      </c>
      <c r="Y420" s="21" t="str">
        <f>SUBSTITUTE(SUBSTITUTE(SUBSTITUTE('Ingest Template'!X420,"http:",""),"https:",""),"/","")</f>
        <v/>
      </c>
      <c r="Z420" s="21" t="str">
        <f t="array" ref="Z420">IF('Ingest Template'!A420="Standard",(IF(ISBLANK('Ingest Template'!AA420),"", 'Ingest Template'!AA420&amp;"|DAR")),(IF(ISBLANK('Ingest Template'!AA420),"", 'Ingest Template'!AA420&amp;"|Film Ops")))</f>
        <v/>
      </c>
      <c r="AA420" s="21"/>
      <c r="AB420" s="21" t="str">
        <f>'Ingest Template'!M420</f>
        <v/>
      </c>
      <c r="AC420" s="21" t="str">
        <f>'Ingest Template'!Y420</f>
        <v/>
      </c>
      <c r="AD420" s="21" t="str">
        <f>'Ingest Template'!C420</f>
        <v/>
      </c>
      <c r="AE420" s="21" t="str">
        <f>'Ingest Template'!Z420</f>
        <v/>
      </c>
      <c r="AF420" s="29"/>
      <c r="AG420" s="21" t="str">
        <f t="array" ref="AG420">IF('Ingest Template'!A420="Standard",(CONCATENATE(IF(ISBLANK('Ingest Template'!O420),"", 'Ingest Template'!O420&amp;"|DAR"),CHAR(10), IF(ISBLANK('Ingest Template'!P420),"", 'Ingest Template'!P420&amp;"|DAR"),CHAR(10), IF(ISBLANK('Ingest Template'!Q420),"", 'Ingest Template'!Q420&amp;"|DAR"))),(CONCATENATE(IF(ISBLANK('Ingest Template'!O420),"", 'Ingest Template'!O420&amp;"|Operations - Core Title"),CHAR(10), IF(ISBLANK('Ingest Template'!P420),"", 'Ingest Template'!P420&amp;"|Operations - Core Title"),CHAR(10), IF(ISBLANK('Ingest Template'!Q420),"", 'Ingest Template'!Q420&amp;"|Operations - Core Title"))))</f>
        <v>#|Operations - Core Title
#|Operations - Core Title
</v>
      </c>
      <c r="AH420" s="21"/>
      <c r="AI420" s="21"/>
      <c r="AJ420" s="53" t="str">
        <f>if('Ingest Template'!A420="Standard",'Ingest Template'!N420&amp; "|DAR|DAR|2021-01-01",'Ingest Template'!N420&amp; "|Operations - Core Title|Operations - Core Title")</f>
        <v>#N/A</v>
      </c>
      <c r="AK420" s="53" t="str">
        <f>if('Ingest Template'!A420="Standard",'Ingest Template'!R420&amp; "|2021-01-01",'Ingest Template'!R420)</f>
        <v>#N/A</v>
      </c>
      <c r="AL420" s="21"/>
      <c r="AM420" s="21"/>
    </row>
    <row r="421">
      <c r="A421" s="21"/>
      <c r="B421" s="21" t="str">
        <f>'Ingest Template'!B421&amp;IF('Ingest Template'!A421 = "Standard", " - DAR","")</f>
        <v/>
      </c>
      <c r="C421" s="26" t="s">
        <v>109</v>
      </c>
      <c r="D421" s="29" t="str">
        <f t="array" ref="D421">CONCATENATE(INDEX(DropDown!$H$2:$H$10,MATCH(1,COUNTIF('Ingest Template'!F421,"*"&amp;DropDown!$H$2:$H$10&amp;"*"),0)),CHAR(10),'Ingest Template'!G421)</f>
        <v>#N/A</v>
      </c>
      <c r="E421" s="21" t="str">
        <f>CONCATENATE('Ingest Template'!H421,CHAR(10),'Ingest Template'!I421,CHAR(10),'Ingest Template'!J421)</f>
        <v>
</v>
      </c>
      <c r="F421" s="26" t="str">
        <f>'Ingest Template'!H421</f>
        <v/>
      </c>
      <c r="G421" s="21"/>
      <c r="H421" s="29"/>
      <c r="I421" s="21"/>
      <c r="J421" s="29" t="str">
        <f t="array" ref="J421">iF('Ingest Template'!A421="Standard","Pristine Brand",INDEX(DropDown!$M$2:$M$392,MATCH('Ingest Template'!E421,DropDown!$J$2:$J$392,0)))</f>
        <v>#N/A</v>
      </c>
      <c r="K421" s="21" t="str">
        <f>iF('Ingest Template'!A421="Standard",'Ingest Template'!K421&amp;CHAR(10)&amp;'Ingest Template'!L421,"Competitive View")</f>
        <v>Competitive View</v>
      </c>
      <c r="L421" s="29" t="s">
        <v>146</v>
      </c>
      <c r="M421" s="37" t="str">
        <f>'Ingest Template'!D421</f>
        <v/>
      </c>
      <c r="N421" s="21"/>
      <c r="O421" s="21"/>
      <c r="P421" s="21"/>
      <c r="Q421" s="21"/>
      <c r="R421" s="21" t="str">
        <f>'Ingest Template'!E421</f>
        <v/>
      </c>
      <c r="S421" s="29" t="s">
        <v>153</v>
      </c>
      <c r="T421" s="21" t="str">
        <f>'Ingest Template'!T421</f>
        <v/>
      </c>
      <c r="U421" s="21" t="str">
        <f>'Ingest Template'!S421</f>
        <v/>
      </c>
      <c r="V421" s="21" t="str">
        <f>LOWER(SUBSTITUTE(SUBSTITUTE(SUBSTITUTE(SUBSTITUTE(SUBSTITUTE('Ingest Template'!U421,"https:",""),"www.",""),"/",""),"?hl=en",""),"instagram.com",""))</f>
        <v/>
      </c>
      <c r="W421" s="41" t="str">
        <f t="array" ref="W421">IF('Ingest Template'!V421="",(INDEX(DropDown!$L$2:$L$392,MATCH('Ingest Template'!E421,DropDown!$J$2:$J$392,0))&amp;"|"&amp;'Ingest Template'!B421),(INDEX(DropDown!$L$2:$L$392,MATCH('Ingest Template'!E421,DropDown!$J$2:$J$392,0))&amp;"|"&amp;'Ingest Template'!B421)&amp;CHAR(10)&amp;'Ingest Template'!V421)</f>
        <v>#N/A</v>
      </c>
      <c r="X421" s="41" t="str">
        <f>'Ingest Template'!W421</f>
        <v/>
      </c>
      <c r="Y421" s="21" t="str">
        <f>SUBSTITUTE(SUBSTITUTE(SUBSTITUTE('Ingest Template'!X421,"http:",""),"https:",""),"/","")</f>
        <v/>
      </c>
      <c r="Z421" s="21" t="str">
        <f t="array" ref="Z421">IF('Ingest Template'!A421="Standard",(IF(ISBLANK('Ingest Template'!AA421),"", 'Ingest Template'!AA421&amp;"|DAR")),(IF(ISBLANK('Ingest Template'!AA421),"", 'Ingest Template'!AA421&amp;"|Film Ops")))</f>
        <v/>
      </c>
      <c r="AA421" s="21"/>
      <c r="AB421" s="21" t="str">
        <f>'Ingest Template'!M421</f>
        <v/>
      </c>
      <c r="AC421" s="21" t="str">
        <f>'Ingest Template'!Y421</f>
        <v/>
      </c>
      <c r="AD421" s="21" t="str">
        <f>'Ingest Template'!C421</f>
        <v/>
      </c>
      <c r="AE421" s="21" t="str">
        <f>'Ingest Template'!Z421</f>
        <v/>
      </c>
      <c r="AF421" s="29"/>
      <c r="AG421" s="21" t="str">
        <f t="array" ref="AG421">IF('Ingest Template'!A421="Standard",(CONCATENATE(IF(ISBLANK('Ingest Template'!O421),"", 'Ingest Template'!O421&amp;"|DAR"),CHAR(10), IF(ISBLANK('Ingest Template'!P421),"", 'Ingest Template'!P421&amp;"|DAR"),CHAR(10), IF(ISBLANK('Ingest Template'!Q421),"", 'Ingest Template'!Q421&amp;"|DAR"))),(CONCATENATE(IF(ISBLANK('Ingest Template'!O421),"", 'Ingest Template'!O421&amp;"|Operations - Core Title"),CHAR(10), IF(ISBLANK('Ingest Template'!P421),"", 'Ingest Template'!P421&amp;"|Operations - Core Title"),CHAR(10), IF(ISBLANK('Ingest Template'!Q421),"", 'Ingest Template'!Q421&amp;"|Operations - Core Title"))))</f>
        <v>#|Operations - Core Title
#|Operations - Core Title
</v>
      </c>
      <c r="AH421" s="21"/>
      <c r="AI421" s="21"/>
      <c r="AJ421" s="53" t="str">
        <f>if('Ingest Template'!A421="Standard",'Ingest Template'!N421&amp; "|DAR|DAR|2021-01-01",'Ingest Template'!N421&amp; "|Operations - Core Title|Operations - Core Title")</f>
        <v>#N/A</v>
      </c>
      <c r="AK421" s="53" t="str">
        <f>if('Ingest Template'!A421="Standard",'Ingest Template'!R421&amp; "|2021-01-01",'Ingest Template'!R421)</f>
        <v>#N/A</v>
      </c>
      <c r="AL421" s="21"/>
      <c r="AM421" s="21"/>
    </row>
    <row r="422">
      <c r="A422" s="21"/>
      <c r="B422" s="21" t="str">
        <f>'Ingest Template'!B422&amp;IF('Ingest Template'!A422 = "Standard", " - DAR","")</f>
        <v/>
      </c>
      <c r="C422" s="26" t="s">
        <v>109</v>
      </c>
      <c r="D422" s="29" t="str">
        <f t="array" ref="D422">CONCATENATE(INDEX(DropDown!$H$2:$H$10,MATCH(1,COUNTIF('Ingest Template'!F422,"*"&amp;DropDown!$H$2:$H$10&amp;"*"),0)),CHAR(10),'Ingest Template'!G422)</f>
        <v>#N/A</v>
      </c>
      <c r="E422" s="21" t="str">
        <f>CONCATENATE('Ingest Template'!H422,CHAR(10),'Ingest Template'!I422,CHAR(10),'Ingest Template'!J422)</f>
        <v>
</v>
      </c>
      <c r="F422" s="26" t="str">
        <f>'Ingest Template'!H422</f>
        <v/>
      </c>
      <c r="G422" s="21"/>
      <c r="H422" s="29"/>
      <c r="I422" s="21"/>
      <c r="J422" s="29" t="str">
        <f t="array" ref="J422">iF('Ingest Template'!A422="Standard","Pristine Brand",INDEX(DropDown!$M$2:$M$392,MATCH('Ingest Template'!E422,DropDown!$J$2:$J$392,0)))</f>
        <v>#N/A</v>
      </c>
      <c r="K422" s="21" t="str">
        <f>iF('Ingest Template'!A422="Standard",'Ingest Template'!K422&amp;CHAR(10)&amp;'Ingest Template'!L422,"Competitive View")</f>
        <v>Competitive View</v>
      </c>
      <c r="L422" s="29" t="s">
        <v>146</v>
      </c>
      <c r="M422" s="37" t="str">
        <f>'Ingest Template'!D422</f>
        <v/>
      </c>
      <c r="N422" s="21"/>
      <c r="O422" s="21"/>
      <c r="P422" s="21"/>
      <c r="Q422" s="21"/>
      <c r="R422" s="21" t="str">
        <f>'Ingest Template'!E422</f>
        <v/>
      </c>
      <c r="S422" s="29" t="s">
        <v>153</v>
      </c>
      <c r="T422" s="21" t="str">
        <f>'Ingest Template'!T422</f>
        <v/>
      </c>
      <c r="U422" s="21" t="str">
        <f>'Ingest Template'!S422</f>
        <v/>
      </c>
      <c r="V422" s="21" t="str">
        <f>LOWER(SUBSTITUTE(SUBSTITUTE(SUBSTITUTE(SUBSTITUTE(SUBSTITUTE('Ingest Template'!U422,"https:",""),"www.",""),"/",""),"?hl=en",""),"instagram.com",""))</f>
        <v/>
      </c>
      <c r="W422" s="41" t="str">
        <f t="array" ref="W422">IF('Ingest Template'!V422="",(INDEX(DropDown!$L$2:$L$392,MATCH('Ingest Template'!E422,DropDown!$J$2:$J$392,0))&amp;"|"&amp;'Ingest Template'!B422),(INDEX(DropDown!$L$2:$L$392,MATCH('Ingest Template'!E422,DropDown!$J$2:$J$392,0))&amp;"|"&amp;'Ingest Template'!B422)&amp;CHAR(10)&amp;'Ingest Template'!V422)</f>
        <v>#N/A</v>
      </c>
      <c r="X422" s="41" t="str">
        <f>'Ingest Template'!W422</f>
        <v/>
      </c>
      <c r="Y422" s="21" t="str">
        <f>SUBSTITUTE(SUBSTITUTE(SUBSTITUTE('Ingest Template'!X422,"http:",""),"https:",""),"/","")</f>
        <v/>
      </c>
      <c r="Z422" s="21" t="str">
        <f t="array" ref="Z422">IF('Ingest Template'!A422="Standard",(IF(ISBLANK('Ingest Template'!AA422),"", 'Ingest Template'!AA422&amp;"|DAR")),(IF(ISBLANK('Ingest Template'!AA422),"", 'Ingest Template'!AA422&amp;"|Film Ops")))</f>
        <v/>
      </c>
      <c r="AA422" s="21"/>
      <c r="AB422" s="21" t="str">
        <f>'Ingest Template'!M422</f>
        <v/>
      </c>
      <c r="AC422" s="21" t="str">
        <f>'Ingest Template'!Y422</f>
        <v/>
      </c>
      <c r="AD422" s="21" t="str">
        <f>'Ingest Template'!C422</f>
        <v/>
      </c>
      <c r="AE422" s="21" t="str">
        <f>'Ingest Template'!Z422</f>
        <v/>
      </c>
      <c r="AF422" s="29"/>
      <c r="AG422" s="21" t="str">
        <f t="array" ref="AG422">IF('Ingest Template'!A422="Standard",(CONCATENATE(IF(ISBLANK('Ingest Template'!O422),"", 'Ingest Template'!O422&amp;"|DAR"),CHAR(10), IF(ISBLANK('Ingest Template'!P422),"", 'Ingest Template'!P422&amp;"|DAR"),CHAR(10), IF(ISBLANK('Ingest Template'!Q422),"", 'Ingest Template'!Q422&amp;"|DAR"))),(CONCATENATE(IF(ISBLANK('Ingest Template'!O422),"", 'Ingest Template'!O422&amp;"|Operations - Core Title"),CHAR(10), IF(ISBLANK('Ingest Template'!P422),"", 'Ingest Template'!P422&amp;"|Operations - Core Title"),CHAR(10), IF(ISBLANK('Ingest Template'!Q422),"", 'Ingest Template'!Q422&amp;"|Operations - Core Title"))))</f>
        <v>#|Operations - Core Title
#|Operations - Core Title
</v>
      </c>
      <c r="AH422" s="21"/>
      <c r="AI422" s="21"/>
      <c r="AJ422" s="53" t="str">
        <f>if('Ingest Template'!A422="Standard",'Ingest Template'!N422&amp; "|DAR|DAR|2021-01-01",'Ingest Template'!N422&amp; "|Operations - Core Title|Operations - Core Title")</f>
        <v>#N/A</v>
      </c>
      <c r="AK422" s="53" t="str">
        <f>if('Ingest Template'!A422="Standard",'Ingest Template'!R422&amp; "|2021-01-01",'Ingest Template'!R422)</f>
        <v>#N/A</v>
      </c>
      <c r="AL422" s="21"/>
      <c r="AM422" s="21"/>
    </row>
    <row r="423">
      <c r="A423" s="21"/>
      <c r="B423" s="21" t="str">
        <f>'Ingest Template'!B423&amp;IF('Ingest Template'!A423 = "Standard", " - DAR","")</f>
        <v/>
      </c>
      <c r="C423" s="26" t="s">
        <v>109</v>
      </c>
      <c r="D423" s="29" t="str">
        <f t="array" ref="D423">CONCATENATE(INDEX(DropDown!$H$2:$H$10,MATCH(1,COUNTIF('Ingest Template'!F423,"*"&amp;DropDown!$H$2:$H$10&amp;"*"),0)),CHAR(10),'Ingest Template'!G423)</f>
        <v>#N/A</v>
      </c>
      <c r="E423" s="21" t="str">
        <f>CONCATENATE('Ingest Template'!H423,CHAR(10),'Ingest Template'!I423,CHAR(10),'Ingest Template'!J423)</f>
        <v>
</v>
      </c>
      <c r="F423" s="26" t="str">
        <f>'Ingest Template'!H423</f>
        <v/>
      </c>
      <c r="G423" s="21"/>
      <c r="H423" s="29"/>
      <c r="I423" s="21"/>
      <c r="J423" s="29" t="str">
        <f t="array" ref="J423">iF('Ingest Template'!A423="Standard","Pristine Brand",INDEX(DropDown!$M$2:$M$392,MATCH('Ingest Template'!E423,DropDown!$J$2:$J$392,0)))</f>
        <v>#N/A</v>
      </c>
      <c r="K423" s="21" t="str">
        <f>iF('Ingest Template'!A423="Standard",'Ingest Template'!K423&amp;CHAR(10)&amp;'Ingest Template'!L423,"Competitive View")</f>
        <v>Competitive View</v>
      </c>
      <c r="L423" s="29" t="s">
        <v>146</v>
      </c>
      <c r="M423" s="37" t="str">
        <f>'Ingest Template'!D423</f>
        <v/>
      </c>
      <c r="N423" s="21"/>
      <c r="O423" s="21"/>
      <c r="P423" s="21"/>
      <c r="Q423" s="21"/>
      <c r="R423" s="21" t="str">
        <f>'Ingest Template'!E423</f>
        <v/>
      </c>
      <c r="S423" s="29" t="s">
        <v>153</v>
      </c>
      <c r="T423" s="21" t="str">
        <f>'Ingest Template'!T423</f>
        <v/>
      </c>
      <c r="U423" s="21" t="str">
        <f>'Ingest Template'!S423</f>
        <v/>
      </c>
      <c r="V423" s="21" t="str">
        <f>LOWER(SUBSTITUTE(SUBSTITUTE(SUBSTITUTE(SUBSTITUTE(SUBSTITUTE('Ingest Template'!U423,"https:",""),"www.",""),"/",""),"?hl=en",""),"instagram.com",""))</f>
        <v/>
      </c>
      <c r="W423" s="41" t="str">
        <f t="array" ref="W423">IF('Ingest Template'!V423="",(INDEX(DropDown!$L$2:$L$392,MATCH('Ingest Template'!E423,DropDown!$J$2:$J$392,0))&amp;"|"&amp;'Ingest Template'!B423),(INDEX(DropDown!$L$2:$L$392,MATCH('Ingest Template'!E423,DropDown!$J$2:$J$392,0))&amp;"|"&amp;'Ingest Template'!B423)&amp;CHAR(10)&amp;'Ingest Template'!V423)</f>
        <v>#N/A</v>
      </c>
      <c r="X423" s="41" t="str">
        <f>'Ingest Template'!W423</f>
        <v/>
      </c>
      <c r="Y423" s="21" t="str">
        <f>SUBSTITUTE(SUBSTITUTE(SUBSTITUTE('Ingest Template'!X423,"http:",""),"https:",""),"/","")</f>
        <v/>
      </c>
      <c r="Z423" s="21" t="str">
        <f t="array" ref="Z423">IF('Ingest Template'!A423="Standard",(IF(ISBLANK('Ingest Template'!AA423),"", 'Ingest Template'!AA423&amp;"|DAR")),(IF(ISBLANK('Ingest Template'!AA423),"", 'Ingest Template'!AA423&amp;"|Film Ops")))</f>
        <v/>
      </c>
      <c r="AA423" s="21"/>
      <c r="AB423" s="21" t="str">
        <f>'Ingest Template'!M423</f>
        <v/>
      </c>
      <c r="AC423" s="21" t="str">
        <f>'Ingest Template'!Y423</f>
        <v/>
      </c>
      <c r="AD423" s="21" t="str">
        <f>'Ingest Template'!C423</f>
        <v/>
      </c>
      <c r="AE423" s="21" t="str">
        <f>'Ingest Template'!Z423</f>
        <v/>
      </c>
      <c r="AF423" s="29"/>
      <c r="AG423" s="21" t="str">
        <f t="array" ref="AG423">IF('Ingest Template'!A423="Standard",(CONCATENATE(IF(ISBLANK('Ingest Template'!O423),"", 'Ingest Template'!O423&amp;"|DAR"),CHAR(10), IF(ISBLANK('Ingest Template'!P423),"", 'Ingest Template'!P423&amp;"|DAR"),CHAR(10), IF(ISBLANK('Ingest Template'!Q423),"", 'Ingest Template'!Q423&amp;"|DAR"))),(CONCATENATE(IF(ISBLANK('Ingest Template'!O423),"", 'Ingest Template'!O423&amp;"|Operations - Core Title"),CHAR(10), IF(ISBLANK('Ingest Template'!P423),"", 'Ingest Template'!P423&amp;"|Operations - Core Title"),CHAR(10), IF(ISBLANK('Ingest Template'!Q423),"", 'Ingest Template'!Q423&amp;"|Operations - Core Title"))))</f>
        <v>#|Operations - Core Title
#|Operations - Core Title
</v>
      </c>
      <c r="AH423" s="21"/>
      <c r="AI423" s="21"/>
      <c r="AJ423" s="53" t="str">
        <f>if('Ingest Template'!A423="Standard",'Ingest Template'!N423&amp; "|DAR|DAR|2021-01-01",'Ingest Template'!N423&amp; "|Operations - Core Title|Operations - Core Title")</f>
        <v>#N/A</v>
      </c>
      <c r="AK423" s="53" t="str">
        <f>if('Ingest Template'!A423="Standard",'Ingest Template'!R423&amp; "|2021-01-01",'Ingest Template'!R423)</f>
        <v>#N/A</v>
      </c>
      <c r="AL423" s="21"/>
      <c r="AM423" s="21"/>
    </row>
    <row r="424">
      <c r="A424" s="21"/>
      <c r="B424" s="21" t="str">
        <f>'Ingest Template'!B424&amp;IF('Ingest Template'!A424 = "Standard", " - DAR","")</f>
        <v/>
      </c>
      <c r="C424" s="26" t="s">
        <v>109</v>
      </c>
      <c r="D424" s="29" t="str">
        <f t="array" ref="D424">CONCATENATE(INDEX(DropDown!$H$2:$H$10,MATCH(1,COUNTIF('Ingest Template'!F424,"*"&amp;DropDown!$H$2:$H$10&amp;"*"),0)),CHAR(10),'Ingest Template'!G424)</f>
        <v>#N/A</v>
      </c>
      <c r="E424" s="21" t="str">
        <f>CONCATENATE('Ingest Template'!H424,CHAR(10),'Ingest Template'!I424,CHAR(10),'Ingest Template'!J424)</f>
        <v>
</v>
      </c>
      <c r="F424" s="26" t="str">
        <f>'Ingest Template'!H424</f>
        <v/>
      </c>
      <c r="G424" s="21"/>
      <c r="H424" s="29"/>
      <c r="I424" s="21"/>
      <c r="J424" s="29" t="str">
        <f t="array" ref="J424">iF('Ingest Template'!A424="Standard","Pristine Brand",INDEX(DropDown!$M$2:$M$392,MATCH('Ingest Template'!E424,DropDown!$J$2:$J$392,0)))</f>
        <v>#N/A</v>
      </c>
      <c r="K424" s="21" t="str">
        <f>iF('Ingest Template'!A424="Standard",'Ingest Template'!K424&amp;CHAR(10)&amp;'Ingest Template'!L424,"Competitive View")</f>
        <v>Competitive View</v>
      </c>
      <c r="L424" s="29" t="s">
        <v>146</v>
      </c>
      <c r="M424" s="37" t="str">
        <f>'Ingest Template'!D424</f>
        <v/>
      </c>
      <c r="N424" s="21"/>
      <c r="O424" s="21"/>
      <c r="P424" s="21"/>
      <c r="Q424" s="21"/>
      <c r="R424" s="21" t="str">
        <f>'Ingest Template'!E424</f>
        <v/>
      </c>
      <c r="S424" s="29" t="s">
        <v>153</v>
      </c>
      <c r="T424" s="21" t="str">
        <f>'Ingest Template'!T424</f>
        <v/>
      </c>
      <c r="U424" s="21" t="str">
        <f>'Ingest Template'!S424</f>
        <v/>
      </c>
      <c r="V424" s="21" t="str">
        <f>LOWER(SUBSTITUTE(SUBSTITUTE(SUBSTITUTE(SUBSTITUTE(SUBSTITUTE('Ingest Template'!U424,"https:",""),"www.",""),"/",""),"?hl=en",""),"instagram.com",""))</f>
        <v/>
      </c>
      <c r="W424" s="41" t="str">
        <f t="array" ref="W424">IF('Ingest Template'!V424="",(INDEX(DropDown!$L$2:$L$392,MATCH('Ingest Template'!E424,DropDown!$J$2:$J$392,0))&amp;"|"&amp;'Ingest Template'!B424),(INDEX(DropDown!$L$2:$L$392,MATCH('Ingest Template'!E424,DropDown!$J$2:$J$392,0))&amp;"|"&amp;'Ingest Template'!B424)&amp;CHAR(10)&amp;'Ingest Template'!V424)</f>
        <v>#N/A</v>
      </c>
      <c r="X424" s="41" t="str">
        <f>'Ingest Template'!W424</f>
        <v/>
      </c>
      <c r="Y424" s="21" t="str">
        <f>SUBSTITUTE(SUBSTITUTE(SUBSTITUTE('Ingest Template'!X424,"http:",""),"https:",""),"/","")</f>
        <v/>
      </c>
      <c r="Z424" s="21" t="str">
        <f t="array" ref="Z424">IF('Ingest Template'!A424="Standard",(IF(ISBLANK('Ingest Template'!AA424),"", 'Ingest Template'!AA424&amp;"|DAR")),(IF(ISBLANK('Ingest Template'!AA424),"", 'Ingest Template'!AA424&amp;"|Film Ops")))</f>
        <v/>
      </c>
      <c r="AA424" s="21"/>
      <c r="AB424" s="21" t="str">
        <f>'Ingest Template'!M424</f>
        <v/>
      </c>
      <c r="AC424" s="21" t="str">
        <f>'Ingest Template'!Y424</f>
        <v/>
      </c>
      <c r="AD424" s="21" t="str">
        <f>'Ingest Template'!C424</f>
        <v/>
      </c>
      <c r="AE424" s="21" t="str">
        <f>'Ingest Template'!Z424</f>
        <v/>
      </c>
      <c r="AF424" s="29"/>
      <c r="AG424" s="21" t="str">
        <f t="array" ref="AG424">IF('Ingest Template'!A424="Standard",(CONCATENATE(IF(ISBLANK('Ingest Template'!O424),"", 'Ingest Template'!O424&amp;"|DAR"),CHAR(10), IF(ISBLANK('Ingest Template'!P424),"", 'Ingest Template'!P424&amp;"|DAR"),CHAR(10), IF(ISBLANK('Ingest Template'!Q424),"", 'Ingest Template'!Q424&amp;"|DAR"))),(CONCATENATE(IF(ISBLANK('Ingest Template'!O424),"", 'Ingest Template'!O424&amp;"|Operations - Core Title"),CHAR(10), IF(ISBLANK('Ingest Template'!P424),"", 'Ingest Template'!P424&amp;"|Operations - Core Title"),CHAR(10), IF(ISBLANK('Ingest Template'!Q424),"", 'Ingest Template'!Q424&amp;"|Operations - Core Title"))))</f>
        <v>#|Operations - Core Title
#|Operations - Core Title
</v>
      </c>
      <c r="AH424" s="21"/>
      <c r="AI424" s="21"/>
      <c r="AJ424" s="53" t="str">
        <f>if('Ingest Template'!A424="Standard",'Ingest Template'!N424&amp; "|DAR|DAR|2021-01-01",'Ingest Template'!N424&amp; "|Operations - Core Title|Operations - Core Title")</f>
        <v>#N/A</v>
      </c>
      <c r="AK424" s="53" t="str">
        <f>if('Ingest Template'!A424="Standard",'Ingest Template'!R424&amp; "|2021-01-01",'Ingest Template'!R424)</f>
        <v>#N/A</v>
      </c>
      <c r="AL424" s="21"/>
      <c r="AM424" s="21"/>
    </row>
    <row r="425">
      <c r="A425" s="21"/>
      <c r="B425" s="21" t="str">
        <f>'Ingest Template'!B425&amp;IF('Ingest Template'!A425 = "Standard", " - DAR","")</f>
        <v/>
      </c>
      <c r="C425" s="26" t="s">
        <v>109</v>
      </c>
      <c r="D425" s="29" t="str">
        <f t="array" ref="D425">CONCATENATE(INDEX(DropDown!$H$2:$H$10,MATCH(1,COUNTIF('Ingest Template'!F425,"*"&amp;DropDown!$H$2:$H$10&amp;"*"),0)),CHAR(10),'Ingest Template'!G425)</f>
        <v>#N/A</v>
      </c>
      <c r="E425" s="21" t="str">
        <f>CONCATENATE('Ingest Template'!H425,CHAR(10),'Ingest Template'!I425,CHAR(10),'Ingest Template'!J425)</f>
        <v>
</v>
      </c>
      <c r="F425" s="26" t="str">
        <f>'Ingest Template'!H425</f>
        <v/>
      </c>
      <c r="G425" s="21"/>
      <c r="H425" s="29"/>
      <c r="I425" s="21"/>
      <c r="J425" s="29" t="str">
        <f t="array" ref="J425">iF('Ingest Template'!A425="Standard","Pristine Brand",INDEX(DropDown!$M$2:$M$392,MATCH('Ingest Template'!E425,DropDown!$J$2:$J$392,0)))</f>
        <v>#N/A</v>
      </c>
      <c r="K425" s="21" t="str">
        <f>iF('Ingest Template'!A425="Standard",'Ingest Template'!K425&amp;CHAR(10)&amp;'Ingest Template'!L425,"Competitive View")</f>
        <v>Competitive View</v>
      </c>
      <c r="L425" s="29" t="s">
        <v>146</v>
      </c>
      <c r="M425" s="37" t="str">
        <f>'Ingest Template'!D425</f>
        <v/>
      </c>
      <c r="N425" s="21"/>
      <c r="O425" s="21"/>
      <c r="P425" s="21"/>
      <c r="Q425" s="21"/>
      <c r="R425" s="21" t="str">
        <f>'Ingest Template'!E425</f>
        <v/>
      </c>
      <c r="S425" s="29" t="s">
        <v>153</v>
      </c>
      <c r="T425" s="21" t="str">
        <f>'Ingest Template'!T425</f>
        <v/>
      </c>
      <c r="U425" s="21" t="str">
        <f>'Ingest Template'!S425</f>
        <v/>
      </c>
      <c r="V425" s="21" t="str">
        <f>LOWER(SUBSTITUTE(SUBSTITUTE(SUBSTITUTE(SUBSTITUTE(SUBSTITUTE('Ingest Template'!U425,"https:",""),"www.",""),"/",""),"?hl=en",""),"instagram.com",""))</f>
        <v/>
      </c>
      <c r="W425" s="41" t="str">
        <f t="array" ref="W425">IF('Ingest Template'!V425="",(INDEX(DropDown!$L$2:$L$392,MATCH('Ingest Template'!E425,DropDown!$J$2:$J$392,0))&amp;"|"&amp;'Ingest Template'!B425),(INDEX(DropDown!$L$2:$L$392,MATCH('Ingest Template'!E425,DropDown!$J$2:$J$392,0))&amp;"|"&amp;'Ingest Template'!B425)&amp;CHAR(10)&amp;'Ingest Template'!V425)</f>
        <v>#N/A</v>
      </c>
      <c r="X425" s="41" t="str">
        <f>'Ingest Template'!W425</f>
        <v/>
      </c>
      <c r="Y425" s="21" t="str">
        <f>SUBSTITUTE(SUBSTITUTE(SUBSTITUTE('Ingest Template'!X425,"http:",""),"https:",""),"/","")</f>
        <v/>
      </c>
      <c r="Z425" s="21" t="str">
        <f t="array" ref="Z425">IF('Ingest Template'!A425="Standard",(IF(ISBLANK('Ingest Template'!AA425),"", 'Ingest Template'!AA425&amp;"|DAR")),(IF(ISBLANK('Ingest Template'!AA425),"", 'Ingest Template'!AA425&amp;"|Film Ops")))</f>
        <v/>
      </c>
      <c r="AA425" s="21"/>
      <c r="AB425" s="21" t="str">
        <f>'Ingest Template'!M425</f>
        <v/>
      </c>
      <c r="AC425" s="21" t="str">
        <f>'Ingest Template'!Y425</f>
        <v/>
      </c>
      <c r="AD425" s="21" t="str">
        <f>'Ingest Template'!C425</f>
        <v/>
      </c>
      <c r="AE425" s="21" t="str">
        <f>'Ingest Template'!Z425</f>
        <v/>
      </c>
      <c r="AF425" s="29"/>
      <c r="AG425" s="21" t="str">
        <f t="array" ref="AG425">IF('Ingest Template'!A425="Standard",(CONCATENATE(IF(ISBLANK('Ingest Template'!O425),"", 'Ingest Template'!O425&amp;"|DAR"),CHAR(10), IF(ISBLANK('Ingest Template'!P425),"", 'Ingest Template'!P425&amp;"|DAR"),CHAR(10), IF(ISBLANK('Ingest Template'!Q425),"", 'Ingest Template'!Q425&amp;"|DAR"))),(CONCATENATE(IF(ISBLANK('Ingest Template'!O425),"", 'Ingest Template'!O425&amp;"|Operations - Core Title"),CHAR(10), IF(ISBLANK('Ingest Template'!P425),"", 'Ingest Template'!P425&amp;"|Operations - Core Title"),CHAR(10), IF(ISBLANK('Ingest Template'!Q425),"", 'Ingest Template'!Q425&amp;"|Operations - Core Title"))))</f>
        <v>#|Operations - Core Title
#|Operations - Core Title
</v>
      </c>
      <c r="AH425" s="21"/>
      <c r="AI425" s="21"/>
      <c r="AJ425" s="53" t="str">
        <f>if('Ingest Template'!A425="Standard",'Ingest Template'!N425&amp; "|DAR|DAR|2021-01-01",'Ingest Template'!N425&amp; "|Operations - Core Title|Operations - Core Title")</f>
        <v>#N/A</v>
      </c>
      <c r="AK425" s="53" t="str">
        <f>if('Ingest Template'!A425="Standard",'Ingest Template'!R425&amp; "|2021-01-01",'Ingest Template'!R425)</f>
        <v>#N/A</v>
      </c>
      <c r="AL425" s="21"/>
      <c r="AM425" s="21"/>
    </row>
    <row r="426">
      <c r="A426" s="21"/>
      <c r="B426" s="21" t="str">
        <f>'Ingest Template'!B426&amp;IF('Ingest Template'!A426 = "Standard", " - DAR","")</f>
        <v/>
      </c>
      <c r="C426" s="26" t="s">
        <v>109</v>
      </c>
      <c r="D426" s="29" t="str">
        <f t="array" ref="D426">CONCATENATE(INDEX(DropDown!$H$2:$H$10,MATCH(1,COUNTIF('Ingest Template'!F426,"*"&amp;DropDown!$H$2:$H$10&amp;"*"),0)),CHAR(10),'Ingest Template'!G426)</f>
        <v>#N/A</v>
      </c>
      <c r="E426" s="21" t="str">
        <f>CONCATENATE('Ingest Template'!H426,CHAR(10),'Ingest Template'!I426,CHAR(10),'Ingest Template'!J426)</f>
        <v>
</v>
      </c>
      <c r="F426" s="26" t="str">
        <f>'Ingest Template'!H426</f>
        <v/>
      </c>
      <c r="G426" s="21"/>
      <c r="H426" s="29"/>
      <c r="I426" s="21"/>
      <c r="J426" s="29" t="str">
        <f t="array" ref="J426">iF('Ingest Template'!A426="Standard","Pristine Brand",INDEX(DropDown!$M$2:$M$392,MATCH('Ingest Template'!E426,DropDown!$J$2:$J$392,0)))</f>
        <v>#N/A</v>
      </c>
      <c r="K426" s="21" t="str">
        <f>iF('Ingest Template'!A426="Standard",'Ingest Template'!K426&amp;CHAR(10)&amp;'Ingest Template'!L426,"Competitive View")</f>
        <v>Competitive View</v>
      </c>
      <c r="L426" s="29" t="s">
        <v>146</v>
      </c>
      <c r="M426" s="37" t="str">
        <f>'Ingest Template'!D426</f>
        <v/>
      </c>
      <c r="N426" s="21"/>
      <c r="O426" s="21"/>
      <c r="P426" s="21"/>
      <c r="Q426" s="21"/>
      <c r="R426" s="21" t="str">
        <f>'Ingest Template'!E426</f>
        <v/>
      </c>
      <c r="S426" s="29" t="s">
        <v>153</v>
      </c>
      <c r="T426" s="21" t="str">
        <f>'Ingest Template'!T426</f>
        <v/>
      </c>
      <c r="U426" s="21" t="str">
        <f>'Ingest Template'!S426</f>
        <v/>
      </c>
      <c r="V426" s="21" t="str">
        <f>LOWER(SUBSTITUTE(SUBSTITUTE(SUBSTITUTE(SUBSTITUTE(SUBSTITUTE('Ingest Template'!U426,"https:",""),"www.",""),"/",""),"?hl=en",""),"instagram.com",""))</f>
        <v/>
      </c>
      <c r="W426" s="41" t="str">
        <f t="array" ref="W426">IF('Ingest Template'!V426="",(INDEX(DropDown!$L$2:$L$392,MATCH('Ingest Template'!E426,DropDown!$J$2:$J$392,0))&amp;"|"&amp;'Ingest Template'!B426),(INDEX(DropDown!$L$2:$L$392,MATCH('Ingest Template'!E426,DropDown!$J$2:$J$392,0))&amp;"|"&amp;'Ingest Template'!B426)&amp;CHAR(10)&amp;'Ingest Template'!V426)</f>
        <v>#N/A</v>
      </c>
      <c r="X426" s="41" t="str">
        <f>'Ingest Template'!W426</f>
        <v/>
      </c>
      <c r="Y426" s="21" t="str">
        <f>SUBSTITUTE(SUBSTITUTE(SUBSTITUTE('Ingest Template'!X426,"http:",""),"https:",""),"/","")</f>
        <v/>
      </c>
      <c r="Z426" s="21" t="str">
        <f t="array" ref="Z426">IF('Ingest Template'!A426="Standard",(IF(ISBLANK('Ingest Template'!AA426),"", 'Ingest Template'!AA426&amp;"|DAR")),(IF(ISBLANK('Ingest Template'!AA426),"", 'Ingest Template'!AA426&amp;"|Film Ops")))</f>
        <v/>
      </c>
      <c r="AA426" s="21"/>
      <c r="AB426" s="21" t="str">
        <f>'Ingest Template'!M426</f>
        <v/>
      </c>
      <c r="AC426" s="21" t="str">
        <f>'Ingest Template'!Y426</f>
        <v/>
      </c>
      <c r="AD426" s="21" t="str">
        <f>'Ingest Template'!C426</f>
        <v/>
      </c>
      <c r="AE426" s="21" t="str">
        <f>'Ingest Template'!Z426</f>
        <v/>
      </c>
      <c r="AF426" s="29"/>
      <c r="AG426" s="21" t="str">
        <f t="array" ref="AG426">IF('Ingest Template'!A426="Standard",(CONCATENATE(IF(ISBLANK('Ingest Template'!O426),"", 'Ingest Template'!O426&amp;"|DAR"),CHAR(10), IF(ISBLANK('Ingest Template'!P426),"", 'Ingest Template'!P426&amp;"|DAR"),CHAR(10), IF(ISBLANK('Ingest Template'!Q426),"", 'Ingest Template'!Q426&amp;"|DAR"))),(CONCATENATE(IF(ISBLANK('Ingest Template'!O426),"", 'Ingest Template'!O426&amp;"|Operations - Core Title"),CHAR(10), IF(ISBLANK('Ingest Template'!P426),"", 'Ingest Template'!P426&amp;"|Operations - Core Title"),CHAR(10), IF(ISBLANK('Ingest Template'!Q426),"", 'Ingest Template'!Q426&amp;"|Operations - Core Title"))))</f>
        <v>#|Operations - Core Title
#|Operations - Core Title
</v>
      </c>
      <c r="AH426" s="21"/>
      <c r="AI426" s="21"/>
      <c r="AJ426" s="53" t="str">
        <f>if('Ingest Template'!A426="Standard",'Ingest Template'!N426&amp; "|DAR|DAR|2021-01-01",'Ingest Template'!N426&amp; "|Operations - Core Title|Operations - Core Title")</f>
        <v>#N/A</v>
      </c>
      <c r="AK426" s="53" t="str">
        <f>if('Ingest Template'!A426="Standard",'Ingest Template'!R426&amp; "|2021-01-01",'Ingest Template'!R426)</f>
        <v>#N/A</v>
      </c>
      <c r="AL426" s="21"/>
      <c r="AM426" s="21"/>
    </row>
    <row r="427">
      <c r="A427" s="21"/>
      <c r="B427" s="21" t="str">
        <f>'Ingest Template'!B427&amp;IF('Ingest Template'!A427 = "Standard", " - DAR","")</f>
        <v/>
      </c>
      <c r="C427" s="26" t="s">
        <v>109</v>
      </c>
      <c r="D427" s="29" t="str">
        <f t="array" ref="D427">CONCATENATE(INDEX(DropDown!$H$2:$H$10,MATCH(1,COUNTIF('Ingest Template'!F427,"*"&amp;DropDown!$H$2:$H$10&amp;"*"),0)),CHAR(10),'Ingest Template'!G427)</f>
        <v>#N/A</v>
      </c>
      <c r="E427" s="21" t="str">
        <f>CONCATENATE('Ingest Template'!H427,CHAR(10),'Ingest Template'!I427,CHAR(10),'Ingest Template'!J427)</f>
        <v>
</v>
      </c>
      <c r="F427" s="26" t="str">
        <f>'Ingest Template'!H427</f>
        <v/>
      </c>
      <c r="G427" s="21"/>
      <c r="H427" s="29"/>
      <c r="I427" s="21"/>
      <c r="J427" s="29" t="str">
        <f t="array" ref="J427">iF('Ingest Template'!A427="Standard","Pristine Brand",INDEX(DropDown!$M$2:$M$392,MATCH('Ingest Template'!E427,DropDown!$J$2:$J$392,0)))</f>
        <v>#N/A</v>
      </c>
      <c r="K427" s="21" t="str">
        <f>iF('Ingest Template'!A427="Standard",'Ingest Template'!K427&amp;CHAR(10)&amp;'Ingest Template'!L427,"Competitive View")</f>
        <v>Competitive View</v>
      </c>
      <c r="L427" s="29" t="s">
        <v>146</v>
      </c>
      <c r="M427" s="37" t="str">
        <f>'Ingest Template'!D427</f>
        <v/>
      </c>
      <c r="N427" s="21"/>
      <c r="O427" s="21"/>
      <c r="P427" s="21"/>
      <c r="Q427" s="21"/>
      <c r="R427" s="21" t="str">
        <f>'Ingest Template'!E427</f>
        <v/>
      </c>
      <c r="S427" s="29" t="s">
        <v>153</v>
      </c>
      <c r="T427" s="21" t="str">
        <f>'Ingest Template'!T427</f>
        <v/>
      </c>
      <c r="U427" s="21" t="str">
        <f>'Ingest Template'!S427</f>
        <v/>
      </c>
      <c r="V427" s="21" t="str">
        <f>LOWER(SUBSTITUTE(SUBSTITUTE(SUBSTITUTE(SUBSTITUTE(SUBSTITUTE('Ingest Template'!U427,"https:",""),"www.",""),"/",""),"?hl=en",""),"instagram.com",""))</f>
        <v/>
      </c>
      <c r="W427" s="41" t="str">
        <f t="array" ref="W427">IF('Ingest Template'!V427="",(INDEX(DropDown!$L$2:$L$392,MATCH('Ingest Template'!E427,DropDown!$J$2:$J$392,0))&amp;"|"&amp;'Ingest Template'!B427),(INDEX(DropDown!$L$2:$L$392,MATCH('Ingest Template'!E427,DropDown!$J$2:$J$392,0))&amp;"|"&amp;'Ingest Template'!B427)&amp;CHAR(10)&amp;'Ingest Template'!V427)</f>
        <v>#N/A</v>
      </c>
      <c r="X427" s="41" t="str">
        <f>'Ingest Template'!W427</f>
        <v/>
      </c>
      <c r="Y427" s="21" t="str">
        <f>SUBSTITUTE(SUBSTITUTE(SUBSTITUTE('Ingest Template'!X427,"http:",""),"https:",""),"/","")</f>
        <v/>
      </c>
      <c r="Z427" s="21" t="str">
        <f t="array" ref="Z427">IF('Ingest Template'!A427="Standard",(IF(ISBLANK('Ingest Template'!AA427),"", 'Ingest Template'!AA427&amp;"|DAR")),(IF(ISBLANK('Ingest Template'!AA427),"", 'Ingest Template'!AA427&amp;"|Film Ops")))</f>
        <v/>
      </c>
      <c r="AA427" s="21"/>
      <c r="AB427" s="21" t="str">
        <f>'Ingest Template'!M427</f>
        <v/>
      </c>
      <c r="AC427" s="21" t="str">
        <f>'Ingest Template'!Y427</f>
        <v/>
      </c>
      <c r="AD427" s="21" t="str">
        <f>'Ingest Template'!C427</f>
        <v/>
      </c>
      <c r="AE427" s="21" t="str">
        <f>'Ingest Template'!Z427</f>
        <v/>
      </c>
      <c r="AF427" s="29"/>
      <c r="AG427" s="21" t="str">
        <f t="array" ref="AG427">IF('Ingest Template'!A427="Standard",(CONCATENATE(IF(ISBLANK('Ingest Template'!O427),"", 'Ingest Template'!O427&amp;"|DAR"),CHAR(10), IF(ISBLANK('Ingest Template'!P427),"", 'Ingest Template'!P427&amp;"|DAR"),CHAR(10), IF(ISBLANK('Ingest Template'!Q427),"", 'Ingest Template'!Q427&amp;"|DAR"))),(CONCATENATE(IF(ISBLANK('Ingest Template'!O427),"", 'Ingest Template'!O427&amp;"|Operations - Core Title"),CHAR(10), IF(ISBLANK('Ingest Template'!P427),"", 'Ingest Template'!P427&amp;"|Operations - Core Title"),CHAR(10), IF(ISBLANK('Ingest Template'!Q427),"", 'Ingest Template'!Q427&amp;"|Operations - Core Title"))))</f>
        <v>#|Operations - Core Title
#|Operations - Core Title
</v>
      </c>
      <c r="AH427" s="21"/>
      <c r="AI427" s="21"/>
      <c r="AJ427" s="53" t="str">
        <f>if('Ingest Template'!A427="Standard",'Ingest Template'!N427&amp; "|DAR|DAR|2021-01-01",'Ingest Template'!N427&amp; "|Operations - Core Title|Operations - Core Title")</f>
        <v>#N/A</v>
      </c>
      <c r="AK427" s="53" t="str">
        <f>if('Ingest Template'!A427="Standard",'Ingest Template'!R427&amp; "|2021-01-01",'Ingest Template'!R427)</f>
        <v>#N/A</v>
      </c>
      <c r="AL427" s="21"/>
      <c r="AM427" s="21"/>
    </row>
    <row r="428">
      <c r="A428" s="21"/>
      <c r="B428" s="21" t="str">
        <f>'Ingest Template'!B428&amp;IF('Ingest Template'!A428 = "Standard", " - DAR","")</f>
        <v/>
      </c>
      <c r="C428" s="26" t="s">
        <v>109</v>
      </c>
      <c r="D428" s="29" t="str">
        <f t="array" ref="D428">CONCATENATE(INDEX(DropDown!$H$2:$H$10,MATCH(1,COUNTIF('Ingest Template'!F428,"*"&amp;DropDown!$H$2:$H$10&amp;"*"),0)),CHAR(10),'Ingest Template'!G428)</f>
        <v>#N/A</v>
      </c>
      <c r="E428" s="21" t="str">
        <f>CONCATENATE('Ingest Template'!H428,CHAR(10),'Ingest Template'!I428,CHAR(10),'Ingest Template'!J428)</f>
        <v>
</v>
      </c>
      <c r="F428" s="26" t="str">
        <f>'Ingest Template'!H428</f>
        <v/>
      </c>
      <c r="G428" s="21"/>
      <c r="H428" s="29"/>
      <c r="I428" s="21"/>
      <c r="J428" s="29" t="str">
        <f t="array" ref="J428">iF('Ingest Template'!A428="Standard","Pristine Brand",INDEX(DropDown!$M$2:$M$392,MATCH('Ingest Template'!E428,DropDown!$J$2:$J$392,0)))</f>
        <v>#N/A</v>
      </c>
      <c r="K428" s="21" t="str">
        <f>iF('Ingest Template'!A428="Standard",'Ingest Template'!K428&amp;CHAR(10)&amp;'Ingest Template'!L428,"Competitive View")</f>
        <v>Competitive View</v>
      </c>
      <c r="L428" s="29" t="s">
        <v>146</v>
      </c>
      <c r="M428" s="37" t="str">
        <f>'Ingest Template'!D428</f>
        <v/>
      </c>
      <c r="N428" s="21"/>
      <c r="O428" s="21"/>
      <c r="P428" s="21"/>
      <c r="Q428" s="21"/>
      <c r="R428" s="21" t="str">
        <f>'Ingest Template'!E428</f>
        <v/>
      </c>
      <c r="S428" s="29" t="s">
        <v>153</v>
      </c>
      <c r="T428" s="21" t="str">
        <f>'Ingest Template'!T428</f>
        <v/>
      </c>
      <c r="U428" s="21" t="str">
        <f>'Ingest Template'!S428</f>
        <v/>
      </c>
      <c r="V428" s="21" t="str">
        <f>LOWER(SUBSTITUTE(SUBSTITUTE(SUBSTITUTE(SUBSTITUTE(SUBSTITUTE('Ingest Template'!U428,"https:",""),"www.",""),"/",""),"?hl=en",""),"instagram.com",""))</f>
        <v/>
      </c>
      <c r="W428" s="41" t="str">
        <f t="array" ref="W428">IF('Ingest Template'!V428="",(INDEX(DropDown!$L$2:$L$392,MATCH('Ingest Template'!E428,DropDown!$J$2:$J$392,0))&amp;"|"&amp;'Ingest Template'!B428),(INDEX(DropDown!$L$2:$L$392,MATCH('Ingest Template'!E428,DropDown!$J$2:$J$392,0))&amp;"|"&amp;'Ingest Template'!B428)&amp;CHAR(10)&amp;'Ingest Template'!V428)</f>
        <v>#N/A</v>
      </c>
      <c r="X428" s="41" t="str">
        <f>'Ingest Template'!W428</f>
        <v/>
      </c>
      <c r="Y428" s="21" t="str">
        <f>SUBSTITUTE(SUBSTITUTE(SUBSTITUTE('Ingest Template'!X428,"http:",""),"https:",""),"/","")</f>
        <v/>
      </c>
      <c r="Z428" s="21" t="str">
        <f t="array" ref="Z428">IF('Ingest Template'!A428="Standard",(IF(ISBLANK('Ingest Template'!AA428),"", 'Ingest Template'!AA428&amp;"|DAR")),(IF(ISBLANK('Ingest Template'!AA428),"", 'Ingest Template'!AA428&amp;"|Film Ops")))</f>
        <v/>
      </c>
      <c r="AA428" s="21"/>
      <c r="AB428" s="21" t="str">
        <f>'Ingest Template'!M428</f>
        <v/>
      </c>
      <c r="AC428" s="21" t="str">
        <f>'Ingest Template'!Y428</f>
        <v/>
      </c>
      <c r="AD428" s="21" t="str">
        <f>'Ingest Template'!C428</f>
        <v/>
      </c>
      <c r="AE428" s="21" t="str">
        <f>'Ingest Template'!Z428</f>
        <v/>
      </c>
      <c r="AF428" s="29"/>
      <c r="AG428" s="21" t="str">
        <f t="array" ref="AG428">IF('Ingest Template'!A428="Standard",(CONCATENATE(IF(ISBLANK('Ingest Template'!O428),"", 'Ingest Template'!O428&amp;"|DAR"),CHAR(10), IF(ISBLANK('Ingest Template'!P428),"", 'Ingest Template'!P428&amp;"|DAR"),CHAR(10), IF(ISBLANK('Ingest Template'!Q428),"", 'Ingest Template'!Q428&amp;"|DAR"))),(CONCATENATE(IF(ISBLANK('Ingest Template'!O428),"", 'Ingest Template'!O428&amp;"|Operations - Core Title"),CHAR(10), IF(ISBLANK('Ingest Template'!P428),"", 'Ingest Template'!P428&amp;"|Operations - Core Title"),CHAR(10), IF(ISBLANK('Ingest Template'!Q428),"", 'Ingest Template'!Q428&amp;"|Operations - Core Title"))))</f>
        <v>#|Operations - Core Title
#|Operations - Core Title
</v>
      </c>
      <c r="AH428" s="21"/>
      <c r="AI428" s="21"/>
      <c r="AJ428" s="53" t="str">
        <f>if('Ingest Template'!A428="Standard",'Ingest Template'!N428&amp; "|DAR|DAR|2021-01-01",'Ingest Template'!N428&amp; "|Operations - Core Title|Operations - Core Title")</f>
        <v>#N/A</v>
      </c>
      <c r="AK428" s="53" t="str">
        <f>if('Ingest Template'!A428="Standard",'Ingest Template'!R428&amp; "|2021-01-01",'Ingest Template'!R428)</f>
        <v>#N/A</v>
      </c>
      <c r="AL428" s="21"/>
      <c r="AM428" s="21"/>
    </row>
    <row r="429">
      <c r="A429" s="21"/>
      <c r="B429" s="21" t="str">
        <f>'Ingest Template'!B429&amp;IF('Ingest Template'!A429 = "Standard", " - DAR","")</f>
        <v/>
      </c>
      <c r="C429" s="26" t="s">
        <v>109</v>
      </c>
      <c r="D429" s="29" t="str">
        <f t="array" ref="D429">CONCATENATE(INDEX(DropDown!$H$2:$H$10,MATCH(1,COUNTIF('Ingest Template'!F429,"*"&amp;DropDown!$H$2:$H$10&amp;"*"),0)),CHAR(10),'Ingest Template'!G429)</f>
        <v>#N/A</v>
      </c>
      <c r="E429" s="21" t="str">
        <f>CONCATENATE('Ingest Template'!H429,CHAR(10),'Ingest Template'!I429,CHAR(10),'Ingest Template'!J429)</f>
        <v>
</v>
      </c>
      <c r="F429" s="26" t="str">
        <f>'Ingest Template'!H429</f>
        <v/>
      </c>
      <c r="G429" s="21"/>
      <c r="H429" s="29"/>
      <c r="I429" s="21"/>
      <c r="J429" s="29" t="str">
        <f t="array" ref="J429">iF('Ingest Template'!A429="Standard","Pristine Brand",INDEX(DropDown!$M$2:$M$392,MATCH('Ingest Template'!E429,DropDown!$J$2:$J$392,0)))</f>
        <v>#N/A</v>
      </c>
      <c r="K429" s="21" t="str">
        <f>iF('Ingest Template'!A429="Standard",'Ingest Template'!K429&amp;CHAR(10)&amp;'Ingest Template'!L429,"Competitive View")</f>
        <v>Competitive View</v>
      </c>
      <c r="L429" s="29" t="s">
        <v>146</v>
      </c>
      <c r="M429" s="37" t="str">
        <f>'Ingest Template'!D429</f>
        <v/>
      </c>
      <c r="N429" s="21"/>
      <c r="O429" s="21"/>
      <c r="P429" s="21"/>
      <c r="Q429" s="21"/>
      <c r="R429" s="21" t="str">
        <f>'Ingest Template'!E429</f>
        <v/>
      </c>
      <c r="S429" s="29" t="s">
        <v>153</v>
      </c>
      <c r="T429" s="21" t="str">
        <f>'Ingest Template'!T429</f>
        <v/>
      </c>
      <c r="U429" s="21" t="str">
        <f>'Ingest Template'!S429</f>
        <v/>
      </c>
      <c r="V429" s="21" t="str">
        <f>LOWER(SUBSTITUTE(SUBSTITUTE(SUBSTITUTE(SUBSTITUTE(SUBSTITUTE('Ingest Template'!U429,"https:",""),"www.",""),"/",""),"?hl=en",""),"instagram.com",""))</f>
        <v/>
      </c>
      <c r="W429" s="41" t="str">
        <f t="array" ref="W429">IF('Ingest Template'!V429="",(INDEX(DropDown!$L$2:$L$392,MATCH('Ingest Template'!E429,DropDown!$J$2:$J$392,0))&amp;"|"&amp;'Ingest Template'!B429),(INDEX(DropDown!$L$2:$L$392,MATCH('Ingest Template'!E429,DropDown!$J$2:$J$392,0))&amp;"|"&amp;'Ingest Template'!B429)&amp;CHAR(10)&amp;'Ingest Template'!V429)</f>
        <v>#N/A</v>
      </c>
      <c r="X429" s="41" t="str">
        <f>'Ingest Template'!W429</f>
        <v/>
      </c>
      <c r="Y429" s="21" t="str">
        <f>SUBSTITUTE(SUBSTITUTE(SUBSTITUTE('Ingest Template'!X429,"http:",""),"https:",""),"/","")</f>
        <v/>
      </c>
      <c r="Z429" s="21" t="str">
        <f t="array" ref="Z429">IF('Ingest Template'!A429="Standard",(IF(ISBLANK('Ingest Template'!AA429),"", 'Ingest Template'!AA429&amp;"|DAR")),(IF(ISBLANK('Ingest Template'!AA429),"", 'Ingest Template'!AA429&amp;"|Film Ops")))</f>
        <v/>
      </c>
      <c r="AA429" s="21"/>
      <c r="AB429" s="21" t="str">
        <f>'Ingest Template'!M429</f>
        <v/>
      </c>
      <c r="AC429" s="21" t="str">
        <f>'Ingest Template'!Y429</f>
        <v/>
      </c>
      <c r="AD429" s="21" t="str">
        <f>'Ingest Template'!C429</f>
        <v/>
      </c>
      <c r="AE429" s="21" t="str">
        <f>'Ingest Template'!Z429</f>
        <v/>
      </c>
      <c r="AF429" s="29"/>
      <c r="AG429" s="21" t="str">
        <f t="array" ref="AG429">IF('Ingest Template'!A429="Standard",(CONCATENATE(IF(ISBLANK('Ingest Template'!O429),"", 'Ingest Template'!O429&amp;"|DAR"),CHAR(10), IF(ISBLANK('Ingest Template'!P429),"", 'Ingest Template'!P429&amp;"|DAR"),CHAR(10), IF(ISBLANK('Ingest Template'!Q429),"", 'Ingest Template'!Q429&amp;"|DAR"))),(CONCATENATE(IF(ISBLANK('Ingest Template'!O429),"", 'Ingest Template'!O429&amp;"|Operations - Core Title"),CHAR(10), IF(ISBLANK('Ingest Template'!P429),"", 'Ingest Template'!P429&amp;"|Operations - Core Title"),CHAR(10), IF(ISBLANK('Ingest Template'!Q429),"", 'Ingest Template'!Q429&amp;"|Operations - Core Title"))))</f>
        <v>#|Operations - Core Title
#|Operations - Core Title
</v>
      </c>
      <c r="AH429" s="21"/>
      <c r="AI429" s="21"/>
      <c r="AJ429" s="53" t="str">
        <f>if('Ingest Template'!A429="Standard",'Ingest Template'!N429&amp; "|DAR|DAR|2021-01-01",'Ingest Template'!N429&amp; "|Operations - Core Title|Operations - Core Title")</f>
        <v>#N/A</v>
      </c>
      <c r="AK429" s="53" t="str">
        <f>if('Ingest Template'!A429="Standard",'Ingest Template'!R429&amp; "|2021-01-01",'Ingest Template'!R429)</f>
        <v>#N/A</v>
      </c>
      <c r="AL429" s="21"/>
      <c r="AM429" s="21"/>
    </row>
    <row r="430">
      <c r="A430" s="21"/>
      <c r="B430" s="21" t="str">
        <f>'Ingest Template'!B430&amp;IF('Ingest Template'!A430 = "Standard", " - DAR","")</f>
        <v/>
      </c>
      <c r="C430" s="26" t="s">
        <v>109</v>
      </c>
      <c r="D430" s="29" t="str">
        <f t="array" ref="D430">CONCATENATE(INDEX(DropDown!$H$2:$H$10,MATCH(1,COUNTIF('Ingest Template'!F430,"*"&amp;DropDown!$H$2:$H$10&amp;"*"),0)),CHAR(10),'Ingest Template'!G430)</f>
        <v>#N/A</v>
      </c>
      <c r="E430" s="21" t="str">
        <f>CONCATENATE('Ingest Template'!H430,CHAR(10),'Ingest Template'!I430,CHAR(10),'Ingest Template'!J430)</f>
        <v>
</v>
      </c>
      <c r="F430" s="26" t="str">
        <f>'Ingest Template'!H430</f>
        <v/>
      </c>
      <c r="G430" s="21"/>
      <c r="H430" s="29"/>
      <c r="I430" s="21"/>
      <c r="J430" s="29" t="str">
        <f t="array" ref="J430">iF('Ingest Template'!A430="Standard","Pristine Brand",INDEX(DropDown!$M$2:$M$392,MATCH('Ingest Template'!E430,DropDown!$J$2:$J$392,0)))</f>
        <v>#N/A</v>
      </c>
      <c r="K430" s="21" t="str">
        <f>iF('Ingest Template'!A430="Standard",'Ingest Template'!K430&amp;CHAR(10)&amp;'Ingest Template'!L430,"Competitive View")</f>
        <v>Competitive View</v>
      </c>
      <c r="L430" s="29" t="s">
        <v>146</v>
      </c>
      <c r="M430" s="37" t="str">
        <f>'Ingest Template'!D430</f>
        <v/>
      </c>
      <c r="N430" s="21"/>
      <c r="O430" s="21"/>
      <c r="P430" s="21"/>
      <c r="Q430" s="21"/>
      <c r="R430" s="21" t="str">
        <f>'Ingest Template'!E430</f>
        <v/>
      </c>
      <c r="S430" s="29" t="s">
        <v>153</v>
      </c>
      <c r="T430" s="21" t="str">
        <f>'Ingest Template'!T430</f>
        <v/>
      </c>
      <c r="U430" s="21" t="str">
        <f>'Ingest Template'!S430</f>
        <v/>
      </c>
      <c r="V430" s="21" t="str">
        <f>LOWER(SUBSTITUTE(SUBSTITUTE(SUBSTITUTE(SUBSTITUTE(SUBSTITUTE('Ingest Template'!U430,"https:",""),"www.",""),"/",""),"?hl=en",""),"instagram.com",""))</f>
        <v/>
      </c>
      <c r="W430" s="41" t="str">
        <f t="array" ref="W430">IF('Ingest Template'!V430="",(INDEX(DropDown!$L$2:$L$392,MATCH('Ingest Template'!E430,DropDown!$J$2:$J$392,0))&amp;"|"&amp;'Ingest Template'!B430),(INDEX(DropDown!$L$2:$L$392,MATCH('Ingest Template'!E430,DropDown!$J$2:$J$392,0))&amp;"|"&amp;'Ingest Template'!B430)&amp;CHAR(10)&amp;'Ingest Template'!V430)</f>
        <v>#N/A</v>
      </c>
      <c r="X430" s="41" t="str">
        <f>'Ingest Template'!W430</f>
        <v/>
      </c>
      <c r="Y430" s="21" t="str">
        <f>SUBSTITUTE(SUBSTITUTE(SUBSTITUTE('Ingest Template'!X430,"http:",""),"https:",""),"/","")</f>
        <v/>
      </c>
      <c r="Z430" s="21" t="str">
        <f t="array" ref="Z430">IF('Ingest Template'!A430="Standard",(IF(ISBLANK('Ingest Template'!AA430),"", 'Ingest Template'!AA430&amp;"|DAR")),(IF(ISBLANK('Ingest Template'!AA430),"", 'Ingest Template'!AA430&amp;"|Film Ops")))</f>
        <v/>
      </c>
      <c r="AA430" s="21"/>
      <c r="AB430" s="21" t="str">
        <f>'Ingest Template'!M430</f>
        <v/>
      </c>
      <c r="AC430" s="21" t="str">
        <f>'Ingest Template'!Y430</f>
        <v/>
      </c>
      <c r="AD430" s="21" t="str">
        <f>'Ingest Template'!C430</f>
        <v/>
      </c>
      <c r="AE430" s="21" t="str">
        <f>'Ingest Template'!Z430</f>
        <v/>
      </c>
      <c r="AF430" s="29"/>
      <c r="AG430" s="21" t="str">
        <f t="array" ref="AG430">IF('Ingest Template'!A430="Standard",(CONCATENATE(IF(ISBLANK('Ingest Template'!O430),"", 'Ingest Template'!O430&amp;"|DAR"),CHAR(10), IF(ISBLANK('Ingest Template'!P430),"", 'Ingest Template'!P430&amp;"|DAR"),CHAR(10), IF(ISBLANK('Ingest Template'!Q430),"", 'Ingest Template'!Q430&amp;"|DAR"))),(CONCATENATE(IF(ISBLANK('Ingest Template'!O430),"", 'Ingest Template'!O430&amp;"|Operations - Core Title"),CHAR(10), IF(ISBLANK('Ingest Template'!P430),"", 'Ingest Template'!P430&amp;"|Operations - Core Title"),CHAR(10), IF(ISBLANK('Ingest Template'!Q430),"", 'Ingest Template'!Q430&amp;"|Operations - Core Title"))))</f>
        <v>#|Operations - Core Title
#|Operations - Core Title
</v>
      </c>
      <c r="AH430" s="21"/>
      <c r="AI430" s="21"/>
      <c r="AJ430" s="53" t="str">
        <f>if('Ingest Template'!A430="Standard",'Ingest Template'!N430&amp; "|DAR|DAR|2021-01-01",'Ingest Template'!N430&amp; "|Operations - Core Title|Operations - Core Title")</f>
        <v>#N/A</v>
      </c>
      <c r="AK430" s="53" t="str">
        <f>if('Ingest Template'!A430="Standard",'Ingest Template'!R430&amp; "|2021-01-01",'Ingest Template'!R430)</f>
        <v>#N/A</v>
      </c>
      <c r="AL430" s="21"/>
      <c r="AM430" s="21"/>
    </row>
    <row r="431">
      <c r="A431" s="21"/>
      <c r="B431" s="21" t="str">
        <f>'Ingest Template'!B431&amp;IF('Ingest Template'!A431 = "Standard", " - DAR","")</f>
        <v/>
      </c>
      <c r="C431" s="26" t="s">
        <v>109</v>
      </c>
      <c r="D431" s="29" t="str">
        <f t="array" ref="D431">CONCATENATE(INDEX(DropDown!$H$2:$H$10,MATCH(1,COUNTIF('Ingest Template'!F431,"*"&amp;DropDown!$H$2:$H$10&amp;"*"),0)),CHAR(10),'Ingest Template'!G431)</f>
        <v>#N/A</v>
      </c>
      <c r="E431" s="21" t="str">
        <f>CONCATENATE('Ingest Template'!H431,CHAR(10),'Ingest Template'!I431,CHAR(10),'Ingest Template'!J431)</f>
        <v>
</v>
      </c>
      <c r="F431" s="26" t="str">
        <f>'Ingest Template'!H431</f>
        <v/>
      </c>
      <c r="G431" s="21"/>
      <c r="H431" s="29"/>
      <c r="I431" s="21"/>
      <c r="J431" s="29" t="str">
        <f t="array" ref="J431">iF('Ingest Template'!A431="Standard","Pristine Brand",INDEX(DropDown!$M$2:$M$392,MATCH('Ingest Template'!E431,DropDown!$J$2:$J$392,0)))</f>
        <v>#N/A</v>
      </c>
      <c r="K431" s="21" t="str">
        <f>iF('Ingest Template'!A431="Standard",'Ingest Template'!K431&amp;CHAR(10)&amp;'Ingest Template'!L431,"Competitive View")</f>
        <v>Competitive View</v>
      </c>
      <c r="L431" s="29" t="s">
        <v>146</v>
      </c>
      <c r="M431" s="37" t="str">
        <f>'Ingest Template'!D431</f>
        <v/>
      </c>
      <c r="N431" s="21"/>
      <c r="O431" s="21"/>
      <c r="P431" s="21"/>
      <c r="Q431" s="21"/>
      <c r="R431" s="21" t="str">
        <f>'Ingest Template'!E431</f>
        <v/>
      </c>
      <c r="S431" s="29" t="s">
        <v>153</v>
      </c>
      <c r="T431" s="21" t="str">
        <f>'Ingest Template'!T431</f>
        <v/>
      </c>
      <c r="U431" s="21" t="str">
        <f>'Ingest Template'!S431</f>
        <v/>
      </c>
      <c r="V431" s="21" t="str">
        <f>LOWER(SUBSTITUTE(SUBSTITUTE(SUBSTITUTE(SUBSTITUTE(SUBSTITUTE('Ingest Template'!U431,"https:",""),"www.",""),"/",""),"?hl=en",""),"instagram.com",""))</f>
        <v/>
      </c>
      <c r="W431" s="41" t="str">
        <f t="array" ref="W431">IF('Ingest Template'!V431="",(INDEX(DropDown!$L$2:$L$392,MATCH('Ingest Template'!E431,DropDown!$J$2:$J$392,0))&amp;"|"&amp;'Ingest Template'!B431),(INDEX(DropDown!$L$2:$L$392,MATCH('Ingest Template'!E431,DropDown!$J$2:$J$392,0))&amp;"|"&amp;'Ingest Template'!B431)&amp;CHAR(10)&amp;'Ingest Template'!V431)</f>
        <v>#N/A</v>
      </c>
      <c r="X431" s="41" t="str">
        <f>'Ingest Template'!W431</f>
        <v/>
      </c>
      <c r="Y431" s="21" t="str">
        <f>SUBSTITUTE(SUBSTITUTE(SUBSTITUTE('Ingest Template'!X431,"http:",""),"https:",""),"/","")</f>
        <v/>
      </c>
      <c r="Z431" s="21" t="str">
        <f t="array" ref="Z431">IF('Ingest Template'!A431="Standard",(IF(ISBLANK('Ingest Template'!AA431),"", 'Ingest Template'!AA431&amp;"|DAR")),(IF(ISBLANK('Ingest Template'!AA431),"", 'Ingest Template'!AA431&amp;"|Film Ops")))</f>
        <v/>
      </c>
      <c r="AA431" s="21"/>
      <c r="AB431" s="21" t="str">
        <f>'Ingest Template'!M431</f>
        <v/>
      </c>
      <c r="AC431" s="21" t="str">
        <f>'Ingest Template'!Y431</f>
        <v/>
      </c>
      <c r="AD431" s="21" t="str">
        <f>'Ingest Template'!C431</f>
        <v/>
      </c>
      <c r="AE431" s="21" t="str">
        <f>'Ingest Template'!Z431</f>
        <v/>
      </c>
      <c r="AF431" s="29"/>
      <c r="AG431" s="21" t="str">
        <f t="array" ref="AG431">IF('Ingest Template'!A431="Standard",(CONCATENATE(IF(ISBLANK('Ingest Template'!O431),"", 'Ingest Template'!O431&amp;"|DAR"),CHAR(10), IF(ISBLANK('Ingest Template'!P431),"", 'Ingest Template'!P431&amp;"|DAR"),CHAR(10), IF(ISBLANK('Ingest Template'!Q431),"", 'Ingest Template'!Q431&amp;"|DAR"))),(CONCATENATE(IF(ISBLANK('Ingest Template'!O431),"", 'Ingest Template'!O431&amp;"|Operations - Core Title"),CHAR(10), IF(ISBLANK('Ingest Template'!P431),"", 'Ingest Template'!P431&amp;"|Operations - Core Title"),CHAR(10), IF(ISBLANK('Ingest Template'!Q431),"", 'Ingest Template'!Q431&amp;"|Operations - Core Title"))))</f>
        <v>#|Operations - Core Title
#|Operations - Core Title
</v>
      </c>
      <c r="AH431" s="21"/>
      <c r="AI431" s="21"/>
      <c r="AJ431" s="53" t="str">
        <f>if('Ingest Template'!A431="Standard",'Ingest Template'!N431&amp; "|DAR|DAR|2021-01-01",'Ingest Template'!N431&amp; "|Operations - Core Title|Operations - Core Title")</f>
        <v>#N/A</v>
      </c>
      <c r="AK431" s="53" t="str">
        <f>if('Ingest Template'!A431="Standard",'Ingest Template'!R431&amp; "|2021-01-01",'Ingest Template'!R431)</f>
        <v>#N/A</v>
      </c>
      <c r="AL431" s="21"/>
      <c r="AM431" s="21"/>
    </row>
    <row r="432">
      <c r="A432" s="21"/>
      <c r="B432" s="21" t="str">
        <f>'Ingest Template'!B432&amp;IF('Ingest Template'!A432 = "Standard", " - DAR","")</f>
        <v/>
      </c>
      <c r="C432" s="26" t="s">
        <v>109</v>
      </c>
      <c r="D432" s="29" t="str">
        <f t="array" ref="D432">CONCATENATE(INDEX(DropDown!$H$2:$H$10,MATCH(1,COUNTIF('Ingest Template'!F432,"*"&amp;DropDown!$H$2:$H$10&amp;"*"),0)),CHAR(10),'Ingest Template'!G432)</f>
        <v>#N/A</v>
      </c>
      <c r="E432" s="21" t="str">
        <f>CONCATENATE('Ingest Template'!H432,CHAR(10),'Ingest Template'!I432,CHAR(10),'Ingest Template'!J432)</f>
        <v>
</v>
      </c>
      <c r="F432" s="26" t="str">
        <f>'Ingest Template'!H432</f>
        <v/>
      </c>
      <c r="G432" s="21"/>
      <c r="H432" s="29"/>
      <c r="I432" s="21"/>
      <c r="J432" s="29" t="str">
        <f t="array" ref="J432">iF('Ingest Template'!A432="Standard","Pristine Brand",INDEX(DropDown!$M$2:$M$392,MATCH('Ingest Template'!E432,DropDown!$J$2:$J$392,0)))</f>
        <v>#N/A</v>
      </c>
      <c r="K432" s="21" t="str">
        <f>iF('Ingest Template'!A432="Standard",'Ingest Template'!K432&amp;CHAR(10)&amp;'Ingest Template'!L432,"Competitive View")</f>
        <v>Competitive View</v>
      </c>
      <c r="L432" s="29" t="s">
        <v>146</v>
      </c>
      <c r="M432" s="37" t="str">
        <f>'Ingest Template'!D432</f>
        <v/>
      </c>
      <c r="N432" s="21"/>
      <c r="O432" s="21"/>
      <c r="P432" s="21"/>
      <c r="Q432" s="21"/>
      <c r="R432" s="21" t="str">
        <f>'Ingest Template'!E432</f>
        <v/>
      </c>
      <c r="S432" s="29" t="s">
        <v>153</v>
      </c>
      <c r="T432" s="21" t="str">
        <f>'Ingest Template'!T432</f>
        <v/>
      </c>
      <c r="U432" s="21" t="str">
        <f>'Ingest Template'!S432</f>
        <v/>
      </c>
      <c r="V432" s="21" t="str">
        <f>LOWER(SUBSTITUTE(SUBSTITUTE(SUBSTITUTE(SUBSTITUTE(SUBSTITUTE('Ingest Template'!U432,"https:",""),"www.",""),"/",""),"?hl=en",""),"instagram.com",""))</f>
        <v/>
      </c>
      <c r="W432" s="41" t="str">
        <f t="array" ref="W432">IF('Ingest Template'!V432="",(INDEX(DropDown!$L$2:$L$392,MATCH('Ingest Template'!E432,DropDown!$J$2:$J$392,0))&amp;"|"&amp;'Ingest Template'!B432),(INDEX(DropDown!$L$2:$L$392,MATCH('Ingest Template'!E432,DropDown!$J$2:$J$392,0))&amp;"|"&amp;'Ingest Template'!B432)&amp;CHAR(10)&amp;'Ingest Template'!V432)</f>
        <v>#N/A</v>
      </c>
      <c r="X432" s="41" t="str">
        <f>'Ingest Template'!W432</f>
        <v/>
      </c>
      <c r="Y432" s="21" t="str">
        <f>SUBSTITUTE(SUBSTITUTE(SUBSTITUTE('Ingest Template'!X432,"http:",""),"https:",""),"/","")</f>
        <v/>
      </c>
      <c r="Z432" s="21" t="str">
        <f t="array" ref="Z432">IF('Ingest Template'!A432="Standard",(IF(ISBLANK('Ingest Template'!AA432),"", 'Ingest Template'!AA432&amp;"|DAR")),(IF(ISBLANK('Ingest Template'!AA432),"", 'Ingest Template'!AA432&amp;"|Film Ops")))</f>
        <v/>
      </c>
      <c r="AA432" s="21"/>
      <c r="AB432" s="21" t="str">
        <f>'Ingest Template'!M432</f>
        <v/>
      </c>
      <c r="AC432" s="21" t="str">
        <f>'Ingest Template'!Y432</f>
        <v/>
      </c>
      <c r="AD432" s="21" t="str">
        <f>'Ingest Template'!C432</f>
        <v/>
      </c>
      <c r="AE432" s="21" t="str">
        <f>'Ingest Template'!Z432</f>
        <v/>
      </c>
      <c r="AF432" s="29"/>
      <c r="AG432" s="21" t="str">
        <f t="array" ref="AG432">IF('Ingest Template'!A432="Standard",(CONCATENATE(IF(ISBLANK('Ingest Template'!O432),"", 'Ingest Template'!O432&amp;"|DAR"),CHAR(10), IF(ISBLANK('Ingest Template'!P432),"", 'Ingest Template'!P432&amp;"|DAR"),CHAR(10), IF(ISBLANK('Ingest Template'!Q432),"", 'Ingest Template'!Q432&amp;"|DAR"))),(CONCATENATE(IF(ISBLANK('Ingest Template'!O432),"", 'Ingest Template'!O432&amp;"|Operations - Core Title"),CHAR(10), IF(ISBLANK('Ingest Template'!P432),"", 'Ingest Template'!P432&amp;"|Operations - Core Title"),CHAR(10), IF(ISBLANK('Ingest Template'!Q432),"", 'Ingest Template'!Q432&amp;"|Operations - Core Title"))))</f>
        <v>#|Operations - Core Title
#|Operations - Core Title
</v>
      </c>
      <c r="AH432" s="21"/>
      <c r="AI432" s="21"/>
      <c r="AJ432" s="53" t="str">
        <f>if('Ingest Template'!A432="Standard",'Ingest Template'!N432&amp; "|DAR|DAR|2021-01-01",'Ingest Template'!N432&amp; "|Operations - Core Title|Operations - Core Title")</f>
        <v>#N/A</v>
      </c>
      <c r="AK432" s="53" t="str">
        <f>if('Ingest Template'!A432="Standard",'Ingest Template'!R432&amp; "|2021-01-01",'Ingest Template'!R432)</f>
        <v>#N/A</v>
      </c>
      <c r="AL432" s="21"/>
      <c r="AM432" s="21"/>
    </row>
    <row r="433">
      <c r="A433" s="21"/>
      <c r="B433" s="21" t="str">
        <f>'Ingest Template'!B433&amp;IF('Ingest Template'!A433 = "Standard", " - DAR","")</f>
        <v/>
      </c>
      <c r="C433" s="26" t="s">
        <v>109</v>
      </c>
      <c r="D433" s="29" t="str">
        <f t="array" ref="D433">CONCATENATE(INDEX(DropDown!$H$2:$H$10,MATCH(1,COUNTIF('Ingest Template'!F433,"*"&amp;DropDown!$H$2:$H$10&amp;"*"),0)),CHAR(10),'Ingest Template'!G433)</f>
        <v>#N/A</v>
      </c>
      <c r="E433" s="21" t="str">
        <f>CONCATENATE('Ingest Template'!H433,CHAR(10),'Ingest Template'!I433,CHAR(10),'Ingest Template'!J433)</f>
        <v>
</v>
      </c>
      <c r="F433" s="26" t="str">
        <f>'Ingest Template'!H433</f>
        <v/>
      </c>
      <c r="G433" s="21"/>
      <c r="H433" s="29"/>
      <c r="I433" s="21"/>
      <c r="J433" s="29" t="str">
        <f t="array" ref="J433">iF('Ingest Template'!A433="Standard","Pristine Brand",INDEX(DropDown!$M$2:$M$392,MATCH('Ingest Template'!E433,DropDown!$J$2:$J$392,0)))</f>
        <v>#N/A</v>
      </c>
      <c r="K433" s="21" t="str">
        <f>iF('Ingest Template'!A433="Standard",'Ingest Template'!K433&amp;CHAR(10)&amp;'Ingest Template'!L433,"Competitive View")</f>
        <v>Competitive View</v>
      </c>
      <c r="L433" s="29" t="s">
        <v>146</v>
      </c>
      <c r="M433" s="37" t="str">
        <f>'Ingest Template'!D433</f>
        <v/>
      </c>
      <c r="N433" s="21"/>
      <c r="O433" s="21"/>
      <c r="P433" s="21"/>
      <c r="Q433" s="21"/>
      <c r="R433" s="21" t="str">
        <f>'Ingest Template'!E433</f>
        <v/>
      </c>
      <c r="S433" s="29" t="s">
        <v>153</v>
      </c>
      <c r="T433" s="21" t="str">
        <f>'Ingest Template'!T433</f>
        <v/>
      </c>
      <c r="U433" s="21" t="str">
        <f>'Ingest Template'!S433</f>
        <v/>
      </c>
      <c r="V433" s="21" t="str">
        <f>LOWER(SUBSTITUTE(SUBSTITUTE(SUBSTITUTE(SUBSTITUTE(SUBSTITUTE('Ingest Template'!U433,"https:",""),"www.",""),"/",""),"?hl=en",""),"instagram.com",""))</f>
        <v/>
      </c>
      <c r="W433" s="41" t="str">
        <f t="array" ref="W433">IF('Ingest Template'!V433="",(INDEX(DropDown!$L$2:$L$392,MATCH('Ingest Template'!E433,DropDown!$J$2:$J$392,0))&amp;"|"&amp;'Ingest Template'!B433),(INDEX(DropDown!$L$2:$L$392,MATCH('Ingest Template'!E433,DropDown!$J$2:$J$392,0))&amp;"|"&amp;'Ingest Template'!B433)&amp;CHAR(10)&amp;'Ingest Template'!V433)</f>
        <v>#N/A</v>
      </c>
      <c r="X433" s="41" t="str">
        <f>'Ingest Template'!W433</f>
        <v/>
      </c>
      <c r="Y433" s="21" t="str">
        <f>SUBSTITUTE(SUBSTITUTE(SUBSTITUTE('Ingest Template'!X433,"http:",""),"https:",""),"/","")</f>
        <v/>
      </c>
      <c r="Z433" s="21" t="str">
        <f t="array" ref="Z433">IF('Ingest Template'!A433="Standard",(IF(ISBLANK('Ingest Template'!AA433),"", 'Ingest Template'!AA433&amp;"|DAR")),(IF(ISBLANK('Ingest Template'!AA433),"", 'Ingest Template'!AA433&amp;"|Film Ops")))</f>
        <v/>
      </c>
      <c r="AA433" s="21"/>
      <c r="AB433" s="21" t="str">
        <f>'Ingest Template'!M433</f>
        <v/>
      </c>
      <c r="AC433" s="21" t="str">
        <f>'Ingest Template'!Y433</f>
        <v/>
      </c>
      <c r="AD433" s="21" t="str">
        <f>'Ingest Template'!C433</f>
        <v/>
      </c>
      <c r="AE433" s="21" t="str">
        <f>'Ingest Template'!Z433</f>
        <v/>
      </c>
      <c r="AF433" s="29"/>
      <c r="AG433" s="21" t="str">
        <f t="array" ref="AG433">IF('Ingest Template'!A433="Standard",(CONCATENATE(IF(ISBLANK('Ingest Template'!O433),"", 'Ingest Template'!O433&amp;"|DAR"),CHAR(10), IF(ISBLANK('Ingest Template'!P433),"", 'Ingest Template'!P433&amp;"|DAR"),CHAR(10), IF(ISBLANK('Ingest Template'!Q433),"", 'Ingest Template'!Q433&amp;"|DAR"))),(CONCATENATE(IF(ISBLANK('Ingest Template'!O433),"", 'Ingest Template'!O433&amp;"|Operations - Core Title"),CHAR(10), IF(ISBLANK('Ingest Template'!P433),"", 'Ingest Template'!P433&amp;"|Operations - Core Title"),CHAR(10), IF(ISBLANK('Ingest Template'!Q433),"", 'Ingest Template'!Q433&amp;"|Operations - Core Title"))))</f>
        <v>#|Operations - Core Title
#|Operations - Core Title
</v>
      </c>
      <c r="AH433" s="21"/>
      <c r="AI433" s="21"/>
      <c r="AJ433" s="53" t="str">
        <f>if('Ingest Template'!A433="Standard",'Ingest Template'!N433&amp; "|DAR|DAR|2021-01-01",'Ingest Template'!N433&amp; "|Operations - Core Title|Operations - Core Title")</f>
        <v>#N/A</v>
      </c>
      <c r="AK433" s="53" t="str">
        <f>if('Ingest Template'!A433="Standard",'Ingest Template'!R433&amp; "|2021-01-01",'Ingest Template'!R433)</f>
        <v>#N/A</v>
      </c>
      <c r="AL433" s="21"/>
      <c r="AM433" s="21"/>
    </row>
    <row r="434">
      <c r="A434" s="21"/>
      <c r="B434" s="21" t="str">
        <f>'Ingest Template'!B434&amp;IF('Ingest Template'!A434 = "Standard", " - DAR","")</f>
        <v/>
      </c>
      <c r="C434" s="26" t="s">
        <v>109</v>
      </c>
      <c r="D434" s="29" t="str">
        <f t="array" ref="D434">CONCATENATE(INDEX(DropDown!$H$2:$H$10,MATCH(1,COUNTIF('Ingest Template'!F434,"*"&amp;DropDown!$H$2:$H$10&amp;"*"),0)),CHAR(10),'Ingest Template'!G434)</f>
        <v>#N/A</v>
      </c>
      <c r="E434" s="21" t="str">
        <f>CONCATENATE('Ingest Template'!H434,CHAR(10),'Ingest Template'!I434,CHAR(10),'Ingest Template'!J434)</f>
        <v>
</v>
      </c>
      <c r="F434" s="26" t="str">
        <f>'Ingest Template'!H434</f>
        <v/>
      </c>
      <c r="G434" s="21"/>
      <c r="H434" s="29"/>
      <c r="I434" s="21"/>
      <c r="J434" s="29" t="str">
        <f t="array" ref="J434">iF('Ingest Template'!A434="Standard","Pristine Brand",INDEX(DropDown!$M$2:$M$392,MATCH('Ingest Template'!E434,DropDown!$J$2:$J$392,0)))</f>
        <v>#N/A</v>
      </c>
      <c r="K434" s="21" t="str">
        <f>iF('Ingest Template'!A434="Standard",'Ingest Template'!K434&amp;CHAR(10)&amp;'Ingest Template'!L434,"Competitive View")</f>
        <v>Competitive View</v>
      </c>
      <c r="L434" s="29" t="s">
        <v>146</v>
      </c>
      <c r="M434" s="37" t="str">
        <f>'Ingest Template'!D434</f>
        <v/>
      </c>
      <c r="N434" s="21"/>
      <c r="O434" s="21"/>
      <c r="P434" s="21"/>
      <c r="Q434" s="21"/>
      <c r="R434" s="21" t="str">
        <f>'Ingest Template'!E434</f>
        <v/>
      </c>
      <c r="S434" s="29" t="s">
        <v>153</v>
      </c>
      <c r="T434" s="21" t="str">
        <f>'Ingest Template'!T434</f>
        <v/>
      </c>
      <c r="U434" s="21" t="str">
        <f>'Ingest Template'!S434</f>
        <v/>
      </c>
      <c r="V434" s="21" t="str">
        <f>LOWER(SUBSTITUTE(SUBSTITUTE(SUBSTITUTE(SUBSTITUTE(SUBSTITUTE('Ingest Template'!U434,"https:",""),"www.",""),"/",""),"?hl=en",""),"instagram.com",""))</f>
        <v/>
      </c>
      <c r="W434" s="41" t="str">
        <f t="array" ref="W434">IF('Ingest Template'!V434="",(INDEX(DropDown!$L$2:$L$392,MATCH('Ingest Template'!E434,DropDown!$J$2:$J$392,0))&amp;"|"&amp;'Ingest Template'!B434),(INDEX(DropDown!$L$2:$L$392,MATCH('Ingest Template'!E434,DropDown!$J$2:$J$392,0))&amp;"|"&amp;'Ingest Template'!B434)&amp;CHAR(10)&amp;'Ingest Template'!V434)</f>
        <v>#N/A</v>
      </c>
      <c r="X434" s="41" t="str">
        <f>'Ingest Template'!W434</f>
        <v/>
      </c>
      <c r="Y434" s="21" t="str">
        <f>SUBSTITUTE(SUBSTITUTE(SUBSTITUTE('Ingest Template'!X434,"http:",""),"https:",""),"/","")</f>
        <v/>
      </c>
      <c r="Z434" s="21" t="str">
        <f t="array" ref="Z434">IF('Ingest Template'!A434="Standard",(IF(ISBLANK('Ingest Template'!AA434),"", 'Ingest Template'!AA434&amp;"|DAR")),(IF(ISBLANK('Ingest Template'!AA434),"", 'Ingest Template'!AA434&amp;"|Film Ops")))</f>
        <v/>
      </c>
      <c r="AA434" s="21"/>
      <c r="AB434" s="21" t="str">
        <f>'Ingest Template'!M434</f>
        <v/>
      </c>
      <c r="AC434" s="21" t="str">
        <f>'Ingest Template'!Y434</f>
        <v/>
      </c>
      <c r="AD434" s="21" t="str">
        <f>'Ingest Template'!C434</f>
        <v/>
      </c>
      <c r="AE434" s="21" t="str">
        <f>'Ingest Template'!Z434</f>
        <v/>
      </c>
      <c r="AF434" s="29"/>
      <c r="AG434" s="21" t="str">
        <f t="array" ref="AG434">IF('Ingest Template'!A434="Standard",(CONCATENATE(IF(ISBLANK('Ingest Template'!O434),"", 'Ingest Template'!O434&amp;"|DAR"),CHAR(10), IF(ISBLANK('Ingest Template'!P434),"", 'Ingest Template'!P434&amp;"|DAR"),CHAR(10), IF(ISBLANK('Ingest Template'!Q434),"", 'Ingest Template'!Q434&amp;"|DAR"))),(CONCATENATE(IF(ISBLANK('Ingest Template'!O434),"", 'Ingest Template'!O434&amp;"|Operations - Core Title"),CHAR(10), IF(ISBLANK('Ingest Template'!P434),"", 'Ingest Template'!P434&amp;"|Operations - Core Title"),CHAR(10), IF(ISBLANK('Ingest Template'!Q434),"", 'Ingest Template'!Q434&amp;"|Operations - Core Title"))))</f>
        <v>#|Operations - Core Title
#|Operations - Core Title
</v>
      </c>
      <c r="AH434" s="21"/>
      <c r="AI434" s="21"/>
      <c r="AJ434" s="53" t="str">
        <f>if('Ingest Template'!A434="Standard",'Ingest Template'!N434&amp; "|DAR|DAR|2021-01-01",'Ingest Template'!N434&amp; "|Operations - Core Title|Operations - Core Title")</f>
        <v>#N/A</v>
      </c>
      <c r="AK434" s="53" t="str">
        <f>if('Ingest Template'!A434="Standard",'Ingest Template'!R434&amp; "|2021-01-01",'Ingest Template'!R434)</f>
        <v>#N/A</v>
      </c>
      <c r="AL434" s="21"/>
      <c r="AM434" s="21"/>
    </row>
    <row r="435">
      <c r="A435" s="21"/>
      <c r="B435" s="21" t="str">
        <f>'Ingest Template'!B435&amp;IF('Ingest Template'!A435 = "Standard", " - DAR","")</f>
        <v/>
      </c>
      <c r="C435" s="26" t="s">
        <v>109</v>
      </c>
      <c r="D435" s="29" t="str">
        <f t="array" ref="D435">CONCATENATE(INDEX(DropDown!$H$2:$H$10,MATCH(1,COUNTIF('Ingest Template'!F435,"*"&amp;DropDown!$H$2:$H$10&amp;"*"),0)),CHAR(10),'Ingest Template'!G435)</f>
        <v>#N/A</v>
      </c>
      <c r="E435" s="21" t="str">
        <f>CONCATENATE('Ingest Template'!H435,CHAR(10),'Ingest Template'!I435,CHAR(10),'Ingest Template'!J435)</f>
        <v>
</v>
      </c>
      <c r="F435" s="26" t="str">
        <f>'Ingest Template'!H435</f>
        <v/>
      </c>
      <c r="G435" s="21"/>
      <c r="H435" s="29"/>
      <c r="I435" s="21"/>
      <c r="J435" s="29" t="str">
        <f t="array" ref="J435">iF('Ingest Template'!A435="Standard","Pristine Brand",INDEX(DropDown!$M$2:$M$392,MATCH('Ingest Template'!E435,DropDown!$J$2:$J$392,0)))</f>
        <v>#N/A</v>
      </c>
      <c r="K435" s="21" t="str">
        <f>iF('Ingest Template'!A435="Standard",'Ingest Template'!K435&amp;CHAR(10)&amp;'Ingest Template'!L435,"Competitive View")</f>
        <v>Competitive View</v>
      </c>
      <c r="L435" s="29" t="s">
        <v>146</v>
      </c>
      <c r="M435" s="37" t="str">
        <f>'Ingest Template'!D435</f>
        <v/>
      </c>
      <c r="N435" s="21"/>
      <c r="O435" s="21"/>
      <c r="P435" s="21"/>
      <c r="Q435" s="21"/>
      <c r="R435" s="21" t="str">
        <f>'Ingest Template'!E435</f>
        <v/>
      </c>
      <c r="S435" s="29" t="s">
        <v>153</v>
      </c>
      <c r="T435" s="21" t="str">
        <f>'Ingest Template'!T435</f>
        <v/>
      </c>
      <c r="U435" s="21" t="str">
        <f>'Ingest Template'!S435</f>
        <v/>
      </c>
      <c r="V435" s="21" t="str">
        <f>LOWER(SUBSTITUTE(SUBSTITUTE(SUBSTITUTE(SUBSTITUTE(SUBSTITUTE('Ingest Template'!U435,"https:",""),"www.",""),"/",""),"?hl=en",""),"instagram.com",""))</f>
        <v/>
      </c>
      <c r="W435" s="41" t="str">
        <f t="array" ref="W435">IF('Ingest Template'!V435="",(INDEX(DropDown!$L$2:$L$392,MATCH('Ingest Template'!E435,DropDown!$J$2:$J$392,0))&amp;"|"&amp;'Ingest Template'!B435),(INDEX(DropDown!$L$2:$L$392,MATCH('Ingest Template'!E435,DropDown!$J$2:$J$392,0))&amp;"|"&amp;'Ingest Template'!B435)&amp;CHAR(10)&amp;'Ingest Template'!V435)</f>
        <v>#N/A</v>
      </c>
      <c r="X435" s="41" t="str">
        <f>'Ingest Template'!W435</f>
        <v/>
      </c>
      <c r="Y435" s="21" t="str">
        <f>SUBSTITUTE(SUBSTITUTE(SUBSTITUTE('Ingest Template'!X435,"http:",""),"https:",""),"/","")</f>
        <v/>
      </c>
      <c r="Z435" s="21" t="str">
        <f t="array" ref="Z435">IF('Ingest Template'!A435="Standard",(IF(ISBLANK('Ingest Template'!AA435),"", 'Ingest Template'!AA435&amp;"|DAR")),(IF(ISBLANK('Ingest Template'!AA435),"", 'Ingest Template'!AA435&amp;"|Film Ops")))</f>
        <v/>
      </c>
      <c r="AA435" s="21"/>
      <c r="AB435" s="21" t="str">
        <f>'Ingest Template'!M435</f>
        <v/>
      </c>
      <c r="AC435" s="21" t="str">
        <f>'Ingest Template'!Y435</f>
        <v/>
      </c>
      <c r="AD435" s="21" t="str">
        <f>'Ingest Template'!C435</f>
        <v/>
      </c>
      <c r="AE435" s="21" t="str">
        <f>'Ingest Template'!Z435</f>
        <v/>
      </c>
      <c r="AF435" s="29"/>
      <c r="AG435" s="21" t="str">
        <f t="array" ref="AG435">IF('Ingest Template'!A435="Standard",(CONCATENATE(IF(ISBLANK('Ingest Template'!O435),"", 'Ingest Template'!O435&amp;"|DAR"),CHAR(10), IF(ISBLANK('Ingest Template'!P435),"", 'Ingest Template'!P435&amp;"|DAR"),CHAR(10), IF(ISBLANK('Ingest Template'!Q435),"", 'Ingest Template'!Q435&amp;"|DAR"))),(CONCATENATE(IF(ISBLANK('Ingest Template'!O435),"", 'Ingest Template'!O435&amp;"|Operations - Core Title"),CHAR(10), IF(ISBLANK('Ingest Template'!P435),"", 'Ingest Template'!P435&amp;"|Operations - Core Title"),CHAR(10), IF(ISBLANK('Ingest Template'!Q435),"", 'Ingest Template'!Q435&amp;"|Operations - Core Title"))))</f>
        <v>#|Operations - Core Title
#|Operations - Core Title
</v>
      </c>
      <c r="AH435" s="21"/>
      <c r="AI435" s="21"/>
      <c r="AJ435" s="53" t="str">
        <f>if('Ingest Template'!A435="Standard",'Ingest Template'!N435&amp; "|DAR|DAR|2021-01-01",'Ingest Template'!N435&amp; "|Operations - Core Title|Operations - Core Title")</f>
        <v>#N/A</v>
      </c>
      <c r="AK435" s="53" t="str">
        <f>if('Ingest Template'!A435="Standard",'Ingest Template'!R435&amp; "|2021-01-01",'Ingest Template'!R435)</f>
        <v>#N/A</v>
      </c>
      <c r="AL435" s="21"/>
      <c r="AM435" s="21"/>
    </row>
    <row r="436">
      <c r="A436" s="21"/>
      <c r="B436" s="21" t="str">
        <f>'Ingest Template'!B436&amp;IF('Ingest Template'!A436 = "Standard", " - DAR","")</f>
        <v/>
      </c>
      <c r="C436" s="26" t="s">
        <v>109</v>
      </c>
      <c r="D436" s="29" t="str">
        <f t="array" ref="D436">CONCATENATE(INDEX(DropDown!$H$2:$H$10,MATCH(1,COUNTIF('Ingest Template'!F436,"*"&amp;DropDown!$H$2:$H$10&amp;"*"),0)),CHAR(10),'Ingest Template'!G436)</f>
        <v>#N/A</v>
      </c>
      <c r="E436" s="21" t="str">
        <f>CONCATENATE('Ingest Template'!H436,CHAR(10),'Ingest Template'!I436,CHAR(10),'Ingest Template'!J436)</f>
        <v>
</v>
      </c>
      <c r="F436" s="26" t="str">
        <f>'Ingest Template'!H436</f>
        <v/>
      </c>
      <c r="G436" s="21"/>
      <c r="H436" s="29"/>
      <c r="I436" s="21"/>
      <c r="J436" s="29" t="str">
        <f t="array" ref="J436">iF('Ingest Template'!A436="Standard","Pristine Brand",INDEX(DropDown!$M$2:$M$392,MATCH('Ingest Template'!E436,DropDown!$J$2:$J$392,0)))</f>
        <v>#N/A</v>
      </c>
      <c r="K436" s="21" t="str">
        <f>iF('Ingest Template'!A436="Standard",'Ingest Template'!K436&amp;CHAR(10)&amp;'Ingest Template'!L436,"Competitive View")</f>
        <v>Competitive View</v>
      </c>
      <c r="L436" s="29" t="s">
        <v>146</v>
      </c>
      <c r="M436" s="37" t="str">
        <f>'Ingest Template'!D436</f>
        <v/>
      </c>
      <c r="N436" s="21"/>
      <c r="O436" s="21"/>
      <c r="P436" s="21"/>
      <c r="Q436" s="21"/>
      <c r="R436" s="21" t="str">
        <f>'Ingest Template'!E436</f>
        <v/>
      </c>
      <c r="S436" s="29" t="s">
        <v>153</v>
      </c>
      <c r="T436" s="21" t="str">
        <f>'Ingest Template'!T436</f>
        <v/>
      </c>
      <c r="U436" s="21" t="str">
        <f>'Ingest Template'!S436</f>
        <v/>
      </c>
      <c r="V436" s="21" t="str">
        <f>LOWER(SUBSTITUTE(SUBSTITUTE(SUBSTITUTE(SUBSTITUTE(SUBSTITUTE('Ingest Template'!U436,"https:",""),"www.",""),"/",""),"?hl=en",""),"instagram.com",""))</f>
        <v/>
      </c>
      <c r="W436" s="41" t="str">
        <f t="array" ref="W436">IF('Ingest Template'!V436="",(INDEX(DropDown!$L$2:$L$392,MATCH('Ingest Template'!E436,DropDown!$J$2:$J$392,0))&amp;"|"&amp;'Ingest Template'!B436),(INDEX(DropDown!$L$2:$L$392,MATCH('Ingest Template'!E436,DropDown!$J$2:$J$392,0))&amp;"|"&amp;'Ingest Template'!B436)&amp;CHAR(10)&amp;'Ingest Template'!V436)</f>
        <v>#N/A</v>
      </c>
      <c r="X436" s="41" t="str">
        <f>'Ingest Template'!W436</f>
        <v/>
      </c>
      <c r="Y436" s="21" t="str">
        <f>SUBSTITUTE(SUBSTITUTE(SUBSTITUTE('Ingest Template'!X436,"http:",""),"https:",""),"/","")</f>
        <v/>
      </c>
      <c r="Z436" s="21" t="str">
        <f t="array" ref="Z436">IF('Ingest Template'!A436="Standard",(IF(ISBLANK('Ingest Template'!AA436),"", 'Ingest Template'!AA436&amp;"|DAR")),(IF(ISBLANK('Ingest Template'!AA436),"", 'Ingest Template'!AA436&amp;"|Film Ops")))</f>
        <v/>
      </c>
      <c r="AA436" s="21"/>
      <c r="AB436" s="21" t="str">
        <f>'Ingest Template'!M436</f>
        <v/>
      </c>
      <c r="AC436" s="21" t="str">
        <f>'Ingest Template'!Y436</f>
        <v/>
      </c>
      <c r="AD436" s="21" t="str">
        <f>'Ingest Template'!C436</f>
        <v/>
      </c>
      <c r="AE436" s="21" t="str">
        <f>'Ingest Template'!Z436</f>
        <v/>
      </c>
      <c r="AF436" s="29"/>
      <c r="AG436" s="21" t="str">
        <f t="array" ref="AG436">IF('Ingest Template'!A436="Standard",(CONCATENATE(IF(ISBLANK('Ingest Template'!O436),"", 'Ingest Template'!O436&amp;"|DAR"),CHAR(10), IF(ISBLANK('Ingest Template'!P436),"", 'Ingest Template'!P436&amp;"|DAR"),CHAR(10), IF(ISBLANK('Ingest Template'!Q436),"", 'Ingest Template'!Q436&amp;"|DAR"))),(CONCATENATE(IF(ISBLANK('Ingest Template'!O436),"", 'Ingest Template'!O436&amp;"|Operations - Core Title"),CHAR(10), IF(ISBLANK('Ingest Template'!P436),"", 'Ingest Template'!P436&amp;"|Operations - Core Title"),CHAR(10), IF(ISBLANK('Ingest Template'!Q436),"", 'Ingest Template'!Q436&amp;"|Operations - Core Title"))))</f>
        <v>#|Operations - Core Title
#|Operations - Core Title
</v>
      </c>
      <c r="AH436" s="21"/>
      <c r="AI436" s="21"/>
      <c r="AJ436" s="53" t="str">
        <f>if('Ingest Template'!A436="Standard",'Ingest Template'!N436&amp; "|DAR|DAR|2021-01-01",'Ingest Template'!N436&amp; "|Operations - Core Title|Operations - Core Title")</f>
        <v>#N/A</v>
      </c>
      <c r="AK436" s="53" t="str">
        <f>if('Ingest Template'!A436="Standard",'Ingest Template'!R436&amp; "|2021-01-01",'Ingest Template'!R436)</f>
        <v>#N/A</v>
      </c>
      <c r="AL436" s="21"/>
      <c r="AM436" s="21"/>
    </row>
    <row r="437">
      <c r="A437" s="21"/>
      <c r="B437" s="21" t="str">
        <f>'Ingest Template'!B437&amp;IF('Ingest Template'!A437 = "Standard", " - DAR","")</f>
        <v/>
      </c>
      <c r="C437" s="26" t="s">
        <v>109</v>
      </c>
      <c r="D437" s="29" t="str">
        <f t="array" ref="D437">CONCATENATE(INDEX(DropDown!$H$2:$H$10,MATCH(1,COUNTIF('Ingest Template'!F437,"*"&amp;DropDown!$H$2:$H$10&amp;"*"),0)),CHAR(10),'Ingest Template'!G437)</f>
        <v>#N/A</v>
      </c>
      <c r="E437" s="21" t="str">
        <f>CONCATENATE('Ingest Template'!H437,CHAR(10),'Ingest Template'!I437,CHAR(10),'Ingest Template'!J437)</f>
        <v>
</v>
      </c>
      <c r="F437" s="26" t="str">
        <f>'Ingest Template'!H437</f>
        <v/>
      </c>
      <c r="G437" s="21"/>
      <c r="H437" s="29"/>
      <c r="I437" s="21"/>
      <c r="J437" s="29" t="str">
        <f t="array" ref="J437">iF('Ingest Template'!A437="Standard","Pristine Brand",INDEX(DropDown!$M$2:$M$392,MATCH('Ingest Template'!E437,DropDown!$J$2:$J$392,0)))</f>
        <v>#N/A</v>
      </c>
      <c r="K437" s="21" t="str">
        <f>iF('Ingest Template'!A437="Standard",'Ingest Template'!K437&amp;CHAR(10)&amp;'Ingest Template'!L437,"Competitive View")</f>
        <v>Competitive View</v>
      </c>
      <c r="L437" s="29" t="s">
        <v>146</v>
      </c>
      <c r="M437" s="37" t="str">
        <f>'Ingest Template'!D437</f>
        <v/>
      </c>
      <c r="N437" s="21"/>
      <c r="O437" s="21"/>
      <c r="P437" s="21"/>
      <c r="Q437" s="21"/>
      <c r="R437" s="21" t="str">
        <f>'Ingest Template'!E437</f>
        <v/>
      </c>
      <c r="S437" s="29" t="s">
        <v>153</v>
      </c>
      <c r="T437" s="21" t="str">
        <f>'Ingest Template'!T437</f>
        <v/>
      </c>
      <c r="U437" s="21" t="str">
        <f>'Ingest Template'!S437</f>
        <v/>
      </c>
      <c r="V437" s="21" t="str">
        <f>LOWER(SUBSTITUTE(SUBSTITUTE(SUBSTITUTE(SUBSTITUTE(SUBSTITUTE('Ingest Template'!U437,"https:",""),"www.",""),"/",""),"?hl=en",""),"instagram.com",""))</f>
        <v/>
      </c>
      <c r="W437" s="41" t="str">
        <f t="array" ref="W437">IF('Ingest Template'!V437="",(INDEX(DropDown!$L$2:$L$392,MATCH('Ingest Template'!E437,DropDown!$J$2:$J$392,0))&amp;"|"&amp;'Ingest Template'!B437),(INDEX(DropDown!$L$2:$L$392,MATCH('Ingest Template'!E437,DropDown!$J$2:$J$392,0))&amp;"|"&amp;'Ingest Template'!B437)&amp;CHAR(10)&amp;'Ingest Template'!V437)</f>
        <v>#N/A</v>
      </c>
      <c r="X437" s="41" t="str">
        <f>'Ingest Template'!W437</f>
        <v/>
      </c>
      <c r="Y437" s="21" t="str">
        <f>SUBSTITUTE(SUBSTITUTE(SUBSTITUTE('Ingest Template'!X437,"http:",""),"https:",""),"/","")</f>
        <v/>
      </c>
      <c r="Z437" s="21" t="str">
        <f t="array" ref="Z437">IF('Ingest Template'!A437="Standard",(IF(ISBLANK('Ingest Template'!AA437),"", 'Ingest Template'!AA437&amp;"|DAR")),(IF(ISBLANK('Ingest Template'!AA437),"", 'Ingest Template'!AA437&amp;"|Film Ops")))</f>
        <v/>
      </c>
      <c r="AA437" s="21"/>
      <c r="AB437" s="21" t="str">
        <f>'Ingest Template'!M437</f>
        <v/>
      </c>
      <c r="AC437" s="21" t="str">
        <f>'Ingest Template'!Y437</f>
        <v/>
      </c>
      <c r="AD437" s="21" t="str">
        <f>'Ingest Template'!C437</f>
        <v/>
      </c>
      <c r="AE437" s="21" t="str">
        <f>'Ingest Template'!Z437</f>
        <v/>
      </c>
      <c r="AF437" s="29"/>
      <c r="AG437" s="21" t="str">
        <f t="array" ref="AG437">IF('Ingest Template'!A437="Standard",(CONCATENATE(IF(ISBLANK('Ingest Template'!O437),"", 'Ingest Template'!O437&amp;"|DAR"),CHAR(10), IF(ISBLANK('Ingest Template'!P437),"", 'Ingest Template'!P437&amp;"|DAR"),CHAR(10), IF(ISBLANK('Ingest Template'!Q437),"", 'Ingest Template'!Q437&amp;"|DAR"))),(CONCATENATE(IF(ISBLANK('Ingest Template'!O437),"", 'Ingest Template'!O437&amp;"|Operations - Core Title"),CHAR(10), IF(ISBLANK('Ingest Template'!P437),"", 'Ingest Template'!P437&amp;"|Operations - Core Title"),CHAR(10), IF(ISBLANK('Ingest Template'!Q437),"", 'Ingest Template'!Q437&amp;"|Operations - Core Title"))))</f>
        <v>#|Operations - Core Title
#|Operations - Core Title
</v>
      </c>
      <c r="AH437" s="21"/>
      <c r="AI437" s="21"/>
      <c r="AJ437" s="53" t="str">
        <f>if('Ingest Template'!A437="Standard",'Ingest Template'!N437&amp; "|DAR|DAR|2021-01-01",'Ingest Template'!N437&amp; "|Operations - Core Title|Operations - Core Title")</f>
        <v>#N/A</v>
      </c>
      <c r="AK437" s="53" t="str">
        <f>if('Ingest Template'!A437="Standard",'Ingest Template'!R437&amp; "|2021-01-01",'Ingest Template'!R437)</f>
        <v>#N/A</v>
      </c>
      <c r="AL437" s="21"/>
      <c r="AM437" s="21"/>
    </row>
    <row r="438">
      <c r="A438" s="21"/>
      <c r="B438" s="21" t="str">
        <f>'Ingest Template'!B438&amp;IF('Ingest Template'!A438 = "Standard", " - DAR","")</f>
        <v/>
      </c>
      <c r="C438" s="26" t="s">
        <v>109</v>
      </c>
      <c r="D438" s="29" t="str">
        <f t="array" ref="D438">CONCATENATE(INDEX(DropDown!$H$2:$H$10,MATCH(1,COUNTIF('Ingest Template'!F438,"*"&amp;DropDown!$H$2:$H$10&amp;"*"),0)),CHAR(10),'Ingest Template'!G438)</f>
        <v>#N/A</v>
      </c>
      <c r="E438" s="21" t="str">
        <f>CONCATENATE('Ingest Template'!H438,CHAR(10),'Ingest Template'!I438,CHAR(10),'Ingest Template'!J438)</f>
        <v>
</v>
      </c>
      <c r="F438" s="26" t="str">
        <f>'Ingest Template'!H438</f>
        <v/>
      </c>
      <c r="G438" s="21"/>
      <c r="H438" s="29"/>
      <c r="I438" s="21"/>
      <c r="J438" s="29" t="str">
        <f t="array" ref="J438">iF('Ingest Template'!A438="Standard","Pristine Brand",INDEX(DropDown!$M$2:$M$392,MATCH('Ingest Template'!E438,DropDown!$J$2:$J$392,0)))</f>
        <v>#N/A</v>
      </c>
      <c r="K438" s="21" t="str">
        <f>iF('Ingest Template'!A438="Standard",'Ingest Template'!K438&amp;CHAR(10)&amp;'Ingest Template'!L438,"Competitive View")</f>
        <v>Competitive View</v>
      </c>
      <c r="L438" s="29" t="s">
        <v>146</v>
      </c>
      <c r="M438" s="37" t="str">
        <f>'Ingest Template'!D438</f>
        <v/>
      </c>
      <c r="N438" s="21"/>
      <c r="O438" s="21"/>
      <c r="P438" s="21"/>
      <c r="Q438" s="21"/>
      <c r="R438" s="21" t="str">
        <f>'Ingest Template'!E438</f>
        <v/>
      </c>
      <c r="S438" s="29" t="s">
        <v>153</v>
      </c>
      <c r="T438" s="21" t="str">
        <f>'Ingest Template'!T438</f>
        <v/>
      </c>
      <c r="U438" s="21" t="str">
        <f>'Ingest Template'!S438</f>
        <v/>
      </c>
      <c r="V438" s="21" t="str">
        <f>LOWER(SUBSTITUTE(SUBSTITUTE(SUBSTITUTE(SUBSTITUTE(SUBSTITUTE('Ingest Template'!U438,"https:",""),"www.",""),"/",""),"?hl=en",""),"instagram.com",""))</f>
        <v/>
      </c>
      <c r="W438" s="41" t="str">
        <f t="array" ref="W438">IF('Ingest Template'!V438="",(INDEX(DropDown!$L$2:$L$392,MATCH('Ingest Template'!E438,DropDown!$J$2:$J$392,0))&amp;"|"&amp;'Ingest Template'!B438),(INDEX(DropDown!$L$2:$L$392,MATCH('Ingest Template'!E438,DropDown!$J$2:$J$392,0))&amp;"|"&amp;'Ingest Template'!B438)&amp;CHAR(10)&amp;'Ingest Template'!V438)</f>
        <v>#N/A</v>
      </c>
      <c r="X438" s="41" t="str">
        <f>'Ingest Template'!W438</f>
        <v/>
      </c>
      <c r="Y438" s="21" t="str">
        <f>SUBSTITUTE(SUBSTITUTE(SUBSTITUTE('Ingest Template'!X438,"http:",""),"https:",""),"/","")</f>
        <v/>
      </c>
      <c r="Z438" s="21" t="str">
        <f t="array" ref="Z438">IF('Ingest Template'!A438="Standard",(IF(ISBLANK('Ingest Template'!AA438),"", 'Ingest Template'!AA438&amp;"|DAR")),(IF(ISBLANK('Ingest Template'!AA438),"", 'Ingest Template'!AA438&amp;"|Film Ops")))</f>
        <v/>
      </c>
      <c r="AA438" s="21"/>
      <c r="AB438" s="21" t="str">
        <f>'Ingest Template'!M438</f>
        <v/>
      </c>
      <c r="AC438" s="21" t="str">
        <f>'Ingest Template'!Y438</f>
        <v/>
      </c>
      <c r="AD438" s="21" t="str">
        <f>'Ingest Template'!C438</f>
        <v/>
      </c>
      <c r="AE438" s="21" t="str">
        <f>'Ingest Template'!Z438</f>
        <v/>
      </c>
      <c r="AF438" s="29"/>
      <c r="AG438" s="21" t="str">
        <f t="array" ref="AG438">IF('Ingest Template'!A438="Standard",(CONCATENATE(IF(ISBLANK('Ingest Template'!O438),"", 'Ingest Template'!O438&amp;"|DAR"),CHAR(10), IF(ISBLANK('Ingest Template'!P438),"", 'Ingest Template'!P438&amp;"|DAR"),CHAR(10), IF(ISBLANK('Ingest Template'!Q438),"", 'Ingest Template'!Q438&amp;"|DAR"))),(CONCATENATE(IF(ISBLANK('Ingest Template'!O438),"", 'Ingest Template'!O438&amp;"|Operations - Core Title"),CHAR(10), IF(ISBLANK('Ingest Template'!P438),"", 'Ingest Template'!P438&amp;"|Operations - Core Title"),CHAR(10), IF(ISBLANK('Ingest Template'!Q438),"", 'Ingest Template'!Q438&amp;"|Operations - Core Title"))))</f>
        <v>#|Operations - Core Title
#|Operations - Core Title
</v>
      </c>
      <c r="AH438" s="21"/>
      <c r="AI438" s="21"/>
      <c r="AJ438" s="53" t="str">
        <f>if('Ingest Template'!A438="Standard",'Ingest Template'!N438&amp; "|DAR|DAR|2021-01-01",'Ingest Template'!N438&amp; "|Operations - Core Title|Operations - Core Title")</f>
        <v>#N/A</v>
      </c>
      <c r="AK438" s="53" t="str">
        <f>if('Ingest Template'!A438="Standard",'Ingest Template'!R438&amp; "|2021-01-01",'Ingest Template'!R438)</f>
        <v>#N/A</v>
      </c>
      <c r="AL438" s="21"/>
      <c r="AM438" s="21"/>
    </row>
    <row r="439">
      <c r="A439" s="21"/>
      <c r="B439" s="21" t="str">
        <f>'Ingest Template'!B439&amp;IF('Ingest Template'!A439 = "Standard", " - DAR","")</f>
        <v/>
      </c>
      <c r="C439" s="26" t="s">
        <v>109</v>
      </c>
      <c r="D439" s="29" t="str">
        <f t="array" ref="D439">CONCATENATE(INDEX(DropDown!$H$2:$H$10,MATCH(1,COUNTIF('Ingest Template'!F439,"*"&amp;DropDown!$H$2:$H$10&amp;"*"),0)),CHAR(10),'Ingest Template'!G439)</f>
        <v>#N/A</v>
      </c>
      <c r="E439" s="21" t="str">
        <f>CONCATENATE('Ingest Template'!H439,CHAR(10),'Ingest Template'!I439,CHAR(10),'Ingest Template'!J439)</f>
        <v>
</v>
      </c>
      <c r="F439" s="26" t="str">
        <f>'Ingest Template'!H439</f>
        <v/>
      </c>
      <c r="G439" s="21"/>
      <c r="H439" s="29"/>
      <c r="I439" s="21"/>
      <c r="J439" s="29" t="str">
        <f t="array" ref="J439">iF('Ingest Template'!A439="Standard","Pristine Brand",INDEX(DropDown!$M$2:$M$392,MATCH('Ingest Template'!E439,DropDown!$J$2:$J$392,0)))</f>
        <v>#N/A</v>
      </c>
      <c r="K439" s="21" t="str">
        <f>iF('Ingest Template'!A439="Standard",'Ingest Template'!K439&amp;CHAR(10)&amp;'Ingest Template'!L439,"Competitive View")</f>
        <v>Competitive View</v>
      </c>
      <c r="L439" s="29" t="s">
        <v>146</v>
      </c>
      <c r="M439" s="37" t="str">
        <f>'Ingest Template'!D439</f>
        <v/>
      </c>
      <c r="N439" s="21"/>
      <c r="O439" s="21"/>
      <c r="P439" s="21"/>
      <c r="Q439" s="21"/>
      <c r="R439" s="21" t="str">
        <f>'Ingest Template'!E439</f>
        <v/>
      </c>
      <c r="S439" s="29" t="s">
        <v>153</v>
      </c>
      <c r="T439" s="21" t="str">
        <f>'Ingest Template'!T439</f>
        <v/>
      </c>
      <c r="U439" s="21" t="str">
        <f>'Ingest Template'!S439</f>
        <v/>
      </c>
      <c r="V439" s="21" t="str">
        <f>LOWER(SUBSTITUTE(SUBSTITUTE(SUBSTITUTE(SUBSTITUTE(SUBSTITUTE('Ingest Template'!U439,"https:",""),"www.",""),"/",""),"?hl=en",""),"instagram.com",""))</f>
        <v/>
      </c>
      <c r="W439" s="41" t="str">
        <f t="array" ref="W439">IF('Ingest Template'!V439="",(INDEX(DropDown!$L$2:$L$392,MATCH('Ingest Template'!E439,DropDown!$J$2:$J$392,0))&amp;"|"&amp;'Ingest Template'!B439),(INDEX(DropDown!$L$2:$L$392,MATCH('Ingest Template'!E439,DropDown!$J$2:$J$392,0))&amp;"|"&amp;'Ingest Template'!B439)&amp;CHAR(10)&amp;'Ingest Template'!V439)</f>
        <v>#N/A</v>
      </c>
      <c r="X439" s="41" t="str">
        <f>'Ingest Template'!W439</f>
        <v/>
      </c>
      <c r="Y439" s="21" t="str">
        <f>SUBSTITUTE(SUBSTITUTE(SUBSTITUTE('Ingest Template'!X439,"http:",""),"https:",""),"/","")</f>
        <v/>
      </c>
      <c r="Z439" s="21" t="str">
        <f t="array" ref="Z439">IF('Ingest Template'!A439="Standard",(IF(ISBLANK('Ingest Template'!AA439),"", 'Ingest Template'!AA439&amp;"|DAR")),(IF(ISBLANK('Ingest Template'!AA439),"", 'Ingest Template'!AA439&amp;"|Film Ops")))</f>
        <v/>
      </c>
      <c r="AA439" s="21"/>
      <c r="AB439" s="21" t="str">
        <f>'Ingest Template'!M439</f>
        <v/>
      </c>
      <c r="AC439" s="21" t="str">
        <f>'Ingest Template'!Y439</f>
        <v/>
      </c>
      <c r="AD439" s="21" t="str">
        <f>'Ingest Template'!C439</f>
        <v/>
      </c>
      <c r="AE439" s="21" t="str">
        <f>'Ingest Template'!Z439</f>
        <v/>
      </c>
      <c r="AF439" s="29"/>
      <c r="AG439" s="21" t="str">
        <f t="array" ref="AG439">IF('Ingest Template'!A439="Standard",(CONCATENATE(IF(ISBLANK('Ingest Template'!O439),"", 'Ingest Template'!O439&amp;"|DAR"),CHAR(10), IF(ISBLANK('Ingest Template'!P439),"", 'Ingest Template'!P439&amp;"|DAR"),CHAR(10), IF(ISBLANK('Ingest Template'!Q439),"", 'Ingest Template'!Q439&amp;"|DAR"))),(CONCATENATE(IF(ISBLANK('Ingest Template'!O439),"", 'Ingest Template'!O439&amp;"|Operations - Core Title"),CHAR(10), IF(ISBLANK('Ingest Template'!P439),"", 'Ingest Template'!P439&amp;"|Operations - Core Title"),CHAR(10), IF(ISBLANK('Ingest Template'!Q439),"", 'Ingest Template'!Q439&amp;"|Operations - Core Title"))))</f>
        <v>#|Operations - Core Title
#|Operations - Core Title
</v>
      </c>
      <c r="AH439" s="21"/>
      <c r="AI439" s="21"/>
      <c r="AJ439" s="53" t="str">
        <f>if('Ingest Template'!A439="Standard",'Ingest Template'!N439&amp; "|DAR|DAR|2021-01-01",'Ingest Template'!N439&amp; "|Operations - Core Title|Operations - Core Title")</f>
        <v>#N/A</v>
      </c>
      <c r="AK439" s="53" t="str">
        <f>if('Ingest Template'!A439="Standard",'Ingest Template'!R439&amp; "|2021-01-01",'Ingest Template'!R439)</f>
        <v>#N/A</v>
      </c>
      <c r="AL439" s="21"/>
      <c r="AM439" s="21"/>
    </row>
    <row r="440">
      <c r="A440" s="21"/>
      <c r="B440" s="21" t="str">
        <f>'Ingest Template'!B440&amp;IF('Ingest Template'!A440 = "Standard", " - DAR","")</f>
        <v/>
      </c>
      <c r="C440" s="26" t="s">
        <v>109</v>
      </c>
      <c r="D440" s="29" t="str">
        <f t="array" ref="D440">CONCATENATE(INDEX(DropDown!$H$2:$H$10,MATCH(1,COUNTIF('Ingest Template'!F440,"*"&amp;DropDown!$H$2:$H$10&amp;"*"),0)),CHAR(10),'Ingest Template'!G440)</f>
        <v>#N/A</v>
      </c>
      <c r="E440" s="21" t="str">
        <f>CONCATENATE('Ingest Template'!H440,CHAR(10),'Ingest Template'!I440,CHAR(10),'Ingest Template'!J440)</f>
        <v>
</v>
      </c>
      <c r="F440" s="26" t="str">
        <f>'Ingest Template'!H440</f>
        <v/>
      </c>
      <c r="G440" s="21"/>
      <c r="H440" s="29"/>
      <c r="I440" s="21"/>
      <c r="J440" s="29" t="str">
        <f t="array" ref="J440">iF('Ingest Template'!A440="Standard","Pristine Brand",INDEX(DropDown!$M$2:$M$392,MATCH('Ingest Template'!E440,DropDown!$J$2:$J$392,0)))</f>
        <v>#N/A</v>
      </c>
      <c r="K440" s="21" t="str">
        <f>iF('Ingest Template'!A440="Standard",'Ingest Template'!K440&amp;CHAR(10)&amp;'Ingest Template'!L440,"Competitive View")</f>
        <v>Competitive View</v>
      </c>
      <c r="L440" s="29" t="s">
        <v>146</v>
      </c>
      <c r="M440" s="37" t="str">
        <f>'Ingest Template'!D440</f>
        <v/>
      </c>
      <c r="N440" s="21"/>
      <c r="O440" s="21"/>
      <c r="P440" s="21"/>
      <c r="Q440" s="21"/>
      <c r="R440" s="21" t="str">
        <f>'Ingest Template'!E440</f>
        <v/>
      </c>
      <c r="S440" s="29" t="s">
        <v>153</v>
      </c>
      <c r="T440" s="21" t="str">
        <f>'Ingest Template'!T440</f>
        <v/>
      </c>
      <c r="U440" s="21" t="str">
        <f>'Ingest Template'!S440</f>
        <v/>
      </c>
      <c r="V440" s="21" t="str">
        <f>LOWER(SUBSTITUTE(SUBSTITUTE(SUBSTITUTE(SUBSTITUTE(SUBSTITUTE('Ingest Template'!U440,"https:",""),"www.",""),"/",""),"?hl=en",""),"instagram.com",""))</f>
        <v/>
      </c>
      <c r="W440" s="41" t="str">
        <f t="array" ref="W440">IF('Ingest Template'!V440="",(INDEX(DropDown!$L$2:$L$392,MATCH('Ingest Template'!E440,DropDown!$J$2:$J$392,0))&amp;"|"&amp;'Ingest Template'!B440),(INDEX(DropDown!$L$2:$L$392,MATCH('Ingest Template'!E440,DropDown!$J$2:$J$392,0))&amp;"|"&amp;'Ingest Template'!B440)&amp;CHAR(10)&amp;'Ingest Template'!V440)</f>
        <v>#N/A</v>
      </c>
      <c r="X440" s="41" t="str">
        <f>'Ingest Template'!W440</f>
        <v/>
      </c>
      <c r="Y440" s="21" t="str">
        <f>SUBSTITUTE(SUBSTITUTE(SUBSTITUTE('Ingest Template'!X440,"http:",""),"https:",""),"/","")</f>
        <v/>
      </c>
      <c r="Z440" s="21" t="str">
        <f t="array" ref="Z440">IF('Ingest Template'!A440="Standard",(IF(ISBLANK('Ingest Template'!AA440),"", 'Ingest Template'!AA440&amp;"|DAR")),(IF(ISBLANK('Ingest Template'!AA440),"", 'Ingest Template'!AA440&amp;"|Film Ops")))</f>
        <v/>
      </c>
      <c r="AA440" s="21"/>
      <c r="AB440" s="21" t="str">
        <f>'Ingest Template'!M440</f>
        <v/>
      </c>
      <c r="AC440" s="21" t="str">
        <f>'Ingest Template'!Y440</f>
        <v/>
      </c>
      <c r="AD440" s="21" t="str">
        <f>'Ingest Template'!C440</f>
        <v/>
      </c>
      <c r="AE440" s="21" t="str">
        <f>'Ingest Template'!Z440</f>
        <v/>
      </c>
      <c r="AF440" s="29"/>
      <c r="AG440" s="21" t="str">
        <f t="array" ref="AG440">IF('Ingest Template'!A440="Standard",(CONCATENATE(IF(ISBLANK('Ingest Template'!O440),"", 'Ingest Template'!O440&amp;"|DAR"),CHAR(10), IF(ISBLANK('Ingest Template'!P440),"", 'Ingest Template'!P440&amp;"|DAR"),CHAR(10), IF(ISBLANK('Ingest Template'!Q440),"", 'Ingest Template'!Q440&amp;"|DAR"))),(CONCATENATE(IF(ISBLANK('Ingest Template'!O440),"", 'Ingest Template'!O440&amp;"|Operations - Core Title"),CHAR(10), IF(ISBLANK('Ingest Template'!P440),"", 'Ingest Template'!P440&amp;"|Operations - Core Title"),CHAR(10), IF(ISBLANK('Ingest Template'!Q440),"", 'Ingest Template'!Q440&amp;"|Operations - Core Title"))))</f>
        <v>#|Operations - Core Title
#|Operations - Core Title
</v>
      </c>
      <c r="AH440" s="21"/>
      <c r="AI440" s="21"/>
      <c r="AJ440" s="53" t="str">
        <f>if('Ingest Template'!A440="Standard",'Ingest Template'!N440&amp; "|DAR|DAR|2021-01-01",'Ingest Template'!N440&amp; "|Operations - Core Title|Operations - Core Title")</f>
        <v>#N/A</v>
      </c>
      <c r="AK440" s="53" t="str">
        <f>if('Ingest Template'!A440="Standard",'Ingest Template'!R440&amp; "|2021-01-01",'Ingest Template'!R440)</f>
        <v>#N/A</v>
      </c>
      <c r="AL440" s="21"/>
      <c r="AM440" s="21"/>
    </row>
    <row r="441">
      <c r="A441" s="21"/>
      <c r="B441" s="21" t="str">
        <f>'Ingest Template'!B441&amp;IF('Ingest Template'!A441 = "Standard", " - DAR","")</f>
        <v/>
      </c>
      <c r="C441" s="26" t="s">
        <v>109</v>
      </c>
      <c r="D441" s="29" t="str">
        <f t="array" ref="D441">CONCATENATE(INDEX(DropDown!$H$2:$H$10,MATCH(1,COUNTIF('Ingest Template'!F441,"*"&amp;DropDown!$H$2:$H$10&amp;"*"),0)),CHAR(10),'Ingest Template'!G441)</f>
        <v>#N/A</v>
      </c>
      <c r="E441" s="21" t="str">
        <f>CONCATENATE('Ingest Template'!H441,CHAR(10),'Ingest Template'!I441,CHAR(10),'Ingest Template'!J441)</f>
        <v>
</v>
      </c>
      <c r="F441" s="26" t="str">
        <f>'Ingest Template'!H441</f>
        <v/>
      </c>
      <c r="G441" s="21"/>
      <c r="H441" s="29"/>
      <c r="I441" s="21"/>
      <c r="J441" s="29" t="str">
        <f t="array" ref="J441">iF('Ingest Template'!A441="Standard","Pristine Brand",INDEX(DropDown!$M$2:$M$392,MATCH('Ingest Template'!E441,DropDown!$J$2:$J$392,0)))</f>
        <v>#N/A</v>
      </c>
      <c r="K441" s="21" t="str">
        <f>iF('Ingest Template'!A441="Standard",'Ingest Template'!K441&amp;CHAR(10)&amp;'Ingest Template'!L441,"Competitive View")</f>
        <v>Competitive View</v>
      </c>
      <c r="L441" s="29" t="s">
        <v>146</v>
      </c>
      <c r="M441" s="37" t="str">
        <f>'Ingest Template'!D441</f>
        <v/>
      </c>
      <c r="N441" s="21"/>
      <c r="O441" s="21"/>
      <c r="P441" s="21"/>
      <c r="Q441" s="21"/>
      <c r="R441" s="21" t="str">
        <f>'Ingest Template'!E441</f>
        <v/>
      </c>
      <c r="S441" s="29" t="s">
        <v>153</v>
      </c>
      <c r="T441" s="21" t="str">
        <f>'Ingest Template'!T441</f>
        <v/>
      </c>
      <c r="U441" s="21" t="str">
        <f>'Ingest Template'!S441</f>
        <v/>
      </c>
      <c r="V441" s="21" t="str">
        <f>LOWER(SUBSTITUTE(SUBSTITUTE(SUBSTITUTE(SUBSTITUTE(SUBSTITUTE('Ingest Template'!U441,"https:",""),"www.",""),"/",""),"?hl=en",""),"instagram.com",""))</f>
        <v/>
      </c>
      <c r="W441" s="41" t="str">
        <f t="array" ref="W441">IF('Ingest Template'!V441="",(INDEX(DropDown!$L$2:$L$392,MATCH('Ingest Template'!E441,DropDown!$J$2:$J$392,0))&amp;"|"&amp;'Ingest Template'!B441),(INDEX(DropDown!$L$2:$L$392,MATCH('Ingest Template'!E441,DropDown!$J$2:$J$392,0))&amp;"|"&amp;'Ingest Template'!B441)&amp;CHAR(10)&amp;'Ingest Template'!V441)</f>
        <v>#N/A</v>
      </c>
      <c r="X441" s="41" t="str">
        <f>'Ingest Template'!W441</f>
        <v/>
      </c>
      <c r="Y441" s="21" t="str">
        <f>SUBSTITUTE(SUBSTITUTE(SUBSTITUTE('Ingest Template'!X441,"http:",""),"https:",""),"/","")</f>
        <v/>
      </c>
      <c r="Z441" s="21" t="str">
        <f t="array" ref="Z441">IF('Ingest Template'!A441="Standard",(IF(ISBLANK('Ingest Template'!AA441),"", 'Ingest Template'!AA441&amp;"|DAR")),(IF(ISBLANK('Ingest Template'!AA441),"", 'Ingest Template'!AA441&amp;"|Film Ops")))</f>
        <v/>
      </c>
      <c r="AA441" s="21"/>
      <c r="AB441" s="21" t="str">
        <f>'Ingest Template'!M441</f>
        <v/>
      </c>
      <c r="AC441" s="21" t="str">
        <f>'Ingest Template'!Y441</f>
        <v/>
      </c>
      <c r="AD441" s="21" t="str">
        <f>'Ingest Template'!C441</f>
        <v/>
      </c>
      <c r="AE441" s="21" t="str">
        <f>'Ingest Template'!Z441</f>
        <v/>
      </c>
      <c r="AF441" s="29"/>
      <c r="AG441" s="21" t="str">
        <f t="array" ref="AG441">IF('Ingest Template'!A441="Standard",(CONCATENATE(IF(ISBLANK('Ingest Template'!O441),"", 'Ingest Template'!O441&amp;"|DAR"),CHAR(10), IF(ISBLANK('Ingest Template'!P441),"", 'Ingest Template'!P441&amp;"|DAR"),CHAR(10), IF(ISBLANK('Ingest Template'!Q441),"", 'Ingest Template'!Q441&amp;"|DAR"))),(CONCATENATE(IF(ISBLANK('Ingest Template'!O441),"", 'Ingest Template'!O441&amp;"|Operations - Core Title"),CHAR(10), IF(ISBLANK('Ingest Template'!P441),"", 'Ingest Template'!P441&amp;"|Operations - Core Title"),CHAR(10), IF(ISBLANK('Ingest Template'!Q441),"", 'Ingest Template'!Q441&amp;"|Operations - Core Title"))))</f>
        <v>#|Operations - Core Title
#|Operations - Core Title
</v>
      </c>
      <c r="AH441" s="21"/>
      <c r="AI441" s="21"/>
      <c r="AJ441" s="53" t="str">
        <f>if('Ingest Template'!A441="Standard",'Ingest Template'!N441&amp; "|DAR|DAR|2021-01-01",'Ingest Template'!N441&amp; "|Operations - Core Title|Operations - Core Title")</f>
        <v>#N/A</v>
      </c>
      <c r="AK441" s="53" t="str">
        <f>if('Ingest Template'!A441="Standard",'Ingest Template'!R441&amp; "|2021-01-01",'Ingest Template'!R441)</f>
        <v>#N/A</v>
      </c>
      <c r="AL441" s="21"/>
      <c r="AM441" s="21"/>
    </row>
    <row r="442">
      <c r="A442" s="21"/>
      <c r="B442" s="21" t="str">
        <f>'Ingest Template'!B442&amp;IF('Ingest Template'!A442 = "Standard", " - DAR","")</f>
        <v/>
      </c>
      <c r="C442" s="26" t="s">
        <v>109</v>
      </c>
      <c r="D442" s="29" t="str">
        <f t="array" ref="D442">CONCATENATE(INDEX(DropDown!$H$2:$H$10,MATCH(1,COUNTIF('Ingest Template'!F442,"*"&amp;DropDown!$H$2:$H$10&amp;"*"),0)),CHAR(10),'Ingest Template'!G442)</f>
        <v>#N/A</v>
      </c>
      <c r="E442" s="21" t="str">
        <f>CONCATENATE('Ingest Template'!H442,CHAR(10),'Ingest Template'!I442,CHAR(10),'Ingest Template'!J442)</f>
        <v>
</v>
      </c>
      <c r="F442" s="26" t="str">
        <f>'Ingest Template'!H442</f>
        <v/>
      </c>
      <c r="G442" s="21"/>
      <c r="H442" s="29"/>
      <c r="I442" s="21"/>
      <c r="J442" s="29" t="str">
        <f t="array" ref="J442">iF('Ingest Template'!A442="Standard","Pristine Brand",INDEX(DropDown!$M$2:$M$392,MATCH('Ingest Template'!E442,DropDown!$J$2:$J$392,0)))</f>
        <v>#N/A</v>
      </c>
      <c r="K442" s="21" t="str">
        <f>iF('Ingest Template'!A442="Standard",'Ingest Template'!K442&amp;CHAR(10)&amp;'Ingest Template'!L442,"Competitive View")</f>
        <v>Competitive View</v>
      </c>
      <c r="L442" s="29" t="s">
        <v>146</v>
      </c>
      <c r="M442" s="37" t="str">
        <f>'Ingest Template'!D442</f>
        <v/>
      </c>
      <c r="N442" s="21"/>
      <c r="O442" s="21"/>
      <c r="P442" s="21"/>
      <c r="Q442" s="21"/>
      <c r="R442" s="21" t="str">
        <f>'Ingest Template'!E442</f>
        <v/>
      </c>
      <c r="S442" s="29" t="s">
        <v>153</v>
      </c>
      <c r="T442" s="21" t="str">
        <f>'Ingest Template'!T442</f>
        <v/>
      </c>
      <c r="U442" s="21" t="str">
        <f>'Ingest Template'!S442</f>
        <v/>
      </c>
      <c r="V442" s="21" t="str">
        <f>LOWER(SUBSTITUTE(SUBSTITUTE(SUBSTITUTE(SUBSTITUTE(SUBSTITUTE('Ingest Template'!U442,"https:",""),"www.",""),"/",""),"?hl=en",""),"instagram.com",""))</f>
        <v/>
      </c>
      <c r="W442" s="41" t="str">
        <f t="array" ref="W442">IF('Ingest Template'!V442="",(INDEX(DropDown!$L$2:$L$392,MATCH('Ingest Template'!E442,DropDown!$J$2:$J$392,0))&amp;"|"&amp;'Ingest Template'!B442),(INDEX(DropDown!$L$2:$L$392,MATCH('Ingest Template'!E442,DropDown!$J$2:$J$392,0))&amp;"|"&amp;'Ingest Template'!B442)&amp;CHAR(10)&amp;'Ingest Template'!V442)</f>
        <v>#N/A</v>
      </c>
      <c r="X442" s="41" t="str">
        <f>'Ingest Template'!W442</f>
        <v/>
      </c>
      <c r="Y442" s="21" t="str">
        <f>SUBSTITUTE(SUBSTITUTE(SUBSTITUTE('Ingest Template'!X442,"http:",""),"https:",""),"/","")</f>
        <v/>
      </c>
      <c r="Z442" s="21" t="str">
        <f t="array" ref="Z442">IF('Ingest Template'!A442="Standard",(IF(ISBLANK('Ingest Template'!AA442),"", 'Ingest Template'!AA442&amp;"|DAR")),(IF(ISBLANK('Ingest Template'!AA442),"", 'Ingest Template'!AA442&amp;"|Film Ops")))</f>
        <v/>
      </c>
      <c r="AA442" s="21"/>
      <c r="AB442" s="21" t="str">
        <f>'Ingest Template'!M442</f>
        <v/>
      </c>
      <c r="AC442" s="21" t="str">
        <f>'Ingest Template'!Y442</f>
        <v/>
      </c>
      <c r="AD442" s="21" t="str">
        <f>'Ingest Template'!C442</f>
        <v/>
      </c>
      <c r="AE442" s="21" t="str">
        <f>'Ingest Template'!Z442</f>
        <v/>
      </c>
      <c r="AF442" s="29"/>
      <c r="AG442" s="21" t="str">
        <f t="array" ref="AG442">IF('Ingest Template'!A442="Standard",(CONCATENATE(IF(ISBLANK('Ingest Template'!O442),"", 'Ingest Template'!O442&amp;"|DAR"),CHAR(10), IF(ISBLANK('Ingest Template'!P442),"", 'Ingest Template'!P442&amp;"|DAR"),CHAR(10), IF(ISBLANK('Ingest Template'!Q442),"", 'Ingest Template'!Q442&amp;"|DAR"))),(CONCATENATE(IF(ISBLANK('Ingest Template'!O442),"", 'Ingest Template'!O442&amp;"|Operations - Core Title"),CHAR(10), IF(ISBLANK('Ingest Template'!P442),"", 'Ingest Template'!P442&amp;"|Operations - Core Title"),CHAR(10), IF(ISBLANK('Ingest Template'!Q442),"", 'Ingest Template'!Q442&amp;"|Operations - Core Title"))))</f>
        <v>#|Operations - Core Title
#|Operations - Core Title
</v>
      </c>
      <c r="AH442" s="21"/>
      <c r="AI442" s="21"/>
      <c r="AJ442" s="53" t="str">
        <f>if('Ingest Template'!A442="Standard",'Ingest Template'!N442&amp; "|DAR|DAR|2021-01-01",'Ingest Template'!N442&amp; "|Operations - Core Title|Operations - Core Title")</f>
        <v>#N/A</v>
      </c>
      <c r="AK442" s="53" t="str">
        <f>if('Ingest Template'!A442="Standard",'Ingest Template'!R442&amp; "|2021-01-01",'Ingest Template'!R442)</f>
        <v>#N/A</v>
      </c>
      <c r="AL442" s="21"/>
      <c r="AM442" s="21"/>
    </row>
    <row r="443">
      <c r="A443" s="21"/>
      <c r="B443" s="21" t="str">
        <f>'Ingest Template'!B443&amp;IF('Ingest Template'!A443 = "Standard", " - DAR","")</f>
        <v/>
      </c>
      <c r="C443" s="26" t="s">
        <v>109</v>
      </c>
      <c r="D443" s="29" t="str">
        <f t="array" ref="D443">CONCATENATE(INDEX(DropDown!$H$2:$H$10,MATCH(1,COUNTIF('Ingest Template'!F443,"*"&amp;DropDown!$H$2:$H$10&amp;"*"),0)),CHAR(10),'Ingest Template'!G443)</f>
        <v>#N/A</v>
      </c>
      <c r="E443" s="21" t="str">
        <f>CONCATENATE('Ingest Template'!H443,CHAR(10),'Ingest Template'!I443,CHAR(10),'Ingest Template'!J443)</f>
        <v>
</v>
      </c>
      <c r="F443" s="26" t="str">
        <f>'Ingest Template'!H443</f>
        <v/>
      </c>
      <c r="G443" s="21"/>
      <c r="H443" s="29"/>
      <c r="I443" s="21"/>
      <c r="J443" s="29" t="str">
        <f t="array" ref="J443">iF('Ingest Template'!A443="Standard","Pristine Brand",INDEX(DropDown!$M$2:$M$392,MATCH('Ingest Template'!E443,DropDown!$J$2:$J$392,0)))</f>
        <v>#N/A</v>
      </c>
      <c r="K443" s="21" t="str">
        <f>iF('Ingest Template'!A443="Standard",'Ingest Template'!K443&amp;CHAR(10)&amp;'Ingest Template'!L443,"Competitive View")</f>
        <v>Competitive View</v>
      </c>
      <c r="L443" s="29" t="s">
        <v>146</v>
      </c>
      <c r="M443" s="37" t="str">
        <f>'Ingest Template'!D443</f>
        <v/>
      </c>
      <c r="N443" s="21"/>
      <c r="O443" s="21"/>
      <c r="P443" s="21"/>
      <c r="Q443" s="21"/>
      <c r="R443" s="21" t="str">
        <f>'Ingest Template'!E443</f>
        <v/>
      </c>
      <c r="S443" s="29" t="s">
        <v>153</v>
      </c>
      <c r="T443" s="21" t="str">
        <f>'Ingest Template'!T443</f>
        <v/>
      </c>
      <c r="U443" s="21" t="str">
        <f>'Ingest Template'!S443</f>
        <v/>
      </c>
      <c r="V443" s="21" t="str">
        <f>LOWER(SUBSTITUTE(SUBSTITUTE(SUBSTITUTE(SUBSTITUTE(SUBSTITUTE('Ingest Template'!U443,"https:",""),"www.",""),"/",""),"?hl=en",""),"instagram.com",""))</f>
        <v/>
      </c>
      <c r="W443" s="41" t="str">
        <f t="array" ref="W443">IF('Ingest Template'!V443="",(INDEX(DropDown!$L$2:$L$392,MATCH('Ingest Template'!E443,DropDown!$J$2:$J$392,0))&amp;"|"&amp;'Ingest Template'!B443),(INDEX(DropDown!$L$2:$L$392,MATCH('Ingest Template'!E443,DropDown!$J$2:$J$392,0))&amp;"|"&amp;'Ingest Template'!B443)&amp;CHAR(10)&amp;'Ingest Template'!V443)</f>
        <v>#N/A</v>
      </c>
      <c r="X443" s="41" t="str">
        <f>'Ingest Template'!W443</f>
        <v/>
      </c>
      <c r="Y443" s="21" t="str">
        <f>SUBSTITUTE(SUBSTITUTE(SUBSTITUTE('Ingest Template'!X443,"http:",""),"https:",""),"/","")</f>
        <v/>
      </c>
      <c r="Z443" s="21" t="str">
        <f t="array" ref="Z443">IF('Ingest Template'!A443="Standard",(IF(ISBLANK('Ingest Template'!AA443),"", 'Ingest Template'!AA443&amp;"|DAR")),(IF(ISBLANK('Ingest Template'!AA443),"", 'Ingest Template'!AA443&amp;"|Film Ops")))</f>
        <v/>
      </c>
      <c r="AA443" s="21"/>
      <c r="AB443" s="21" t="str">
        <f>'Ingest Template'!M443</f>
        <v/>
      </c>
      <c r="AC443" s="21" t="str">
        <f>'Ingest Template'!Y443</f>
        <v/>
      </c>
      <c r="AD443" s="21" t="str">
        <f>'Ingest Template'!C443</f>
        <v/>
      </c>
      <c r="AE443" s="21" t="str">
        <f>'Ingest Template'!Z443</f>
        <v/>
      </c>
      <c r="AF443" s="29"/>
      <c r="AG443" s="21" t="str">
        <f t="array" ref="AG443">IF('Ingest Template'!A443="Standard",(CONCATENATE(IF(ISBLANK('Ingest Template'!O443),"", 'Ingest Template'!O443&amp;"|DAR"),CHAR(10), IF(ISBLANK('Ingest Template'!P443),"", 'Ingest Template'!P443&amp;"|DAR"),CHAR(10), IF(ISBLANK('Ingest Template'!Q443),"", 'Ingest Template'!Q443&amp;"|DAR"))),(CONCATENATE(IF(ISBLANK('Ingest Template'!O443),"", 'Ingest Template'!O443&amp;"|Operations - Core Title"),CHAR(10), IF(ISBLANK('Ingest Template'!P443),"", 'Ingest Template'!P443&amp;"|Operations - Core Title"),CHAR(10), IF(ISBLANK('Ingest Template'!Q443),"", 'Ingest Template'!Q443&amp;"|Operations - Core Title"))))</f>
        <v>#|Operations - Core Title
#|Operations - Core Title
</v>
      </c>
      <c r="AH443" s="21"/>
      <c r="AI443" s="21"/>
      <c r="AJ443" s="53" t="str">
        <f>if('Ingest Template'!A443="Standard",'Ingest Template'!N443&amp; "|DAR|DAR|2021-01-01",'Ingest Template'!N443&amp; "|Operations - Core Title|Operations - Core Title")</f>
        <v>#N/A</v>
      </c>
      <c r="AK443" s="53" t="str">
        <f>if('Ingest Template'!A443="Standard",'Ingest Template'!R443&amp; "|2021-01-01",'Ingest Template'!R443)</f>
        <v>#N/A</v>
      </c>
      <c r="AL443" s="21"/>
      <c r="AM443" s="21"/>
    </row>
    <row r="444">
      <c r="A444" s="21"/>
      <c r="B444" s="21" t="str">
        <f>'Ingest Template'!B444&amp;IF('Ingest Template'!A444 = "Standard", " - DAR","")</f>
        <v/>
      </c>
      <c r="C444" s="26" t="s">
        <v>109</v>
      </c>
      <c r="D444" s="29" t="str">
        <f t="array" ref="D444">CONCATENATE(INDEX(DropDown!$H$2:$H$10,MATCH(1,COUNTIF('Ingest Template'!F444,"*"&amp;DropDown!$H$2:$H$10&amp;"*"),0)),CHAR(10),'Ingest Template'!G444)</f>
        <v>#N/A</v>
      </c>
      <c r="E444" s="21" t="str">
        <f>CONCATENATE('Ingest Template'!H444,CHAR(10),'Ingest Template'!I444,CHAR(10),'Ingest Template'!J444)</f>
        <v>
</v>
      </c>
      <c r="F444" s="26" t="str">
        <f>'Ingest Template'!H444</f>
        <v/>
      </c>
      <c r="G444" s="21"/>
      <c r="H444" s="29"/>
      <c r="I444" s="21"/>
      <c r="J444" s="29" t="str">
        <f t="array" ref="J444">iF('Ingest Template'!A444="Standard","Pristine Brand",INDEX(DropDown!$M$2:$M$392,MATCH('Ingest Template'!E444,DropDown!$J$2:$J$392,0)))</f>
        <v>#N/A</v>
      </c>
      <c r="K444" s="21" t="str">
        <f>iF('Ingest Template'!A444="Standard",'Ingest Template'!K444&amp;CHAR(10)&amp;'Ingest Template'!L444,"Competitive View")</f>
        <v>Competitive View</v>
      </c>
      <c r="L444" s="29" t="s">
        <v>146</v>
      </c>
      <c r="M444" s="37" t="str">
        <f>'Ingest Template'!D444</f>
        <v/>
      </c>
      <c r="N444" s="21"/>
      <c r="O444" s="21"/>
      <c r="P444" s="21"/>
      <c r="Q444" s="21"/>
      <c r="R444" s="21" t="str">
        <f>'Ingest Template'!E444</f>
        <v/>
      </c>
      <c r="S444" s="29" t="s">
        <v>153</v>
      </c>
      <c r="T444" s="21" t="str">
        <f>'Ingest Template'!T444</f>
        <v/>
      </c>
      <c r="U444" s="21" t="str">
        <f>'Ingest Template'!S444</f>
        <v/>
      </c>
      <c r="V444" s="21" t="str">
        <f>LOWER(SUBSTITUTE(SUBSTITUTE(SUBSTITUTE(SUBSTITUTE(SUBSTITUTE('Ingest Template'!U444,"https:",""),"www.",""),"/",""),"?hl=en",""),"instagram.com",""))</f>
        <v/>
      </c>
      <c r="W444" s="41" t="str">
        <f t="array" ref="W444">IF('Ingest Template'!V444="",(INDEX(DropDown!$L$2:$L$392,MATCH('Ingest Template'!E444,DropDown!$J$2:$J$392,0))&amp;"|"&amp;'Ingest Template'!B444),(INDEX(DropDown!$L$2:$L$392,MATCH('Ingest Template'!E444,DropDown!$J$2:$J$392,0))&amp;"|"&amp;'Ingest Template'!B444)&amp;CHAR(10)&amp;'Ingest Template'!V444)</f>
        <v>#N/A</v>
      </c>
      <c r="X444" s="41" t="str">
        <f>'Ingest Template'!W444</f>
        <v/>
      </c>
      <c r="Y444" s="21" t="str">
        <f>SUBSTITUTE(SUBSTITUTE(SUBSTITUTE('Ingest Template'!X444,"http:",""),"https:",""),"/","")</f>
        <v/>
      </c>
      <c r="Z444" s="21" t="str">
        <f t="array" ref="Z444">IF('Ingest Template'!A444="Standard",(IF(ISBLANK('Ingest Template'!AA444),"", 'Ingest Template'!AA444&amp;"|DAR")),(IF(ISBLANK('Ingest Template'!AA444),"", 'Ingest Template'!AA444&amp;"|Film Ops")))</f>
        <v/>
      </c>
      <c r="AA444" s="21"/>
      <c r="AB444" s="21" t="str">
        <f>'Ingest Template'!M444</f>
        <v/>
      </c>
      <c r="AC444" s="21" t="str">
        <f>'Ingest Template'!Y444</f>
        <v/>
      </c>
      <c r="AD444" s="21" t="str">
        <f>'Ingest Template'!C444</f>
        <v/>
      </c>
      <c r="AE444" s="21" t="str">
        <f>'Ingest Template'!Z444</f>
        <v/>
      </c>
      <c r="AF444" s="29"/>
      <c r="AG444" s="21" t="str">
        <f t="array" ref="AG444">IF('Ingest Template'!A444="Standard",(CONCATENATE(IF(ISBLANK('Ingest Template'!O444),"", 'Ingest Template'!O444&amp;"|DAR"),CHAR(10), IF(ISBLANK('Ingest Template'!P444),"", 'Ingest Template'!P444&amp;"|DAR"),CHAR(10), IF(ISBLANK('Ingest Template'!Q444),"", 'Ingest Template'!Q444&amp;"|DAR"))),(CONCATENATE(IF(ISBLANK('Ingest Template'!O444),"", 'Ingest Template'!O444&amp;"|Operations - Core Title"),CHAR(10), IF(ISBLANK('Ingest Template'!P444),"", 'Ingest Template'!P444&amp;"|Operations - Core Title"),CHAR(10), IF(ISBLANK('Ingest Template'!Q444),"", 'Ingest Template'!Q444&amp;"|Operations - Core Title"))))</f>
        <v>#|Operations - Core Title
#|Operations - Core Title
</v>
      </c>
      <c r="AH444" s="21"/>
      <c r="AI444" s="21"/>
      <c r="AJ444" s="53" t="str">
        <f>if('Ingest Template'!A444="Standard",'Ingest Template'!N444&amp; "|DAR|DAR|2021-01-01",'Ingest Template'!N444&amp; "|Operations - Core Title|Operations - Core Title")</f>
        <v>#N/A</v>
      </c>
      <c r="AK444" s="53" t="str">
        <f>if('Ingest Template'!A444="Standard",'Ingest Template'!R444&amp; "|2021-01-01",'Ingest Template'!R444)</f>
        <v>#N/A</v>
      </c>
      <c r="AL444" s="21"/>
      <c r="AM444" s="21"/>
    </row>
    <row r="445">
      <c r="A445" s="21"/>
      <c r="B445" s="21" t="str">
        <f>'Ingest Template'!B445&amp;IF('Ingest Template'!A445 = "Standard", " - DAR","")</f>
        <v/>
      </c>
      <c r="C445" s="26" t="s">
        <v>109</v>
      </c>
      <c r="D445" s="29" t="str">
        <f t="array" ref="D445">CONCATENATE(INDEX(DropDown!$H$2:$H$10,MATCH(1,COUNTIF('Ingest Template'!F445,"*"&amp;DropDown!$H$2:$H$10&amp;"*"),0)),CHAR(10),'Ingest Template'!G445)</f>
        <v>#N/A</v>
      </c>
      <c r="E445" s="21" t="str">
        <f>CONCATENATE('Ingest Template'!H445,CHAR(10),'Ingest Template'!I445,CHAR(10),'Ingest Template'!J445)</f>
        <v>
</v>
      </c>
      <c r="F445" s="26" t="str">
        <f>'Ingest Template'!H445</f>
        <v/>
      </c>
      <c r="G445" s="21"/>
      <c r="H445" s="29"/>
      <c r="I445" s="21"/>
      <c r="J445" s="29" t="str">
        <f t="array" ref="J445">iF('Ingest Template'!A445="Standard","Pristine Brand",INDEX(DropDown!$M$2:$M$392,MATCH('Ingest Template'!E445,DropDown!$J$2:$J$392,0)))</f>
        <v>#N/A</v>
      </c>
      <c r="K445" s="21" t="str">
        <f>iF('Ingest Template'!A445="Standard",'Ingest Template'!K445&amp;CHAR(10)&amp;'Ingest Template'!L445,"Competitive View")</f>
        <v>Competitive View</v>
      </c>
      <c r="L445" s="29" t="s">
        <v>146</v>
      </c>
      <c r="M445" s="37" t="str">
        <f>'Ingest Template'!D445</f>
        <v/>
      </c>
      <c r="N445" s="21"/>
      <c r="O445" s="21"/>
      <c r="P445" s="21"/>
      <c r="Q445" s="21"/>
      <c r="R445" s="21" t="str">
        <f>'Ingest Template'!E445</f>
        <v/>
      </c>
      <c r="S445" s="29" t="s">
        <v>153</v>
      </c>
      <c r="T445" s="21" t="str">
        <f>'Ingest Template'!T445</f>
        <v/>
      </c>
      <c r="U445" s="21" t="str">
        <f>'Ingest Template'!S445</f>
        <v/>
      </c>
      <c r="V445" s="21" t="str">
        <f>LOWER(SUBSTITUTE(SUBSTITUTE(SUBSTITUTE(SUBSTITUTE(SUBSTITUTE('Ingest Template'!U445,"https:",""),"www.",""),"/",""),"?hl=en",""),"instagram.com",""))</f>
        <v/>
      </c>
      <c r="W445" s="41" t="str">
        <f t="array" ref="W445">IF('Ingest Template'!V445="",(INDEX(DropDown!$L$2:$L$392,MATCH('Ingest Template'!E445,DropDown!$J$2:$J$392,0))&amp;"|"&amp;'Ingest Template'!B445),(INDEX(DropDown!$L$2:$L$392,MATCH('Ingest Template'!E445,DropDown!$J$2:$J$392,0))&amp;"|"&amp;'Ingest Template'!B445)&amp;CHAR(10)&amp;'Ingest Template'!V445)</f>
        <v>#N/A</v>
      </c>
      <c r="X445" s="41" t="str">
        <f>'Ingest Template'!W445</f>
        <v/>
      </c>
      <c r="Y445" s="21" t="str">
        <f>SUBSTITUTE(SUBSTITUTE(SUBSTITUTE('Ingest Template'!X445,"http:",""),"https:",""),"/","")</f>
        <v/>
      </c>
      <c r="Z445" s="21" t="str">
        <f t="array" ref="Z445">IF('Ingest Template'!A445="Standard",(IF(ISBLANK('Ingest Template'!AA445),"", 'Ingest Template'!AA445&amp;"|DAR")),(IF(ISBLANK('Ingest Template'!AA445),"", 'Ingest Template'!AA445&amp;"|Film Ops")))</f>
        <v/>
      </c>
      <c r="AA445" s="21"/>
      <c r="AB445" s="21" t="str">
        <f>'Ingest Template'!M445</f>
        <v/>
      </c>
      <c r="AC445" s="21" t="str">
        <f>'Ingest Template'!Y445</f>
        <v/>
      </c>
      <c r="AD445" s="21" t="str">
        <f>'Ingest Template'!C445</f>
        <v/>
      </c>
      <c r="AE445" s="21" t="str">
        <f>'Ingest Template'!Z445</f>
        <v/>
      </c>
      <c r="AF445" s="29"/>
      <c r="AG445" s="21" t="str">
        <f t="array" ref="AG445">IF('Ingest Template'!A445="Standard",(CONCATENATE(IF(ISBLANK('Ingest Template'!O445),"", 'Ingest Template'!O445&amp;"|DAR"),CHAR(10), IF(ISBLANK('Ingest Template'!P445),"", 'Ingest Template'!P445&amp;"|DAR"),CHAR(10), IF(ISBLANK('Ingest Template'!Q445),"", 'Ingest Template'!Q445&amp;"|DAR"))),(CONCATENATE(IF(ISBLANK('Ingest Template'!O445),"", 'Ingest Template'!O445&amp;"|Operations - Core Title"),CHAR(10), IF(ISBLANK('Ingest Template'!P445),"", 'Ingest Template'!P445&amp;"|Operations - Core Title"),CHAR(10), IF(ISBLANK('Ingest Template'!Q445),"", 'Ingest Template'!Q445&amp;"|Operations - Core Title"))))</f>
        <v>#|Operations - Core Title
#|Operations - Core Title
</v>
      </c>
      <c r="AH445" s="21"/>
      <c r="AI445" s="21"/>
      <c r="AJ445" s="53" t="str">
        <f>if('Ingest Template'!A445="Standard",'Ingest Template'!N445&amp; "|DAR|DAR|2021-01-01",'Ingest Template'!N445&amp; "|Operations - Core Title|Operations - Core Title")</f>
        <v>#N/A</v>
      </c>
      <c r="AK445" s="53" t="str">
        <f>if('Ingest Template'!A445="Standard",'Ingest Template'!R445&amp; "|2021-01-01",'Ingest Template'!R445)</f>
        <v>#N/A</v>
      </c>
      <c r="AL445" s="21"/>
      <c r="AM445" s="21"/>
    </row>
    <row r="446">
      <c r="A446" s="21"/>
      <c r="B446" s="21" t="str">
        <f>'Ingest Template'!B446&amp;IF('Ingest Template'!A446 = "Standard", " - DAR","")</f>
        <v/>
      </c>
      <c r="C446" s="26" t="s">
        <v>109</v>
      </c>
      <c r="D446" s="29" t="str">
        <f t="array" ref="D446">CONCATENATE(INDEX(DropDown!$H$2:$H$10,MATCH(1,COUNTIF('Ingest Template'!F446,"*"&amp;DropDown!$H$2:$H$10&amp;"*"),0)),CHAR(10),'Ingest Template'!G446)</f>
        <v>#N/A</v>
      </c>
      <c r="E446" s="21" t="str">
        <f>CONCATENATE('Ingest Template'!H446,CHAR(10),'Ingest Template'!I446,CHAR(10),'Ingest Template'!J446)</f>
        <v>
</v>
      </c>
      <c r="F446" s="26" t="str">
        <f>'Ingest Template'!H446</f>
        <v/>
      </c>
      <c r="G446" s="21"/>
      <c r="H446" s="29"/>
      <c r="I446" s="21"/>
      <c r="J446" s="29" t="str">
        <f t="array" ref="J446">iF('Ingest Template'!A446="Standard","Pristine Brand",INDEX(DropDown!$M$2:$M$392,MATCH('Ingest Template'!E446,DropDown!$J$2:$J$392,0)))</f>
        <v>#N/A</v>
      </c>
      <c r="K446" s="21" t="str">
        <f>iF('Ingest Template'!A446="Standard",'Ingest Template'!K446&amp;CHAR(10)&amp;'Ingest Template'!L446,"Competitive View")</f>
        <v>Competitive View</v>
      </c>
      <c r="L446" s="29" t="s">
        <v>146</v>
      </c>
      <c r="M446" s="37" t="str">
        <f>'Ingest Template'!D446</f>
        <v/>
      </c>
      <c r="N446" s="21"/>
      <c r="O446" s="21"/>
      <c r="P446" s="21"/>
      <c r="Q446" s="21"/>
      <c r="R446" s="21" t="str">
        <f>'Ingest Template'!E446</f>
        <v/>
      </c>
      <c r="S446" s="29" t="s">
        <v>153</v>
      </c>
      <c r="T446" s="21" t="str">
        <f>'Ingest Template'!T446</f>
        <v/>
      </c>
      <c r="U446" s="21" t="str">
        <f>'Ingest Template'!S446</f>
        <v/>
      </c>
      <c r="V446" s="21" t="str">
        <f>LOWER(SUBSTITUTE(SUBSTITUTE(SUBSTITUTE(SUBSTITUTE(SUBSTITUTE('Ingest Template'!U446,"https:",""),"www.",""),"/",""),"?hl=en",""),"instagram.com",""))</f>
        <v/>
      </c>
      <c r="W446" s="41" t="str">
        <f t="array" ref="W446">IF('Ingest Template'!V446="",(INDEX(DropDown!$L$2:$L$392,MATCH('Ingest Template'!E446,DropDown!$J$2:$J$392,0))&amp;"|"&amp;'Ingest Template'!B446),(INDEX(DropDown!$L$2:$L$392,MATCH('Ingest Template'!E446,DropDown!$J$2:$J$392,0))&amp;"|"&amp;'Ingest Template'!B446)&amp;CHAR(10)&amp;'Ingest Template'!V446)</f>
        <v>#N/A</v>
      </c>
      <c r="X446" s="41" t="str">
        <f>'Ingest Template'!W446</f>
        <v/>
      </c>
      <c r="Y446" s="21" t="str">
        <f>SUBSTITUTE(SUBSTITUTE(SUBSTITUTE('Ingest Template'!X446,"http:",""),"https:",""),"/","")</f>
        <v/>
      </c>
      <c r="Z446" s="21" t="str">
        <f t="array" ref="Z446">IF('Ingest Template'!A446="Standard",(IF(ISBLANK('Ingest Template'!AA446),"", 'Ingest Template'!AA446&amp;"|DAR")),(IF(ISBLANK('Ingest Template'!AA446),"", 'Ingest Template'!AA446&amp;"|Film Ops")))</f>
        <v/>
      </c>
      <c r="AA446" s="21"/>
      <c r="AB446" s="21" t="str">
        <f>'Ingest Template'!M446</f>
        <v/>
      </c>
      <c r="AC446" s="21" t="str">
        <f>'Ingest Template'!Y446</f>
        <v/>
      </c>
      <c r="AD446" s="21" t="str">
        <f>'Ingest Template'!C446</f>
        <v/>
      </c>
      <c r="AE446" s="21" t="str">
        <f>'Ingest Template'!Z446</f>
        <v/>
      </c>
      <c r="AF446" s="29"/>
      <c r="AG446" s="21" t="str">
        <f t="array" ref="AG446">IF('Ingest Template'!A446="Standard",(CONCATENATE(IF(ISBLANK('Ingest Template'!O446),"", 'Ingest Template'!O446&amp;"|DAR"),CHAR(10), IF(ISBLANK('Ingest Template'!P446),"", 'Ingest Template'!P446&amp;"|DAR"),CHAR(10), IF(ISBLANK('Ingest Template'!Q446),"", 'Ingest Template'!Q446&amp;"|DAR"))),(CONCATENATE(IF(ISBLANK('Ingest Template'!O446),"", 'Ingest Template'!O446&amp;"|Operations - Core Title"),CHAR(10), IF(ISBLANK('Ingest Template'!P446),"", 'Ingest Template'!P446&amp;"|Operations - Core Title"),CHAR(10), IF(ISBLANK('Ingest Template'!Q446),"", 'Ingest Template'!Q446&amp;"|Operations - Core Title"))))</f>
        <v>#|Operations - Core Title
#|Operations - Core Title
</v>
      </c>
      <c r="AH446" s="21"/>
      <c r="AI446" s="21"/>
      <c r="AJ446" s="53" t="str">
        <f>if('Ingest Template'!A446="Standard",'Ingest Template'!N446&amp; "|DAR|DAR|2021-01-01",'Ingest Template'!N446&amp; "|Operations - Core Title|Operations - Core Title")</f>
        <v>#N/A</v>
      </c>
      <c r="AK446" s="53" t="str">
        <f>if('Ingest Template'!A446="Standard",'Ingest Template'!R446&amp; "|2021-01-01",'Ingest Template'!R446)</f>
        <v>#N/A</v>
      </c>
      <c r="AL446" s="21"/>
      <c r="AM446" s="21"/>
    </row>
    <row r="447">
      <c r="A447" s="21"/>
      <c r="B447" s="21" t="str">
        <f>'Ingest Template'!B447&amp;IF('Ingest Template'!A447 = "Standard", " - DAR","")</f>
        <v/>
      </c>
      <c r="C447" s="26" t="s">
        <v>109</v>
      </c>
      <c r="D447" s="29" t="str">
        <f t="array" ref="D447">CONCATENATE(INDEX(DropDown!$H$2:$H$10,MATCH(1,COUNTIF('Ingest Template'!F447,"*"&amp;DropDown!$H$2:$H$10&amp;"*"),0)),CHAR(10),'Ingest Template'!G447)</f>
        <v>#N/A</v>
      </c>
      <c r="E447" s="21" t="str">
        <f>CONCATENATE('Ingest Template'!H447,CHAR(10),'Ingest Template'!I447,CHAR(10),'Ingest Template'!J447)</f>
        <v>
</v>
      </c>
      <c r="F447" s="26" t="str">
        <f>'Ingest Template'!H447</f>
        <v/>
      </c>
      <c r="G447" s="21"/>
      <c r="H447" s="29"/>
      <c r="I447" s="21"/>
      <c r="J447" s="29" t="str">
        <f t="array" ref="J447">iF('Ingest Template'!A447="Standard","Pristine Brand",INDEX(DropDown!$M$2:$M$392,MATCH('Ingest Template'!E447,DropDown!$J$2:$J$392,0)))</f>
        <v>#N/A</v>
      </c>
      <c r="K447" s="21" t="str">
        <f>iF('Ingest Template'!A447="Standard",'Ingest Template'!K447&amp;CHAR(10)&amp;'Ingest Template'!L447,"Competitive View")</f>
        <v>Competitive View</v>
      </c>
      <c r="L447" s="29" t="s">
        <v>146</v>
      </c>
      <c r="M447" s="37" t="str">
        <f>'Ingest Template'!D447</f>
        <v/>
      </c>
      <c r="N447" s="21"/>
      <c r="O447" s="21"/>
      <c r="P447" s="21"/>
      <c r="Q447" s="21"/>
      <c r="R447" s="21" t="str">
        <f>'Ingest Template'!E447</f>
        <v/>
      </c>
      <c r="S447" s="29" t="s">
        <v>153</v>
      </c>
      <c r="T447" s="21" t="str">
        <f>'Ingest Template'!T447</f>
        <v/>
      </c>
      <c r="U447" s="21" t="str">
        <f>'Ingest Template'!S447</f>
        <v/>
      </c>
      <c r="V447" s="21" t="str">
        <f>LOWER(SUBSTITUTE(SUBSTITUTE(SUBSTITUTE(SUBSTITUTE(SUBSTITUTE('Ingest Template'!U447,"https:",""),"www.",""),"/",""),"?hl=en",""),"instagram.com",""))</f>
        <v/>
      </c>
      <c r="W447" s="41" t="str">
        <f t="array" ref="W447">IF('Ingest Template'!V447="",(INDEX(DropDown!$L$2:$L$392,MATCH('Ingest Template'!E447,DropDown!$J$2:$J$392,0))&amp;"|"&amp;'Ingest Template'!B447),(INDEX(DropDown!$L$2:$L$392,MATCH('Ingest Template'!E447,DropDown!$J$2:$J$392,0))&amp;"|"&amp;'Ingest Template'!B447)&amp;CHAR(10)&amp;'Ingest Template'!V447)</f>
        <v>#N/A</v>
      </c>
      <c r="X447" s="41" t="str">
        <f>'Ingest Template'!W447</f>
        <v/>
      </c>
      <c r="Y447" s="21" t="str">
        <f>SUBSTITUTE(SUBSTITUTE(SUBSTITUTE('Ingest Template'!X447,"http:",""),"https:",""),"/","")</f>
        <v/>
      </c>
      <c r="Z447" s="21" t="str">
        <f t="array" ref="Z447">IF('Ingest Template'!A447="Standard",(IF(ISBLANK('Ingest Template'!AA447),"", 'Ingest Template'!AA447&amp;"|DAR")),(IF(ISBLANK('Ingest Template'!AA447),"", 'Ingest Template'!AA447&amp;"|Film Ops")))</f>
        <v/>
      </c>
      <c r="AA447" s="21"/>
      <c r="AB447" s="21" t="str">
        <f>'Ingest Template'!M447</f>
        <v/>
      </c>
      <c r="AC447" s="21" t="str">
        <f>'Ingest Template'!Y447</f>
        <v/>
      </c>
      <c r="AD447" s="21" t="str">
        <f>'Ingest Template'!C447</f>
        <v/>
      </c>
      <c r="AE447" s="21" t="str">
        <f>'Ingest Template'!Z447</f>
        <v/>
      </c>
      <c r="AF447" s="29"/>
      <c r="AG447" s="21" t="str">
        <f t="array" ref="AG447">IF('Ingest Template'!A447="Standard",(CONCATENATE(IF(ISBLANK('Ingest Template'!O447),"", 'Ingest Template'!O447&amp;"|DAR"),CHAR(10), IF(ISBLANK('Ingest Template'!P447),"", 'Ingest Template'!P447&amp;"|DAR"),CHAR(10), IF(ISBLANK('Ingest Template'!Q447),"", 'Ingest Template'!Q447&amp;"|DAR"))),(CONCATENATE(IF(ISBLANK('Ingest Template'!O447),"", 'Ingest Template'!O447&amp;"|Operations - Core Title"),CHAR(10), IF(ISBLANK('Ingest Template'!P447),"", 'Ingest Template'!P447&amp;"|Operations - Core Title"),CHAR(10), IF(ISBLANK('Ingest Template'!Q447),"", 'Ingest Template'!Q447&amp;"|Operations - Core Title"))))</f>
        <v>#|Operations - Core Title
#|Operations - Core Title
</v>
      </c>
      <c r="AH447" s="21"/>
      <c r="AI447" s="21"/>
      <c r="AJ447" s="53" t="str">
        <f>if('Ingest Template'!A447="Standard",'Ingest Template'!N447&amp; "|DAR|DAR|2021-01-01",'Ingest Template'!N447&amp; "|Operations - Core Title|Operations - Core Title")</f>
        <v>#N/A</v>
      </c>
      <c r="AK447" s="53" t="str">
        <f>if('Ingest Template'!A447="Standard",'Ingest Template'!R447&amp; "|2021-01-01",'Ingest Template'!R447)</f>
        <v>#N/A</v>
      </c>
      <c r="AL447" s="21"/>
      <c r="AM447" s="21"/>
    </row>
    <row r="448">
      <c r="A448" s="21"/>
      <c r="B448" s="21" t="str">
        <f>'Ingest Template'!B448&amp;IF('Ingest Template'!A448 = "Standard", " - DAR","")</f>
        <v/>
      </c>
      <c r="C448" s="26" t="s">
        <v>109</v>
      </c>
      <c r="D448" s="29" t="str">
        <f t="array" ref="D448">CONCATENATE(INDEX(DropDown!$H$2:$H$10,MATCH(1,COUNTIF('Ingest Template'!F448,"*"&amp;DropDown!$H$2:$H$10&amp;"*"),0)),CHAR(10),'Ingest Template'!G448)</f>
        <v>#N/A</v>
      </c>
      <c r="E448" s="21" t="str">
        <f>CONCATENATE('Ingest Template'!H448,CHAR(10),'Ingest Template'!I448,CHAR(10),'Ingest Template'!J448)</f>
        <v>
</v>
      </c>
      <c r="F448" s="26" t="str">
        <f>'Ingest Template'!H448</f>
        <v/>
      </c>
      <c r="G448" s="21"/>
      <c r="H448" s="29"/>
      <c r="I448" s="21"/>
      <c r="J448" s="29" t="str">
        <f t="array" ref="J448">iF('Ingest Template'!A448="Standard","Pristine Brand",INDEX(DropDown!$M$2:$M$392,MATCH('Ingest Template'!E448,DropDown!$J$2:$J$392,0)))</f>
        <v>#N/A</v>
      </c>
      <c r="K448" s="21" t="str">
        <f>iF('Ingest Template'!A448="Standard",'Ingest Template'!K448&amp;CHAR(10)&amp;'Ingest Template'!L448,"Competitive View")</f>
        <v>Competitive View</v>
      </c>
      <c r="L448" s="29" t="s">
        <v>146</v>
      </c>
      <c r="M448" s="37" t="str">
        <f>'Ingest Template'!D448</f>
        <v/>
      </c>
      <c r="N448" s="21"/>
      <c r="O448" s="21"/>
      <c r="P448" s="21"/>
      <c r="Q448" s="21"/>
      <c r="R448" s="21" t="str">
        <f>'Ingest Template'!E448</f>
        <v/>
      </c>
      <c r="S448" s="29" t="s">
        <v>153</v>
      </c>
      <c r="T448" s="21" t="str">
        <f>'Ingest Template'!T448</f>
        <v/>
      </c>
      <c r="U448" s="21" t="str">
        <f>'Ingest Template'!S448</f>
        <v/>
      </c>
      <c r="V448" s="21" t="str">
        <f>LOWER(SUBSTITUTE(SUBSTITUTE(SUBSTITUTE(SUBSTITUTE(SUBSTITUTE('Ingest Template'!U448,"https:",""),"www.",""),"/",""),"?hl=en",""),"instagram.com",""))</f>
        <v/>
      </c>
      <c r="W448" s="41" t="str">
        <f t="array" ref="W448">IF('Ingest Template'!V448="",(INDEX(DropDown!$L$2:$L$392,MATCH('Ingest Template'!E448,DropDown!$J$2:$J$392,0))&amp;"|"&amp;'Ingest Template'!B448),(INDEX(DropDown!$L$2:$L$392,MATCH('Ingest Template'!E448,DropDown!$J$2:$J$392,0))&amp;"|"&amp;'Ingest Template'!B448)&amp;CHAR(10)&amp;'Ingest Template'!V448)</f>
        <v>#N/A</v>
      </c>
      <c r="X448" s="41" t="str">
        <f>'Ingest Template'!W448</f>
        <v/>
      </c>
      <c r="Y448" s="21" t="str">
        <f>SUBSTITUTE(SUBSTITUTE(SUBSTITUTE('Ingest Template'!X448,"http:",""),"https:",""),"/","")</f>
        <v/>
      </c>
      <c r="Z448" s="21" t="str">
        <f t="array" ref="Z448">IF('Ingest Template'!A448="Standard",(IF(ISBLANK('Ingest Template'!AA448),"", 'Ingest Template'!AA448&amp;"|DAR")),(IF(ISBLANK('Ingest Template'!AA448),"", 'Ingest Template'!AA448&amp;"|Film Ops")))</f>
        <v/>
      </c>
      <c r="AA448" s="21"/>
      <c r="AB448" s="21" t="str">
        <f>'Ingest Template'!M448</f>
        <v/>
      </c>
      <c r="AC448" s="21" t="str">
        <f>'Ingest Template'!Y448</f>
        <v/>
      </c>
      <c r="AD448" s="21" t="str">
        <f>'Ingest Template'!C448</f>
        <v/>
      </c>
      <c r="AE448" s="21" t="str">
        <f>'Ingest Template'!Z448</f>
        <v/>
      </c>
      <c r="AF448" s="29"/>
      <c r="AG448" s="21" t="str">
        <f t="array" ref="AG448">IF('Ingest Template'!A448="Standard",(CONCATENATE(IF(ISBLANK('Ingest Template'!O448),"", 'Ingest Template'!O448&amp;"|DAR"),CHAR(10), IF(ISBLANK('Ingest Template'!P448),"", 'Ingest Template'!P448&amp;"|DAR"),CHAR(10), IF(ISBLANK('Ingest Template'!Q448),"", 'Ingest Template'!Q448&amp;"|DAR"))),(CONCATENATE(IF(ISBLANK('Ingest Template'!O448),"", 'Ingest Template'!O448&amp;"|Operations - Core Title"),CHAR(10), IF(ISBLANK('Ingest Template'!P448),"", 'Ingest Template'!P448&amp;"|Operations - Core Title"),CHAR(10), IF(ISBLANK('Ingest Template'!Q448),"", 'Ingest Template'!Q448&amp;"|Operations - Core Title"))))</f>
        <v>#|Operations - Core Title
#|Operations - Core Title
</v>
      </c>
      <c r="AH448" s="21"/>
      <c r="AI448" s="21"/>
      <c r="AJ448" s="53" t="str">
        <f>if('Ingest Template'!A448="Standard",'Ingest Template'!N448&amp; "|DAR|DAR|2021-01-01",'Ingest Template'!N448&amp; "|Operations - Core Title|Operations - Core Title")</f>
        <v>#N/A</v>
      </c>
      <c r="AK448" s="53" t="str">
        <f>if('Ingest Template'!A448="Standard",'Ingest Template'!R448&amp; "|2021-01-01",'Ingest Template'!R448)</f>
        <v>#N/A</v>
      </c>
      <c r="AL448" s="21"/>
      <c r="AM448" s="21"/>
    </row>
    <row r="449">
      <c r="A449" s="21"/>
      <c r="B449" s="21" t="str">
        <f>'Ingest Template'!B449&amp;IF('Ingest Template'!A449 = "Standard", " - DAR","")</f>
        <v/>
      </c>
      <c r="C449" s="26" t="s">
        <v>109</v>
      </c>
      <c r="D449" s="29" t="str">
        <f t="array" ref="D449">CONCATENATE(INDEX(DropDown!$H$2:$H$10,MATCH(1,COUNTIF('Ingest Template'!F449,"*"&amp;DropDown!$H$2:$H$10&amp;"*"),0)),CHAR(10),'Ingest Template'!G449)</f>
        <v>#N/A</v>
      </c>
      <c r="E449" s="21" t="str">
        <f>CONCATENATE('Ingest Template'!H449,CHAR(10),'Ingest Template'!I449,CHAR(10),'Ingest Template'!J449)</f>
        <v>
</v>
      </c>
      <c r="F449" s="26" t="str">
        <f>'Ingest Template'!H449</f>
        <v/>
      </c>
      <c r="G449" s="21"/>
      <c r="H449" s="29"/>
      <c r="I449" s="21"/>
      <c r="J449" s="29" t="str">
        <f t="array" ref="J449">iF('Ingest Template'!A449="Standard","Pristine Brand",INDEX(DropDown!$M$2:$M$392,MATCH('Ingest Template'!E449,DropDown!$J$2:$J$392,0)))</f>
        <v>#N/A</v>
      </c>
      <c r="K449" s="21" t="str">
        <f>iF('Ingest Template'!A449="Standard",'Ingest Template'!K449&amp;CHAR(10)&amp;'Ingest Template'!L449,"Competitive View")</f>
        <v>Competitive View</v>
      </c>
      <c r="L449" s="29" t="s">
        <v>146</v>
      </c>
      <c r="M449" s="37" t="str">
        <f>'Ingest Template'!D449</f>
        <v/>
      </c>
      <c r="N449" s="21"/>
      <c r="O449" s="21"/>
      <c r="P449" s="21"/>
      <c r="Q449" s="21"/>
      <c r="R449" s="21" t="str">
        <f>'Ingest Template'!E449</f>
        <v/>
      </c>
      <c r="S449" s="29" t="s">
        <v>153</v>
      </c>
      <c r="T449" s="21" t="str">
        <f>'Ingest Template'!T449</f>
        <v/>
      </c>
      <c r="U449" s="21" t="str">
        <f>'Ingest Template'!S449</f>
        <v/>
      </c>
      <c r="V449" s="21" t="str">
        <f>LOWER(SUBSTITUTE(SUBSTITUTE(SUBSTITUTE(SUBSTITUTE(SUBSTITUTE('Ingest Template'!U449,"https:",""),"www.",""),"/",""),"?hl=en",""),"instagram.com",""))</f>
        <v/>
      </c>
      <c r="W449" s="41" t="str">
        <f t="array" ref="W449">IF('Ingest Template'!V449="",(INDEX(DropDown!$L$2:$L$392,MATCH('Ingest Template'!E449,DropDown!$J$2:$J$392,0))&amp;"|"&amp;'Ingest Template'!B449),(INDEX(DropDown!$L$2:$L$392,MATCH('Ingest Template'!E449,DropDown!$J$2:$J$392,0))&amp;"|"&amp;'Ingest Template'!B449)&amp;CHAR(10)&amp;'Ingest Template'!V449)</f>
        <v>#N/A</v>
      </c>
      <c r="X449" s="41" t="str">
        <f>'Ingest Template'!W449</f>
        <v/>
      </c>
      <c r="Y449" s="21" t="str">
        <f>SUBSTITUTE(SUBSTITUTE(SUBSTITUTE('Ingest Template'!X449,"http:",""),"https:",""),"/","")</f>
        <v/>
      </c>
      <c r="Z449" s="21" t="str">
        <f t="array" ref="Z449">IF('Ingest Template'!A449="Standard",(IF(ISBLANK('Ingest Template'!AA449),"", 'Ingest Template'!AA449&amp;"|DAR")),(IF(ISBLANK('Ingest Template'!AA449),"", 'Ingest Template'!AA449&amp;"|Film Ops")))</f>
        <v/>
      </c>
      <c r="AA449" s="21"/>
      <c r="AB449" s="21" t="str">
        <f>'Ingest Template'!M449</f>
        <v/>
      </c>
      <c r="AC449" s="21" t="str">
        <f>'Ingest Template'!Y449</f>
        <v/>
      </c>
      <c r="AD449" s="21" t="str">
        <f>'Ingest Template'!C449</f>
        <v/>
      </c>
      <c r="AE449" s="21" t="str">
        <f>'Ingest Template'!Z449</f>
        <v/>
      </c>
      <c r="AF449" s="29"/>
      <c r="AG449" s="21" t="str">
        <f t="array" ref="AG449">IF('Ingest Template'!A449="Standard",(CONCATENATE(IF(ISBLANK('Ingest Template'!O449),"", 'Ingest Template'!O449&amp;"|DAR"),CHAR(10), IF(ISBLANK('Ingest Template'!P449),"", 'Ingest Template'!P449&amp;"|DAR"),CHAR(10), IF(ISBLANK('Ingest Template'!Q449),"", 'Ingest Template'!Q449&amp;"|DAR"))),(CONCATENATE(IF(ISBLANK('Ingest Template'!O449),"", 'Ingest Template'!O449&amp;"|Operations - Core Title"),CHAR(10), IF(ISBLANK('Ingest Template'!P449),"", 'Ingest Template'!P449&amp;"|Operations - Core Title"),CHAR(10), IF(ISBLANK('Ingest Template'!Q449),"", 'Ingest Template'!Q449&amp;"|Operations - Core Title"))))</f>
        <v>#|Operations - Core Title
#|Operations - Core Title
</v>
      </c>
      <c r="AH449" s="21"/>
      <c r="AI449" s="21"/>
      <c r="AJ449" s="53" t="str">
        <f>if('Ingest Template'!A449="Standard",'Ingest Template'!N449&amp; "|DAR|DAR|2021-01-01",'Ingest Template'!N449&amp; "|Operations - Core Title|Operations - Core Title")</f>
        <v>#N/A</v>
      </c>
      <c r="AK449" s="53" t="str">
        <f>if('Ingest Template'!A449="Standard",'Ingest Template'!R449&amp; "|2021-01-01",'Ingest Template'!R449)</f>
        <v>#N/A</v>
      </c>
      <c r="AL449" s="21"/>
      <c r="AM449" s="21"/>
    </row>
    <row r="450">
      <c r="A450" s="21"/>
      <c r="B450" s="21" t="str">
        <f>'Ingest Template'!B450&amp;IF('Ingest Template'!A450 = "Standard", " - DAR","")</f>
        <v/>
      </c>
      <c r="C450" s="26" t="s">
        <v>109</v>
      </c>
      <c r="D450" s="29" t="str">
        <f t="array" ref="D450">CONCATENATE(INDEX(DropDown!$H$2:$H$10,MATCH(1,COUNTIF('Ingest Template'!F450,"*"&amp;DropDown!$H$2:$H$10&amp;"*"),0)),CHAR(10),'Ingest Template'!G450)</f>
        <v>#N/A</v>
      </c>
      <c r="E450" s="21" t="str">
        <f>CONCATENATE('Ingest Template'!H450,CHAR(10),'Ingest Template'!I450,CHAR(10),'Ingest Template'!J450)</f>
        <v>
</v>
      </c>
      <c r="F450" s="26" t="str">
        <f>'Ingest Template'!H450</f>
        <v/>
      </c>
      <c r="G450" s="21"/>
      <c r="H450" s="29"/>
      <c r="I450" s="21"/>
      <c r="J450" s="29" t="str">
        <f t="array" ref="J450">iF('Ingest Template'!A450="Standard","Pristine Brand",INDEX(DropDown!$M$2:$M$392,MATCH('Ingest Template'!E450,DropDown!$J$2:$J$392,0)))</f>
        <v>#N/A</v>
      </c>
      <c r="K450" s="21" t="str">
        <f>iF('Ingest Template'!A450="Standard",'Ingest Template'!K450&amp;CHAR(10)&amp;'Ingest Template'!L450,"Competitive View")</f>
        <v>Competitive View</v>
      </c>
      <c r="L450" s="29" t="s">
        <v>146</v>
      </c>
      <c r="M450" s="37" t="str">
        <f>'Ingest Template'!D450</f>
        <v/>
      </c>
      <c r="N450" s="21"/>
      <c r="O450" s="21"/>
      <c r="P450" s="21"/>
      <c r="Q450" s="21"/>
      <c r="R450" s="21" t="str">
        <f>'Ingest Template'!E450</f>
        <v/>
      </c>
      <c r="S450" s="29" t="s">
        <v>153</v>
      </c>
      <c r="T450" s="21" t="str">
        <f>'Ingest Template'!T450</f>
        <v/>
      </c>
      <c r="U450" s="21" t="str">
        <f>'Ingest Template'!S450</f>
        <v/>
      </c>
      <c r="V450" s="21" t="str">
        <f>LOWER(SUBSTITUTE(SUBSTITUTE(SUBSTITUTE(SUBSTITUTE(SUBSTITUTE('Ingest Template'!U450,"https:",""),"www.",""),"/",""),"?hl=en",""),"instagram.com",""))</f>
        <v/>
      </c>
      <c r="W450" s="41" t="str">
        <f t="array" ref="W450">IF('Ingest Template'!V450="",(INDEX(DropDown!$L$2:$L$392,MATCH('Ingest Template'!E450,DropDown!$J$2:$J$392,0))&amp;"|"&amp;'Ingest Template'!B450),(INDEX(DropDown!$L$2:$L$392,MATCH('Ingest Template'!E450,DropDown!$J$2:$J$392,0))&amp;"|"&amp;'Ingest Template'!B450)&amp;CHAR(10)&amp;'Ingest Template'!V450)</f>
        <v>#N/A</v>
      </c>
      <c r="X450" s="41" t="str">
        <f>'Ingest Template'!W450</f>
        <v/>
      </c>
      <c r="Y450" s="21" t="str">
        <f>SUBSTITUTE(SUBSTITUTE(SUBSTITUTE('Ingest Template'!X450,"http:",""),"https:",""),"/","")</f>
        <v/>
      </c>
      <c r="Z450" s="21" t="str">
        <f t="array" ref="Z450">IF('Ingest Template'!A450="Standard",(IF(ISBLANK('Ingest Template'!AA450),"", 'Ingest Template'!AA450&amp;"|DAR")),(IF(ISBLANK('Ingest Template'!AA450),"", 'Ingest Template'!AA450&amp;"|Film Ops")))</f>
        <v/>
      </c>
      <c r="AA450" s="21"/>
      <c r="AB450" s="21" t="str">
        <f>'Ingest Template'!M450</f>
        <v/>
      </c>
      <c r="AC450" s="21" t="str">
        <f>'Ingest Template'!Y450</f>
        <v/>
      </c>
      <c r="AD450" s="21" t="str">
        <f>'Ingest Template'!C450</f>
        <v/>
      </c>
      <c r="AE450" s="21" t="str">
        <f>'Ingest Template'!Z450</f>
        <v/>
      </c>
      <c r="AF450" s="29"/>
      <c r="AG450" s="21" t="str">
        <f t="array" ref="AG450">IF('Ingest Template'!A450="Standard",(CONCATENATE(IF(ISBLANK('Ingest Template'!O450),"", 'Ingest Template'!O450&amp;"|DAR"),CHAR(10), IF(ISBLANK('Ingest Template'!P450),"", 'Ingest Template'!P450&amp;"|DAR"),CHAR(10), IF(ISBLANK('Ingest Template'!Q450),"", 'Ingest Template'!Q450&amp;"|DAR"))),(CONCATENATE(IF(ISBLANK('Ingest Template'!O450),"", 'Ingest Template'!O450&amp;"|Operations - Core Title"),CHAR(10), IF(ISBLANK('Ingest Template'!P450),"", 'Ingest Template'!P450&amp;"|Operations - Core Title"),CHAR(10), IF(ISBLANK('Ingest Template'!Q450),"", 'Ingest Template'!Q450&amp;"|Operations - Core Title"))))</f>
        <v>#|Operations - Core Title
#|Operations - Core Title
</v>
      </c>
      <c r="AH450" s="21"/>
      <c r="AI450" s="21"/>
      <c r="AJ450" s="53" t="str">
        <f>if('Ingest Template'!A450="Standard",'Ingest Template'!N450&amp; "|DAR|DAR|2021-01-01",'Ingest Template'!N450&amp; "|Operations - Core Title|Operations - Core Title")</f>
        <v>#N/A</v>
      </c>
      <c r="AK450" s="53" t="str">
        <f>if('Ingest Template'!A450="Standard",'Ingest Template'!R450&amp; "|2021-01-01",'Ingest Template'!R450)</f>
        <v>#N/A</v>
      </c>
      <c r="AL450" s="21"/>
      <c r="AM450" s="21"/>
    </row>
    <row r="451">
      <c r="A451" s="21"/>
      <c r="B451" s="21" t="str">
        <f>'Ingest Template'!B451&amp;IF('Ingest Template'!A451 = "Standard", " - DAR","")</f>
        <v/>
      </c>
      <c r="C451" s="26" t="s">
        <v>109</v>
      </c>
      <c r="D451" s="29" t="str">
        <f t="array" ref="D451">CONCATENATE(INDEX(DropDown!$H$2:$H$10,MATCH(1,COUNTIF('Ingest Template'!F451,"*"&amp;DropDown!$H$2:$H$10&amp;"*"),0)),CHAR(10),'Ingest Template'!G451)</f>
        <v>#N/A</v>
      </c>
      <c r="E451" s="21" t="str">
        <f>CONCATENATE('Ingest Template'!H451,CHAR(10),'Ingest Template'!I451,CHAR(10),'Ingest Template'!J451)</f>
        <v>
</v>
      </c>
      <c r="F451" s="26" t="str">
        <f>'Ingest Template'!H451</f>
        <v/>
      </c>
      <c r="G451" s="21"/>
      <c r="H451" s="29"/>
      <c r="I451" s="21"/>
      <c r="J451" s="29" t="str">
        <f t="array" ref="J451">iF('Ingest Template'!A451="Standard","Pristine Brand",INDEX(DropDown!$M$2:$M$392,MATCH('Ingest Template'!E451,DropDown!$J$2:$J$392,0)))</f>
        <v>#N/A</v>
      </c>
      <c r="K451" s="21" t="str">
        <f>iF('Ingest Template'!A451="Standard",'Ingest Template'!K451&amp;CHAR(10)&amp;'Ingest Template'!L451,"Competitive View")</f>
        <v>Competitive View</v>
      </c>
      <c r="L451" s="29" t="s">
        <v>146</v>
      </c>
      <c r="M451" s="37" t="str">
        <f>'Ingest Template'!D451</f>
        <v/>
      </c>
      <c r="N451" s="21"/>
      <c r="O451" s="21"/>
      <c r="P451" s="21"/>
      <c r="Q451" s="21"/>
      <c r="R451" s="21" t="str">
        <f>'Ingest Template'!E451</f>
        <v/>
      </c>
      <c r="S451" s="29" t="s">
        <v>153</v>
      </c>
      <c r="T451" s="21" t="str">
        <f>'Ingest Template'!T451</f>
        <v/>
      </c>
      <c r="U451" s="21" t="str">
        <f>'Ingest Template'!S451</f>
        <v/>
      </c>
      <c r="V451" s="21" t="str">
        <f>LOWER(SUBSTITUTE(SUBSTITUTE(SUBSTITUTE(SUBSTITUTE(SUBSTITUTE('Ingest Template'!U451,"https:",""),"www.",""),"/",""),"?hl=en",""),"instagram.com",""))</f>
        <v/>
      </c>
      <c r="W451" s="41" t="str">
        <f t="array" ref="W451">IF('Ingest Template'!V451="",(INDEX(DropDown!$L$2:$L$392,MATCH('Ingest Template'!E451,DropDown!$J$2:$J$392,0))&amp;"|"&amp;'Ingest Template'!B451),(INDEX(DropDown!$L$2:$L$392,MATCH('Ingest Template'!E451,DropDown!$J$2:$J$392,0))&amp;"|"&amp;'Ingest Template'!B451)&amp;CHAR(10)&amp;'Ingest Template'!V451)</f>
        <v>#N/A</v>
      </c>
      <c r="X451" s="41" t="str">
        <f>'Ingest Template'!W451</f>
        <v/>
      </c>
      <c r="Y451" s="21" t="str">
        <f>SUBSTITUTE(SUBSTITUTE(SUBSTITUTE('Ingest Template'!X451,"http:",""),"https:",""),"/","")</f>
        <v/>
      </c>
      <c r="Z451" s="21" t="str">
        <f t="array" ref="Z451">IF('Ingest Template'!A451="Standard",(IF(ISBLANK('Ingest Template'!AA451),"", 'Ingest Template'!AA451&amp;"|DAR")),(IF(ISBLANK('Ingest Template'!AA451),"", 'Ingest Template'!AA451&amp;"|Film Ops")))</f>
        <v/>
      </c>
      <c r="AA451" s="21"/>
      <c r="AB451" s="21" t="str">
        <f>'Ingest Template'!M451</f>
        <v/>
      </c>
      <c r="AC451" s="21" t="str">
        <f>'Ingest Template'!Y451</f>
        <v/>
      </c>
      <c r="AD451" s="21" t="str">
        <f>'Ingest Template'!C451</f>
        <v/>
      </c>
      <c r="AE451" s="21" t="str">
        <f>'Ingest Template'!Z451</f>
        <v/>
      </c>
      <c r="AF451" s="29"/>
      <c r="AG451" s="21" t="str">
        <f t="array" ref="AG451">IF('Ingest Template'!A451="Standard",(CONCATENATE(IF(ISBLANK('Ingest Template'!O451),"", 'Ingest Template'!O451&amp;"|DAR"),CHAR(10), IF(ISBLANK('Ingest Template'!P451),"", 'Ingest Template'!P451&amp;"|DAR"),CHAR(10), IF(ISBLANK('Ingest Template'!Q451),"", 'Ingest Template'!Q451&amp;"|DAR"))),(CONCATENATE(IF(ISBLANK('Ingest Template'!O451),"", 'Ingest Template'!O451&amp;"|Operations - Core Title"),CHAR(10), IF(ISBLANK('Ingest Template'!P451),"", 'Ingest Template'!P451&amp;"|Operations - Core Title"),CHAR(10), IF(ISBLANK('Ingest Template'!Q451),"", 'Ingest Template'!Q451&amp;"|Operations - Core Title"))))</f>
        <v>#|Operations - Core Title
#|Operations - Core Title
</v>
      </c>
      <c r="AH451" s="21"/>
      <c r="AI451" s="21"/>
      <c r="AJ451" s="53" t="str">
        <f>if('Ingest Template'!A451="Standard",'Ingest Template'!N451&amp; "|DAR|DAR|2021-01-01",'Ingest Template'!N451&amp; "|Operations - Core Title|Operations - Core Title")</f>
        <v>#N/A</v>
      </c>
      <c r="AK451" s="53" t="str">
        <f>if('Ingest Template'!A451="Standard",'Ingest Template'!R451&amp; "|2021-01-01",'Ingest Template'!R451)</f>
        <v>#N/A</v>
      </c>
      <c r="AL451" s="21"/>
      <c r="AM451" s="21"/>
    </row>
    <row r="452">
      <c r="A452" s="21"/>
      <c r="B452" s="21" t="str">
        <f>'Ingest Template'!B452&amp;IF('Ingest Template'!A452 = "Standard", " - DAR","")</f>
        <v/>
      </c>
      <c r="C452" s="26" t="s">
        <v>109</v>
      </c>
      <c r="D452" s="29" t="str">
        <f t="array" ref="D452">CONCATENATE(INDEX(DropDown!$H$2:$H$10,MATCH(1,COUNTIF('Ingest Template'!F452,"*"&amp;DropDown!$H$2:$H$10&amp;"*"),0)),CHAR(10),'Ingest Template'!G452)</f>
        <v>#N/A</v>
      </c>
      <c r="E452" s="21" t="str">
        <f>CONCATENATE('Ingest Template'!H452,CHAR(10),'Ingest Template'!I452,CHAR(10),'Ingest Template'!J452)</f>
        <v>
</v>
      </c>
      <c r="F452" s="26" t="str">
        <f>'Ingest Template'!H452</f>
        <v/>
      </c>
      <c r="G452" s="21"/>
      <c r="H452" s="29"/>
      <c r="I452" s="21"/>
      <c r="J452" s="29" t="str">
        <f t="array" ref="J452">iF('Ingest Template'!A452="Standard","Pristine Brand",INDEX(DropDown!$M$2:$M$392,MATCH('Ingest Template'!E452,DropDown!$J$2:$J$392,0)))</f>
        <v>#N/A</v>
      </c>
      <c r="K452" s="21" t="str">
        <f>iF('Ingest Template'!A452="Standard",'Ingest Template'!K452&amp;CHAR(10)&amp;'Ingest Template'!L452,"Competitive View")</f>
        <v>Competitive View</v>
      </c>
      <c r="L452" s="29" t="s">
        <v>146</v>
      </c>
      <c r="M452" s="37" t="str">
        <f>'Ingest Template'!D452</f>
        <v/>
      </c>
      <c r="N452" s="21"/>
      <c r="O452" s="21"/>
      <c r="P452" s="21"/>
      <c r="Q452" s="21"/>
      <c r="R452" s="21" t="str">
        <f>'Ingest Template'!E452</f>
        <v/>
      </c>
      <c r="S452" s="29" t="s">
        <v>153</v>
      </c>
      <c r="T452" s="21" t="str">
        <f>'Ingest Template'!T452</f>
        <v/>
      </c>
      <c r="U452" s="21" t="str">
        <f>'Ingest Template'!S452</f>
        <v/>
      </c>
      <c r="V452" s="21" t="str">
        <f>LOWER(SUBSTITUTE(SUBSTITUTE(SUBSTITUTE(SUBSTITUTE(SUBSTITUTE('Ingest Template'!U452,"https:",""),"www.",""),"/",""),"?hl=en",""),"instagram.com",""))</f>
        <v/>
      </c>
      <c r="W452" s="41" t="str">
        <f t="array" ref="W452">IF('Ingest Template'!V452="",(INDEX(DropDown!$L$2:$L$392,MATCH('Ingest Template'!E452,DropDown!$J$2:$J$392,0))&amp;"|"&amp;'Ingest Template'!B452),(INDEX(DropDown!$L$2:$L$392,MATCH('Ingest Template'!E452,DropDown!$J$2:$J$392,0))&amp;"|"&amp;'Ingest Template'!B452)&amp;CHAR(10)&amp;'Ingest Template'!V452)</f>
        <v>#N/A</v>
      </c>
      <c r="X452" s="41" t="str">
        <f>'Ingest Template'!W452</f>
        <v/>
      </c>
      <c r="Y452" s="21" t="str">
        <f>SUBSTITUTE(SUBSTITUTE(SUBSTITUTE('Ingest Template'!X452,"http:",""),"https:",""),"/","")</f>
        <v/>
      </c>
      <c r="Z452" s="21" t="str">
        <f t="array" ref="Z452">IF('Ingest Template'!A452="Standard",(IF(ISBLANK('Ingest Template'!AA452),"", 'Ingest Template'!AA452&amp;"|DAR")),(IF(ISBLANK('Ingest Template'!AA452),"", 'Ingest Template'!AA452&amp;"|Film Ops")))</f>
        <v/>
      </c>
      <c r="AA452" s="21"/>
      <c r="AB452" s="21" t="str">
        <f>'Ingest Template'!M452</f>
        <v/>
      </c>
      <c r="AC452" s="21" t="str">
        <f>'Ingest Template'!Y452</f>
        <v/>
      </c>
      <c r="AD452" s="21" t="str">
        <f>'Ingest Template'!C452</f>
        <v/>
      </c>
      <c r="AE452" s="21" t="str">
        <f>'Ingest Template'!Z452</f>
        <v/>
      </c>
      <c r="AF452" s="29"/>
      <c r="AG452" s="21" t="str">
        <f t="array" ref="AG452">IF('Ingest Template'!A452="Standard",(CONCATENATE(IF(ISBLANK('Ingest Template'!O452),"", 'Ingest Template'!O452&amp;"|DAR"),CHAR(10), IF(ISBLANK('Ingest Template'!P452),"", 'Ingest Template'!P452&amp;"|DAR"),CHAR(10), IF(ISBLANK('Ingest Template'!Q452),"", 'Ingest Template'!Q452&amp;"|DAR"))),(CONCATENATE(IF(ISBLANK('Ingest Template'!O452),"", 'Ingest Template'!O452&amp;"|Operations - Core Title"),CHAR(10), IF(ISBLANK('Ingest Template'!P452),"", 'Ingest Template'!P452&amp;"|Operations - Core Title"),CHAR(10), IF(ISBLANK('Ingest Template'!Q452),"", 'Ingest Template'!Q452&amp;"|Operations - Core Title"))))</f>
        <v>#|Operations - Core Title
#|Operations - Core Title
</v>
      </c>
      <c r="AH452" s="21"/>
      <c r="AI452" s="21"/>
      <c r="AJ452" s="53" t="str">
        <f>if('Ingest Template'!A452="Standard",'Ingest Template'!N452&amp; "|DAR|DAR|2021-01-01",'Ingest Template'!N452&amp; "|Operations - Core Title|Operations - Core Title")</f>
        <v>#N/A</v>
      </c>
      <c r="AK452" s="53" t="str">
        <f>if('Ingest Template'!A452="Standard",'Ingest Template'!R452&amp; "|2021-01-01",'Ingest Template'!R452)</f>
        <v>#N/A</v>
      </c>
      <c r="AL452" s="21"/>
      <c r="AM452" s="21"/>
    </row>
    <row r="453">
      <c r="A453" s="21"/>
      <c r="B453" s="21" t="str">
        <f>'Ingest Template'!B453&amp;IF('Ingest Template'!A453 = "Standard", " - DAR","")</f>
        <v/>
      </c>
      <c r="C453" s="26" t="s">
        <v>109</v>
      </c>
      <c r="D453" s="29" t="str">
        <f t="array" ref="D453">CONCATENATE(INDEX(DropDown!$H$2:$H$10,MATCH(1,COUNTIF('Ingest Template'!F453,"*"&amp;DropDown!$H$2:$H$10&amp;"*"),0)),CHAR(10),'Ingest Template'!G453)</f>
        <v>#N/A</v>
      </c>
      <c r="E453" s="21" t="str">
        <f>CONCATENATE('Ingest Template'!H453,CHAR(10),'Ingest Template'!I453,CHAR(10),'Ingest Template'!J453)</f>
        <v>
</v>
      </c>
      <c r="F453" s="26" t="str">
        <f>'Ingest Template'!H453</f>
        <v/>
      </c>
      <c r="G453" s="21"/>
      <c r="H453" s="29"/>
      <c r="I453" s="21"/>
      <c r="J453" s="29" t="str">
        <f t="array" ref="J453">iF('Ingest Template'!A453="Standard","Pristine Brand",INDEX(DropDown!$M$2:$M$392,MATCH('Ingest Template'!E453,DropDown!$J$2:$J$392,0)))</f>
        <v>#N/A</v>
      </c>
      <c r="K453" s="21" t="str">
        <f>iF('Ingest Template'!A453="Standard",'Ingest Template'!K453&amp;CHAR(10)&amp;'Ingest Template'!L453,"Competitive View")</f>
        <v>Competitive View</v>
      </c>
      <c r="L453" s="29" t="s">
        <v>146</v>
      </c>
      <c r="M453" s="37" t="str">
        <f>'Ingest Template'!D453</f>
        <v/>
      </c>
      <c r="N453" s="21"/>
      <c r="O453" s="21"/>
      <c r="P453" s="21"/>
      <c r="Q453" s="21"/>
      <c r="R453" s="21" t="str">
        <f>'Ingest Template'!E453</f>
        <v/>
      </c>
      <c r="S453" s="29" t="s">
        <v>153</v>
      </c>
      <c r="T453" s="21" t="str">
        <f>'Ingest Template'!T453</f>
        <v/>
      </c>
      <c r="U453" s="21" t="str">
        <f>'Ingest Template'!S453</f>
        <v/>
      </c>
      <c r="V453" s="21" t="str">
        <f>LOWER(SUBSTITUTE(SUBSTITUTE(SUBSTITUTE(SUBSTITUTE(SUBSTITUTE('Ingest Template'!U453,"https:",""),"www.",""),"/",""),"?hl=en",""),"instagram.com",""))</f>
        <v/>
      </c>
      <c r="W453" s="41" t="str">
        <f t="array" ref="W453">IF('Ingest Template'!V453="",(INDEX(DropDown!$L$2:$L$392,MATCH('Ingest Template'!E453,DropDown!$J$2:$J$392,0))&amp;"|"&amp;'Ingest Template'!B453),(INDEX(DropDown!$L$2:$L$392,MATCH('Ingest Template'!E453,DropDown!$J$2:$J$392,0))&amp;"|"&amp;'Ingest Template'!B453)&amp;CHAR(10)&amp;'Ingest Template'!V453)</f>
        <v>#N/A</v>
      </c>
      <c r="X453" s="41" t="str">
        <f>'Ingest Template'!W453</f>
        <v/>
      </c>
      <c r="Y453" s="21" t="str">
        <f>SUBSTITUTE(SUBSTITUTE(SUBSTITUTE('Ingest Template'!X453,"http:",""),"https:",""),"/","")</f>
        <v/>
      </c>
      <c r="Z453" s="21" t="str">
        <f t="array" ref="Z453">IF('Ingest Template'!A453="Standard",(IF(ISBLANK('Ingest Template'!AA453),"", 'Ingest Template'!AA453&amp;"|DAR")),(IF(ISBLANK('Ingest Template'!AA453),"", 'Ingest Template'!AA453&amp;"|Film Ops")))</f>
        <v/>
      </c>
      <c r="AA453" s="21"/>
      <c r="AB453" s="21" t="str">
        <f>'Ingest Template'!M453</f>
        <v/>
      </c>
      <c r="AC453" s="21" t="str">
        <f>'Ingest Template'!Y453</f>
        <v/>
      </c>
      <c r="AD453" s="21" t="str">
        <f>'Ingest Template'!C453</f>
        <v/>
      </c>
      <c r="AE453" s="21" t="str">
        <f>'Ingest Template'!Z453</f>
        <v/>
      </c>
      <c r="AF453" s="29"/>
      <c r="AG453" s="21" t="str">
        <f t="array" ref="AG453">IF('Ingest Template'!A453="Standard",(CONCATENATE(IF(ISBLANK('Ingest Template'!O453),"", 'Ingest Template'!O453&amp;"|DAR"),CHAR(10), IF(ISBLANK('Ingest Template'!P453),"", 'Ingest Template'!P453&amp;"|DAR"),CHAR(10), IF(ISBLANK('Ingest Template'!Q453),"", 'Ingest Template'!Q453&amp;"|DAR"))),(CONCATENATE(IF(ISBLANK('Ingest Template'!O453),"", 'Ingest Template'!O453&amp;"|Operations - Core Title"),CHAR(10), IF(ISBLANK('Ingest Template'!P453),"", 'Ingest Template'!P453&amp;"|Operations - Core Title"),CHAR(10), IF(ISBLANK('Ingest Template'!Q453),"", 'Ingest Template'!Q453&amp;"|Operations - Core Title"))))</f>
        <v>#|Operations - Core Title
#|Operations - Core Title
</v>
      </c>
      <c r="AH453" s="21"/>
      <c r="AI453" s="21"/>
      <c r="AJ453" s="53" t="str">
        <f>if('Ingest Template'!A453="Standard",'Ingest Template'!N453&amp; "|DAR|DAR|2021-01-01",'Ingest Template'!N453&amp; "|Operations - Core Title|Operations - Core Title")</f>
        <v>#N/A</v>
      </c>
      <c r="AK453" s="53" t="str">
        <f>if('Ingest Template'!A453="Standard",'Ingest Template'!R453&amp; "|2021-01-01",'Ingest Template'!R453)</f>
        <v>#N/A</v>
      </c>
      <c r="AL453" s="21"/>
      <c r="AM453" s="21"/>
    </row>
    <row r="454">
      <c r="A454" s="21"/>
      <c r="B454" s="21" t="str">
        <f>'Ingest Template'!B454&amp;IF('Ingest Template'!A454 = "Standard", " - DAR","")</f>
        <v/>
      </c>
      <c r="C454" s="26" t="s">
        <v>109</v>
      </c>
      <c r="D454" s="29" t="str">
        <f t="array" ref="D454">CONCATENATE(INDEX(DropDown!$H$2:$H$10,MATCH(1,COUNTIF('Ingest Template'!F454,"*"&amp;DropDown!$H$2:$H$10&amp;"*"),0)),CHAR(10),'Ingest Template'!G454)</f>
        <v>#N/A</v>
      </c>
      <c r="E454" s="21" t="str">
        <f>CONCATENATE('Ingest Template'!H454,CHAR(10),'Ingest Template'!I454,CHAR(10),'Ingest Template'!J454)</f>
        <v>
</v>
      </c>
      <c r="F454" s="26" t="str">
        <f>'Ingest Template'!H454</f>
        <v/>
      </c>
      <c r="G454" s="21"/>
      <c r="H454" s="29"/>
      <c r="I454" s="21"/>
      <c r="J454" s="29" t="str">
        <f t="array" ref="J454">iF('Ingest Template'!A454="Standard","Pristine Brand",INDEX(DropDown!$M$2:$M$392,MATCH('Ingest Template'!E454,DropDown!$J$2:$J$392,0)))</f>
        <v>#N/A</v>
      </c>
      <c r="K454" s="21" t="str">
        <f>iF('Ingest Template'!A454="Standard",'Ingest Template'!K454&amp;CHAR(10)&amp;'Ingest Template'!L454,"Competitive View")</f>
        <v>Competitive View</v>
      </c>
      <c r="L454" s="29" t="s">
        <v>146</v>
      </c>
      <c r="M454" s="37" t="str">
        <f>'Ingest Template'!D454</f>
        <v/>
      </c>
      <c r="N454" s="21"/>
      <c r="O454" s="21"/>
      <c r="P454" s="21"/>
      <c r="Q454" s="21"/>
      <c r="R454" s="21" t="str">
        <f>'Ingest Template'!E454</f>
        <v/>
      </c>
      <c r="S454" s="29" t="s">
        <v>153</v>
      </c>
      <c r="T454" s="21" t="str">
        <f>'Ingest Template'!T454</f>
        <v/>
      </c>
      <c r="U454" s="21" t="str">
        <f>'Ingest Template'!S454</f>
        <v/>
      </c>
      <c r="V454" s="21" t="str">
        <f>LOWER(SUBSTITUTE(SUBSTITUTE(SUBSTITUTE(SUBSTITUTE(SUBSTITUTE('Ingest Template'!U454,"https:",""),"www.",""),"/",""),"?hl=en",""),"instagram.com",""))</f>
        <v/>
      </c>
      <c r="W454" s="41" t="str">
        <f t="array" ref="W454">IF('Ingest Template'!V454="",(INDEX(DropDown!$L$2:$L$392,MATCH('Ingest Template'!E454,DropDown!$J$2:$J$392,0))&amp;"|"&amp;'Ingest Template'!B454),(INDEX(DropDown!$L$2:$L$392,MATCH('Ingest Template'!E454,DropDown!$J$2:$J$392,0))&amp;"|"&amp;'Ingest Template'!B454)&amp;CHAR(10)&amp;'Ingest Template'!V454)</f>
        <v>#N/A</v>
      </c>
      <c r="X454" s="41" t="str">
        <f>'Ingest Template'!W454</f>
        <v/>
      </c>
      <c r="Y454" s="21" t="str">
        <f>SUBSTITUTE(SUBSTITUTE(SUBSTITUTE('Ingest Template'!X454,"http:",""),"https:",""),"/","")</f>
        <v/>
      </c>
      <c r="Z454" s="21" t="str">
        <f t="array" ref="Z454">IF('Ingest Template'!A454="Standard",(IF(ISBLANK('Ingest Template'!AA454),"", 'Ingest Template'!AA454&amp;"|DAR")),(IF(ISBLANK('Ingest Template'!AA454),"", 'Ingest Template'!AA454&amp;"|Film Ops")))</f>
        <v/>
      </c>
      <c r="AA454" s="21"/>
      <c r="AB454" s="21" t="str">
        <f>'Ingest Template'!M454</f>
        <v/>
      </c>
      <c r="AC454" s="21" t="str">
        <f>'Ingest Template'!Y454</f>
        <v/>
      </c>
      <c r="AD454" s="21" t="str">
        <f>'Ingest Template'!C454</f>
        <v/>
      </c>
      <c r="AE454" s="21" t="str">
        <f>'Ingest Template'!Z454</f>
        <v/>
      </c>
      <c r="AF454" s="29"/>
      <c r="AG454" s="21" t="str">
        <f t="array" ref="AG454">IF('Ingest Template'!A454="Standard",(CONCATENATE(IF(ISBLANK('Ingest Template'!O454),"", 'Ingest Template'!O454&amp;"|DAR"),CHAR(10), IF(ISBLANK('Ingest Template'!P454),"", 'Ingest Template'!P454&amp;"|DAR"),CHAR(10), IF(ISBLANK('Ingest Template'!Q454),"", 'Ingest Template'!Q454&amp;"|DAR"))),(CONCATENATE(IF(ISBLANK('Ingest Template'!O454),"", 'Ingest Template'!O454&amp;"|Operations - Core Title"),CHAR(10), IF(ISBLANK('Ingest Template'!P454),"", 'Ingest Template'!P454&amp;"|Operations - Core Title"),CHAR(10), IF(ISBLANK('Ingest Template'!Q454),"", 'Ingest Template'!Q454&amp;"|Operations - Core Title"))))</f>
        <v>#|Operations - Core Title
#|Operations - Core Title
</v>
      </c>
      <c r="AH454" s="21"/>
      <c r="AI454" s="21"/>
      <c r="AJ454" s="53" t="str">
        <f>if('Ingest Template'!A454="Standard",'Ingest Template'!N454&amp; "|DAR|DAR|2021-01-01",'Ingest Template'!N454&amp; "|Operations - Core Title|Operations - Core Title")</f>
        <v>#N/A</v>
      </c>
      <c r="AK454" s="53" t="str">
        <f>if('Ingest Template'!A454="Standard",'Ingest Template'!R454&amp; "|2021-01-01",'Ingest Template'!R454)</f>
        <v>#N/A</v>
      </c>
      <c r="AL454" s="21"/>
      <c r="AM454" s="21"/>
    </row>
    <row r="455">
      <c r="A455" s="21"/>
      <c r="B455" s="21" t="str">
        <f>'Ingest Template'!B455&amp;IF('Ingest Template'!A455 = "Standard", " - DAR","")</f>
        <v/>
      </c>
      <c r="C455" s="26" t="s">
        <v>109</v>
      </c>
      <c r="D455" s="29" t="str">
        <f t="array" ref="D455">CONCATENATE(INDEX(DropDown!$H$2:$H$10,MATCH(1,COUNTIF('Ingest Template'!F455,"*"&amp;DropDown!$H$2:$H$10&amp;"*"),0)),CHAR(10),'Ingest Template'!G455)</f>
        <v>#N/A</v>
      </c>
      <c r="E455" s="21" t="str">
        <f>CONCATENATE('Ingest Template'!H455,CHAR(10),'Ingest Template'!I455,CHAR(10),'Ingest Template'!J455)</f>
        <v>
</v>
      </c>
      <c r="F455" s="26" t="str">
        <f>'Ingest Template'!H455</f>
        <v/>
      </c>
      <c r="G455" s="21"/>
      <c r="H455" s="29"/>
      <c r="I455" s="21"/>
      <c r="J455" s="29" t="str">
        <f t="array" ref="J455">iF('Ingest Template'!A455="Standard","Pristine Brand",INDEX(DropDown!$M$2:$M$392,MATCH('Ingest Template'!E455,DropDown!$J$2:$J$392,0)))</f>
        <v>#N/A</v>
      </c>
      <c r="K455" s="21" t="str">
        <f>iF('Ingest Template'!A455="Standard",'Ingest Template'!K455&amp;CHAR(10)&amp;'Ingest Template'!L455,"Competitive View")</f>
        <v>Competitive View</v>
      </c>
      <c r="L455" s="29" t="s">
        <v>146</v>
      </c>
      <c r="M455" s="37" t="str">
        <f>'Ingest Template'!D455</f>
        <v/>
      </c>
      <c r="N455" s="21"/>
      <c r="O455" s="21"/>
      <c r="P455" s="21"/>
      <c r="Q455" s="21"/>
      <c r="R455" s="21" t="str">
        <f>'Ingest Template'!E455</f>
        <v/>
      </c>
      <c r="S455" s="29" t="s">
        <v>153</v>
      </c>
      <c r="T455" s="21" t="str">
        <f>'Ingest Template'!T455</f>
        <v/>
      </c>
      <c r="U455" s="21" t="str">
        <f>'Ingest Template'!S455</f>
        <v/>
      </c>
      <c r="V455" s="21" t="str">
        <f>LOWER(SUBSTITUTE(SUBSTITUTE(SUBSTITUTE(SUBSTITUTE(SUBSTITUTE('Ingest Template'!U455,"https:",""),"www.",""),"/",""),"?hl=en",""),"instagram.com",""))</f>
        <v/>
      </c>
      <c r="W455" s="41" t="str">
        <f t="array" ref="W455">IF('Ingest Template'!V455="",(INDEX(DropDown!$L$2:$L$392,MATCH('Ingest Template'!E455,DropDown!$J$2:$J$392,0))&amp;"|"&amp;'Ingest Template'!B455),(INDEX(DropDown!$L$2:$L$392,MATCH('Ingest Template'!E455,DropDown!$J$2:$J$392,0))&amp;"|"&amp;'Ingest Template'!B455)&amp;CHAR(10)&amp;'Ingest Template'!V455)</f>
        <v>#N/A</v>
      </c>
      <c r="X455" s="41" t="str">
        <f>'Ingest Template'!W455</f>
        <v/>
      </c>
      <c r="Y455" s="21" t="str">
        <f>SUBSTITUTE(SUBSTITUTE(SUBSTITUTE('Ingest Template'!X455,"http:",""),"https:",""),"/","")</f>
        <v/>
      </c>
      <c r="Z455" s="21" t="str">
        <f t="array" ref="Z455">IF('Ingest Template'!A455="Standard",(IF(ISBLANK('Ingest Template'!AA455),"", 'Ingest Template'!AA455&amp;"|DAR")),(IF(ISBLANK('Ingest Template'!AA455),"", 'Ingest Template'!AA455&amp;"|Film Ops")))</f>
        <v/>
      </c>
      <c r="AA455" s="21"/>
      <c r="AB455" s="21" t="str">
        <f>'Ingest Template'!M455</f>
        <v/>
      </c>
      <c r="AC455" s="21" t="str">
        <f>'Ingest Template'!Y455</f>
        <v/>
      </c>
      <c r="AD455" s="21" t="str">
        <f>'Ingest Template'!C455</f>
        <v/>
      </c>
      <c r="AE455" s="21" t="str">
        <f>'Ingest Template'!Z455</f>
        <v/>
      </c>
      <c r="AF455" s="29"/>
      <c r="AG455" s="21" t="str">
        <f t="array" ref="AG455">IF('Ingest Template'!A455="Standard",(CONCATENATE(IF(ISBLANK('Ingest Template'!O455),"", 'Ingest Template'!O455&amp;"|DAR"),CHAR(10), IF(ISBLANK('Ingest Template'!P455),"", 'Ingest Template'!P455&amp;"|DAR"),CHAR(10), IF(ISBLANK('Ingest Template'!Q455),"", 'Ingest Template'!Q455&amp;"|DAR"))),(CONCATENATE(IF(ISBLANK('Ingest Template'!O455),"", 'Ingest Template'!O455&amp;"|Operations - Core Title"),CHAR(10), IF(ISBLANK('Ingest Template'!P455),"", 'Ingest Template'!P455&amp;"|Operations - Core Title"),CHAR(10), IF(ISBLANK('Ingest Template'!Q455),"", 'Ingest Template'!Q455&amp;"|Operations - Core Title"))))</f>
        <v>#|Operations - Core Title
#|Operations - Core Title
</v>
      </c>
      <c r="AH455" s="21"/>
      <c r="AI455" s="21"/>
      <c r="AJ455" s="53" t="str">
        <f>if('Ingest Template'!A455="Standard",'Ingest Template'!N455&amp; "|DAR|DAR|2021-01-01",'Ingest Template'!N455&amp; "|Operations - Core Title|Operations - Core Title")</f>
        <v>#N/A</v>
      </c>
      <c r="AK455" s="53" t="str">
        <f>if('Ingest Template'!A455="Standard",'Ingest Template'!R455&amp; "|2021-01-01",'Ingest Template'!R455)</f>
        <v>#N/A</v>
      </c>
      <c r="AL455" s="21"/>
      <c r="AM455" s="21"/>
    </row>
    <row r="456">
      <c r="A456" s="21"/>
      <c r="B456" s="21" t="str">
        <f>'Ingest Template'!B456&amp;IF('Ingest Template'!A456 = "Standard", " - DAR","")</f>
        <v/>
      </c>
      <c r="C456" s="26" t="s">
        <v>109</v>
      </c>
      <c r="D456" s="29" t="str">
        <f t="array" ref="D456">CONCATENATE(INDEX(DropDown!$H$2:$H$10,MATCH(1,COUNTIF('Ingest Template'!F456,"*"&amp;DropDown!$H$2:$H$10&amp;"*"),0)),CHAR(10),'Ingest Template'!G456)</f>
        <v>#N/A</v>
      </c>
      <c r="E456" s="21" t="str">
        <f>CONCATENATE('Ingest Template'!H456,CHAR(10),'Ingest Template'!I456,CHAR(10),'Ingest Template'!J456)</f>
        <v>
</v>
      </c>
      <c r="F456" s="26" t="str">
        <f>'Ingest Template'!H456</f>
        <v/>
      </c>
      <c r="G456" s="21"/>
      <c r="H456" s="29"/>
      <c r="I456" s="21"/>
      <c r="J456" s="29" t="str">
        <f t="array" ref="J456">iF('Ingest Template'!A456="Standard","Pristine Brand",INDEX(DropDown!$M$2:$M$392,MATCH('Ingest Template'!E456,DropDown!$J$2:$J$392,0)))</f>
        <v>#N/A</v>
      </c>
      <c r="K456" s="21" t="str">
        <f>iF('Ingest Template'!A456="Standard",'Ingest Template'!K456&amp;CHAR(10)&amp;'Ingest Template'!L456,"Competitive View")</f>
        <v>Competitive View</v>
      </c>
      <c r="L456" s="29" t="s">
        <v>146</v>
      </c>
      <c r="M456" s="37" t="str">
        <f>'Ingest Template'!D456</f>
        <v/>
      </c>
      <c r="N456" s="21"/>
      <c r="O456" s="21"/>
      <c r="P456" s="21"/>
      <c r="Q456" s="21"/>
      <c r="R456" s="21" t="str">
        <f>'Ingest Template'!E456</f>
        <v/>
      </c>
      <c r="S456" s="29" t="s">
        <v>153</v>
      </c>
      <c r="T456" s="21" t="str">
        <f>'Ingest Template'!T456</f>
        <v/>
      </c>
      <c r="U456" s="21" t="str">
        <f>'Ingest Template'!S456</f>
        <v/>
      </c>
      <c r="V456" s="21" t="str">
        <f>LOWER(SUBSTITUTE(SUBSTITUTE(SUBSTITUTE(SUBSTITUTE(SUBSTITUTE('Ingest Template'!U456,"https:",""),"www.",""),"/",""),"?hl=en",""),"instagram.com",""))</f>
        <v/>
      </c>
      <c r="W456" s="41" t="str">
        <f t="array" ref="W456">IF('Ingest Template'!V456="",(INDEX(DropDown!$L$2:$L$392,MATCH('Ingest Template'!E456,DropDown!$J$2:$J$392,0))&amp;"|"&amp;'Ingest Template'!B456),(INDEX(DropDown!$L$2:$L$392,MATCH('Ingest Template'!E456,DropDown!$J$2:$J$392,0))&amp;"|"&amp;'Ingest Template'!B456)&amp;CHAR(10)&amp;'Ingest Template'!V456)</f>
        <v>#N/A</v>
      </c>
      <c r="X456" s="41" t="str">
        <f>'Ingest Template'!W456</f>
        <v/>
      </c>
      <c r="Y456" s="21" t="str">
        <f>SUBSTITUTE(SUBSTITUTE(SUBSTITUTE('Ingest Template'!X456,"http:",""),"https:",""),"/","")</f>
        <v/>
      </c>
      <c r="Z456" s="21" t="str">
        <f t="array" ref="Z456">IF('Ingest Template'!A456="Standard",(IF(ISBLANK('Ingest Template'!AA456),"", 'Ingest Template'!AA456&amp;"|DAR")),(IF(ISBLANK('Ingest Template'!AA456),"", 'Ingest Template'!AA456&amp;"|Film Ops")))</f>
        <v/>
      </c>
      <c r="AA456" s="21"/>
      <c r="AB456" s="21" t="str">
        <f>'Ingest Template'!M456</f>
        <v/>
      </c>
      <c r="AC456" s="21" t="str">
        <f>'Ingest Template'!Y456</f>
        <v/>
      </c>
      <c r="AD456" s="21" t="str">
        <f>'Ingest Template'!C456</f>
        <v/>
      </c>
      <c r="AE456" s="21" t="str">
        <f>'Ingest Template'!Z456</f>
        <v/>
      </c>
      <c r="AF456" s="29"/>
      <c r="AG456" s="21" t="str">
        <f t="array" ref="AG456">IF('Ingest Template'!A456="Standard",(CONCATENATE(IF(ISBLANK('Ingest Template'!O456),"", 'Ingest Template'!O456&amp;"|DAR"),CHAR(10), IF(ISBLANK('Ingest Template'!P456),"", 'Ingest Template'!P456&amp;"|DAR"),CHAR(10), IF(ISBLANK('Ingest Template'!Q456),"", 'Ingest Template'!Q456&amp;"|DAR"))),(CONCATENATE(IF(ISBLANK('Ingest Template'!O456),"", 'Ingest Template'!O456&amp;"|Operations - Core Title"),CHAR(10), IF(ISBLANK('Ingest Template'!P456),"", 'Ingest Template'!P456&amp;"|Operations - Core Title"),CHAR(10), IF(ISBLANK('Ingest Template'!Q456),"", 'Ingest Template'!Q456&amp;"|Operations - Core Title"))))</f>
        <v>#|Operations - Core Title
#|Operations - Core Title
</v>
      </c>
      <c r="AH456" s="21"/>
      <c r="AI456" s="21"/>
      <c r="AJ456" s="53" t="str">
        <f>if('Ingest Template'!A456="Standard",'Ingest Template'!N456&amp; "|DAR|DAR|2021-01-01",'Ingest Template'!N456&amp; "|Operations - Core Title|Operations - Core Title")</f>
        <v>#N/A</v>
      </c>
      <c r="AK456" s="53" t="str">
        <f>if('Ingest Template'!A456="Standard",'Ingest Template'!R456&amp; "|2021-01-01",'Ingest Template'!R456)</f>
        <v>#N/A</v>
      </c>
      <c r="AL456" s="21"/>
      <c r="AM456" s="21"/>
    </row>
    <row r="457">
      <c r="A457" s="21"/>
      <c r="B457" s="21" t="str">
        <f>'Ingest Template'!B457&amp;IF('Ingest Template'!A457 = "Standard", " - DAR","")</f>
        <v/>
      </c>
      <c r="C457" s="26" t="s">
        <v>109</v>
      </c>
      <c r="D457" s="29" t="str">
        <f t="array" ref="D457">CONCATENATE(INDEX(DropDown!$H$2:$H$10,MATCH(1,COUNTIF('Ingest Template'!F457,"*"&amp;DropDown!$H$2:$H$10&amp;"*"),0)),CHAR(10),'Ingest Template'!G457)</f>
        <v>#N/A</v>
      </c>
      <c r="E457" s="21" t="str">
        <f>CONCATENATE('Ingest Template'!H457,CHAR(10),'Ingest Template'!I457,CHAR(10),'Ingest Template'!J457)</f>
        <v>
</v>
      </c>
      <c r="F457" s="26" t="str">
        <f>'Ingest Template'!H457</f>
        <v/>
      </c>
      <c r="G457" s="21"/>
      <c r="H457" s="29"/>
      <c r="I457" s="21"/>
      <c r="J457" s="29" t="str">
        <f t="array" ref="J457">iF('Ingest Template'!A457="Standard","Pristine Brand",INDEX(DropDown!$M$2:$M$392,MATCH('Ingest Template'!E457,DropDown!$J$2:$J$392,0)))</f>
        <v>#N/A</v>
      </c>
      <c r="K457" s="21" t="str">
        <f>iF('Ingest Template'!A457="Standard",'Ingest Template'!K457&amp;CHAR(10)&amp;'Ingest Template'!L457,"Competitive View")</f>
        <v>Competitive View</v>
      </c>
      <c r="L457" s="29" t="s">
        <v>146</v>
      </c>
      <c r="M457" s="37" t="str">
        <f>'Ingest Template'!D457</f>
        <v/>
      </c>
      <c r="N457" s="21"/>
      <c r="O457" s="21"/>
      <c r="P457" s="21"/>
      <c r="Q457" s="21"/>
      <c r="R457" s="21" t="str">
        <f>'Ingest Template'!E457</f>
        <v/>
      </c>
      <c r="S457" s="29" t="s">
        <v>153</v>
      </c>
      <c r="T457" s="21" t="str">
        <f>'Ingest Template'!T457</f>
        <v/>
      </c>
      <c r="U457" s="21" t="str">
        <f>'Ingest Template'!S457</f>
        <v/>
      </c>
      <c r="V457" s="21" t="str">
        <f>LOWER(SUBSTITUTE(SUBSTITUTE(SUBSTITUTE(SUBSTITUTE(SUBSTITUTE('Ingest Template'!U457,"https:",""),"www.",""),"/",""),"?hl=en",""),"instagram.com",""))</f>
        <v/>
      </c>
      <c r="W457" s="41" t="str">
        <f t="array" ref="W457">IF('Ingest Template'!V457="",(INDEX(DropDown!$L$2:$L$392,MATCH('Ingest Template'!E457,DropDown!$J$2:$J$392,0))&amp;"|"&amp;'Ingest Template'!B457),(INDEX(DropDown!$L$2:$L$392,MATCH('Ingest Template'!E457,DropDown!$J$2:$J$392,0))&amp;"|"&amp;'Ingest Template'!B457)&amp;CHAR(10)&amp;'Ingest Template'!V457)</f>
        <v>#N/A</v>
      </c>
      <c r="X457" s="41" t="str">
        <f>'Ingest Template'!W457</f>
        <v/>
      </c>
      <c r="Y457" s="21" t="str">
        <f>SUBSTITUTE(SUBSTITUTE(SUBSTITUTE('Ingest Template'!X457,"http:",""),"https:",""),"/","")</f>
        <v/>
      </c>
      <c r="Z457" s="21" t="str">
        <f t="array" ref="Z457">IF('Ingest Template'!A457="Standard",(IF(ISBLANK('Ingest Template'!AA457),"", 'Ingest Template'!AA457&amp;"|DAR")),(IF(ISBLANK('Ingest Template'!AA457),"", 'Ingest Template'!AA457&amp;"|Film Ops")))</f>
        <v/>
      </c>
      <c r="AA457" s="21"/>
      <c r="AB457" s="21" t="str">
        <f>'Ingest Template'!M457</f>
        <v/>
      </c>
      <c r="AC457" s="21" t="str">
        <f>'Ingest Template'!Y457</f>
        <v/>
      </c>
      <c r="AD457" s="21" t="str">
        <f>'Ingest Template'!C457</f>
        <v/>
      </c>
      <c r="AE457" s="21" t="str">
        <f>'Ingest Template'!Z457</f>
        <v/>
      </c>
      <c r="AF457" s="29"/>
      <c r="AG457" s="21" t="str">
        <f t="array" ref="AG457">IF('Ingest Template'!A457="Standard",(CONCATENATE(IF(ISBLANK('Ingest Template'!O457),"", 'Ingest Template'!O457&amp;"|DAR"),CHAR(10), IF(ISBLANK('Ingest Template'!P457),"", 'Ingest Template'!P457&amp;"|DAR"),CHAR(10), IF(ISBLANK('Ingest Template'!Q457),"", 'Ingest Template'!Q457&amp;"|DAR"))),(CONCATENATE(IF(ISBLANK('Ingest Template'!O457),"", 'Ingest Template'!O457&amp;"|Operations - Core Title"),CHAR(10), IF(ISBLANK('Ingest Template'!P457),"", 'Ingest Template'!P457&amp;"|Operations - Core Title"),CHAR(10), IF(ISBLANK('Ingest Template'!Q457),"", 'Ingest Template'!Q457&amp;"|Operations - Core Title"))))</f>
        <v>#|Operations - Core Title
#|Operations - Core Title
</v>
      </c>
      <c r="AH457" s="21"/>
      <c r="AI457" s="21"/>
      <c r="AJ457" s="53" t="str">
        <f>if('Ingest Template'!A457="Standard",'Ingest Template'!N457&amp; "|DAR|DAR|2021-01-01",'Ingest Template'!N457&amp; "|Operations - Core Title|Operations - Core Title")</f>
        <v>#N/A</v>
      </c>
      <c r="AK457" s="53" t="str">
        <f>if('Ingest Template'!A457="Standard",'Ingest Template'!R457&amp; "|2021-01-01",'Ingest Template'!R457)</f>
        <v>#N/A</v>
      </c>
      <c r="AL457" s="21"/>
      <c r="AM457" s="21"/>
    </row>
    <row r="458">
      <c r="A458" s="21"/>
      <c r="B458" s="21" t="str">
        <f>'Ingest Template'!B458&amp;IF('Ingest Template'!A458 = "Standard", " - DAR","")</f>
        <v/>
      </c>
      <c r="C458" s="26" t="s">
        <v>109</v>
      </c>
      <c r="D458" s="29" t="str">
        <f t="array" ref="D458">CONCATENATE(INDEX(DropDown!$H$2:$H$10,MATCH(1,COUNTIF('Ingest Template'!F458,"*"&amp;DropDown!$H$2:$H$10&amp;"*"),0)),CHAR(10),'Ingest Template'!G458)</f>
        <v>#N/A</v>
      </c>
      <c r="E458" s="21" t="str">
        <f>CONCATENATE('Ingest Template'!H458,CHAR(10),'Ingest Template'!I458,CHAR(10),'Ingest Template'!J458)</f>
        <v>
</v>
      </c>
      <c r="F458" s="26" t="str">
        <f>'Ingest Template'!H458</f>
        <v/>
      </c>
      <c r="G458" s="21"/>
      <c r="H458" s="29"/>
      <c r="I458" s="21"/>
      <c r="J458" s="29" t="str">
        <f t="array" ref="J458">iF('Ingest Template'!A458="Standard","Pristine Brand",INDEX(DropDown!$M$2:$M$392,MATCH('Ingest Template'!E458,DropDown!$J$2:$J$392,0)))</f>
        <v>#N/A</v>
      </c>
      <c r="K458" s="21" t="str">
        <f>iF('Ingest Template'!A458="Standard",'Ingest Template'!K458&amp;CHAR(10)&amp;'Ingest Template'!L458,"Competitive View")</f>
        <v>Competitive View</v>
      </c>
      <c r="L458" s="29" t="s">
        <v>146</v>
      </c>
      <c r="M458" s="37" t="str">
        <f>'Ingest Template'!D458</f>
        <v/>
      </c>
      <c r="N458" s="21"/>
      <c r="O458" s="21"/>
      <c r="P458" s="21"/>
      <c r="Q458" s="21"/>
      <c r="R458" s="21" t="str">
        <f>'Ingest Template'!E458</f>
        <v/>
      </c>
      <c r="S458" s="29" t="s">
        <v>153</v>
      </c>
      <c r="T458" s="21" t="str">
        <f>'Ingest Template'!T458</f>
        <v/>
      </c>
      <c r="U458" s="21" t="str">
        <f>'Ingest Template'!S458</f>
        <v/>
      </c>
      <c r="V458" s="21" t="str">
        <f>LOWER(SUBSTITUTE(SUBSTITUTE(SUBSTITUTE(SUBSTITUTE(SUBSTITUTE('Ingest Template'!U458,"https:",""),"www.",""),"/",""),"?hl=en",""),"instagram.com",""))</f>
        <v/>
      </c>
      <c r="W458" s="41" t="str">
        <f t="array" ref="W458">IF('Ingest Template'!V458="",(INDEX(DropDown!$L$2:$L$392,MATCH('Ingest Template'!E458,DropDown!$J$2:$J$392,0))&amp;"|"&amp;'Ingest Template'!B458),(INDEX(DropDown!$L$2:$L$392,MATCH('Ingest Template'!E458,DropDown!$J$2:$J$392,0))&amp;"|"&amp;'Ingest Template'!B458)&amp;CHAR(10)&amp;'Ingest Template'!V458)</f>
        <v>#N/A</v>
      </c>
      <c r="X458" s="41" t="str">
        <f>'Ingest Template'!W458</f>
        <v/>
      </c>
      <c r="Y458" s="21" t="str">
        <f>SUBSTITUTE(SUBSTITUTE(SUBSTITUTE('Ingest Template'!X458,"http:",""),"https:",""),"/","")</f>
        <v/>
      </c>
      <c r="Z458" s="21" t="str">
        <f t="array" ref="Z458">IF('Ingest Template'!A458="Standard",(IF(ISBLANK('Ingest Template'!AA458),"", 'Ingest Template'!AA458&amp;"|DAR")),(IF(ISBLANK('Ingest Template'!AA458),"", 'Ingest Template'!AA458&amp;"|Film Ops")))</f>
        <v/>
      </c>
      <c r="AA458" s="21"/>
      <c r="AB458" s="21" t="str">
        <f>'Ingest Template'!M458</f>
        <v/>
      </c>
      <c r="AC458" s="21" t="str">
        <f>'Ingest Template'!Y458</f>
        <v/>
      </c>
      <c r="AD458" s="21" t="str">
        <f>'Ingest Template'!C458</f>
        <v/>
      </c>
      <c r="AE458" s="21" t="str">
        <f>'Ingest Template'!Z458</f>
        <v/>
      </c>
      <c r="AF458" s="29"/>
      <c r="AG458" s="21" t="str">
        <f t="array" ref="AG458">IF('Ingest Template'!A458="Standard",(CONCATENATE(IF(ISBLANK('Ingest Template'!O458),"", 'Ingest Template'!O458&amp;"|DAR"),CHAR(10), IF(ISBLANK('Ingest Template'!P458),"", 'Ingest Template'!P458&amp;"|DAR"),CHAR(10), IF(ISBLANK('Ingest Template'!Q458),"", 'Ingest Template'!Q458&amp;"|DAR"))),(CONCATENATE(IF(ISBLANK('Ingest Template'!O458),"", 'Ingest Template'!O458&amp;"|Operations - Core Title"),CHAR(10), IF(ISBLANK('Ingest Template'!P458),"", 'Ingest Template'!P458&amp;"|Operations - Core Title"),CHAR(10), IF(ISBLANK('Ingest Template'!Q458),"", 'Ingest Template'!Q458&amp;"|Operations - Core Title"))))</f>
        <v>#|Operations - Core Title
#|Operations - Core Title
</v>
      </c>
      <c r="AH458" s="21"/>
      <c r="AI458" s="21"/>
      <c r="AJ458" s="53" t="str">
        <f>if('Ingest Template'!A458="Standard",'Ingest Template'!N458&amp; "|DAR|DAR|2021-01-01",'Ingest Template'!N458&amp; "|Operations - Core Title|Operations - Core Title")</f>
        <v>#N/A</v>
      </c>
      <c r="AK458" s="53" t="str">
        <f>if('Ingest Template'!A458="Standard",'Ingest Template'!R458&amp; "|2021-01-01",'Ingest Template'!R458)</f>
        <v>#N/A</v>
      </c>
      <c r="AL458" s="21"/>
      <c r="AM458" s="21"/>
    </row>
    <row r="459">
      <c r="A459" s="21"/>
      <c r="B459" s="21" t="str">
        <f>'Ingest Template'!B459&amp;IF('Ingest Template'!A459 = "Standard", " - DAR","")</f>
        <v/>
      </c>
      <c r="C459" s="26" t="s">
        <v>109</v>
      </c>
      <c r="D459" s="29" t="str">
        <f t="array" ref="D459">CONCATENATE(INDEX(DropDown!$H$2:$H$10,MATCH(1,COUNTIF('Ingest Template'!F459,"*"&amp;DropDown!$H$2:$H$10&amp;"*"),0)),CHAR(10),'Ingest Template'!G459)</f>
        <v>#N/A</v>
      </c>
      <c r="E459" s="21" t="str">
        <f>CONCATENATE('Ingest Template'!H459,CHAR(10),'Ingest Template'!I459,CHAR(10),'Ingest Template'!J459)</f>
        <v>
</v>
      </c>
      <c r="F459" s="26" t="str">
        <f>'Ingest Template'!H459</f>
        <v/>
      </c>
      <c r="G459" s="21"/>
      <c r="H459" s="29"/>
      <c r="I459" s="21"/>
      <c r="J459" s="29" t="str">
        <f t="array" ref="J459">iF('Ingest Template'!A459="Standard","Pristine Brand",INDEX(DropDown!$M$2:$M$392,MATCH('Ingest Template'!E459,DropDown!$J$2:$J$392,0)))</f>
        <v>#N/A</v>
      </c>
      <c r="K459" s="21" t="str">
        <f>iF('Ingest Template'!A459="Standard",'Ingest Template'!K459&amp;CHAR(10)&amp;'Ingest Template'!L459,"Competitive View")</f>
        <v>Competitive View</v>
      </c>
      <c r="L459" s="29" t="s">
        <v>146</v>
      </c>
      <c r="M459" s="37" t="str">
        <f>'Ingest Template'!D459</f>
        <v/>
      </c>
      <c r="N459" s="21"/>
      <c r="O459" s="21"/>
      <c r="P459" s="21"/>
      <c r="Q459" s="21"/>
      <c r="R459" s="21" t="str">
        <f>'Ingest Template'!E459</f>
        <v/>
      </c>
      <c r="S459" s="29" t="s">
        <v>153</v>
      </c>
      <c r="T459" s="21" t="str">
        <f>'Ingest Template'!T459</f>
        <v/>
      </c>
      <c r="U459" s="21" t="str">
        <f>'Ingest Template'!S459</f>
        <v/>
      </c>
      <c r="V459" s="21" t="str">
        <f>LOWER(SUBSTITUTE(SUBSTITUTE(SUBSTITUTE(SUBSTITUTE(SUBSTITUTE('Ingest Template'!U459,"https:",""),"www.",""),"/",""),"?hl=en",""),"instagram.com",""))</f>
        <v/>
      </c>
      <c r="W459" s="41" t="str">
        <f t="array" ref="W459">IF('Ingest Template'!V459="",(INDEX(DropDown!$L$2:$L$392,MATCH('Ingest Template'!E459,DropDown!$J$2:$J$392,0))&amp;"|"&amp;'Ingest Template'!B459),(INDEX(DropDown!$L$2:$L$392,MATCH('Ingest Template'!E459,DropDown!$J$2:$J$392,0))&amp;"|"&amp;'Ingest Template'!B459)&amp;CHAR(10)&amp;'Ingest Template'!V459)</f>
        <v>#N/A</v>
      </c>
      <c r="X459" s="41" t="str">
        <f>'Ingest Template'!W459</f>
        <v/>
      </c>
      <c r="Y459" s="21" t="str">
        <f>SUBSTITUTE(SUBSTITUTE(SUBSTITUTE('Ingest Template'!X459,"http:",""),"https:",""),"/","")</f>
        <v/>
      </c>
      <c r="Z459" s="21" t="str">
        <f t="array" ref="Z459">IF('Ingest Template'!A459="Standard",(IF(ISBLANK('Ingest Template'!AA459),"", 'Ingest Template'!AA459&amp;"|DAR")),(IF(ISBLANK('Ingest Template'!AA459),"", 'Ingest Template'!AA459&amp;"|Film Ops")))</f>
        <v/>
      </c>
      <c r="AA459" s="21"/>
      <c r="AB459" s="21" t="str">
        <f>'Ingest Template'!M459</f>
        <v/>
      </c>
      <c r="AC459" s="21" t="str">
        <f>'Ingest Template'!Y459</f>
        <v/>
      </c>
      <c r="AD459" s="21" t="str">
        <f>'Ingest Template'!C459</f>
        <v/>
      </c>
      <c r="AE459" s="21" t="str">
        <f>'Ingest Template'!Z459</f>
        <v/>
      </c>
      <c r="AF459" s="29"/>
      <c r="AG459" s="21" t="str">
        <f t="array" ref="AG459">IF('Ingest Template'!A459="Standard",(CONCATENATE(IF(ISBLANK('Ingest Template'!O459),"", 'Ingest Template'!O459&amp;"|DAR"),CHAR(10), IF(ISBLANK('Ingest Template'!P459),"", 'Ingest Template'!P459&amp;"|DAR"),CHAR(10), IF(ISBLANK('Ingest Template'!Q459),"", 'Ingest Template'!Q459&amp;"|DAR"))),(CONCATENATE(IF(ISBLANK('Ingest Template'!O459),"", 'Ingest Template'!O459&amp;"|Operations - Core Title"),CHAR(10), IF(ISBLANK('Ingest Template'!P459),"", 'Ingest Template'!P459&amp;"|Operations - Core Title"),CHAR(10), IF(ISBLANK('Ingest Template'!Q459),"", 'Ingest Template'!Q459&amp;"|Operations - Core Title"))))</f>
        <v>#|Operations - Core Title
#|Operations - Core Title
</v>
      </c>
      <c r="AH459" s="21"/>
      <c r="AI459" s="21"/>
      <c r="AJ459" s="53" t="str">
        <f>if('Ingest Template'!A459="Standard",'Ingest Template'!N459&amp; "|DAR|DAR|2021-01-01",'Ingest Template'!N459&amp; "|Operations - Core Title|Operations - Core Title")</f>
        <v>#N/A</v>
      </c>
      <c r="AK459" s="53" t="str">
        <f>if('Ingest Template'!A459="Standard",'Ingest Template'!R459&amp; "|2021-01-01",'Ingest Template'!R459)</f>
        <v>#N/A</v>
      </c>
      <c r="AL459" s="21"/>
      <c r="AM459" s="21"/>
    </row>
    <row r="460">
      <c r="A460" s="21"/>
      <c r="B460" s="21" t="str">
        <f>'Ingest Template'!B460&amp;IF('Ingest Template'!A460 = "Standard", " - DAR","")</f>
        <v/>
      </c>
      <c r="C460" s="26" t="s">
        <v>109</v>
      </c>
      <c r="D460" s="29" t="str">
        <f t="array" ref="D460">CONCATENATE(INDEX(DropDown!$H$2:$H$10,MATCH(1,COUNTIF('Ingest Template'!F460,"*"&amp;DropDown!$H$2:$H$10&amp;"*"),0)),CHAR(10),'Ingest Template'!G460)</f>
        <v>#N/A</v>
      </c>
      <c r="E460" s="21" t="str">
        <f>CONCATENATE('Ingest Template'!H460,CHAR(10),'Ingest Template'!I460,CHAR(10),'Ingest Template'!J460)</f>
        <v>
</v>
      </c>
      <c r="F460" s="26" t="str">
        <f>'Ingest Template'!H460</f>
        <v/>
      </c>
      <c r="G460" s="21"/>
      <c r="H460" s="29"/>
      <c r="I460" s="21"/>
      <c r="J460" s="29" t="str">
        <f t="array" ref="J460">iF('Ingest Template'!A460="Standard","Pristine Brand",INDEX(DropDown!$M$2:$M$392,MATCH('Ingest Template'!E460,DropDown!$J$2:$J$392,0)))</f>
        <v>#N/A</v>
      </c>
      <c r="K460" s="21" t="str">
        <f>iF('Ingest Template'!A460="Standard",'Ingest Template'!K460&amp;CHAR(10)&amp;'Ingest Template'!L460,"Competitive View")</f>
        <v>Competitive View</v>
      </c>
      <c r="L460" s="29" t="s">
        <v>146</v>
      </c>
      <c r="M460" s="37" t="str">
        <f>'Ingest Template'!D460</f>
        <v/>
      </c>
      <c r="N460" s="21"/>
      <c r="O460" s="21"/>
      <c r="P460" s="21"/>
      <c r="Q460" s="21"/>
      <c r="R460" s="21" t="str">
        <f>'Ingest Template'!E460</f>
        <v/>
      </c>
      <c r="S460" s="29" t="s">
        <v>153</v>
      </c>
      <c r="T460" s="21" t="str">
        <f>'Ingest Template'!T460</f>
        <v/>
      </c>
      <c r="U460" s="21" t="str">
        <f>'Ingest Template'!S460</f>
        <v/>
      </c>
      <c r="V460" s="21" t="str">
        <f>LOWER(SUBSTITUTE(SUBSTITUTE(SUBSTITUTE(SUBSTITUTE(SUBSTITUTE('Ingest Template'!U460,"https:",""),"www.",""),"/",""),"?hl=en",""),"instagram.com",""))</f>
        <v/>
      </c>
      <c r="W460" s="41" t="str">
        <f t="array" ref="W460">IF('Ingest Template'!V460="",(INDEX(DropDown!$L$2:$L$392,MATCH('Ingest Template'!E460,DropDown!$J$2:$J$392,0))&amp;"|"&amp;'Ingest Template'!B460),(INDEX(DropDown!$L$2:$L$392,MATCH('Ingest Template'!E460,DropDown!$J$2:$J$392,0))&amp;"|"&amp;'Ingest Template'!B460)&amp;CHAR(10)&amp;'Ingest Template'!V460)</f>
        <v>#N/A</v>
      </c>
      <c r="X460" s="41" t="str">
        <f>'Ingest Template'!W460</f>
        <v/>
      </c>
      <c r="Y460" s="21" t="str">
        <f>SUBSTITUTE(SUBSTITUTE(SUBSTITUTE('Ingest Template'!X460,"http:",""),"https:",""),"/","")</f>
        <v/>
      </c>
      <c r="Z460" s="21" t="str">
        <f t="array" ref="Z460">IF('Ingest Template'!A460="Standard",(IF(ISBLANK('Ingest Template'!AA460),"", 'Ingest Template'!AA460&amp;"|DAR")),(IF(ISBLANK('Ingest Template'!AA460),"", 'Ingest Template'!AA460&amp;"|Film Ops")))</f>
        <v/>
      </c>
      <c r="AA460" s="21"/>
      <c r="AB460" s="21" t="str">
        <f>'Ingest Template'!M460</f>
        <v/>
      </c>
      <c r="AC460" s="21" t="str">
        <f>'Ingest Template'!Y460</f>
        <v/>
      </c>
      <c r="AD460" s="21" t="str">
        <f>'Ingest Template'!C460</f>
        <v/>
      </c>
      <c r="AE460" s="21" t="str">
        <f>'Ingest Template'!Z460</f>
        <v/>
      </c>
      <c r="AF460" s="29"/>
      <c r="AG460" s="21" t="str">
        <f t="array" ref="AG460">IF('Ingest Template'!A460="Standard",(CONCATENATE(IF(ISBLANK('Ingest Template'!O460),"", 'Ingest Template'!O460&amp;"|DAR"),CHAR(10), IF(ISBLANK('Ingest Template'!P460),"", 'Ingest Template'!P460&amp;"|DAR"),CHAR(10), IF(ISBLANK('Ingest Template'!Q460),"", 'Ingest Template'!Q460&amp;"|DAR"))),(CONCATENATE(IF(ISBLANK('Ingest Template'!O460),"", 'Ingest Template'!O460&amp;"|Operations - Core Title"),CHAR(10), IF(ISBLANK('Ingest Template'!P460),"", 'Ingest Template'!P460&amp;"|Operations - Core Title"),CHAR(10), IF(ISBLANK('Ingest Template'!Q460),"", 'Ingest Template'!Q460&amp;"|Operations - Core Title"))))</f>
        <v>#|Operations - Core Title
#|Operations - Core Title
</v>
      </c>
      <c r="AH460" s="21"/>
      <c r="AI460" s="21"/>
      <c r="AJ460" s="53" t="str">
        <f>if('Ingest Template'!A460="Standard",'Ingest Template'!N460&amp; "|DAR|DAR|2021-01-01",'Ingest Template'!N460&amp; "|Operations - Core Title|Operations - Core Title")</f>
        <v>#N/A</v>
      </c>
      <c r="AK460" s="53" t="str">
        <f>if('Ingest Template'!A460="Standard",'Ingest Template'!R460&amp; "|2021-01-01",'Ingest Template'!R460)</f>
        <v>#N/A</v>
      </c>
      <c r="AL460" s="21"/>
      <c r="AM460" s="21"/>
    </row>
    <row r="461">
      <c r="A461" s="21"/>
      <c r="B461" s="21" t="str">
        <f>'Ingest Template'!B461&amp;IF('Ingest Template'!A461 = "Standard", " - DAR","")</f>
        <v/>
      </c>
      <c r="C461" s="26" t="s">
        <v>109</v>
      </c>
      <c r="D461" s="29" t="str">
        <f t="array" ref="D461">CONCATENATE(INDEX(DropDown!$H$2:$H$10,MATCH(1,COUNTIF('Ingest Template'!F461,"*"&amp;DropDown!$H$2:$H$10&amp;"*"),0)),CHAR(10),'Ingest Template'!G461)</f>
        <v>#N/A</v>
      </c>
      <c r="E461" s="21" t="str">
        <f>CONCATENATE('Ingest Template'!H461,CHAR(10),'Ingest Template'!I461,CHAR(10),'Ingest Template'!J461)</f>
        <v>
</v>
      </c>
      <c r="F461" s="26" t="str">
        <f>'Ingest Template'!H461</f>
        <v/>
      </c>
      <c r="G461" s="21"/>
      <c r="H461" s="29"/>
      <c r="I461" s="21"/>
      <c r="J461" s="29" t="str">
        <f t="array" ref="J461">iF('Ingest Template'!A461="Standard","Pristine Brand",INDEX(DropDown!$M$2:$M$392,MATCH('Ingest Template'!E461,DropDown!$J$2:$J$392,0)))</f>
        <v>#N/A</v>
      </c>
      <c r="K461" s="21" t="str">
        <f>iF('Ingest Template'!A461="Standard",'Ingest Template'!K461&amp;CHAR(10)&amp;'Ingest Template'!L461,"Competitive View")</f>
        <v>Competitive View</v>
      </c>
      <c r="L461" s="29" t="s">
        <v>146</v>
      </c>
      <c r="M461" s="37" t="str">
        <f>'Ingest Template'!D461</f>
        <v/>
      </c>
      <c r="N461" s="21"/>
      <c r="O461" s="21"/>
      <c r="P461" s="21"/>
      <c r="Q461" s="21"/>
      <c r="R461" s="21" t="str">
        <f>'Ingest Template'!E461</f>
        <v/>
      </c>
      <c r="S461" s="29" t="s">
        <v>153</v>
      </c>
      <c r="T461" s="21" t="str">
        <f>'Ingest Template'!T461</f>
        <v/>
      </c>
      <c r="U461" s="21" t="str">
        <f>'Ingest Template'!S461</f>
        <v/>
      </c>
      <c r="V461" s="21" t="str">
        <f>LOWER(SUBSTITUTE(SUBSTITUTE(SUBSTITUTE(SUBSTITUTE(SUBSTITUTE('Ingest Template'!U461,"https:",""),"www.",""),"/",""),"?hl=en",""),"instagram.com",""))</f>
        <v/>
      </c>
      <c r="W461" s="41" t="str">
        <f t="array" ref="W461">IF('Ingest Template'!V461="",(INDEX(DropDown!$L$2:$L$392,MATCH('Ingest Template'!E461,DropDown!$J$2:$J$392,0))&amp;"|"&amp;'Ingest Template'!B461),(INDEX(DropDown!$L$2:$L$392,MATCH('Ingest Template'!E461,DropDown!$J$2:$J$392,0))&amp;"|"&amp;'Ingest Template'!B461)&amp;CHAR(10)&amp;'Ingest Template'!V461)</f>
        <v>#N/A</v>
      </c>
      <c r="X461" s="41" t="str">
        <f>'Ingest Template'!W461</f>
        <v/>
      </c>
      <c r="Y461" s="21" t="str">
        <f>SUBSTITUTE(SUBSTITUTE(SUBSTITUTE('Ingest Template'!X461,"http:",""),"https:",""),"/","")</f>
        <v/>
      </c>
      <c r="Z461" s="21" t="str">
        <f t="array" ref="Z461">IF('Ingest Template'!A461="Standard",(IF(ISBLANK('Ingest Template'!AA461),"", 'Ingest Template'!AA461&amp;"|DAR")),(IF(ISBLANK('Ingest Template'!AA461),"", 'Ingest Template'!AA461&amp;"|Film Ops")))</f>
        <v/>
      </c>
      <c r="AA461" s="21"/>
      <c r="AB461" s="21" t="str">
        <f>'Ingest Template'!M461</f>
        <v/>
      </c>
      <c r="AC461" s="21" t="str">
        <f>'Ingest Template'!Y461</f>
        <v/>
      </c>
      <c r="AD461" s="21" t="str">
        <f>'Ingest Template'!C461</f>
        <v/>
      </c>
      <c r="AE461" s="21" t="str">
        <f>'Ingest Template'!Z461</f>
        <v/>
      </c>
      <c r="AF461" s="29"/>
      <c r="AG461" s="21" t="str">
        <f t="array" ref="AG461">IF('Ingest Template'!A461="Standard",(CONCATENATE(IF(ISBLANK('Ingest Template'!O461),"", 'Ingest Template'!O461&amp;"|DAR"),CHAR(10), IF(ISBLANK('Ingest Template'!P461),"", 'Ingest Template'!P461&amp;"|DAR"),CHAR(10), IF(ISBLANK('Ingest Template'!Q461),"", 'Ingest Template'!Q461&amp;"|DAR"))),(CONCATENATE(IF(ISBLANK('Ingest Template'!O461),"", 'Ingest Template'!O461&amp;"|Operations - Core Title"),CHAR(10), IF(ISBLANK('Ingest Template'!P461),"", 'Ingest Template'!P461&amp;"|Operations - Core Title"),CHAR(10), IF(ISBLANK('Ingest Template'!Q461),"", 'Ingest Template'!Q461&amp;"|Operations - Core Title"))))</f>
        <v>#|Operations - Core Title
#|Operations - Core Title
</v>
      </c>
      <c r="AH461" s="21"/>
      <c r="AI461" s="21"/>
      <c r="AJ461" s="53" t="str">
        <f>if('Ingest Template'!A461="Standard",'Ingest Template'!N461&amp; "|DAR|DAR|2021-01-01",'Ingest Template'!N461&amp; "|Operations - Core Title|Operations - Core Title")</f>
        <v>#N/A</v>
      </c>
      <c r="AK461" s="53" t="str">
        <f>if('Ingest Template'!A461="Standard",'Ingest Template'!R461&amp; "|2021-01-01",'Ingest Template'!R461)</f>
        <v>#N/A</v>
      </c>
      <c r="AL461" s="21"/>
      <c r="AM461" s="21"/>
    </row>
    <row r="462">
      <c r="A462" s="21"/>
      <c r="B462" s="21" t="str">
        <f>'Ingest Template'!B462&amp;IF('Ingest Template'!A462 = "Standard", " - DAR","")</f>
        <v/>
      </c>
      <c r="C462" s="26" t="s">
        <v>109</v>
      </c>
      <c r="D462" s="29" t="str">
        <f t="array" ref="D462">CONCATENATE(INDEX(DropDown!$H$2:$H$10,MATCH(1,COUNTIF('Ingest Template'!F462,"*"&amp;DropDown!$H$2:$H$10&amp;"*"),0)),CHAR(10),'Ingest Template'!G462)</f>
        <v>#N/A</v>
      </c>
      <c r="E462" s="21" t="str">
        <f>CONCATENATE('Ingest Template'!H462,CHAR(10),'Ingest Template'!I462,CHAR(10),'Ingest Template'!J462)</f>
        <v>
</v>
      </c>
      <c r="F462" s="26" t="str">
        <f>'Ingest Template'!H462</f>
        <v/>
      </c>
      <c r="G462" s="21"/>
      <c r="H462" s="29"/>
      <c r="I462" s="21"/>
      <c r="J462" s="29" t="str">
        <f t="array" ref="J462">iF('Ingest Template'!A462="Standard","Pristine Brand",INDEX(DropDown!$M$2:$M$392,MATCH('Ingest Template'!E462,DropDown!$J$2:$J$392,0)))</f>
        <v>#N/A</v>
      </c>
      <c r="K462" s="21" t="str">
        <f>iF('Ingest Template'!A462="Standard",'Ingest Template'!K462&amp;CHAR(10)&amp;'Ingest Template'!L462,"Competitive View")</f>
        <v>Competitive View</v>
      </c>
      <c r="L462" s="29" t="s">
        <v>146</v>
      </c>
      <c r="M462" s="37" t="str">
        <f>'Ingest Template'!D462</f>
        <v/>
      </c>
      <c r="N462" s="21"/>
      <c r="O462" s="21"/>
      <c r="P462" s="21"/>
      <c r="Q462" s="21"/>
      <c r="R462" s="21" t="str">
        <f>'Ingest Template'!E462</f>
        <v/>
      </c>
      <c r="S462" s="29" t="s">
        <v>153</v>
      </c>
      <c r="T462" s="21" t="str">
        <f>'Ingest Template'!T462</f>
        <v/>
      </c>
      <c r="U462" s="21" t="str">
        <f>'Ingest Template'!S462</f>
        <v/>
      </c>
      <c r="V462" s="21" t="str">
        <f>LOWER(SUBSTITUTE(SUBSTITUTE(SUBSTITUTE(SUBSTITUTE(SUBSTITUTE('Ingest Template'!U462,"https:",""),"www.",""),"/",""),"?hl=en",""),"instagram.com",""))</f>
        <v/>
      </c>
      <c r="W462" s="41" t="str">
        <f t="array" ref="W462">IF('Ingest Template'!V462="",(INDEX(DropDown!$L$2:$L$392,MATCH('Ingest Template'!E462,DropDown!$J$2:$J$392,0))&amp;"|"&amp;'Ingest Template'!B462),(INDEX(DropDown!$L$2:$L$392,MATCH('Ingest Template'!E462,DropDown!$J$2:$J$392,0))&amp;"|"&amp;'Ingest Template'!B462)&amp;CHAR(10)&amp;'Ingest Template'!V462)</f>
        <v>#N/A</v>
      </c>
      <c r="X462" s="41" t="str">
        <f>'Ingest Template'!W462</f>
        <v/>
      </c>
      <c r="Y462" s="21" t="str">
        <f>SUBSTITUTE(SUBSTITUTE(SUBSTITUTE('Ingest Template'!X462,"http:",""),"https:",""),"/","")</f>
        <v/>
      </c>
      <c r="Z462" s="21" t="str">
        <f t="array" ref="Z462">IF('Ingest Template'!A462="Standard",(IF(ISBLANK('Ingest Template'!AA462),"", 'Ingest Template'!AA462&amp;"|DAR")),(IF(ISBLANK('Ingest Template'!AA462),"", 'Ingest Template'!AA462&amp;"|Film Ops")))</f>
        <v/>
      </c>
      <c r="AA462" s="21"/>
      <c r="AB462" s="21" t="str">
        <f>'Ingest Template'!M462</f>
        <v/>
      </c>
      <c r="AC462" s="21" t="str">
        <f>'Ingest Template'!Y462</f>
        <v/>
      </c>
      <c r="AD462" s="21" t="str">
        <f>'Ingest Template'!C462</f>
        <v/>
      </c>
      <c r="AE462" s="21" t="str">
        <f>'Ingest Template'!Z462</f>
        <v/>
      </c>
      <c r="AF462" s="29"/>
      <c r="AG462" s="21" t="str">
        <f t="array" ref="AG462">IF('Ingest Template'!A462="Standard",(CONCATENATE(IF(ISBLANK('Ingest Template'!O462),"", 'Ingest Template'!O462&amp;"|DAR"),CHAR(10), IF(ISBLANK('Ingest Template'!P462),"", 'Ingest Template'!P462&amp;"|DAR"),CHAR(10), IF(ISBLANK('Ingest Template'!Q462),"", 'Ingest Template'!Q462&amp;"|DAR"))),(CONCATENATE(IF(ISBLANK('Ingest Template'!O462),"", 'Ingest Template'!O462&amp;"|Operations - Core Title"),CHAR(10), IF(ISBLANK('Ingest Template'!P462),"", 'Ingest Template'!P462&amp;"|Operations - Core Title"),CHAR(10), IF(ISBLANK('Ingest Template'!Q462),"", 'Ingest Template'!Q462&amp;"|Operations - Core Title"))))</f>
        <v>#|Operations - Core Title
#|Operations - Core Title
</v>
      </c>
      <c r="AH462" s="21"/>
      <c r="AI462" s="21"/>
      <c r="AJ462" s="53" t="str">
        <f>if('Ingest Template'!A462="Standard",'Ingest Template'!N462&amp; "|DAR|DAR|2021-01-01",'Ingest Template'!N462&amp; "|Operations - Core Title|Operations - Core Title")</f>
        <v>#N/A</v>
      </c>
      <c r="AK462" s="53" t="str">
        <f>if('Ingest Template'!A462="Standard",'Ingest Template'!R462&amp; "|2021-01-01",'Ingest Template'!R462)</f>
        <v>#N/A</v>
      </c>
      <c r="AL462" s="21"/>
      <c r="AM462" s="21"/>
    </row>
    <row r="463">
      <c r="A463" s="21"/>
      <c r="B463" s="21" t="str">
        <f>'Ingest Template'!B463&amp;IF('Ingest Template'!A463 = "Standard", " - DAR","")</f>
        <v/>
      </c>
      <c r="C463" s="26" t="s">
        <v>109</v>
      </c>
      <c r="D463" s="29" t="str">
        <f t="array" ref="D463">CONCATENATE(INDEX(DropDown!$H$2:$H$10,MATCH(1,COUNTIF('Ingest Template'!F463,"*"&amp;DropDown!$H$2:$H$10&amp;"*"),0)),CHAR(10),'Ingest Template'!G463)</f>
        <v>#N/A</v>
      </c>
      <c r="E463" s="21" t="str">
        <f>CONCATENATE('Ingest Template'!H463,CHAR(10),'Ingest Template'!I463,CHAR(10),'Ingest Template'!J463)</f>
        <v>
</v>
      </c>
      <c r="F463" s="26" t="str">
        <f>'Ingest Template'!H463</f>
        <v/>
      </c>
      <c r="G463" s="21"/>
      <c r="H463" s="29"/>
      <c r="I463" s="21"/>
      <c r="J463" s="29" t="str">
        <f t="array" ref="J463">iF('Ingest Template'!A463="Standard","Pristine Brand",INDEX(DropDown!$M$2:$M$392,MATCH('Ingest Template'!E463,DropDown!$J$2:$J$392,0)))</f>
        <v>#N/A</v>
      </c>
      <c r="K463" s="21" t="str">
        <f>iF('Ingest Template'!A463="Standard",'Ingest Template'!K463&amp;CHAR(10)&amp;'Ingest Template'!L463,"Competitive View")</f>
        <v>Competitive View</v>
      </c>
      <c r="L463" s="29" t="s">
        <v>146</v>
      </c>
      <c r="M463" s="37" t="str">
        <f>'Ingest Template'!D463</f>
        <v/>
      </c>
      <c r="N463" s="21"/>
      <c r="O463" s="21"/>
      <c r="P463" s="21"/>
      <c r="Q463" s="21"/>
      <c r="R463" s="21" t="str">
        <f>'Ingest Template'!E463</f>
        <v/>
      </c>
      <c r="S463" s="29" t="s">
        <v>153</v>
      </c>
      <c r="T463" s="21" t="str">
        <f>'Ingest Template'!T463</f>
        <v/>
      </c>
      <c r="U463" s="21" t="str">
        <f>'Ingest Template'!S463</f>
        <v/>
      </c>
      <c r="V463" s="21" t="str">
        <f>LOWER(SUBSTITUTE(SUBSTITUTE(SUBSTITUTE(SUBSTITUTE(SUBSTITUTE('Ingest Template'!U463,"https:",""),"www.",""),"/",""),"?hl=en",""),"instagram.com",""))</f>
        <v/>
      </c>
      <c r="W463" s="41" t="str">
        <f t="array" ref="W463">IF('Ingest Template'!V463="",(INDEX(DropDown!$L$2:$L$392,MATCH('Ingest Template'!E463,DropDown!$J$2:$J$392,0))&amp;"|"&amp;'Ingest Template'!B463),(INDEX(DropDown!$L$2:$L$392,MATCH('Ingest Template'!E463,DropDown!$J$2:$J$392,0))&amp;"|"&amp;'Ingest Template'!B463)&amp;CHAR(10)&amp;'Ingest Template'!V463)</f>
        <v>#N/A</v>
      </c>
      <c r="X463" s="41" t="str">
        <f>'Ingest Template'!W463</f>
        <v/>
      </c>
      <c r="Y463" s="21" t="str">
        <f>SUBSTITUTE(SUBSTITUTE(SUBSTITUTE('Ingest Template'!X463,"http:",""),"https:",""),"/","")</f>
        <v/>
      </c>
      <c r="Z463" s="21" t="str">
        <f t="array" ref="Z463">IF('Ingest Template'!A463="Standard",(IF(ISBLANK('Ingest Template'!AA463),"", 'Ingest Template'!AA463&amp;"|DAR")),(IF(ISBLANK('Ingest Template'!AA463),"", 'Ingest Template'!AA463&amp;"|Film Ops")))</f>
        <v/>
      </c>
      <c r="AA463" s="21"/>
      <c r="AB463" s="21" t="str">
        <f>'Ingest Template'!M463</f>
        <v/>
      </c>
      <c r="AC463" s="21" t="str">
        <f>'Ingest Template'!Y463</f>
        <v/>
      </c>
      <c r="AD463" s="21" t="str">
        <f>'Ingest Template'!C463</f>
        <v/>
      </c>
      <c r="AE463" s="21" t="str">
        <f>'Ingest Template'!Z463</f>
        <v/>
      </c>
      <c r="AF463" s="29"/>
      <c r="AG463" s="21" t="str">
        <f t="array" ref="AG463">IF('Ingest Template'!A463="Standard",(CONCATENATE(IF(ISBLANK('Ingest Template'!O463),"", 'Ingest Template'!O463&amp;"|DAR"),CHAR(10), IF(ISBLANK('Ingest Template'!P463),"", 'Ingest Template'!P463&amp;"|DAR"),CHAR(10), IF(ISBLANK('Ingest Template'!Q463),"", 'Ingest Template'!Q463&amp;"|DAR"))),(CONCATENATE(IF(ISBLANK('Ingest Template'!O463),"", 'Ingest Template'!O463&amp;"|Operations - Core Title"),CHAR(10), IF(ISBLANK('Ingest Template'!P463),"", 'Ingest Template'!P463&amp;"|Operations - Core Title"),CHAR(10), IF(ISBLANK('Ingest Template'!Q463),"", 'Ingest Template'!Q463&amp;"|Operations - Core Title"))))</f>
        <v>#|Operations - Core Title
#|Operations - Core Title
</v>
      </c>
      <c r="AH463" s="21"/>
      <c r="AI463" s="21"/>
      <c r="AJ463" s="53" t="str">
        <f>if('Ingest Template'!A463="Standard",'Ingest Template'!N463&amp; "|DAR|DAR|2021-01-01",'Ingest Template'!N463&amp; "|Operations - Core Title|Operations - Core Title")</f>
        <v>#N/A</v>
      </c>
      <c r="AK463" s="53" t="str">
        <f>if('Ingest Template'!A463="Standard",'Ingest Template'!R463&amp; "|2021-01-01",'Ingest Template'!R463)</f>
        <v>#N/A</v>
      </c>
      <c r="AL463" s="21"/>
      <c r="AM463" s="21"/>
    </row>
    <row r="464">
      <c r="A464" s="21"/>
      <c r="B464" s="21" t="str">
        <f>'Ingest Template'!B464&amp;IF('Ingest Template'!A464 = "Standard", " - DAR","")</f>
        <v/>
      </c>
      <c r="C464" s="26" t="s">
        <v>109</v>
      </c>
      <c r="D464" s="29" t="str">
        <f t="array" ref="D464">CONCATENATE(INDEX(DropDown!$H$2:$H$10,MATCH(1,COUNTIF('Ingest Template'!F464,"*"&amp;DropDown!$H$2:$H$10&amp;"*"),0)),CHAR(10),'Ingest Template'!G464)</f>
        <v>#N/A</v>
      </c>
      <c r="E464" s="21" t="str">
        <f>CONCATENATE('Ingest Template'!H464,CHAR(10),'Ingest Template'!I464,CHAR(10),'Ingest Template'!J464)</f>
        <v>
</v>
      </c>
      <c r="F464" s="26" t="str">
        <f>'Ingest Template'!H464</f>
        <v/>
      </c>
      <c r="G464" s="21"/>
      <c r="H464" s="29"/>
      <c r="I464" s="21"/>
      <c r="J464" s="29" t="str">
        <f t="array" ref="J464">iF('Ingest Template'!A464="Standard","Pristine Brand",INDEX(DropDown!$M$2:$M$392,MATCH('Ingest Template'!E464,DropDown!$J$2:$J$392,0)))</f>
        <v>#N/A</v>
      </c>
      <c r="K464" s="21" t="str">
        <f>iF('Ingest Template'!A464="Standard",'Ingest Template'!K464&amp;CHAR(10)&amp;'Ingest Template'!L464,"Competitive View")</f>
        <v>Competitive View</v>
      </c>
      <c r="L464" s="29" t="s">
        <v>146</v>
      </c>
      <c r="M464" s="37" t="str">
        <f>'Ingest Template'!D464</f>
        <v/>
      </c>
      <c r="N464" s="21"/>
      <c r="O464" s="21"/>
      <c r="P464" s="21"/>
      <c r="Q464" s="21"/>
      <c r="R464" s="21" t="str">
        <f>'Ingest Template'!E464</f>
        <v/>
      </c>
      <c r="S464" s="29" t="s">
        <v>153</v>
      </c>
      <c r="T464" s="21" t="str">
        <f>'Ingest Template'!T464</f>
        <v/>
      </c>
      <c r="U464" s="21" t="str">
        <f>'Ingest Template'!S464</f>
        <v/>
      </c>
      <c r="V464" s="21" t="str">
        <f>LOWER(SUBSTITUTE(SUBSTITUTE(SUBSTITUTE(SUBSTITUTE(SUBSTITUTE('Ingest Template'!U464,"https:",""),"www.",""),"/",""),"?hl=en",""),"instagram.com",""))</f>
        <v/>
      </c>
      <c r="W464" s="41" t="str">
        <f t="array" ref="W464">IF('Ingest Template'!V464="",(INDEX(DropDown!$L$2:$L$392,MATCH('Ingest Template'!E464,DropDown!$J$2:$J$392,0))&amp;"|"&amp;'Ingest Template'!B464),(INDEX(DropDown!$L$2:$L$392,MATCH('Ingest Template'!E464,DropDown!$J$2:$J$392,0))&amp;"|"&amp;'Ingest Template'!B464)&amp;CHAR(10)&amp;'Ingest Template'!V464)</f>
        <v>#N/A</v>
      </c>
      <c r="X464" s="41" t="str">
        <f>'Ingest Template'!W464</f>
        <v/>
      </c>
      <c r="Y464" s="21" t="str">
        <f>SUBSTITUTE(SUBSTITUTE(SUBSTITUTE('Ingest Template'!X464,"http:",""),"https:",""),"/","")</f>
        <v/>
      </c>
      <c r="Z464" s="21" t="str">
        <f t="array" ref="Z464">IF('Ingest Template'!A464="Standard",(IF(ISBLANK('Ingest Template'!AA464),"", 'Ingest Template'!AA464&amp;"|DAR")),(IF(ISBLANK('Ingest Template'!AA464),"", 'Ingest Template'!AA464&amp;"|Film Ops")))</f>
        <v/>
      </c>
      <c r="AA464" s="21"/>
      <c r="AB464" s="21" t="str">
        <f>'Ingest Template'!M464</f>
        <v/>
      </c>
      <c r="AC464" s="21" t="str">
        <f>'Ingest Template'!Y464</f>
        <v/>
      </c>
      <c r="AD464" s="21" t="str">
        <f>'Ingest Template'!C464</f>
        <v/>
      </c>
      <c r="AE464" s="21" t="str">
        <f>'Ingest Template'!Z464</f>
        <v/>
      </c>
      <c r="AF464" s="29"/>
      <c r="AG464" s="21" t="str">
        <f t="array" ref="AG464">IF('Ingest Template'!A464="Standard",(CONCATENATE(IF(ISBLANK('Ingest Template'!O464),"", 'Ingest Template'!O464&amp;"|DAR"),CHAR(10), IF(ISBLANK('Ingest Template'!P464),"", 'Ingest Template'!P464&amp;"|DAR"),CHAR(10), IF(ISBLANK('Ingest Template'!Q464),"", 'Ingest Template'!Q464&amp;"|DAR"))),(CONCATENATE(IF(ISBLANK('Ingest Template'!O464),"", 'Ingest Template'!O464&amp;"|Operations - Core Title"),CHAR(10), IF(ISBLANK('Ingest Template'!P464),"", 'Ingest Template'!P464&amp;"|Operations - Core Title"),CHAR(10), IF(ISBLANK('Ingest Template'!Q464),"", 'Ingest Template'!Q464&amp;"|Operations - Core Title"))))</f>
        <v>#|Operations - Core Title
#|Operations - Core Title
</v>
      </c>
      <c r="AH464" s="21"/>
      <c r="AI464" s="21"/>
      <c r="AJ464" s="53" t="str">
        <f>if('Ingest Template'!A464="Standard",'Ingest Template'!N464&amp; "|DAR|DAR|2021-01-01",'Ingest Template'!N464&amp; "|Operations - Core Title|Operations - Core Title")</f>
        <v>#N/A</v>
      </c>
      <c r="AK464" s="53" t="str">
        <f>if('Ingest Template'!A464="Standard",'Ingest Template'!R464&amp; "|2021-01-01",'Ingest Template'!R464)</f>
        <v>#N/A</v>
      </c>
      <c r="AL464" s="21"/>
      <c r="AM464" s="21"/>
    </row>
    <row r="465">
      <c r="A465" s="21"/>
      <c r="B465" s="21" t="str">
        <f>'Ingest Template'!B465&amp;IF('Ingest Template'!A465 = "Standard", " - DAR","")</f>
        <v/>
      </c>
      <c r="C465" s="26" t="s">
        <v>109</v>
      </c>
      <c r="D465" s="29" t="str">
        <f t="array" ref="D465">CONCATENATE(INDEX(DropDown!$H$2:$H$10,MATCH(1,COUNTIF('Ingest Template'!F465,"*"&amp;DropDown!$H$2:$H$10&amp;"*"),0)),CHAR(10),'Ingest Template'!G465)</f>
        <v>#N/A</v>
      </c>
      <c r="E465" s="21" t="str">
        <f>CONCATENATE('Ingest Template'!H465,CHAR(10),'Ingest Template'!I465,CHAR(10),'Ingest Template'!J465)</f>
        <v>
</v>
      </c>
      <c r="F465" s="26" t="str">
        <f>'Ingest Template'!H465</f>
        <v/>
      </c>
      <c r="G465" s="21"/>
      <c r="H465" s="29"/>
      <c r="I465" s="21"/>
      <c r="J465" s="29" t="str">
        <f t="array" ref="J465">iF('Ingest Template'!A465="Standard","Pristine Brand",INDEX(DropDown!$M$2:$M$392,MATCH('Ingest Template'!E465,DropDown!$J$2:$J$392,0)))</f>
        <v>#N/A</v>
      </c>
      <c r="K465" s="21" t="str">
        <f>iF('Ingest Template'!A465="Standard",'Ingest Template'!K465&amp;CHAR(10)&amp;'Ingest Template'!L465,"Competitive View")</f>
        <v>Competitive View</v>
      </c>
      <c r="L465" s="29" t="s">
        <v>146</v>
      </c>
      <c r="M465" s="37" t="str">
        <f>'Ingest Template'!D465</f>
        <v/>
      </c>
      <c r="N465" s="21"/>
      <c r="O465" s="21"/>
      <c r="P465" s="21"/>
      <c r="Q465" s="21"/>
      <c r="R465" s="21" t="str">
        <f>'Ingest Template'!E465</f>
        <v/>
      </c>
      <c r="S465" s="29" t="s">
        <v>153</v>
      </c>
      <c r="T465" s="21" t="str">
        <f>'Ingest Template'!T465</f>
        <v/>
      </c>
      <c r="U465" s="21" t="str">
        <f>'Ingest Template'!S465</f>
        <v/>
      </c>
      <c r="V465" s="21" t="str">
        <f>LOWER(SUBSTITUTE(SUBSTITUTE(SUBSTITUTE(SUBSTITUTE(SUBSTITUTE('Ingest Template'!U465,"https:",""),"www.",""),"/",""),"?hl=en",""),"instagram.com",""))</f>
        <v/>
      </c>
      <c r="W465" s="41" t="str">
        <f t="array" ref="W465">IF('Ingest Template'!V465="",(INDEX(DropDown!$L$2:$L$392,MATCH('Ingest Template'!E465,DropDown!$J$2:$J$392,0))&amp;"|"&amp;'Ingest Template'!B465),(INDEX(DropDown!$L$2:$L$392,MATCH('Ingest Template'!E465,DropDown!$J$2:$J$392,0))&amp;"|"&amp;'Ingest Template'!B465)&amp;CHAR(10)&amp;'Ingest Template'!V465)</f>
        <v>#N/A</v>
      </c>
      <c r="X465" s="41" t="str">
        <f>'Ingest Template'!W465</f>
        <v/>
      </c>
      <c r="Y465" s="21" t="str">
        <f>SUBSTITUTE(SUBSTITUTE(SUBSTITUTE('Ingest Template'!X465,"http:",""),"https:",""),"/","")</f>
        <v/>
      </c>
      <c r="Z465" s="21" t="str">
        <f t="array" ref="Z465">IF('Ingest Template'!A465="Standard",(IF(ISBLANK('Ingest Template'!AA465),"", 'Ingest Template'!AA465&amp;"|DAR")),(IF(ISBLANK('Ingest Template'!AA465),"", 'Ingest Template'!AA465&amp;"|Film Ops")))</f>
        <v/>
      </c>
      <c r="AA465" s="21"/>
      <c r="AB465" s="21" t="str">
        <f>'Ingest Template'!M465</f>
        <v/>
      </c>
      <c r="AC465" s="21" t="str">
        <f>'Ingest Template'!Y465</f>
        <v/>
      </c>
      <c r="AD465" s="21" t="str">
        <f>'Ingest Template'!C465</f>
        <v/>
      </c>
      <c r="AE465" s="21" t="str">
        <f>'Ingest Template'!Z465</f>
        <v/>
      </c>
      <c r="AF465" s="29"/>
      <c r="AG465" s="21" t="str">
        <f t="array" ref="AG465">IF('Ingest Template'!A465="Standard",(CONCATENATE(IF(ISBLANK('Ingest Template'!O465),"", 'Ingest Template'!O465&amp;"|DAR"),CHAR(10), IF(ISBLANK('Ingest Template'!P465),"", 'Ingest Template'!P465&amp;"|DAR"),CHAR(10), IF(ISBLANK('Ingest Template'!Q465),"", 'Ingest Template'!Q465&amp;"|DAR"))),(CONCATENATE(IF(ISBLANK('Ingest Template'!O465),"", 'Ingest Template'!O465&amp;"|Operations - Core Title"),CHAR(10), IF(ISBLANK('Ingest Template'!P465),"", 'Ingest Template'!P465&amp;"|Operations - Core Title"),CHAR(10), IF(ISBLANK('Ingest Template'!Q465),"", 'Ingest Template'!Q465&amp;"|Operations - Core Title"))))</f>
        <v>#|Operations - Core Title
#|Operations - Core Title
</v>
      </c>
      <c r="AH465" s="21"/>
      <c r="AI465" s="21"/>
      <c r="AJ465" s="53" t="str">
        <f>if('Ingest Template'!A465="Standard",'Ingest Template'!N465&amp; "|DAR|DAR|2021-01-01",'Ingest Template'!N465&amp; "|Operations - Core Title|Operations - Core Title")</f>
        <v>#N/A</v>
      </c>
      <c r="AK465" s="53" t="str">
        <f>if('Ingest Template'!A465="Standard",'Ingest Template'!R465&amp; "|2021-01-01",'Ingest Template'!R465)</f>
        <v>#N/A</v>
      </c>
      <c r="AL465" s="21"/>
      <c r="AM465" s="21"/>
    </row>
    <row r="466">
      <c r="A466" s="21"/>
      <c r="B466" s="21" t="str">
        <f>'Ingest Template'!B466&amp;IF('Ingest Template'!A466 = "Standard", " - DAR","")</f>
        <v/>
      </c>
      <c r="C466" s="26" t="s">
        <v>109</v>
      </c>
      <c r="D466" s="29" t="str">
        <f t="array" ref="D466">CONCATENATE(INDEX(DropDown!$H$2:$H$10,MATCH(1,COUNTIF('Ingest Template'!F466,"*"&amp;DropDown!$H$2:$H$10&amp;"*"),0)),CHAR(10),'Ingest Template'!G466)</f>
        <v>#N/A</v>
      </c>
      <c r="E466" s="21" t="str">
        <f>CONCATENATE('Ingest Template'!H466,CHAR(10),'Ingest Template'!I466,CHAR(10),'Ingest Template'!J466)</f>
        <v>
</v>
      </c>
      <c r="F466" s="26" t="str">
        <f>'Ingest Template'!H466</f>
        <v/>
      </c>
      <c r="G466" s="21"/>
      <c r="H466" s="29"/>
      <c r="I466" s="21"/>
      <c r="J466" s="29" t="str">
        <f t="array" ref="J466">iF('Ingest Template'!A466="Standard","Pristine Brand",INDEX(DropDown!$M$2:$M$392,MATCH('Ingest Template'!E466,DropDown!$J$2:$J$392,0)))</f>
        <v>#N/A</v>
      </c>
      <c r="K466" s="21" t="str">
        <f>iF('Ingest Template'!A466="Standard",'Ingest Template'!K466&amp;CHAR(10)&amp;'Ingest Template'!L466,"Competitive View")</f>
        <v>Competitive View</v>
      </c>
      <c r="L466" s="29" t="s">
        <v>146</v>
      </c>
      <c r="M466" s="37" t="str">
        <f>'Ingest Template'!D466</f>
        <v/>
      </c>
      <c r="N466" s="21"/>
      <c r="O466" s="21"/>
      <c r="P466" s="21"/>
      <c r="Q466" s="21"/>
      <c r="R466" s="21" t="str">
        <f>'Ingest Template'!E466</f>
        <v/>
      </c>
      <c r="S466" s="29" t="s">
        <v>153</v>
      </c>
      <c r="T466" s="21" t="str">
        <f>'Ingest Template'!T466</f>
        <v/>
      </c>
      <c r="U466" s="21" t="str">
        <f>'Ingest Template'!S466</f>
        <v/>
      </c>
      <c r="V466" s="21" t="str">
        <f>LOWER(SUBSTITUTE(SUBSTITUTE(SUBSTITUTE(SUBSTITUTE(SUBSTITUTE('Ingest Template'!U466,"https:",""),"www.",""),"/",""),"?hl=en",""),"instagram.com",""))</f>
        <v/>
      </c>
      <c r="W466" s="41" t="str">
        <f t="array" ref="W466">IF('Ingest Template'!V466="",(INDEX(DropDown!$L$2:$L$392,MATCH('Ingest Template'!E466,DropDown!$J$2:$J$392,0))&amp;"|"&amp;'Ingest Template'!B466),(INDEX(DropDown!$L$2:$L$392,MATCH('Ingest Template'!E466,DropDown!$J$2:$J$392,0))&amp;"|"&amp;'Ingest Template'!B466)&amp;CHAR(10)&amp;'Ingest Template'!V466)</f>
        <v>#N/A</v>
      </c>
      <c r="X466" s="41" t="str">
        <f>'Ingest Template'!W466</f>
        <v/>
      </c>
      <c r="Y466" s="21" t="str">
        <f>SUBSTITUTE(SUBSTITUTE(SUBSTITUTE('Ingest Template'!X466,"http:",""),"https:",""),"/","")</f>
        <v/>
      </c>
      <c r="Z466" s="21" t="str">
        <f t="array" ref="Z466">IF('Ingest Template'!A466="Standard",(IF(ISBLANK('Ingest Template'!AA466),"", 'Ingest Template'!AA466&amp;"|DAR")),(IF(ISBLANK('Ingest Template'!AA466),"", 'Ingest Template'!AA466&amp;"|Film Ops")))</f>
        <v/>
      </c>
      <c r="AA466" s="21"/>
      <c r="AB466" s="21" t="str">
        <f>'Ingest Template'!M466</f>
        <v/>
      </c>
      <c r="AC466" s="21" t="str">
        <f>'Ingest Template'!Y466</f>
        <v/>
      </c>
      <c r="AD466" s="21" t="str">
        <f>'Ingest Template'!C466</f>
        <v/>
      </c>
      <c r="AE466" s="21" t="str">
        <f>'Ingest Template'!Z466</f>
        <v/>
      </c>
      <c r="AF466" s="29"/>
      <c r="AG466" s="21" t="str">
        <f t="array" ref="AG466">IF('Ingest Template'!A466="Standard",(CONCATENATE(IF(ISBLANK('Ingest Template'!O466),"", 'Ingest Template'!O466&amp;"|DAR"),CHAR(10), IF(ISBLANK('Ingest Template'!P466),"", 'Ingest Template'!P466&amp;"|DAR"),CHAR(10), IF(ISBLANK('Ingest Template'!Q466),"", 'Ingest Template'!Q466&amp;"|DAR"))),(CONCATENATE(IF(ISBLANK('Ingest Template'!O466),"", 'Ingest Template'!O466&amp;"|Operations - Core Title"),CHAR(10), IF(ISBLANK('Ingest Template'!P466),"", 'Ingest Template'!P466&amp;"|Operations - Core Title"),CHAR(10), IF(ISBLANK('Ingest Template'!Q466),"", 'Ingest Template'!Q466&amp;"|Operations - Core Title"))))</f>
        <v>#|Operations - Core Title
#|Operations - Core Title
</v>
      </c>
      <c r="AH466" s="21"/>
      <c r="AI466" s="21"/>
      <c r="AJ466" s="53" t="str">
        <f>if('Ingest Template'!A466="Standard",'Ingest Template'!N466&amp; "|DAR|DAR|2021-01-01",'Ingest Template'!N466&amp; "|Operations - Core Title|Operations - Core Title")</f>
        <v>#N/A</v>
      </c>
      <c r="AK466" s="53" t="str">
        <f>if('Ingest Template'!A466="Standard",'Ingest Template'!R466&amp; "|2021-01-01",'Ingest Template'!R466)</f>
        <v>#N/A</v>
      </c>
      <c r="AL466" s="21"/>
      <c r="AM466" s="21"/>
    </row>
    <row r="467">
      <c r="A467" s="21"/>
      <c r="B467" s="21" t="str">
        <f>'Ingest Template'!B467&amp;IF('Ingest Template'!A467 = "Standard", " - DAR","")</f>
        <v/>
      </c>
      <c r="C467" s="26" t="s">
        <v>109</v>
      </c>
      <c r="D467" s="29" t="str">
        <f t="array" ref="D467">CONCATENATE(INDEX(DropDown!$H$2:$H$10,MATCH(1,COUNTIF('Ingest Template'!F467,"*"&amp;DropDown!$H$2:$H$10&amp;"*"),0)),CHAR(10),'Ingest Template'!G467)</f>
        <v>#N/A</v>
      </c>
      <c r="E467" s="21" t="str">
        <f>CONCATENATE('Ingest Template'!H467,CHAR(10),'Ingest Template'!I467,CHAR(10),'Ingest Template'!J467)</f>
        <v>
</v>
      </c>
      <c r="F467" s="26" t="str">
        <f>'Ingest Template'!H467</f>
        <v/>
      </c>
      <c r="G467" s="21"/>
      <c r="H467" s="29"/>
      <c r="I467" s="21"/>
      <c r="J467" s="29" t="str">
        <f t="array" ref="J467">iF('Ingest Template'!A467="Standard","Pristine Brand",INDEX(DropDown!$M$2:$M$392,MATCH('Ingest Template'!E467,DropDown!$J$2:$J$392,0)))</f>
        <v>#N/A</v>
      </c>
      <c r="K467" s="21" t="str">
        <f>iF('Ingest Template'!A467="Standard",'Ingest Template'!K467&amp;CHAR(10)&amp;'Ingest Template'!L467,"Competitive View")</f>
        <v>Competitive View</v>
      </c>
      <c r="L467" s="29" t="s">
        <v>146</v>
      </c>
      <c r="M467" s="37" t="str">
        <f>'Ingest Template'!D467</f>
        <v/>
      </c>
      <c r="N467" s="21"/>
      <c r="O467" s="21"/>
      <c r="P467" s="21"/>
      <c r="Q467" s="21"/>
      <c r="R467" s="21" t="str">
        <f>'Ingest Template'!E467</f>
        <v/>
      </c>
      <c r="S467" s="29" t="s">
        <v>153</v>
      </c>
      <c r="T467" s="21" t="str">
        <f>'Ingest Template'!T467</f>
        <v/>
      </c>
      <c r="U467" s="21" t="str">
        <f>'Ingest Template'!S467</f>
        <v/>
      </c>
      <c r="V467" s="21" t="str">
        <f>LOWER(SUBSTITUTE(SUBSTITUTE(SUBSTITUTE(SUBSTITUTE(SUBSTITUTE('Ingest Template'!U467,"https:",""),"www.",""),"/",""),"?hl=en",""),"instagram.com",""))</f>
        <v/>
      </c>
      <c r="W467" s="41" t="str">
        <f t="array" ref="W467">IF('Ingest Template'!V467="",(INDEX(DropDown!$L$2:$L$392,MATCH('Ingest Template'!E467,DropDown!$J$2:$J$392,0))&amp;"|"&amp;'Ingest Template'!B467),(INDEX(DropDown!$L$2:$L$392,MATCH('Ingest Template'!E467,DropDown!$J$2:$J$392,0))&amp;"|"&amp;'Ingest Template'!B467)&amp;CHAR(10)&amp;'Ingest Template'!V467)</f>
        <v>#N/A</v>
      </c>
      <c r="X467" s="41" t="str">
        <f>'Ingest Template'!W467</f>
        <v/>
      </c>
      <c r="Y467" s="21" t="str">
        <f>SUBSTITUTE(SUBSTITUTE(SUBSTITUTE('Ingest Template'!X467,"http:",""),"https:",""),"/","")</f>
        <v/>
      </c>
      <c r="Z467" s="21" t="str">
        <f t="array" ref="Z467">IF('Ingest Template'!A467="Standard",(IF(ISBLANK('Ingest Template'!AA467),"", 'Ingest Template'!AA467&amp;"|DAR")),(IF(ISBLANK('Ingest Template'!AA467),"", 'Ingest Template'!AA467&amp;"|Film Ops")))</f>
        <v/>
      </c>
      <c r="AA467" s="21"/>
      <c r="AB467" s="21" t="str">
        <f>'Ingest Template'!M467</f>
        <v/>
      </c>
      <c r="AC467" s="21" t="str">
        <f>'Ingest Template'!Y467</f>
        <v/>
      </c>
      <c r="AD467" s="21" t="str">
        <f>'Ingest Template'!C467</f>
        <v/>
      </c>
      <c r="AE467" s="21" t="str">
        <f>'Ingest Template'!Z467</f>
        <v/>
      </c>
      <c r="AF467" s="29"/>
      <c r="AG467" s="21" t="str">
        <f t="array" ref="AG467">IF('Ingest Template'!A467="Standard",(CONCATENATE(IF(ISBLANK('Ingest Template'!O467),"", 'Ingest Template'!O467&amp;"|DAR"),CHAR(10), IF(ISBLANK('Ingest Template'!P467),"", 'Ingest Template'!P467&amp;"|DAR"),CHAR(10), IF(ISBLANK('Ingest Template'!Q467),"", 'Ingest Template'!Q467&amp;"|DAR"))),(CONCATENATE(IF(ISBLANK('Ingest Template'!O467),"", 'Ingest Template'!O467&amp;"|Operations - Core Title"),CHAR(10), IF(ISBLANK('Ingest Template'!P467),"", 'Ingest Template'!P467&amp;"|Operations - Core Title"),CHAR(10), IF(ISBLANK('Ingest Template'!Q467),"", 'Ingest Template'!Q467&amp;"|Operations - Core Title"))))</f>
        <v>#|Operations - Core Title
#|Operations - Core Title
</v>
      </c>
      <c r="AH467" s="21"/>
      <c r="AI467" s="21"/>
      <c r="AJ467" s="53" t="str">
        <f>if('Ingest Template'!A467="Standard",'Ingest Template'!N467&amp; "|DAR|DAR|2021-01-01",'Ingest Template'!N467&amp; "|Operations - Core Title|Operations - Core Title")</f>
        <v>#N/A</v>
      </c>
      <c r="AK467" s="53" t="str">
        <f>if('Ingest Template'!A467="Standard",'Ingest Template'!R467&amp; "|2021-01-01",'Ingest Template'!R467)</f>
        <v>#N/A</v>
      </c>
      <c r="AL467" s="21"/>
      <c r="AM467" s="21"/>
    </row>
    <row r="468">
      <c r="A468" s="21"/>
      <c r="B468" s="21" t="str">
        <f>'Ingest Template'!B468&amp;IF('Ingest Template'!A468 = "Standard", " - DAR","")</f>
        <v/>
      </c>
      <c r="C468" s="26" t="s">
        <v>109</v>
      </c>
      <c r="D468" s="29" t="str">
        <f t="array" ref="D468">CONCATENATE(INDEX(DropDown!$H$2:$H$10,MATCH(1,COUNTIF('Ingest Template'!F468,"*"&amp;DropDown!$H$2:$H$10&amp;"*"),0)),CHAR(10),'Ingest Template'!G468)</f>
        <v>#N/A</v>
      </c>
      <c r="E468" s="21" t="str">
        <f>CONCATENATE('Ingest Template'!H468,CHAR(10),'Ingest Template'!I468,CHAR(10),'Ingest Template'!J468)</f>
        <v>
</v>
      </c>
      <c r="F468" s="26" t="str">
        <f>'Ingest Template'!H468</f>
        <v/>
      </c>
      <c r="G468" s="21"/>
      <c r="H468" s="29"/>
      <c r="I468" s="21"/>
      <c r="J468" s="29" t="str">
        <f t="array" ref="J468">iF('Ingest Template'!A468="Standard","Pristine Brand",INDEX(DropDown!$M$2:$M$392,MATCH('Ingest Template'!E468,DropDown!$J$2:$J$392,0)))</f>
        <v>#N/A</v>
      </c>
      <c r="K468" s="21" t="str">
        <f>iF('Ingest Template'!A468="Standard",'Ingest Template'!K468&amp;CHAR(10)&amp;'Ingest Template'!L468,"Competitive View")</f>
        <v>Competitive View</v>
      </c>
      <c r="L468" s="29" t="s">
        <v>146</v>
      </c>
      <c r="M468" s="37" t="str">
        <f>'Ingest Template'!D468</f>
        <v/>
      </c>
      <c r="N468" s="21"/>
      <c r="O468" s="21"/>
      <c r="P468" s="21"/>
      <c r="Q468" s="21"/>
      <c r="R468" s="21" t="str">
        <f>'Ingest Template'!E468</f>
        <v/>
      </c>
      <c r="S468" s="29" t="s">
        <v>153</v>
      </c>
      <c r="T468" s="21" t="str">
        <f>'Ingest Template'!T468</f>
        <v/>
      </c>
      <c r="U468" s="21" t="str">
        <f>'Ingest Template'!S468</f>
        <v/>
      </c>
      <c r="V468" s="21" t="str">
        <f>LOWER(SUBSTITUTE(SUBSTITUTE(SUBSTITUTE(SUBSTITUTE(SUBSTITUTE('Ingest Template'!U468,"https:",""),"www.",""),"/",""),"?hl=en",""),"instagram.com",""))</f>
        <v/>
      </c>
      <c r="W468" s="41" t="str">
        <f t="array" ref="W468">IF('Ingest Template'!V468="",(INDEX(DropDown!$L$2:$L$392,MATCH('Ingest Template'!E468,DropDown!$J$2:$J$392,0))&amp;"|"&amp;'Ingest Template'!B468),(INDEX(DropDown!$L$2:$L$392,MATCH('Ingest Template'!E468,DropDown!$J$2:$J$392,0))&amp;"|"&amp;'Ingest Template'!B468)&amp;CHAR(10)&amp;'Ingest Template'!V468)</f>
        <v>#N/A</v>
      </c>
      <c r="X468" s="41" t="str">
        <f>'Ingest Template'!W468</f>
        <v/>
      </c>
      <c r="Y468" s="21" t="str">
        <f>SUBSTITUTE(SUBSTITUTE(SUBSTITUTE('Ingest Template'!X468,"http:",""),"https:",""),"/","")</f>
        <v/>
      </c>
      <c r="Z468" s="21" t="str">
        <f t="array" ref="Z468">IF('Ingest Template'!A468="Standard",(IF(ISBLANK('Ingest Template'!AA468),"", 'Ingest Template'!AA468&amp;"|DAR")),(IF(ISBLANK('Ingest Template'!AA468),"", 'Ingest Template'!AA468&amp;"|Film Ops")))</f>
        <v/>
      </c>
      <c r="AA468" s="21"/>
      <c r="AB468" s="21" t="str">
        <f>'Ingest Template'!M468</f>
        <v/>
      </c>
      <c r="AC468" s="21" t="str">
        <f>'Ingest Template'!Y468</f>
        <v/>
      </c>
      <c r="AD468" s="21" t="str">
        <f>'Ingest Template'!C468</f>
        <v/>
      </c>
      <c r="AE468" s="21" t="str">
        <f>'Ingest Template'!Z468</f>
        <v/>
      </c>
      <c r="AF468" s="29"/>
      <c r="AG468" s="21" t="str">
        <f t="array" ref="AG468">IF('Ingest Template'!A468="Standard",(CONCATENATE(IF(ISBLANK('Ingest Template'!O468),"", 'Ingest Template'!O468&amp;"|DAR"),CHAR(10), IF(ISBLANK('Ingest Template'!P468),"", 'Ingest Template'!P468&amp;"|DAR"),CHAR(10), IF(ISBLANK('Ingest Template'!Q468),"", 'Ingest Template'!Q468&amp;"|DAR"))),(CONCATENATE(IF(ISBLANK('Ingest Template'!O468),"", 'Ingest Template'!O468&amp;"|Operations - Core Title"),CHAR(10), IF(ISBLANK('Ingest Template'!P468),"", 'Ingest Template'!P468&amp;"|Operations - Core Title"),CHAR(10), IF(ISBLANK('Ingest Template'!Q468),"", 'Ingest Template'!Q468&amp;"|Operations - Core Title"))))</f>
        <v>#|Operations - Core Title
#|Operations - Core Title
</v>
      </c>
      <c r="AH468" s="21"/>
      <c r="AI468" s="21"/>
      <c r="AJ468" s="53" t="str">
        <f>if('Ingest Template'!A468="Standard",'Ingest Template'!N468&amp; "|DAR|DAR|2021-01-01",'Ingest Template'!N468&amp; "|Operations - Core Title|Operations - Core Title")</f>
        <v>#N/A</v>
      </c>
      <c r="AK468" s="53" t="str">
        <f>if('Ingest Template'!A468="Standard",'Ingest Template'!R468&amp; "|2021-01-01",'Ingest Template'!R468)</f>
        <v>#N/A</v>
      </c>
      <c r="AL468" s="21"/>
      <c r="AM468" s="21"/>
    </row>
    <row r="469">
      <c r="A469" s="21"/>
      <c r="B469" s="21" t="str">
        <f>'Ingest Template'!B469&amp;IF('Ingest Template'!A469 = "Standard", " - DAR","")</f>
        <v/>
      </c>
      <c r="C469" s="26" t="s">
        <v>109</v>
      </c>
      <c r="D469" s="29" t="str">
        <f t="array" ref="D469">CONCATENATE(INDEX(DropDown!$H$2:$H$10,MATCH(1,COUNTIF('Ingest Template'!F469,"*"&amp;DropDown!$H$2:$H$10&amp;"*"),0)),CHAR(10),'Ingest Template'!G469)</f>
        <v>#N/A</v>
      </c>
      <c r="E469" s="21" t="str">
        <f>CONCATENATE('Ingest Template'!H469,CHAR(10),'Ingest Template'!I469,CHAR(10),'Ingest Template'!J469)</f>
        <v>
</v>
      </c>
      <c r="F469" s="26" t="str">
        <f>'Ingest Template'!H469</f>
        <v/>
      </c>
      <c r="G469" s="21"/>
      <c r="H469" s="29"/>
      <c r="I469" s="21"/>
      <c r="J469" s="29" t="str">
        <f t="array" ref="J469">iF('Ingest Template'!A469="Standard","Pristine Brand",INDEX(DropDown!$M$2:$M$392,MATCH('Ingest Template'!E469,DropDown!$J$2:$J$392,0)))</f>
        <v>#N/A</v>
      </c>
      <c r="K469" s="21" t="str">
        <f>iF('Ingest Template'!A469="Standard",'Ingest Template'!K469&amp;CHAR(10)&amp;'Ingest Template'!L469,"Competitive View")</f>
        <v>Competitive View</v>
      </c>
      <c r="L469" s="29" t="s">
        <v>146</v>
      </c>
      <c r="M469" s="37" t="str">
        <f>'Ingest Template'!D469</f>
        <v/>
      </c>
      <c r="N469" s="21"/>
      <c r="O469" s="21"/>
      <c r="P469" s="21"/>
      <c r="Q469" s="21"/>
      <c r="R469" s="21" t="str">
        <f>'Ingest Template'!E469</f>
        <v/>
      </c>
      <c r="S469" s="29" t="s">
        <v>153</v>
      </c>
      <c r="T469" s="21" t="str">
        <f>'Ingest Template'!T469</f>
        <v/>
      </c>
      <c r="U469" s="21" t="str">
        <f>'Ingest Template'!S469</f>
        <v/>
      </c>
      <c r="V469" s="21" t="str">
        <f>LOWER(SUBSTITUTE(SUBSTITUTE(SUBSTITUTE(SUBSTITUTE(SUBSTITUTE('Ingest Template'!U469,"https:",""),"www.",""),"/",""),"?hl=en",""),"instagram.com",""))</f>
        <v/>
      </c>
      <c r="W469" s="41" t="str">
        <f t="array" ref="W469">IF('Ingest Template'!V469="",(INDEX(DropDown!$L$2:$L$392,MATCH('Ingest Template'!E469,DropDown!$J$2:$J$392,0))&amp;"|"&amp;'Ingest Template'!B469),(INDEX(DropDown!$L$2:$L$392,MATCH('Ingest Template'!E469,DropDown!$J$2:$J$392,0))&amp;"|"&amp;'Ingest Template'!B469)&amp;CHAR(10)&amp;'Ingest Template'!V469)</f>
        <v>#N/A</v>
      </c>
      <c r="X469" s="41" t="str">
        <f>'Ingest Template'!W469</f>
        <v/>
      </c>
      <c r="Y469" s="21" t="str">
        <f>SUBSTITUTE(SUBSTITUTE(SUBSTITUTE('Ingest Template'!X469,"http:",""),"https:",""),"/","")</f>
        <v/>
      </c>
      <c r="Z469" s="21" t="str">
        <f t="array" ref="Z469">IF('Ingest Template'!A469="Standard",(IF(ISBLANK('Ingest Template'!AA469),"", 'Ingest Template'!AA469&amp;"|DAR")),(IF(ISBLANK('Ingest Template'!AA469),"", 'Ingest Template'!AA469&amp;"|Film Ops")))</f>
        <v/>
      </c>
      <c r="AA469" s="21"/>
      <c r="AB469" s="21" t="str">
        <f>'Ingest Template'!M469</f>
        <v/>
      </c>
      <c r="AC469" s="21" t="str">
        <f>'Ingest Template'!Y469</f>
        <v/>
      </c>
      <c r="AD469" s="21" t="str">
        <f>'Ingest Template'!C469</f>
        <v/>
      </c>
      <c r="AE469" s="21" t="str">
        <f>'Ingest Template'!Z469</f>
        <v/>
      </c>
      <c r="AF469" s="29"/>
      <c r="AG469" s="21" t="str">
        <f t="array" ref="AG469">IF('Ingest Template'!A469="Standard",(CONCATENATE(IF(ISBLANK('Ingest Template'!O469),"", 'Ingest Template'!O469&amp;"|DAR"),CHAR(10), IF(ISBLANK('Ingest Template'!P469),"", 'Ingest Template'!P469&amp;"|DAR"),CHAR(10), IF(ISBLANK('Ingest Template'!Q469),"", 'Ingest Template'!Q469&amp;"|DAR"))),(CONCATENATE(IF(ISBLANK('Ingest Template'!O469),"", 'Ingest Template'!O469&amp;"|Operations - Core Title"),CHAR(10), IF(ISBLANK('Ingest Template'!P469),"", 'Ingest Template'!P469&amp;"|Operations - Core Title"),CHAR(10), IF(ISBLANK('Ingest Template'!Q469),"", 'Ingest Template'!Q469&amp;"|Operations - Core Title"))))</f>
        <v>#|Operations - Core Title
#|Operations - Core Title
</v>
      </c>
      <c r="AH469" s="21"/>
      <c r="AI469" s="21"/>
      <c r="AJ469" s="53" t="str">
        <f>if('Ingest Template'!A469="Standard",'Ingest Template'!N469&amp; "|DAR|DAR|2021-01-01",'Ingest Template'!N469&amp; "|Operations - Core Title|Operations - Core Title")</f>
        <v>#N/A</v>
      </c>
      <c r="AK469" s="53" t="str">
        <f>if('Ingest Template'!A469="Standard",'Ingest Template'!R469&amp; "|2021-01-01",'Ingest Template'!R469)</f>
        <v>#N/A</v>
      </c>
      <c r="AL469" s="21"/>
      <c r="AM469" s="21"/>
    </row>
    <row r="470">
      <c r="A470" s="21"/>
      <c r="B470" s="21" t="str">
        <f>'Ingest Template'!B470&amp;IF('Ingest Template'!A470 = "Standard", " - DAR","")</f>
        <v/>
      </c>
      <c r="C470" s="26" t="s">
        <v>109</v>
      </c>
      <c r="D470" s="29" t="str">
        <f t="array" ref="D470">CONCATENATE(INDEX(DropDown!$H$2:$H$10,MATCH(1,COUNTIF('Ingest Template'!F470,"*"&amp;DropDown!$H$2:$H$10&amp;"*"),0)),CHAR(10),'Ingest Template'!G470)</f>
        <v>#N/A</v>
      </c>
      <c r="E470" s="21" t="str">
        <f>CONCATENATE('Ingest Template'!H470,CHAR(10),'Ingest Template'!I470,CHAR(10),'Ingest Template'!J470)</f>
        <v>
</v>
      </c>
      <c r="F470" s="26" t="str">
        <f>'Ingest Template'!H470</f>
        <v/>
      </c>
      <c r="G470" s="21"/>
      <c r="H470" s="29"/>
      <c r="I470" s="21"/>
      <c r="J470" s="29" t="str">
        <f t="array" ref="J470">iF('Ingest Template'!A470="Standard","Pristine Brand",INDEX(DropDown!$M$2:$M$392,MATCH('Ingest Template'!E470,DropDown!$J$2:$J$392,0)))</f>
        <v>#N/A</v>
      </c>
      <c r="K470" s="21" t="str">
        <f>iF('Ingest Template'!A470="Standard",'Ingest Template'!K470&amp;CHAR(10)&amp;'Ingest Template'!L470,"Competitive View")</f>
        <v>Competitive View</v>
      </c>
      <c r="L470" s="29" t="s">
        <v>146</v>
      </c>
      <c r="M470" s="37" t="str">
        <f>'Ingest Template'!D470</f>
        <v/>
      </c>
      <c r="N470" s="21"/>
      <c r="O470" s="21"/>
      <c r="P470" s="21"/>
      <c r="Q470" s="21"/>
      <c r="R470" s="21" t="str">
        <f>'Ingest Template'!E470</f>
        <v/>
      </c>
      <c r="S470" s="29" t="s">
        <v>153</v>
      </c>
      <c r="T470" s="21" t="str">
        <f>'Ingest Template'!T470</f>
        <v/>
      </c>
      <c r="U470" s="21" t="str">
        <f>'Ingest Template'!S470</f>
        <v/>
      </c>
      <c r="V470" s="21" t="str">
        <f>LOWER(SUBSTITUTE(SUBSTITUTE(SUBSTITUTE(SUBSTITUTE(SUBSTITUTE('Ingest Template'!U470,"https:",""),"www.",""),"/",""),"?hl=en",""),"instagram.com",""))</f>
        <v/>
      </c>
      <c r="W470" s="41" t="str">
        <f t="array" ref="W470">IF('Ingest Template'!V470="",(INDEX(DropDown!$L$2:$L$392,MATCH('Ingest Template'!E470,DropDown!$J$2:$J$392,0))&amp;"|"&amp;'Ingest Template'!B470),(INDEX(DropDown!$L$2:$L$392,MATCH('Ingest Template'!E470,DropDown!$J$2:$J$392,0))&amp;"|"&amp;'Ingest Template'!B470)&amp;CHAR(10)&amp;'Ingest Template'!V470)</f>
        <v>#N/A</v>
      </c>
      <c r="X470" s="41" t="str">
        <f>'Ingest Template'!W470</f>
        <v/>
      </c>
      <c r="Y470" s="21" t="str">
        <f>SUBSTITUTE(SUBSTITUTE(SUBSTITUTE('Ingest Template'!X470,"http:",""),"https:",""),"/","")</f>
        <v/>
      </c>
      <c r="Z470" s="21" t="str">
        <f t="array" ref="Z470">IF('Ingest Template'!A470="Standard",(IF(ISBLANK('Ingest Template'!AA470),"", 'Ingest Template'!AA470&amp;"|DAR")),(IF(ISBLANK('Ingest Template'!AA470),"", 'Ingest Template'!AA470&amp;"|Film Ops")))</f>
        <v/>
      </c>
      <c r="AA470" s="21"/>
      <c r="AB470" s="21" t="str">
        <f>'Ingest Template'!M470</f>
        <v/>
      </c>
      <c r="AC470" s="21" t="str">
        <f>'Ingest Template'!Y470</f>
        <v/>
      </c>
      <c r="AD470" s="21" t="str">
        <f>'Ingest Template'!C470</f>
        <v/>
      </c>
      <c r="AE470" s="21" t="str">
        <f>'Ingest Template'!Z470</f>
        <v/>
      </c>
      <c r="AF470" s="29"/>
      <c r="AG470" s="21" t="str">
        <f t="array" ref="AG470">IF('Ingest Template'!A470="Standard",(CONCATENATE(IF(ISBLANK('Ingest Template'!O470),"", 'Ingest Template'!O470&amp;"|DAR"),CHAR(10), IF(ISBLANK('Ingest Template'!P470),"", 'Ingest Template'!P470&amp;"|DAR"),CHAR(10), IF(ISBLANK('Ingest Template'!Q470),"", 'Ingest Template'!Q470&amp;"|DAR"))),(CONCATENATE(IF(ISBLANK('Ingest Template'!O470),"", 'Ingest Template'!O470&amp;"|Operations - Core Title"),CHAR(10), IF(ISBLANK('Ingest Template'!P470),"", 'Ingest Template'!P470&amp;"|Operations - Core Title"),CHAR(10), IF(ISBLANK('Ingest Template'!Q470),"", 'Ingest Template'!Q470&amp;"|Operations - Core Title"))))</f>
        <v>#|Operations - Core Title
#|Operations - Core Title
</v>
      </c>
      <c r="AH470" s="21"/>
      <c r="AI470" s="21"/>
      <c r="AJ470" s="53" t="str">
        <f>if('Ingest Template'!A470="Standard",'Ingest Template'!N470&amp; "|DAR|DAR|2021-01-01",'Ingest Template'!N470&amp; "|Operations - Core Title|Operations - Core Title")</f>
        <v>#N/A</v>
      </c>
      <c r="AK470" s="53" t="str">
        <f>if('Ingest Template'!A470="Standard",'Ingest Template'!R470&amp; "|2021-01-01",'Ingest Template'!R470)</f>
        <v>#N/A</v>
      </c>
      <c r="AL470" s="21"/>
      <c r="AM470" s="21"/>
    </row>
    <row r="471">
      <c r="A471" s="21"/>
      <c r="B471" s="21" t="str">
        <f>'Ingest Template'!B471&amp;IF('Ingest Template'!A471 = "Standard", " - DAR","")</f>
        <v/>
      </c>
      <c r="C471" s="26" t="s">
        <v>109</v>
      </c>
      <c r="D471" s="29" t="str">
        <f t="array" ref="D471">CONCATENATE(INDEX(DropDown!$H$2:$H$10,MATCH(1,COUNTIF('Ingest Template'!F471,"*"&amp;DropDown!$H$2:$H$10&amp;"*"),0)),CHAR(10),'Ingest Template'!G471)</f>
        <v>#N/A</v>
      </c>
      <c r="E471" s="21" t="str">
        <f>CONCATENATE('Ingest Template'!H471,CHAR(10),'Ingest Template'!I471,CHAR(10),'Ingest Template'!J471)</f>
        <v>
</v>
      </c>
      <c r="F471" s="26" t="str">
        <f>'Ingest Template'!H471</f>
        <v/>
      </c>
      <c r="G471" s="21"/>
      <c r="H471" s="29"/>
      <c r="I471" s="21"/>
      <c r="J471" s="29" t="str">
        <f t="array" ref="J471">iF('Ingest Template'!A471="Standard","Pristine Brand",INDEX(DropDown!$M$2:$M$392,MATCH('Ingest Template'!E471,DropDown!$J$2:$J$392,0)))</f>
        <v>#N/A</v>
      </c>
      <c r="K471" s="21" t="str">
        <f>iF('Ingest Template'!A471="Standard",'Ingest Template'!K471&amp;CHAR(10)&amp;'Ingest Template'!L471,"Competitive View")</f>
        <v>Competitive View</v>
      </c>
      <c r="L471" s="29" t="s">
        <v>146</v>
      </c>
      <c r="M471" s="37" t="str">
        <f>'Ingest Template'!D471</f>
        <v/>
      </c>
      <c r="N471" s="21"/>
      <c r="O471" s="21"/>
      <c r="P471" s="21"/>
      <c r="Q471" s="21"/>
      <c r="R471" s="21" t="str">
        <f>'Ingest Template'!E471</f>
        <v/>
      </c>
      <c r="S471" s="29" t="s">
        <v>153</v>
      </c>
      <c r="T471" s="21" t="str">
        <f>'Ingest Template'!T471</f>
        <v/>
      </c>
      <c r="U471" s="21" t="str">
        <f>'Ingest Template'!S471</f>
        <v/>
      </c>
      <c r="V471" s="21" t="str">
        <f>LOWER(SUBSTITUTE(SUBSTITUTE(SUBSTITUTE(SUBSTITUTE(SUBSTITUTE('Ingest Template'!U471,"https:",""),"www.",""),"/",""),"?hl=en",""),"instagram.com",""))</f>
        <v/>
      </c>
      <c r="W471" s="41" t="str">
        <f t="array" ref="W471">IF('Ingest Template'!V471="",(INDEX(DropDown!$L$2:$L$392,MATCH('Ingest Template'!E471,DropDown!$J$2:$J$392,0))&amp;"|"&amp;'Ingest Template'!B471),(INDEX(DropDown!$L$2:$L$392,MATCH('Ingest Template'!E471,DropDown!$J$2:$J$392,0))&amp;"|"&amp;'Ingest Template'!B471)&amp;CHAR(10)&amp;'Ingest Template'!V471)</f>
        <v>#N/A</v>
      </c>
      <c r="X471" s="41" t="str">
        <f>'Ingest Template'!W471</f>
        <v/>
      </c>
      <c r="Y471" s="21" t="str">
        <f>SUBSTITUTE(SUBSTITUTE(SUBSTITUTE('Ingest Template'!X471,"http:",""),"https:",""),"/","")</f>
        <v/>
      </c>
      <c r="Z471" s="21" t="str">
        <f t="array" ref="Z471">IF('Ingest Template'!A471="Standard",(IF(ISBLANK('Ingest Template'!AA471),"", 'Ingest Template'!AA471&amp;"|DAR")),(IF(ISBLANK('Ingest Template'!AA471),"", 'Ingest Template'!AA471&amp;"|Film Ops")))</f>
        <v/>
      </c>
      <c r="AA471" s="21"/>
      <c r="AB471" s="21" t="str">
        <f>'Ingest Template'!M471</f>
        <v/>
      </c>
      <c r="AC471" s="21" t="str">
        <f>'Ingest Template'!Y471</f>
        <v/>
      </c>
      <c r="AD471" s="21" t="str">
        <f>'Ingest Template'!C471</f>
        <v/>
      </c>
      <c r="AE471" s="21" t="str">
        <f>'Ingest Template'!Z471</f>
        <v/>
      </c>
      <c r="AF471" s="29"/>
      <c r="AG471" s="21" t="str">
        <f t="array" ref="AG471">IF('Ingest Template'!A471="Standard",(CONCATENATE(IF(ISBLANK('Ingest Template'!O471),"", 'Ingest Template'!O471&amp;"|DAR"),CHAR(10), IF(ISBLANK('Ingest Template'!P471),"", 'Ingest Template'!P471&amp;"|DAR"),CHAR(10), IF(ISBLANK('Ingest Template'!Q471),"", 'Ingest Template'!Q471&amp;"|DAR"))),(CONCATENATE(IF(ISBLANK('Ingest Template'!O471),"", 'Ingest Template'!O471&amp;"|Operations - Core Title"),CHAR(10), IF(ISBLANK('Ingest Template'!P471),"", 'Ingest Template'!P471&amp;"|Operations - Core Title"),CHAR(10), IF(ISBLANK('Ingest Template'!Q471),"", 'Ingest Template'!Q471&amp;"|Operations - Core Title"))))</f>
        <v>#|Operations - Core Title
#|Operations - Core Title
</v>
      </c>
      <c r="AH471" s="21"/>
      <c r="AI471" s="21"/>
      <c r="AJ471" s="53" t="str">
        <f>if('Ingest Template'!A471="Standard",'Ingest Template'!N471&amp; "|DAR|DAR|2021-01-01",'Ingest Template'!N471&amp; "|Operations - Core Title|Operations - Core Title")</f>
        <v>#N/A</v>
      </c>
      <c r="AK471" s="53" t="str">
        <f>if('Ingest Template'!A471="Standard",'Ingest Template'!R471&amp; "|2021-01-01",'Ingest Template'!R471)</f>
        <v>#N/A</v>
      </c>
      <c r="AL471" s="21"/>
      <c r="AM471" s="21"/>
    </row>
    <row r="472">
      <c r="A472" s="21"/>
      <c r="B472" s="21" t="str">
        <f>'Ingest Template'!B472&amp;IF('Ingest Template'!A472 = "Standard", " - DAR","")</f>
        <v/>
      </c>
      <c r="C472" s="26" t="s">
        <v>109</v>
      </c>
      <c r="D472" s="29" t="str">
        <f t="array" ref="D472">CONCATENATE(INDEX(DropDown!$H$2:$H$10,MATCH(1,COUNTIF('Ingest Template'!F472,"*"&amp;DropDown!$H$2:$H$10&amp;"*"),0)),CHAR(10),'Ingest Template'!G472)</f>
        <v>#N/A</v>
      </c>
      <c r="E472" s="21" t="str">
        <f>CONCATENATE('Ingest Template'!H472,CHAR(10),'Ingest Template'!I472,CHAR(10),'Ingest Template'!J472)</f>
        <v>
</v>
      </c>
      <c r="F472" s="26" t="str">
        <f>'Ingest Template'!H472</f>
        <v/>
      </c>
      <c r="G472" s="21"/>
      <c r="H472" s="29"/>
      <c r="I472" s="21"/>
      <c r="J472" s="29" t="str">
        <f t="array" ref="J472">iF('Ingest Template'!A472="Standard","Pristine Brand",INDEX(DropDown!$M$2:$M$392,MATCH('Ingest Template'!E472,DropDown!$J$2:$J$392,0)))</f>
        <v>#N/A</v>
      </c>
      <c r="K472" s="21" t="str">
        <f>iF('Ingest Template'!A472="Standard",'Ingest Template'!K472&amp;CHAR(10)&amp;'Ingest Template'!L472,"Competitive View")</f>
        <v>Competitive View</v>
      </c>
      <c r="L472" s="29" t="s">
        <v>146</v>
      </c>
      <c r="M472" s="37" t="str">
        <f>'Ingest Template'!D472</f>
        <v/>
      </c>
      <c r="N472" s="21"/>
      <c r="O472" s="21"/>
      <c r="P472" s="21"/>
      <c r="Q472" s="21"/>
      <c r="R472" s="21" t="str">
        <f>'Ingest Template'!E472</f>
        <v/>
      </c>
      <c r="S472" s="29" t="s">
        <v>153</v>
      </c>
      <c r="T472" s="21" t="str">
        <f>'Ingest Template'!T472</f>
        <v/>
      </c>
      <c r="U472" s="21" t="str">
        <f>'Ingest Template'!S472</f>
        <v/>
      </c>
      <c r="V472" s="21" t="str">
        <f>LOWER(SUBSTITUTE(SUBSTITUTE(SUBSTITUTE(SUBSTITUTE(SUBSTITUTE('Ingest Template'!U472,"https:",""),"www.",""),"/",""),"?hl=en",""),"instagram.com",""))</f>
        <v/>
      </c>
      <c r="W472" s="41" t="str">
        <f t="array" ref="W472">IF('Ingest Template'!V472="",(INDEX(DropDown!$L$2:$L$392,MATCH('Ingest Template'!E472,DropDown!$J$2:$J$392,0))&amp;"|"&amp;'Ingest Template'!B472),(INDEX(DropDown!$L$2:$L$392,MATCH('Ingest Template'!E472,DropDown!$J$2:$J$392,0))&amp;"|"&amp;'Ingest Template'!B472)&amp;CHAR(10)&amp;'Ingest Template'!V472)</f>
        <v>#N/A</v>
      </c>
      <c r="X472" s="41" t="str">
        <f>'Ingest Template'!W472</f>
        <v/>
      </c>
      <c r="Y472" s="21" t="str">
        <f>SUBSTITUTE(SUBSTITUTE(SUBSTITUTE('Ingest Template'!X472,"http:",""),"https:",""),"/","")</f>
        <v/>
      </c>
      <c r="Z472" s="21" t="str">
        <f t="array" ref="Z472">IF('Ingest Template'!A472="Standard",(IF(ISBLANK('Ingest Template'!AA472),"", 'Ingest Template'!AA472&amp;"|DAR")),(IF(ISBLANK('Ingest Template'!AA472),"", 'Ingest Template'!AA472&amp;"|Film Ops")))</f>
        <v/>
      </c>
      <c r="AA472" s="21"/>
      <c r="AB472" s="21" t="str">
        <f>'Ingest Template'!M472</f>
        <v/>
      </c>
      <c r="AC472" s="21" t="str">
        <f>'Ingest Template'!Y472</f>
        <v/>
      </c>
      <c r="AD472" s="21" t="str">
        <f>'Ingest Template'!C472</f>
        <v/>
      </c>
      <c r="AE472" s="21" t="str">
        <f>'Ingest Template'!Z472</f>
        <v/>
      </c>
      <c r="AF472" s="29"/>
      <c r="AG472" s="21" t="str">
        <f t="array" ref="AG472">IF('Ingest Template'!A472="Standard",(CONCATENATE(IF(ISBLANK('Ingest Template'!O472),"", 'Ingest Template'!O472&amp;"|DAR"),CHAR(10), IF(ISBLANK('Ingest Template'!P472),"", 'Ingest Template'!P472&amp;"|DAR"),CHAR(10), IF(ISBLANK('Ingest Template'!Q472),"", 'Ingest Template'!Q472&amp;"|DAR"))),(CONCATENATE(IF(ISBLANK('Ingest Template'!O472),"", 'Ingest Template'!O472&amp;"|Operations - Core Title"),CHAR(10), IF(ISBLANK('Ingest Template'!P472),"", 'Ingest Template'!P472&amp;"|Operations - Core Title"),CHAR(10), IF(ISBLANK('Ingest Template'!Q472),"", 'Ingest Template'!Q472&amp;"|Operations - Core Title"))))</f>
        <v>#|Operations - Core Title
#|Operations - Core Title
</v>
      </c>
      <c r="AH472" s="21"/>
      <c r="AI472" s="21"/>
      <c r="AJ472" s="53" t="str">
        <f>if('Ingest Template'!A472="Standard",'Ingest Template'!N472&amp; "|DAR|DAR|2021-01-01",'Ingest Template'!N472&amp; "|Operations - Core Title|Operations - Core Title")</f>
        <v>#N/A</v>
      </c>
      <c r="AK472" s="53" t="str">
        <f>if('Ingest Template'!A472="Standard",'Ingest Template'!R472&amp; "|2021-01-01",'Ingest Template'!R472)</f>
        <v>#N/A</v>
      </c>
      <c r="AL472" s="21"/>
      <c r="AM472" s="21"/>
    </row>
    <row r="473">
      <c r="A473" s="21"/>
      <c r="B473" s="21" t="str">
        <f>'Ingest Template'!B473&amp;IF('Ingest Template'!A473 = "Standard", " - DAR","")</f>
        <v/>
      </c>
      <c r="C473" s="26" t="s">
        <v>109</v>
      </c>
      <c r="D473" s="29" t="str">
        <f t="array" ref="D473">CONCATENATE(INDEX(DropDown!$H$2:$H$10,MATCH(1,COUNTIF('Ingest Template'!F473,"*"&amp;DropDown!$H$2:$H$10&amp;"*"),0)),CHAR(10),'Ingest Template'!G473)</f>
        <v>#N/A</v>
      </c>
      <c r="E473" s="21" t="str">
        <f>CONCATENATE('Ingest Template'!H473,CHAR(10),'Ingest Template'!I473,CHAR(10),'Ingest Template'!J473)</f>
        <v>
</v>
      </c>
      <c r="F473" s="26" t="str">
        <f>'Ingest Template'!H473</f>
        <v/>
      </c>
      <c r="G473" s="21"/>
      <c r="H473" s="29"/>
      <c r="I473" s="21"/>
      <c r="J473" s="29" t="str">
        <f t="array" ref="J473">iF('Ingest Template'!A473="Standard","Pristine Brand",INDEX(DropDown!$M$2:$M$392,MATCH('Ingest Template'!E473,DropDown!$J$2:$J$392,0)))</f>
        <v>#N/A</v>
      </c>
      <c r="K473" s="21" t="str">
        <f>iF('Ingest Template'!A473="Standard",'Ingest Template'!K473&amp;CHAR(10)&amp;'Ingest Template'!L473,"Competitive View")</f>
        <v>Competitive View</v>
      </c>
      <c r="L473" s="29" t="s">
        <v>146</v>
      </c>
      <c r="M473" s="37" t="str">
        <f>'Ingest Template'!D473</f>
        <v/>
      </c>
      <c r="N473" s="21"/>
      <c r="O473" s="21"/>
      <c r="P473" s="21"/>
      <c r="Q473" s="21"/>
      <c r="R473" s="21" t="str">
        <f>'Ingest Template'!E473</f>
        <v/>
      </c>
      <c r="S473" s="29" t="s">
        <v>153</v>
      </c>
      <c r="T473" s="21" t="str">
        <f>'Ingest Template'!T473</f>
        <v/>
      </c>
      <c r="U473" s="21" t="str">
        <f>'Ingest Template'!S473</f>
        <v/>
      </c>
      <c r="V473" s="21" t="str">
        <f>LOWER(SUBSTITUTE(SUBSTITUTE(SUBSTITUTE(SUBSTITUTE(SUBSTITUTE('Ingest Template'!U473,"https:",""),"www.",""),"/",""),"?hl=en",""),"instagram.com",""))</f>
        <v/>
      </c>
      <c r="W473" s="41" t="str">
        <f t="array" ref="W473">IF('Ingest Template'!V473="",(INDEX(DropDown!$L$2:$L$392,MATCH('Ingest Template'!E473,DropDown!$J$2:$J$392,0))&amp;"|"&amp;'Ingest Template'!B473),(INDEX(DropDown!$L$2:$L$392,MATCH('Ingest Template'!E473,DropDown!$J$2:$J$392,0))&amp;"|"&amp;'Ingest Template'!B473)&amp;CHAR(10)&amp;'Ingest Template'!V473)</f>
        <v>#N/A</v>
      </c>
      <c r="X473" s="41" t="str">
        <f>'Ingest Template'!W473</f>
        <v/>
      </c>
      <c r="Y473" s="21" t="str">
        <f>SUBSTITUTE(SUBSTITUTE(SUBSTITUTE('Ingest Template'!X473,"http:",""),"https:",""),"/","")</f>
        <v/>
      </c>
      <c r="Z473" s="21" t="str">
        <f t="array" ref="Z473">IF('Ingest Template'!A473="Standard",(IF(ISBLANK('Ingest Template'!AA473),"", 'Ingest Template'!AA473&amp;"|DAR")),(IF(ISBLANK('Ingest Template'!AA473),"", 'Ingest Template'!AA473&amp;"|Film Ops")))</f>
        <v/>
      </c>
      <c r="AA473" s="21"/>
      <c r="AB473" s="21" t="str">
        <f>'Ingest Template'!M473</f>
        <v/>
      </c>
      <c r="AC473" s="21" t="str">
        <f>'Ingest Template'!Y473</f>
        <v/>
      </c>
      <c r="AD473" s="21" t="str">
        <f>'Ingest Template'!C473</f>
        <v/>
      </c>
      <c r="AE473" s="21" t="str">
        <f>'Ingest Template'!Z473</f>
        <v/>
      </c>
      <c r="AF473" s="29"/>
      <c r="AG473" s="21" t="str">
        <f t="array" ref="AG473">IF('Ingest Template'!A473="Standard",(CONCATENATE(IF(ISBLANK('Ingest Template'!O473),"", 'Ingest Template'!O473&amp;"|DAR"),CHAR(10), IF(ISBLANK('Ingest Template'!P473),"", 'Ingest Template'!P473&amp;"|DAR"),CHAR(10), IF(ISBLANK('Ingest Template'!Q473),"", 'Ingest Template'!Q473&amp;"|DAR"))),(CONCATENATE(IF(ISBLANK('Ingest Template'!O473),"", 'Ingest Template'!O473&amp;"|Operations - Core Title"),CHAR(10), IF(ISBLANK('Ingest Template'!P473),"", 'Ingest Template'!P473&amp;"|Operations - Core Title"),CHAR(10), IF(ISBLANK('Ingest Template'!Q473),"", 'Ingest Template'!Q473&amp;"|Operations - Core Title"))))</f>
        <v>#|Operations - Core Title
#|Operations - Core Title
</v>
      </c>
      <c r="AH473" s="21"/>
      <c r="AI473" s="21"/>
      <c r="AJ473" s="53" t="str">
        <f>if('Ingest Template'!A473="Standard",'Ingest Template'!N473&amp; "|DAR|DAR|2021-01-01",'Ingest Template'!N473&amp; "|Operations - Core Title|Operations - Core Title")</f>
        <v>#N/A</v>
      </c>
      <c r="AK473" s="53" t="str">
        <f>if('Ingest Template'!A473="Standard",'Ingest Template'!R473&amp; "|2021-01-01",'Ingest Template'!R473)</f>
        <v>#N/A</v>
      </c>
      <c r="AL473" s="21"/>
      <c r="AM473" s="21"/>
    </row>
    <row r="474">
      <c r="A474" s="21"/>
      <c r="B474" s="21" t="str">
        <f>'Ingest Template'!B474&amp;IF('Ingest Template'!A474 = "Standard", " - DAR","")</f>
        <v/>
      </c>
      <c r="C474" s="26" t="s">
        <v>109</v>
      </c>
      <c r="D474" s="29" t="str">
        <f t="array" ref="D474">CONCATENATE(INDEX(DropDown!$H$2:$H$10,MATCH(1,COUNTIF('Ingest Template'!F474,"*"&amp;DropDown!$H$2:$H$10&amp;"*"),0)),CHAR(10),'Ingest Template'!G474)</f>
        <v>#N/A</v>
      </c>
      <c r="E474" s="21" t="str">
        <f>CONCATENATE('Ingest Template'!H474,CHAR(10),'Ingest Template'!I474,CHAR(10),'Ingest Template'!J474)</f>
        <v>
</v>
      </c>
      <c r="F474" s="26" t="str">
        <f>'Ingest Template'!H474</f>
        <v/>
      </c>
      <c r="G474" s="21"/>
      <c r="H474" s="29"/>
      <c r="I474" s="21"/>
      <c r="J474" s="29" t="str">
        <f t="array" ref="J474">iF('Ingest Template'!A474="Standard","Pristine Brand",INDEX(DropDown!$M$2:$M$392,MATCH('Ingest Template'!E474,DropDown!$J$2:$J$392,0)))</f>
        <v>#N/A</v>
      </c>
      <c r="K474" s="21" t="str">
        <f>iF('Ingest Template'!A474="Standard",'Ingest Template'!K474&amp;CHAR(10)&amp;'Ingest Template'!L474,"Competitive View")</f>
        <v>Competitive View</v>
      </c>
      <c r="L474" s="29" t="s">
        <v>146</v>
      </c>
      <c r="M474" s="37" t="str">
        <f>'Ingest Template'!D474</f>
        <v/>
      </c>
      <c r="N474" s="21"/>
      <c r="O474" s="21"/>
      <c r="P474" s="21"/>
      <c r="Q474" s="21"/>
      <c r="R474" s="21" t="str">
        <f>'Ingest Template'!E474</f>
        <v/>
      </c>
      <c r="S474" s="29" t="s">
        <v>153</v>
      </c>
      <c r="T474" s="21" t="str">
        <f>'Ingest Template'!T474</f>
        <v/>
      </c>
      <c r="U474" s="21" t="str">
        <f>'Ingest Template'!S474</f>
        <v/>
      </c>
      <c r="V474" s="21" t="str">
        <f>LOWER(SUBSTITUTE(SUBSTITUTE(SUBSTITUTE(SUBSTITUTE(SUBSTITUTE('Ingest Template'!U474,"https:",""),"www.",""),"/",""),"?hl=en",""),"instagram.com",""))</f>
        <v/>
      </c>
      <c r="W474" s="41" t="str">
        <f t="array" ref="W474">IF('Ingest Template'!V474="",(INDEX(DropDown!$L$2:$L$392,MATCH('Ingest Template'!E474,DropDown!$J$2:$J$392,0))&amp;"|"&amp;'Ingest Template'!B474),(INDEX(DropDown!$L$2:$L$392,MATCH('Ingest Template'!E474,DropDown!$J$2:$J$392,0))&amp;"|"&amp;'Ingest Template'!B474)&amp;CHAR(10)&amp;'Ingest Template'!V474)</f>
        <v>#N/A</v>
      </c>
      <c r="X474" s="41" t="str">
        <f>'Ingest Template'!W474</f>
        <v/>
      </c>
      <c r="Y474" s="21" t="str">
        <f>SUBSTITUTE(SUBSTITUTE(SUBSTITUTE('Ingest Template'!X474,"http:",""),"https:",""),"/","")</f>
        <v/>
      </c>
      <c r="Z474" s="21" t="str">
        <f t="array" ref="Z474">IF('Ingest Template'!A474="Standard",(IF(ISBLANK('Ingest Template'!AA474),"", 'Ingest Template'!AA474&amp;"|DAR")),(IF(ISBLANK('Ingest Template'!AA474),"", 'Ingest Template'!AA474&amp;"|Film Ops")))</f>
        <v/>
      </c>
      <c r="AA474" s="21"/>
      <c r="AB474" s="21" t="str">
        <f>'Ingest Template'!M474</f>
        <v/>
      </c>
      <c r="AC474" s="21" t="str">
        <f>'Ingest Template'!Y474</f>
        <v/>
      </c>
      <c r="AD474" s="21" t="str">
        <f>'Ingest Template'!C474</f>
        <v/>
      </c>
      <c r="AE474" s="21" t="str">
        <f>'Ingest Template'!Z474</f>
        <v/>
      </c>
      <c r="AF474" s="29"/>
      <c r="AG474" s="21" t="str">
        <f t="array" ref="AG474">IF('Ingest Template'!A474="Standard",(CONCATENATE(IF(ISBLANK('Ingest Template'!O474),"", 'Ingest Template'!O474&amp;"|DAR"),CHAR(10), IF(ISBLANK('Ingest Template'!P474),"", 'Ingest Template'!P474&amp;"|DAR"),CHAR(10), IF(ISBLANK('Ingest Template'!Q474),"", 'Ingest Template'!Q474&amp;"|DAR"))),(CONCATENATE(IF(ISBLANK('Ingest Template'!O474),"", 'Ingest Template'!O474&amp;"|Operations - Core Title"),CHAR(10), IF(ISBLANK('Ingest Template'!P474),"", 'Ingest Template'!P474&amp;"|Operations - Core Title"),CHAR(10), IF(ISBLANK('Ingest Template'!Q474),"", 'Ingest Template'!Q474&amp;"|Operations - Core Title"))))</f>
        <v>#|Operations - Core Title
#|Operations - Core Title
</v>
      </c>
      <c r="AH474" s="21"/>
      <c r="AI474" s="21"/>
      <c r="AJ474" s="53" t="str">
        <f>if('Ingest Template'!A474="Standard",'Ingest Template'!N474&amp; "|DAR|DAR|2021-01-01",'Ingest Template'!N474&amp; "|Operations - Core Title|Operations - Core Title")</f>
        <v>#N/A</v>
      </c>
      <c r="AK474" s="53" t="str">
        <f>if('Ingest Template'!A474="Standard",'Ingest Template'!R474&amp; "|2021-01-01",'Ingest Template'!R474)</f>
        <v>#N/A</v>
      </c>
      <c r="AL474" s="21"/>
      <c r="AM474" s="21"/>
    </row>
    <row r="475">
      <c r="A475" s="21"/>
      <c r="B475" s="21" t="str">
        <f>'Ingest Template'!B475&amp;IF('Ingest Template'!A475 = "Standard", " - DAR","")</f>
        <v/>
      </c>
      <c r="C475" s="26" t="s">
        <v>109</v>
      </c>
      <c r="D475" s="29" t="str">
        <f t="array" ref="D475">CONCATENATE(INDEX(DropDown!$H$2:$H$10,MATCH(1,COUNTIF('Ingest Template'!F475,"*"&amp;DropDown!$H$2:$H$10&amp;"*"),0)),CHAR(10),'Ingest Template'!G475)</f>
        <v>#N/A</v>
      </c>
      <c r="E475" s="21" t="str">
        <f>CONCATENATE('Ingest Template'!H475,CHAR(10),'Ingest Template'!I475,CHAR(10),'Ingest Template'!J475)</f>
        <v>
</v>
      </c>
      <c r="F475" s="26" t="str">
        <f>'Ingest Template'!H475</f>
        <v/>
      </c>
      <c r="G475" s="21"/>
      <c r="H475" s="29"/>
      <c r="I475" s="21"/>
      <c r="J475" s="29" t="str">
        <f t="array" ref="J475">iF('Ingest Template'!A475="Standard","Pristine Brand",INDEX(DropDown!$M$2:$M$392,MATCH('Ingest Template'!E475,DropDown!$J$2:$J$392,0)))</f>
        <v>#N/A</v>
      </c>
      <c r="K475" s="21" t="str">
        <f>iF('Ingest Template'!A475="Standard",'Ingest Template'!K475&amp;CHAR(10)&amp;'Ingest Template'!L475,"Competitive View")</f>
        <v>Competitive View</v>
      </c>
      <c r="L475" s="29" t="s">
        <v>146</v>
      </c>
      <c r="M475" s="37" t="str">
        <f>'Ingest Template'!D475</f>
        <v/>
      </c>
      <c r="N475" s="21"/>
      <c r="O475" s="21"/>
      <c r="P475" s="21"/>
      <c r="Q475" s="21"/>
      <c r="R475" s="21" t="str">
        <f>'Ingest Template'!E475</f>
        <v/>
      </c>
      <c r="S475" s="29" t="s">
        <v>153</v>
      </c>
      <c r="T475" s="21" t="str">
        <f>'Ingest Template'!T475</f>
        <v/>
      </c>
      <c r="U475" s="21" t="str">
        <f>'Ingest Template'!S475</f>
        <v/>
      </c>
      <c r="V475" s="21" t="str">
        <f>LOWER(SUBSTITUTE(SUBSTITUTE(SUBSTITUTE(SUBSTITUTE(SUBSTITUTE('Ingest Template'!U475,"https:",""),"www.",""),"/",""),"?hl=en",""),"instagram.com",""))</f>
        <v/>
      </c>
      <c r="W475" s="41" t="str">
        <f t="array" ref="W475">IF('Ingest Template'!V475="",(INDEX(DropDown!$L$2:$L$392,MATCH('Ingest Template'!E475,DropDown!$J$2:$J$392,0))&amp;"|"&amp;'Ingest Template'!B475),(INDEX(DropDown!$L$2:$L$392,MATCH('Ingest Template'!E475,DropDown!$J$2:$J$392,0))&amp;"|"&amp;'Ingest Template'!B475)&amp;CHAR(10)&amp;'Ingest Template'!V475)</f>
        <v>#N/A</v>
      </c>
      <c r="X475" s="41" t="str">
        <f>'Ingest Template'!W475</f>
        <v/>
      </c>
      <c r="Y475" s="21" t="str">
        <f>SUBSTITUTE(SUBSTITUTE(SUBSTITUTE('Ingest Template'!X475,"http:",""),"https:",""),"/","")</f>
        <v/>
      </c>
      <c r="Z475" s="21" t="str">
        <f t="array" ref="Z475">IF('Ingest Template'!A475="Standard",(IF(ISBLANK('Ingest Template'!AA475),"", 'Ingest Template'!AA475&amp;"|DAR")),(IF(ISBLANK('Ingest Template'!AA475),"", 'Ingest Template'!AA475&amp;"|Film Ops")))</f>
        <v/>
      </c>
      <c r="AA475" s="21"/>
      <c r="AB475" s="21" t="str">
        <f>'Ingest Template'!M475</f>
        <v/>
      </c>
      <c r="AC475" s="21" t="str">
        <f>'Ingest Template'!Y475</f>
        <v/>
      </c>
      <c r="AD475" s="21" t="str">
        <f>'Ingest Template'!C475</f>
        <v/>
      </c>
      <c r="AE475" s="21" t="str">
        <f>'Ingest Template'!Z475</f>
        <v/>
      </c>
      <c r="AF475" s="29"/>
      <c r="AG475" s="21" t="str">
        <f t="array" ref="AG475">IF('Ingest Template'!A475="Standard",(CONCATENATE(IF(ISBLANK('Ingest Template'!O475),"", 'Ingest Template'!O475&amp;"|DAR"),CHAR(10), IF(ISBLANK('Ingest Template'!P475),"", 'Ingest Template'!P475&amp;"|DAR"),CHAR(10), IF(ISBLANK('Ingest Template'!Q475),"", 'Ingest Template'!Q475&amp;"|DAR"))),(CONCATENATE(IF(ISBLANK('Ingest Template'!O475),"", 'Ingest Template'!O475&amp;"|Operations - Core Title"),CHAR(10), IF(ISBLANK('Ingest Template'!P475),"", 'Ingest Template'!P475&amp;"|Operations - Core Title"),CHAR(10), IF(ISBLANK('Ingest Template'!Q475),"", 'Ingest Template'!Q475&amp;"|Operations - Core Title"))))</f>
        <v>#|Operations - Core Title
#|Operations - Core Title
</v>
      </c>
      <c r="AH475" s="21"/>
      <c r="AI475" s="21"/>
      <c r="AJ475" s="53" t="str">
        <f>if('Ingest Template'!A475="Standard",'Ingest Template'!N475&amp; "|DAR|DAR|2021-01-01",'Ingest Template'!N475&amp; "|Operations - Core Title|Operations - Core Title")</f>
        <v>#N/A</v>
      </c>
      <c r="AK475" s="53" t="str">
        <f>if('Ingest Template'!A475="Standard",'Ingest Template'!R475&amp; "|2021-01-01",'Ingest Template'!R475)</f>
        <v>#N/A</v>
      </c>
      <c r="AL475" s="21"/>
      <c r="AM475" s="21"/>
    </row>
    <row r="476">
      <c r="A476" s="21"/>
      <c r="B476" s="21" t="str">
        <f>'Ingest Template'!B476&amp;IF('Ingest Template'!A476 = "Standard", " - DAR","")</f>
        <v/>
      </c>
      <c r="C476" s="26" t="s">
        <v>109</v>
      </c>
      <c r="D476" s="29" t="str">
        <f t="array" ref="D476">CONCATENATE(INDEX(DropDown!$H$2:$H$10,MATCH(1,COUNTIF('Ingest Template'!F476,"*"&amp;DropDown!$H$2:$H$10&amp;"*"),0)),CHAR(10),'Ingest Template'!G476)</f>
        <v>#N/A</v>
      </c>
      <c r="E476" s="21" t="str">
        <f>CONCATENATE('Ingest Template'!H476,CHAR(10),'Ingest Template'!I476,CHAR(10),'Ingest Template'!J476)</f>
        <v>
</v>
      </c>
      <c r="F476" s="26" t="str">
        <f>'Ingest Template'!H476</f>
        <v/>
      </c>
      <c r="G476" s="21"/>
      <c r="H476" s="29"/>
      <c r="I476" s="21"/>
      <c r="J476" s="29" t="str">
        <f t="array" ref="J476">iF('Ingest Template'!A476="Standard","Pristine Brand",INDEX(DropDown!$M$2:$M$392,MATCH('Ingest Template'!E476,DropDown!$J$2:$J$392,0)))</f>
        <v>#N/A</v>
      </c>
      <c r="K476" s="21" t="str">
        <f>iF('Ingest Template'!A476="Standard",'Ingest Template'!K476&amp;CHAR(10)&amp;'Ingest Template'!L476,"Competitive View")</f>
        <v>Competitive View</v>
      </c>
      <c r="L476" s="29" t="s">
        <v>146</v>
      </c>
      <c r="M476" s="37" t="str">
        <f>'Ingest Template'!D476</f>
        <v/>
      </c>
      <c r="N476" s="21"/>
      <c r="O476" s="21"/>
      <c r="P476" s="21"/>
      <c r="Q476" s="21"/>
      <c r="R476" s="21" t="str">
        <f>'Ingest Template'!E476</f>
        <v/>
      </c>
      <c r="S476" s="29" t="s">
        <v>153</v>
      </c>
      <c r="T476" s="21" t="str">
        <f>'Ingest Template'!T476</f>
        <v/>
      </c>
      <c r="U476" s="21" t="str">
        <f>'Ingest Template'!S476</f>
        <v/>
      </c>
      <c r="V476" s="21" t="str">
        <f>LOWER(SUBSTITUTE(SUBSTITUTE(SUBSTITUTE(SUBSTITUTE(SUBSTITUTE('Ingest Template'!U476,"https:",""),"www.",""),"/",""),"?hl=en",""),"instagram.com",""))</f>
        <v/>
      </c>
      <c r="W476" s="41" t="str">
        <f t="array" ref="W476">IF('Ingest Template'!V476="",(INDEX(DropDown!$L$2:$L$392,MATCH('Ingest Template'!E476,DropDown!$J$2:$J$392,0))&amp;"|"&amp;'Ingest Template'!B476),(INDEX(DropDown!$L$2:$L$392,MATCH('Ingest Template'!E476,DropDown!$J$2:$J$392,0))&amp;"|"&amp;'Ingest Template'!B476)&amp;CHAR(10)&amp;'Ingest Template'!V476)</f>
        <v>#N/A</v>
      </c>
      <c r="X476" s="41" t="str">
        <f>'Ingest Template'!W476</f>
        <v/>
      </c>
      <c r="Y476" s="21" t="str">
        <f>SUBSTITUTE(SUBSTITUTE(SUBSTITUTE('Ingest Template'!X476,"http:",""),"https:",""),"/","")</f>
        <v/>
      </c>
      <c r="Z476" s="21" t="str">
        <f t="array" ref="Z476">IF('Ingest Template'!A476="Standard",(IF(ISBLANK('Ingest Template'!AA476),"", 'Ingest Template'!AA476&amp;"|DAR")),(IF(ISBLANK('Ingest Template'!AA476),"", 'Ingest Template'!AA476&amp;"|Film Ops")))</f>
        <v/>
      </c>
      <c r="AA476" s="21"/>
      <c r="AB476" s="21" t="str">
        <f>'Ingest Template'!M476</f>
        <v/>
      </c>
      <c r="AC476" s="21" t="str">
        <f>'Ingest Template'!Y476</f>
        <v/>
      </c>
      <c r="AD476" s="21" t="str">
        <f>'Ingest Template'!C476</f>
        <v/>
      </c>
      <c r="AE476" s="21" t="str">
        <f>'Ingest Template'!Z476</f>
        <v/>
      </c>
      <c r="AF476" s="29"/>
      <c r="AG476" s="21" t="str">
        <f t="array" ref="AG476">IF('Ingest Template'!A476="Standard",(CONCATENATE(IF(ISBLANK('Ingest Template'!O476),"", 'Ingest Template'!O476&amp;"|DAR"),CHAR(10), IF(ISBLANK('Ingest Template'!P476),"", 'Ingest Template'!P476&amp;"|DAR"),CHAR(10), IF(ISBLANK('Ingest Template'!Q476),"", 'Ingest Template'!Q476&amp;"|DAR"))),(CONCATENATE(IF(ISBLANK('Ingest Template'!O476),"", 'Ingest Template'!O476&amp;"|Operations - Core Title"),CHAR(10), IF(ISBLANK('Ingest Template'!P476),"", 'Ingest Template'!P476&amp;"|Operations - Core Title"),CHAR(10), IF(ISBLANK('Ingest Template'!Q476),"", 'Ingest Template'!Q476&amp;"|Operations - Core Title"))))</f>
        <v>#|Operations - Core Title
#|Operations - Core Title
</v>
      </c>
      <c r="AH476" s="21"/>
      <c r="AI476" s="21"/>
      <c r="AJ476" s="53" t="str">
        <f>if('Ingest Template'!A476="Standard",'Ingest Template'!N476&amp; "|DAR|DAR|2021-01-01",'Ingest Template'!N476&amp; "|Operations - Core Title|Operations - Core Title")</f>
        <v>#N/A</v>
      </c>
      <c r="AK476" s="53" t="str">
        <f>if('Ingest Template'!A476="Standard",'Ingest Template'!R476&amp; "|2021-01-01",'Ingest Template'!R476)</f>
        <v>#N/A</v>
      </c>
      <c r="AL476" s="21"/>
      <c r="AM476" s="21"/>
    </row>
    <row r="477">
      <c r="A477" s="21"/>
      <c r="B477" s="21" t="str">
        <f>'Ingest Template'!B477&amp;IF('Ingest Template'!A477 = "Standard", " - DAR","")</f>
        <v/>
      </c>
      <c r="C477" s="26" t="s">
        <v>109</v>
      </c>
      <c r="D477" s="29" t="str">
        <f t="array" ref="D477">CONCATENATE(INDEX(DropDown!$H$2:$H$10,MATCH(1,COUNTIF('Ingest Template'!F477,"*"&amp;DropDown!$H$2:$H$10&amp;"*"),0)),CHAR(10),'Ingest Template'!G477)</f>
        <v>#N/A</v>
      </c>
      <c r="E477" s="21" t="str">
        <f>CONCATENATE('Ingest Template'!H477,CHAR(10),'Ingest Template'!I477,CHAR(10),'Ingest Template'!J477)</f>
        <v>
</v>
      </c>
      <c r="F477" s="26" t="str">
        <f>'Ingest Template'!H477</f>
        <v/>
      </c>
      <c r="G477" s="21"/>
      <c r="H477" s="29"/>
      <c r="I477" s="21"/>
      <c r="J477" s="29" t="str">
        <f t="array" ref="J477">iF('Ingest Template'!A477="Standard","Pristine Brand",INDEX(DropDown!$M$2:$M$392,MATCH('Ingest Template'!E477,DropDown!$J$2:$J$392,0)))</f>
        <v>#N/A</v>
      </c>
      <c r="K477" s="21" t="str">
        <f>iF('Ingest Template'!A477="Standard",'Ingest Template'!K477&amp;CHAR(10)&amp;'Ingest Template'!L477,"Competitive View")</f>
        <v>Competitive View</v>
      </c>
      <c r="L477" s="29" t="s">
        <v>146</v>
      </c>
      <c r="M477" s="37" t="str">
        <f>'Ingest Template'!D477</f>
        <v/>
      </c>
      <c r="N477" s="21"/>
      <c r="O477" s="21"/>
      <c r="P477" s="21"/>
      <c r="Q477" s="21"/>
      <c r="R477" s="21" t="str">
        <f>'Ingest Template'!E477</f>
        <v/>
      </c>
      <c r="S477" s="29" t="s">
        <v>153</v>
      </c>
      <c r="T477" s="21" t="str">
        <f>'Ingest Template'!T477</f>
        <v/>
      </c>
      <c r="U477" s="21" t="str">
        <f>'Ingest Template'!S477</f>
        <v/>
      </c>
      <c r="V477" s="21" t="str">
        <f>LOWER(SUBSTITUTE(SUBSTITUTE(SUBSTITUTE(SUBSTITUTE(SUBSTITUTE('Ingest Template'!U477,"https:",""),"www.",""),"/",""),"?hl=en",""),"instagram.com",""))</f>
        <v/>
      </c>
      <c r="W477" s="41" t="str">
        <f t="array" ref="W477">IF('Ingest Template'!V477="",(INDEX(DropDown!$L$2:$L$392,MATCH('Ingest Template'!E477,DropDown!$J$2:$J$392,0))&amp;"|"&amp;'Ingest Template'!B477),(INDEX(DropDown!$L$2:$L$392,MATCH('Ingest Template'!E477,DropDown!$J$2:$J$392,0))&amp;"|"&amp;'Ingest Template'!B477)&amp;CHAR(10)&amp;'Ingest Template'!V477)</f>
        <v>#N/A</v>
      </c>
      <c r="X477" s="41" t="str">
        <f>'Ingest Template'!W477</f>
        <v/>
      </c>
      <c r="Y477" s="21" t="str">
        <f>SUBSTITUTE(SUBSTITUTE(SUBSTITUTE('Ingest Template'!X477,"http:",""),"https:",""),"/","")</f>
        <v/>
      </c>
      <c r="Z477" s="21" t="str">
        <f t="array" ref="Z477">IF('Ingest Template'!A477="Standard",(IF(ISBLANK('Ingest Template'!AA477),"", 'Ingest Template'!AA477&amp;"|DAR")),(IF(ISBLANK('Ingest Template'!AA477),"", 'Ingest Template'!AA477&amp;"|Film Ops")))</f>
        <v/>
      </c>
      <c r="AA477" s="21"/>
      <c r="AB477" s="21" t="str">
        <f>'Ingest Template'!M477</f>
        <v/>
      </c>
      <c r="AC477" s="21" t="str">
        <f>'Ingest Template'!Y477</f>
        <v/>
      </c>
      <c r="AD477" s="21" t="str">
        <f>'Ingest Template'!C477</f>
        <v/>
      </c>
      <c r="AE477" s="21" t="str">
        <f>'Ingest Template'!Z477</f>
        <v/>
      </c>
      <c r="AF477" s="29"/>
      <c r="AG477" s="21" t="str">
        <f t="array" ref="AG477">IF('Ingest Template'!A477="Standard",(CONCATENATE(IF(ISBLANK('Ingest Template'!O477),"", 'Ingest Template'!O477&amp;"|DAR"),CHAR(10), IF(ISBLANK('Ingest Template'!P477),"", 'Ingest Template'!P477&amp;"|DAR"),CHAR(10), IF(ISBLANK('Ingest Template'!Q477),"", 'Ingest Template'!Q477&amp;"|DAR"))),(CONCATENATE(IF(ISBLANK('Ingest Template'!O477),"", 'Ingest Template'!O477&amp;"|Operations - Core Title"),CHAR(10), IF(ISBLANK('Ingest Template'!P477),"", 'Ingest Template'!P477&amp;"|Operations - Core Title"),CHAR(10), IF(ISBLANK('Ingest Template'!Q477),"", 'Ingest Template'!Q477&amp;"|Operations - Core Title"))))</f>
        <v>#|Operations - Core Title
#|Operations - Core Title
</v>
      </c>
      <c r="AH477" s="21"/>
      <c r="AI477" s="21"/>
      <c r="AJ477" s="53" t="str">
        <f>if('Ingest Template'!A477="Standard",'Ingest Template'!N477&amp; "|DAR|DAR|2021-01-01",'Ingest Template'!N477&amp; "|Operations - Core Title|Operations - Core Title")</f>
        <v>#N/A</v>
      </c>
      <c r="AK477" s="53" t="str">
        <f>if('Ingest Template'!A477="Standard",'Ingest Template'!R477&amp; "|2021-01-01",'Ingest Template'!R477)</f>
        <v>#N/A</v>
      </c>
      <c r="AL477" s="21"/>
      <c r="AM477" s="21"/>
    </row>
    <row r="478">
      <c r="A478" s="21"/>
      <c r="B478" s="21" t="str">
        <f>'Ingest Template'!B478&amp;IF('Ingest Template'!A478 = "Standard", " - DAR","")</f>
        <v/>
      </c>
      <c r="C478" s="26" t="s">
        <v>109</v>
      </c>
      <c r="D478" s="29" t="str">
        <f t="array" ref="D478">CONCATENATE(INDEX(DropDown!$H$2:$H$10,MATCH(1,COUNTIF('Ingest Template'!F478,"*"&amp;DropDown!$H$2:$H$10&amp;"*"),0)),CHAR(10),'Ingest Template'!G478)</f>
        <v>#N/A</v>
      </c>
      <c r="E478" s="21" t="str">
        <f>CONCATENATE('Ingest Template'!H478,CHAR(10),'Ingest Template'!I478,CHAR(10),'Ingest Template'!J478)</f>
        <v>
</v>
      </c>
      <c r="F478" s="26" t="str">
        <f>'Ingest Template'!H478</f>
        <v/>
      </c>
      <c r="G478" s="21"/>
      <c r="H478" s="29"/>
      <c r="I478" s="21"/>
      <c r="J478" s="29" t="str">
        <f t="array" ref="J478">iF('Ingest Template'!A478="Standard","Pristine Brand",INDEX(DropDown!$M$2:$M$392,MATCH('Ingest Template'!E478,DropDown!$J$2:$J$392,0)))</f>
        <v>#N/A</v>
      </c>
      <c r="K478" s="21" t="str">
        <f>iF('Ingest Template'!A478="Standard",'Ingest Template'!K478&amp;CHAR(10)&amp;'Ingest Template'!L478,"Competitive View")</f>
        <v>Competitive View</v>
      </c>
      <c r="L478" s="29" t="s">
        <v>146</v>
      </c>
      <c r="M478" s="37" t="str">
        <f>'Ingest Template'!D478</f>
        <v/>
      </c>
      <c r="N478" s="21"/>
      <c r="O478" s="21"/>
      <c r="P478" s="21"/>
      <c r="Q478" s="21"/>
      <c r="R478" s="21" t="str">
        <f>'Ingest Template'!E478</f>
        <v/>
      </c>
      <c r="S478" s="29" t="s">
        <v>153</v>
      </c>
      <c r="T478" s="21" t="str">
        <f>'Ingest Template'!T478</f>
        <v/>
      </c>
      <c r="U478" s="21" t="str">
        <f>'Ingest Template'!S478</f>
        <v/>
      </c>
      <c r="V478" s="21" t="str">
        <f>LOWER(SUBSTITUTE(SUBSTITUTE(SUBSTITUTE(SUBSTITUTE(SUBSTITUTE('Ingest Template'!U478,"https:",""),"www.",""),"/",""),"?hl=en",""),"instagram.com",""))</f>
        <v/>
      </c>
      <c r="W478" s="41" t="str">
        <f t="array" ref="W478">IF('Ingest Template'!V478="",(INDEX(DropDown!$L$2:$L$392,MATCH('Ingest Template'!E478,DropDown!$J$2:$J$392,0))&amp;"|"&amp;'Ingest Template'!B478),(INDEX(DropDown!$L$2:$L$392,MATCH('Ingest Template'!E478,DropDown!$J$2:$J$392,0))&amp;"|"&amp;'Ingest Template'!B478)&amp;CHAR(10)&amp;'Ingest Template'!V478)</f>
        <v>#N/A</v>
      </c>
      <c r="X478" s="41" t="str">
        <f>'Ingest Template'!W478</f>
        <v/>
      </c>
      <c r="Y478" s="21" t="str">
        <f>SUBSTITUTE(SUBSTITUTE(SUBSTITUTE('Ingest Template'!X478,"http:",""),"https:",""),"/","")</f>
        <v/>
      </c>
      <c r="Z478" s="21" t="str">
        <f t="array" ref="Z478">IF('Ingest Template'!A478="Standard",(IF(ISBLANK('Ingest Template'!AA478),"", 'Ingest Template'!AA478&amp;"|DAR")),(IF(ISBLANK('Ingest Template'!AA478),"", 'Ingest Template'!AA478&amp;"|Film Ops")))</f>
        <v/>
      </c>
      <c r="AA478" s="21"/>
      <c r="AB478" s="21" t="str">
        <f>'Ingest Template'!M478</f>
        <v/>
      </c>
      <c r="AC478" s="21" t="str">
        <f>'Ingest Template'!Y478</f>
        <v/>
      </c>
      <c r="AD478" s="21" t="str">
        <f>'Ingest Template'!C478</f>
        <v/>
      </c>
      <c r="AE478" s="21" t="str">
        <f>'Ingest Template'!Z478</f>
        <v/>
      </c>
      <c r="AF478" s="29"/>
      <c r="AG478" s="21" t="str">
        <f t="array" ref="AG478">IF('Ingest Template'!A478="Standard",(CONCATENATE(IF(ISBLANK('Ingest Template'!O478),"", 'Ingest Template'!O478&amp;"|DAR"),CHAR(10), IF(ISBLANK('Ingest Template'!P478),"", 'Ingest Template'!P478&amp;"|DAR"),CHAR(10), IF(ISBLANK('Ingest Template'!Q478),"", 'Ingest Template'!Q478&amp;"|DAR"))),(CONCATENATE(IF(ISBLANK('Ingest Template'!O478),"", 'Ingest Template'!O478&amp;"|Operations - Core Title"),CHAR(10), IF(ISBLANK('Ingest Template'!P478),"", 'Ingest Template'!P478&amp;"|Operations - Core Title"),CHAR(10), IF(ISBLANK('Ingest Template'!Q478),"", 'Ingest Template'!Q478&amp;"|Operations - Core Title"))))</f>
        <v>#|Operations - Core Title
#|Operations - Core Title
</v>
      </c>
      <c r="AH478" s="21"/>
      <c r="AI478" s="21"/>
      <c r="AJ478" s="53" t="str">
        <f>if('Ingest Template'!A478="Standard",'Ingest Template'!N478&amp; "|DAR|DAR|2021-01-01",'Ingest Template'!N478&amp; "|Operations - Core Title|Operations - Core Title")</f>
        <v>#N/A</v>
      </c>
      <c r="AK478" s="53" t="str">
        <f>if('Ingest Template'!A478="Standard",'Ingest Template'!R478&amp; "|2021-01-01",'Ingest Template'!R478)</f>
        <v>#N/A</v>
      </c>
      <c r="AL478" s="21"/>
      <c r="AM478" s="21"/>
    </row>
    <row r="479">
      <c r="A479" s="21"/>
      <c r="B479" s="21" t="str">
        <f>'Ingest Template'!B479&amp;IF('Ingest Template'!A479 = "Standard", " - DAR","")</f>
        <v/>
      </c>
      <c r="C479" s="26" t="s">
        <v>109</v>
      </c>
      <c r="D479" s="29" t="str">
        <f t="array" ref="D479">CONCATENATE(INDEX(DropDown!$H$2:$H$10,MATCH(1,COUNTIF('Ingest Template'!F479,"*"&amp;DropDown!$H$2:$H$10&amp;"*"),0)),CHAR(10),'Ingest Template'!G479)</f>
        <v>#N/A</v>
      </c>
      <c r="E479" s="21" t="str">
        <f>CONCATENATE('Ingest Template'!H479,CHAR(10),'Ingest Template'!I479,CHAR(10),'Ingest Template'!J479)</f>
        <v>
</v>
      </c>
      <c r="F479" s="26" t="str">
        <f>'Ingest Template'!H479</f>
        <v/>
      </c>
      <c r="G479" s="21"/>
      <c r="H479" s="29"/>
      <c r="I479" s="21"/>
      <c r="J479" s="29" t="str">
        <f t="array" ref="J479">iF('Ingest Template'!A479="Standard","Pristine Brand",INDEX(DropDown!$M$2:$M$392,MATCH('Ingest Template'!E479,DropDown!$J$2:$J$392,0)))</f>
        <v>#N/A</v>
      </c>
      <c r="K479" s="21" t="str">
        <f>iF('Ingest Template'!A479="Standard",'Ingest Template'!K479&amp;CHAR(10)&amp;'Ingest Template'!L479,"Competitive View")</f>
        <v>Competitive View</v>
      </c>
      <c r="L479" s="29" t="s">
        <v>146</v>
      </c>
      <c r="M479" s="37" t="str">
        <f>'Ingest Template'!D479</f>
        <v/>
      </c>
      <c r="N479" s="21"/>
      <c r="O479" s="21"/>
      <c r="P479" s="21"/>
      <c r="Q479" s="21"/>
      <c r="R479" s="21" t="str">
        <f>'Ingest Template'!E479</f>
        <v/>
      </c>
      <c r="S479" s="29" t="s">
        <v>153</v>
      </c>
      <c r="T479" s="21" t="str">
        <f>'Ingest Template'!T479</f>
        <v/>
      </c>
      <c r="U479" s="21" t="str">
        <f>'Ingest Template'!S479</f>
        <v/>
      </c>
      <c r="V479" s="21" t="str">
        <f>LOWER(SUBSTITUTE(SUBSTITUTE(SUBSTITUTE(SUBSTITUTE(SUBSTITUTE('Ingest Template'!U479,"https:",""),"www.",""),"/",""),"?hl=en",""),"instagram.com",""))</f>
        <v/>
      </c>
      <c r="W479" s="41" t="str">
        <f t="array" ref="W479">IF('Ingest Template'!V479="",(INDEX(DropDown!$L$2:$L$392,MATCH('Ingest Template'!E479,DropDown!$J$2:$J$392,0))&amp;"|"&amp;'Ingest Template'!B479),(INDEX(DropDown!$L$2:$L$392,MATCH('Ingest Template'!E479,DropDown!$J$2:$J$392,0))&amp;"|"&amp;'Ingest Template'!B479)&amp;CHAR(10)&amp;'Ingest Template'!V479)</f>
        <v>#N/A</v>
      </c>
      <c r="X479" s="41" t="str">
        <f>'Ingest Template'!W479</f>
        <v/>
      </c>
      <c r="Y479" s="21" t="str">
        <f>SUBSTITUTE(SUBSTITUTE(SUBSTITUTE('Ingest Template'!X479,"http:",""),"https:",""),"/","")</f>
        <v/>
      </c>
      <c r="Z479" s="21" t="str">
        <f t="array" ref="Z479">IF('Ingest Template'!A479="Standard",(IF(ISBLANK('Ingest Template'!AA479),"", 'Ingest Template'!AA479&amp;"|DAR")),(IF(ISBLANK('Ingest Template'!AA479),"", 'Ingest Template'!AA479&amp;"|Film Ops")))</f>
        <v/>
      </c>
      <c r="AA479" s="21"/>
      <c r="AB479" s="21" t="str">
        <f>'Ingest Template'!M479</f>
        <v/>
      </c>
      <c r="AC479" s="21" t="str">
        <f>'Ingest Template'!Y479</f>
        <v/>
      </c>
      <c r="AD479" s="21" t="str">
        <f>'Ingest Template'!C479</f>
        <v/>
      </c>
      <c r="AE479" s="21" t="str">
        <f>'Ingest Template'!Z479</f>
        <v/>
      </c>
      <c r="AF479" s="29"/>
      <c r="AG479" s="21" t="str">
        <f t="array" ref="AG479">IF('Ingest Template'!A479="Standard",(CONCATENATE(IF(ISBLANK('Ingest Template'!O479),"", 'Ingest Template'!O479&amp;"|DAR"),CHAR(10), IF(ISBLANK('Ingest Template'!P479),"", 'Ingest Template'!P479&amp;"|DAR"),CHAR(10), IF(ISBLANK('Ingest Template'!Q479),"", 'Ingest Template'!Q479&amp;"|DAR"))),(CONCATENATE(IF(ISBLANK('Ingest Template'!O479),"", 'Ingest Template'!O479&amp;"|Operations - Core Title"),CHAR(10), IF(ISBLANK('Ingest Template'!P479),"", 'Ingest Template'!P479&amp;"|Operations - Core Title"),CHAR(10), IF(ISBLANK('Ingest Template'!Q479),"", 'Ingest Template'!Q479&amp;"|Operations - Core Title"))))</f>
        <v>#|Operations - Core Title
#|Operations - Core Title
</v>
      </c>
      <c r="AH479" s="21"/>
      <c r="AI479" s="21"/>
      <c r="AJ479" s="53" t="str">
        <f>if('Ingest Template'!A479="Standard",'Ingest Template'!N479&amp; "|DAR|DAR|2021-01-01",'Ingest Template'!N479&amp; "|Operations - Core Title|Operations - Core Title")</f>
        <v>#N/A</v>
      </c>
      <c r="AK479" s="53" t="str">
        <f>if('Ingest Template'!A479="Standard",'Ingest Template'!R479&amp; "|2021-01-01",'Ingest Template'!R479)</f>
        <v>#N/A</v>
      </c>
      <c r="AL479" s="21"/>
      <c r="AM479" s="21"/>
    </row>
    <row r="480">
      <c r="A480" s="21"/>
      <c r="B480" s="21" t="str">
        <f>'Ingest Template'!B480&amp;IF('Ingest Template'!A480 = "Standard", " - DAR","")</f>
        <v/>
      </c>
      <c r="C480" s="26" t="s">
        <v>109</v>
      </c>
      <c r="D480" s="29" t="str">
        <f t="array" ref="D480">CONCATENATE(INDEX(DropDown!$H$2:$H$10,MATCH(1,COUNTIF('Ingest Template'!F480,"*"&amp;DropDown!$H$2:$H$10&amp;"*"),0)),CHAR(10),'Ingest Template'!G480)</f>
        <v>#N/A</v>
      </c>
      <c r="E480" s="21" t="str">
        <f>CONCATENATE('Ingest Template'!H480,CHAR(10),'Ingest Template'!I480,CHAR(10),'Ingest Template'!J480)</f>
        <v>
</v>
      </c>
      <c r="F480" s="26" t="str">
        <f>'Ingest Template'!H480</f>
        <v/>
      </c>
      <c r="G480" s="21"/>
      <c r="H480" s="29"/>
      <c r="I480" s="21"/>
      <c r="J480" s="29" t="str">
        <f t="array" ref="J480">iF('Ingest Template'!A480="Standard","Pristine Brand",INDEX(DropDown!$M$2:$M$392,MATCH('Ingest Template'!E480,DropDown!$J$2:$J$392,0)))</f>
        <v>#N/A</v>
      </c>
      <c r="K480" s="21" t="str">
        <f>iF('Ingest Template'!A480="Standard",'Ingest Template'!K480&amp;CHAR(10)&amp;'Ingest Template'!L480,"Competitive View")</f>
        <v>Competitive View</v>
      </c>
      <c r="L480" s="29" t="s">
        <v>146</v>
      </c>
      <c r="M480" s="37" t="str">
        <f>'Ingest Template'!D480</f>
        <v/>
      </c>
      <c r="N480" s="21"/>
      <c r="O480" s="21"/>
      <c r="P480" s="21"/>
      <c r="Q480" s="21"/>
      <c r="R480" s="21" t="str">
        <f>'Ingest Template'!E480</f>
        <v/>
      </c>
      <c r="S480" s="29" t="s">
        <v>153</v>
      </c>
      <c r="T480" s="21" t="str">
        <f>'Ingest Template'!T480</f>
        <v/>
      </c>
      <c r="U480" s="21" t="str">
        <f>'Ingest Template'!S480</f>
        <v/>
      </c>
      <c r="V480" s="21" t="str">
        <f>LOWER(SUBSTITUTE(SUBSTITUTE(SUBSTITUTE(SUBSTITUTE(SUBSTITUTE('Ingest Template'!U480,"https:",""),"www.",""),"/",""),"?hl=en",""),"instagram.com",""))</f>
        <v/>
      </c>
      <c r="W480" s="41" t="str">
        <f t="array" ref="W480">IF('Ingest Template'!V480="",(INDEX(DropDown!$L$2:$L$392,MATCH('Ingest Template'!E480,DropDown!$J$2:$J$392,0))&amp;"|"&amp;'Ingest Template'!B480),(INDEX(DropDown!$L$2:$L$392,MATCH('Ingest Template'!E480,DropDown!$J$2:$J$392,0))&amp;"|"&amp;'Ingest Template'!B480)&amp;CHAR(10)&amp;'Ingest Template'!V480)</f>
        <v>#N/A</v>
      </c>
      <c r="X480" s="41" t="str">
        <f>'Ingest Template'!W480</f>
        <v/>
      </c>
      <c r="Y480" s="21" t="str">
        <f>SUBSTITUTE(SUBSTITUTE(SUBSTITUTE('Ingest Template'!X480,"http:",""),"https:",""),"/","")</f>
        <v/>
      </c>
      <c r="Z480" s="21" t="str">
        <f t="array" ref="Z480">IF('Ingest Template'!A480="Standard",(IF(ISBLANK('Ingest Template'!AA480),"", 'Ingest Template'!AA480&amp;"|DAR")),(IF(ISBLANK('Ingest Template'!AA480),"", 'Ingest Template'!AA480&amp;"|Film Ops")))</f>
        <v/>
      </c>
      <c r="AA480" s="21"/>
      <c r="AB480" s="21" t="str">
        <f>'Ingest Template'!M480</f>
        <v/>
      </c>
      <c r="AC480" s="21" t="str">
        <f>'Ingest Template'!Y480</f>
        <v/>
      </c>
      <c r="AD480" s="21" t="str">
        <f>'Ingest Template'!C480</f>
        <v/>
      </c>
      <c r="AE480" s="21" t="str">
        <f>'Ingest Template'!Z480</f>
        <v/>
      </c>
      <c r="AF480" s="29"/>
      <c r="AG480" s="21" t="str">
        <f t="array" ref="AG480">IF('Ingest Template'!A480="Standard",(CONCATENATE(IF(ISBLANK('Ingest Template'!O480),"", 'Ingest Template'!O480&amp;"|DAR"),CHAR(10), IF(ISBLANK('Ingest Template'!P480),"", 'Ingest Template'!P480&amp;"|DAR"),CHAR(10), IF(ISBLANK('Ingest Template'!Q480),"", 'Ingest Template'!Q480&amp;"|DAR"))),(CONCATENATE(IF(ISBLANK('Ingest Template'!O480),"", 'Ingest Template'!O480&amp;"|Operations - Core Title"),CHAR(10), IF(ISBLANK('Ingest Template'!P480),"", 'Ingest Template'!P480&amp;"|Operations - Core Title"),CHAR(10), IF(ISBLANK('Ingest Template'!Q480),"", 'Ingest Template'!Q480&amp;"|Operations - Core Title"))))</f>
        <v>#|Operations - Core Title
#|Operations - Core Title
</v>
      </c>
      <c r="AH480" s="21"/>
      <c r="AI480" s="21"/>
      <c r="AJ480" s="53" t="str">
        <f>if('Ingest Template'!A480="Standard",'Ingest Template'!N480&amp; "|DAR|DAR|2021-01-01",'Ingest Template'!N480&amp; "|Operations - Core Title|Operations - Core Title")</f>
        <v>#N/A</v>
      </c>
      <c r="AK480" s="53" t="str">
        <f>if('Ingest Template'!A480="Standard",'Ingest Template'!R480&amp; "|2021-01-01",'Ingest Template'!R480)</f>
        <v>#N/A</v>
      </c>
      <c r="AL480" s="21"/>
      <c r="AM480" s="21"/>
    </row>
    <row r="481">
      <c r="A481" s="21"/>
      <c r="B481" s="21" t="str">
        <f>'Ingest Template'!B481&amp;IF('Ingest Template'!A481 = "Standard", " - DAR","")</f>
        <v/>
      </c>
      <c r="C481" s="26" t="s">
        <v>109</v>
      </c>
      <c r="D481" s="29" t="str">
        <f t="array" ref="D481">CONCATENATE(INDEX(DropDown!$H$2:$H$10,MATCH(1,COUNTIF('Ingest Template'!F481,"*"&amp;DropDown!$H$2:$H$10&amp;"*"),0)),CHAR(10),'Ingest Template'!G481)</f>
        <v>#N/A</v>
      </c>
      <c r="E481" s="21" t="str">
        <f>CONCATENATE('Ingest Template'!H481,CHAR(10),'Ingest Template'!I481,CHAR(10),'Ingest Template'!J481)</f>
        <v>
</v>
      </c>
      <c r="F481" s="26" t="str">
        <f>'Ingest Template'!H481</f>
        <v/>
      </c>
      <c r="G481" s="21"/>
      <c r="H481" s="29"/>
      <c r="I481" s="21"/>
      <c r="J481" s="29" t="str">
        <f t="array" ref="J481">iF('Ingest Template'!A481="Standard","Pristine Brand",INDEX(DropDown!$M$2:$M$392,MATCH('Ingest Template'!E481,DropDown!$J$2:$J$392,0)))</f>
        <v>#N/A</v>
      </c>
      <c r="K481" s="21" t="str">
        <f>iF('Ingest Template'!A481="Standard",'Ingest Template'!K481&amp;CHAR(10)&amp;'Ingest Template'!L481,"Competitive View")</f>
        <v>Competitive View</v>
      </c>
      <c r="L481" s="29" t="s">
        <v>146</v>
      </c>
      <c r="M481" s="37" t="str">
        <f>'Ingest Template'!D481</f>
        <v/>
      </c>
      <c r="N481" s="21"/>
      <c r="O481" s="21"/>
      <c r="P481" s="21"/>
      <c r="Q481" s="21"/>
      <c r="R481" s="21" t="str">
        <f>'Ingest Template'!E481</f>
        <v/>
      </c>
      <c r="S481" s="29" t="s">
        <v>153</v>
      </c>
      <c r="T481" s="21" t="str">
        <f>'Ingest Template'!T481</f>
        <v/>
      </c>
      <c r="U481" s="21" t="str">
        <f>'Ingest Template'!S481</f>
        <v/>
      </c>
      <c r="V481" s="21" t="str">
        <f>LOWER(SUBSTITUTE(SUBSTITUTE(SUBSTITUTE(SUBSTITUTE(SUBSTITUTE('Ingest Template'!U481,"https:",""),"www.",""),"/",""),"?hl=en",""),"instagram.com",""))</f>
        <v/>
      </c>
      <c r="W481" s="41" t="str">
        <f t="array" ref="W481">IF('Ingest Template'!V481="",(INDEX(DropDown!$L$2:$L$392,MATCH('Ingest Template'!E481,DropDown!$J$2:$J$392,0))&amp;"|"&amp;'Ingest Template'!B481),(INDEX(DropDown!$L$2:$L$392,MATCH('Ingest Template'!E481,DropDown!$J$2:$J$392,0))&amp;"|"&amp;'Ingest Template'!B481)&amp;CHAR(10)&amp;'Ingest Template'!V481)</f>
        <v>#N/A</v>
      </c>
      <c r="X481" s="41" t="str">
        <f>'Ingest Template'!W481</f>
        <v/>
      </c>
      <c r="Y481" s="21" t="str">
        <f>SUBSTITUTE(SUBSTITUTE(SUBSTITUTE('Ingest Template'!X481,"http:",""),"https:",""),"/","")</f>
        <v/>
      </c>
      <c r="Z481" s="21" t="str">
        <f t="array" ref="Z481">IF('Ingest Template'!A481="Standard",(IF(ISBLANK('Ingest Template'!AA481),"", 'Ingest Template'!AA481&amp;"|DAR")),(IF(ISBLANK('Ingest Template'!AA481),"", 'Ingest Template'!AA481&amp;"|Film Ops")))</f>
        <v/>
      </c>
      <c r="AA481" s="21"/>
      <c r="AB481" s="21" t="str">
        <f>'Ingest Template'!M481</f>
        <v/>
      </c>
      <c r="AC481" s="21" t="str">
        <f>'Ingest Template'!Y481</f>
        <v/>
      </c>
      <c r="AD481" s="21" t="str">
        <f>'Ingest Template'!C481</f>
        <v/>
      </c>
      <c r="AE481" s="21" t="str">
        <f>'Ingest Template'!Z481</f>
        <v/>
      </c>
      <c r="AF481" s="29"/>
      <c r="AG481" s="21" t="str">
        <f t="array" ref="AG481">IF('Ingest Template'!A481="Standard",(CONCATENATE(IF(ISBLANK('Ingest Template'!O481),"", 'Ingest Template'!O481&amp;"|DAR"),CHAR(10), IF(ISBLANK('Ingest Template'!P481),"", 'Ingest Template'!P481&amp;"|DAR"),CHAR(10), IF(ISBLANK('Ingest Template'!Q481),"", 'Ingest Template'!Q481&amp;"|DAR"))),(CONCATENATE(IF(ISBLANK('Ingest Template'!O481),"", 'Ingest Template'!O481&amp;"|Operations - Core Title"),CHAR(10), IF(ISBLANK('Ingest Template'!P481),"", 'Ingest Template'!P481&amp;"|Operations - Core Title"),CHAR(10), IF(ISBLANK('Ingest Template'!Q481),"", 'Ingest Template'!Q481&amp;"|Operations - Core Title"))))</f>
        <v>#|Operations - Core Title
#|Operations - Core Title
</v>
      </c>
      <c r="AH481" s="21"/>
      <c r="AI481" s="21"/>
      <c r="AJ481" s="53" t="str">
        <f>if('Ingest Template'!A481="Standard",'Ingest Template'!N481&amp; "|DAR|DAR|2021-01-01",'Ingest Template'!N481&amp; "|Operations - Core Title|Operations - Core Title")</f>
        <v>#N/A</v>
      </c>
      <c r="AK481" s="53" t="str">
        <f>if('Ingest Template'!A481="Standard",'Ingest Template'!R481&amp; "|2021-01-01",'Ingest Template'!R481)</f>
        <v>#N/A</v>
      </c>
      <c r="AL481" s="21"/>
      <c r="AM481" s="21"/>
    </row>
    <row r="482">
      <c r="A482" s="21"/>
      <c r="B482" s="21" t="str">
        <f>'Ingest Template'!B482&amp;IF('Ingest Template'!A482 = "Standard", " - DAR","")</f>
        <v/>
      </c>
      <c r="C482" s="26" t="s">
        <v>109</v>
      </c>
      <c r="D482" s="29" t="str">
        <f t="array" ref="D482">CONCATENATE(INDEX(DropDown!$H$2:$H$10,MATCH(1,COUNTIF('Ingest Template'!F482,"*"&amp;DropDown!$H$2:$H$10&amp;"*"),0)),CHAR(10),'Ingest Template'!G482)</f>
        <v>#N/A</v>
      </c>
      <c r="E482" s="21" t="str">
        <f>CONCATENATE('Ingest Template'!H482,CHAR(10),'Ingest Template'!I482,CHAR(10),'Ingest Template'!J482)</f>
        <v>
</v>
      </c>
      <c r="F482" s="26" t="str">
        <f>'Ingest Template'!H482</f>
        <v/>
      </c>
      <c r="G482" s="21"/>
      <c r="H482" s="29"/>
      <c r="I482" s="21"/>
      <c r="J482" s="29" t="str">
        <f t="array" ref="J482">iF('Ingest Template'!A482="Standard","Pristine Brand",INDEX(DropDown!$M$2:$M$392,MATCH('Ingest Template'!E482,DropDown!$J$2:$J$392,0)))</f>
        <v>#N/A</v>
      </c>
      <c r="K482" s="21" t="str">
        <f>iF('Ingest Template'!A482="Standard",'Ingest Template'!K482&amp;CHAR(10)&amp;'Ingest Template'!L482,"Competitive View")</f>
        <v>Competitive View</v>
      </c>
      <c r="L482" s="29" t="s">
        <v>146</v>
      </c>
      <c r="M482" s="37" t="str">
        <f>'Ingest Template'!D482</f>
        <v/>
      </c>
      <c r="N482" s="21"/>
      <c r="O482" s="21"/>
      <c r="P482" s="21"/>
      <c r="Q482" s="21"/>
      <c r="R482" s="21" t="str">
        <f>'Ingest Template'!E482</f>
        <v/>
      </c>
      <c r="S482" s="29" t="s">
        <v>153</v>
      </c>
      <c r="T482" s="21" t="str">
        <f>'Ingest Template'!T482</f>
        <v/>
      </c>
      <c r="U482" s="21" t="str">
        <f>'Ingest Template'!S482</f>
        <v/>
      </c>
      <c r="V482" s="21" t="str">
        <f>LOWER(SUBSTITUTE(SUBSTITUTE(SUBSTITUTE(SUBSTITUTE(SUBSTITUTE('Ingest Template'!U482,"https:",""),"www.",""),"/",""),"?hl=en",""),"instagram.com",""))</f>
        <v/>
      </c>
      <c r="W482" s="41" t="str">
        <f t="array" ref="W482">IF('Ingest Template'!V482="",(INDEX(DropDown!$L$2:$L$392,MATCH('Ingest Template'!E482,DropDown!$J$2:$J$392,0))&amp;"|"&amp;'Ingest Template'!B482),(INDEX(DropDown!$L$2:$L$392,MATCH('Ingest Template'!E482,DropDown!$J$2:$J$392,0))&amp;"|"&amp;'Ingest Template'!B482)&amp;CHAR(10)&amp;'Ingest Template'!V482)</f>
        <v>#N/A</v>
      </c>
      <c r="X482" s="41" t="str">
        <f>'Ingest Template'!W482</f>
        <v/>
      </c>
      <c r="Y482" s="21" t="str">
        <f>SUBSTITUTE(SUBSTITUTE(SUBSTITUTE('Ingest Template'!X482,"http:",""),"https:",""),"/","")</f>
        <v/>
      </c>
      <c r="Z482" s="21" t="str">
        <f t="array" ref="Z482">IF('Ingest Template'!A482="Standard",(IF(ISBLANK('Ingest Template'!AA482),"", 'Ingest Template'!AA482&amp;"|DAR")),(IF(ISBLANK('Ingest Template'!AA482),"", 'Ingest Template'!AA482&amp;"|Film Ops")))</f>
        <v/>
      </c>
      <c r="AA482" s="21"/>
      <c r="AB482" s="21" t="str">
        <f>'Ingest Template'!M482</f>
        <v/>
      </c>
      <c r="AC482" s="21" t="str">
        <f>'Ingest Template'!Y482</f>
        <v/>
      </c>
      <c r="AD482" s="21" t="str">
        <f>'Ingest Template'!C482</f>
        <v/>
      </c>
      <c r="AE482" s="21" t="str">
        <f>'Ingest Template'!Z482</f>
        <v/>
      </c>
      <c r="AF482" s="29"/>
      <c r="AG482" s="21" t="str">
        <f t="array" ref="AG482">IF('Ingest Template'!A482="Standard",(CONCATENATE(IF(ISBLANK('Ingest Template'!O482),"", 'Ingest Template'!O482&amp;"|DAR"),CHAR(10), IF(ISBLANK('Ingest Template'!P482),"", 'Ingest Template'!P482&amp;"|DAR"),CHAR(10), IF(ISBLANK('Ingest Template'!Q482),"", 'Ingest Template'!Q482&amp;"|DAR"))),(CONCATENATE(IF(ISBLANK('Ingest Template'!O482),"", 'Ingest Template'!O482&amp;"|Operations - Core Title"),CHAR(10), IF(ISBLANK('Ingest Template'!P482),"", 'Ingest Template'!P482&amp;"|Operations - Core Title"),CHAR(10), IF(ISBLANK('Ingest Template'!Q482),"", 'Ingest Template'!Q482&amp;"|Operations - Core Title"))))</f>
        <v>#|Operations - Core Title
#|Operations - Core Title
</v>
      </c>
      <c r="AH482" s="21"/>
      <c r="AI482" s="21"/>
      <c r="AJ482" s="53" t="str">
        <f>if('Ingest Template'!A482="Standard",'Ingest Template'!N482&amp; "|DAR|DAR|2021-01-01",'Ingest Template'!N482&amp; "|Operations - Core Title|Operations - Core Title")</f>
        <v>#N/A</v>
      </c>
      <c r="AK482" s="53" t="str">
        <f>if('Ingest Template'!A482="Standard",'Ingest Template'!R482&amp; "|2021-01-01",'Ingest Template'!R482)</f>
        <v>#N/A</v>
      </c>
      <c r="AL482" s="21"/>
      <c r="AM482" s="21"/>
    </row>
    <row r="483">
      <c r="A483" s="21"/>
      <c r="B483" s="21" t="str">
        <f>'Ingest Template'!B483&amp;IF('Ingest Template'!A483 = "Standard", " - DAR","")</f>
        <v/>
      </c>
      <c r="C483" s="26" t="s">
        <v>109</v>
      </c>
      <c r="D483" s="29" t="str">
        <f t="array" ref="D483">CONCATENATE(INDEX(DropDown!$H$2:$H$10,MATCH(1,COUNTIF('Ingest Template'!F483,"*"&amp;DropDown!$H$2:$H$10&amp;"*"),0)),CHAR(10),'Ingest Template'!G483)</f>
        <v>#N/A</v>
      </c>
      <c r="E483" s="21" t="str">
        <f>CONCATENATE('Ingest Template'!H483,CHAR(10),'Ingest Template'!I483,CHAR(10),'Ingest Template'!J483)</f>
        <v>
</v>
      </c>
      <c r="F483" s="26" t="str">
        <f>'Ingest Template'!H483</f>
        <v/>
      </c>
      <c r="G483" s="21"/>
      <c r="H483" s="29"/>
      <c r="I483" s="21"/>
      <c r="J483" s="29" t="str">
        <f t="array" ref="J483">iF('Ingest Template'!A483="Standard","Pristine Brand",INDEX(DropDown!$M$2:$M$392,MATCH('Ingest Template'!E483,DropDown!$J$2:$J$392,0)))</f>
        <v>#N/A</v>
      </c>
      <c r="K483" s="21" t="str">
        <f>iF('Ingest Template'!A483="Standard",'Ingest Template'!K483&amp;CHAR(10)&amp;'Ingest Template'!L483,"Competitive View")</f>
        <v>Competitive View</v>
      </c>
      <c r="L483" s="29" t="s">
        <v>146</v>
      </c>
      <c r="M483" s="37" t="str">
        <f>'Ingest Template'!D483</f>
        <v/>
      </c>
      <c r="N483" s="21"/>
      <c r="O483" s="21"/>
      <c r="P483" s="21"/>
      <c r="Q483" s="21"/>
      <c r="R483" s="21" t="str">
        <f>'Ingest Template'!E483</f>
        <v/>
      </c>
      <c r="S483" s="29" t="s">
        <v>153</v>
      </c>
      <c r="T483" s="21" t="str">
        <f>'Ingest Template'!T483</f>
        <v/>
      </c>
      <c r="U483" s="21" t="str">
        <f>'Ingest Template'!S483</f>
        <v/>
      </c>
      <c r="V483" s="21" t="str">
        <f>LOWER(SUBSTITUTE(SUBSTITUTE(SUBSTITUTE(SUBSTITUTE(SUBSTITUTE('Ingest Template'!U483,"https:",""),"www.",""),"/",""),"?hl=en",""),"instagram.com",""))</f>
        <v/>
      </c>
      <c r="W483" s="41" t="str">
        <f t="array" ref="W483">IF('Ingest Template'!V483="",(INDEX(DropDown!$L$2:$L$392,MATCH('Ingest Template'!E483,DropDown!$J$2:$J$392,0))&amp;"|"&amp;'Ingest Template'!B483),(INDEX(DropDown!$L$2:$L$392,MATCH('Ingest Template'!E483,DropDown!$J$2:$J$392,0))&amp;"|"&amp;'Ingest Template'!B483)&amp;CHAR(10)&amp;'Ingest Template'!V483)</f>
        <v>#N/A</v>
      </c>
      <c r="X483" s="41" t="str">
        <f>'Ingest Template'!W483</f>
        <v/>
      </c>
      <c r="Y483" s="21" t="str">
        <f>SUBSTITUTE(SUBSTITUTE(SUBSTITUTE('Ingest Template'!X483,"http:",""),"https:",""),"/","")</f>
        <v/>
      </c>
      <c r="Z483" s="21" t="str">
        <f t="array" ref="Z483">IF('Ingest Template'!A483="Standard",(IF(ISBLANK('Ingest Template'!AA483),"", 'Ingest Template'!AA483&amp;"|DAR")),(IF(ISBLANK('Ingest Template'!AA483),"", 'Ingest Template'!AA483&amp;"|Film Ops")))</f>
        <v/>
      </c>
      <c r="AA483" s="21"/>
      <c r="AB483" s="21" t="str">
        <f>'Ingest Template'!M483</f>
        <v/>
      </c>
      <c r="AC483" s="21" t="str">
        <f>'Ingest Template'!Y483</f>
        <v/>
      </c>
      <c r="AD483" s="21" t="str">
        <f>'Ingest Template'!C483</f>
        <v/>
      </c>
      <c r="AE483" s="21" t="str">
        <f>'Ingest Template'!Z483</f>
        <v/>
      </c>
      <c r="AF483" s="29"/>
      <c r="AG483" s="21" t="str">
        <f t="array" ref="AG483">IF('Ingest Template'!A483="Standard",(CONCATENATE(IF(ISBLANK('Ingest Template'!O483),"", 'Ingest Template'!O483&amp;"|DAR"),CHAR(10), IF(ISBLANK('Ingest Template'!P483),"", 'Ingest Template'!P483&amp;"|DAR"),CHAR(10), IF(ISBLANK('Ingest Template'!Q483),"", 'Ingest Template'!Q483&amp;"|DAR"))),(CONCATENATE(IF(ISBLANK('Ingest Template'!O483),"", 'Ingest Template'!O483&amp;"|Operations - Core Title"),CHAR(10), IF(ISBLANK('Ingest Template'!P483),"", 'Ingest Template'!P483&amp;"|Operations - Core Title"),CHAR(10), IF(ISBLANK('Ingest Template'!Q483),"", 'Ingest Template'!Q483&amp;"|Operations - Core Title"))))</f>
        <v>#|Operations - Core Title
#|Operations - Core Title
</v>
      </c>
      <c r="AH483" s="21"/>
      <c r="AI483" s="21"/>
      <c r="AJ483" s="53" t="str">
        <f>if('Ingest Template'!A483="Standard",'Ingest Template'!N483&amp; "|DAR|DAR|2021-01-01",'Ingest Template'!N483&amp; "|Operations - Core Title|Operations - Core Title")</f>
        <v>#N/A</v>
      </c>
      <c r="AK483" s="53" t="str">
        <f>if('Ingest Template'!A483="Standard",'Ingest Template'!R483&amp; "|2021-01-01",'Ingest Template'!R483)</f>
        <v>#N/A</v>
      </c>
      <c r="AL483" s="21"/>
      <c r="AM483" s="21"/>
    </row>
    <row r="484">
      <c r="A484" s="21"/>
      <c r="B484" s="21" t="str">
        <f>'Ingest Template'!B484&amp;IF('Ingest Template'!A484 = "Standard", " - DAR","")</f>
        <v/>
      </c>
      <c r="C484" s="26" t="s">
        <v>109</v>
      </c>
      <c r="D484" s="29" t="str">
        <f t="array" ref="D484">CONCATENATE(INDEX(DropDown!$H$2:$H$10,MATCH(1,COUNTIF('Ingest Template'!F484,"*"&amp;DropDown!$H$2:$H$10&amp;"*"),0)),CHAR(10),'Ingest Template'!G484)</f>
        <v>#N/A</v>
      </c>
      <c r="E484" s="21" t="str">
        <f>CONCATENATE('Ingest Template'!H484,CHAR(10),'Ingest Template'!I484,CHAR(10),'Ingest Template'!J484)</f>
        <v>
</v>
      </c>
      <c r="F484" s="26" t="str">
        <f>'Ingest Template'!H484</f>
        <v/>
      </c>
      <c r="G484" s="21"/>
      <c r="H484" s="29"/>
      <c r="I484" s="21"/>
      <c r="J484" s="29" t="str">
        <f t="array" ref="J484">iF('Ingest Template'!A484="Standard","Pristine Brand",INDEX(DropDown!$M$2:$M$392,MATCH('Ingest Template'!E484,DropDown!$J$2:$J$392,0)))</f>
        <v>#N/A</v>
      </c>
      <c r="K484" s="21" t="str">
        <f>iF('Ingest Template'!A484="Standard",'Ingest Template'!K484&amp;CHAR(10)&amp;'Ingest Template'!L484,"Competitive View")</f>
        <v>Competitive View</v>
      </c>
      <c r="L484" s="29" t="s">
        <v>146</v>
      </c>
      <c r="M484" s="37" t="str">
        <f>'Ingest Template'!D484</f>
        <v/>
      </c>
      <c r="N484" s="21"/>
      <c r="O484" s="21"/>
      <c r="P484" s="21"/>
      <c r="Q484" s="21"/>
      <c r="R484" s="21" t="str">
        <f>'Ingest Template'!E484</f>
        <v/>
      </c>
      <c r="S484" s="29" t="s">
        <v>153</v>
      </c>
      <c r="T484" s="21" t="str">
        <f>'Ingest Template'!T484</f>
        <v/>
      </c>
      <c r="U484" s="21" t="str">
        <f>'Ingest Template'!S484</f>
        <v/>
      </c>
      <c r="V484" s="21" t="str">
        <f>LOWER(SUBSTITUTE(SUBSTITUTE(SUBSTITUTE(SUBSTITUTE(SUBSTITUTE('Ingest Template'!U484,"https:",""),"www.",""),"/",""),"?hl=en",""),"instagram.com",""))</f>
        <v/>
      </c>
      <c r="W484" s="41" t="str">
        <f t="array" ref="W484">IF('Ingest Template'!V484="",(INDEX(DropDown!$L$2:$L$392,MATCH('Ingest Template'!E484,DropDown!$J$2:$J$392,0))&amp;"|"&amp;'Ingest Template'!B484),(INDEX(DropDown!$L$2:$L$392,MATCH('Ingest Template'!E484,DropDown!$J$2:$J$392,0))&amp;"|"&amp;'Ingest Template'!B484)&amp;CHAR(10)&amp;'Ingest Template'!V484)</f>
        <v>#N/A</v>
      </c>
      <c r="X484" s="41" t="str">
        <f>'Ingest Template'!W484</f>
        <v/>
      </c>
      <c r="Y484" s="21" t="str">
        <f>SUBSTITUTE(SUBSTITUTE(SUBSTITUTE('Ingest Template'!X484,"http:",""),"https:",""),"/","")</f>
        <v/>
      </c>
      <c r="Z484" s="21" t="str">
        <f t="array" ref="Z484">IF('Ingest Template'!A484="Standard",(IF(ISBLANK('Ingest Template'!AA484),"", 'Ingest Template'!AA484&amp;"|DAR")),(IF(ISBLANK('Ingest Template'!AA484),"", 'Ingest Template'!AA484&amp;"|Film Ops")))</f>
        <v/>
      </c>
      <c r="AA484" s="21"/>
      <c r="AB484" s="21" t="str">
        <f>'Ingest Template'!M484</f>
        <v/>
      </c>
      <c r="AC484" s="21" t="str">
        <f>'Ingest Template'!Y484</f>
        <v/>
      </c>
      <c r="AD484" s="21" t="str">
        <f>'Ingest Template'!C484</f>
        <v/>
      </c>
      <c r="AE484" s="21" t="str">
        <f>'Ingest Template'!Z484</f>
        <v/>
      </c>
      <c r="AF484" s="29"/>
      <c r="AG484" s="21" t="str">
        <f t="array" ref="AG484">IF('Ingest Template'!A484="Standard",(CONCATENATE(IF(ISBLANK('Ingest Template'!O484),"", 'Ingest Template'!O484&amp;"|DAR"),CHAR(10), IF(ISBLANK('Ingest Template'!P484),"", 'Ingest Template'!P484&amp;"|DAR"),CHAR(10), IF(ISBLANK('Ingest Template'!Q484),"", 'Ingest Template'!Q484&amp;"|DAR"))),(CONCATENATE(IF(ISBLANK('Ingest Template'!O484),"", 'Ingest Template'!O484&amp;"|Operations - Core Title"),CHAR(10), IF(ISBLANK('Ingest Template'!P484),"", 'Ingest Template'!P484&amp;"|Operations - Core Title"),CHAR(10), IF(ISBLANK('Ingest Template'!Q484),"", 'Ingest Template'!Q484&amp;"|Operations - Core Title"))))</f>
        <v>#|Operations - Core Title
#|Operations - Core Title
</v>
      </c>
      <c r="AH484" s="21"/>
      <c r="AI484" s="21"/>
      <c r="AJ484" s="53" t="str">
        <f>if('Ingest Template'!A484="Standard",'Ingest Template'!N484&amp; "|DAR|DAR|2021-01-01",'Ingest Template'!N484&amp; "|Operations - Core Title|Operations - Core Title")</f>
        <v>#N/A</v>
      </c>
      <c r="AK484" s="53" t="str">
        <f>if('Ingest Template'!A484="Standard",'Ingest Template'!R484&amp; "|2021-01-01",'Ingest Template'!R484)</f>
        <v>#N/A</v>
      </c>
      <c r="AL484" s="21"/>
      <c r="AM484" s="21"/>
    </row>
    <row r="485">
      <c r="A485" s="21"/>
      <c r="B485" s="21" t="str">
        <f>'Ingest Template'!B485&amp;IF('Ingest Template'!A485 = "Standard", " - DAR","")</f>
        <v/>
      </c>
      <c r="C485" s="26" t="s">
        <v>109</v>
      </c>
      <c r="D485" s="29" t="str">
        <f t="array" ref="D485">CONCATENATE(INDEX(DropDown!$H$2:$H$10,MATCH(1,COUNTIF('Ingest Template'!F485,"*"&amp;DropDown!$H$2:$H$10&amp;"*"),0)),CHAR(10),'Ingest Template'!G485)</f>
        <v>#N/A</v>
      </c>
      <c r="E485" s="21" t="str">
        <f>CONCATENATE('Ingest Template'!H485,CHAR(10),'Ingest Template'!I485,CHAR(10),'Ingest Template'!J485)</f>
        <v>
</v>
      </c>
      <c r="F485" s="26" t="str">
        <f>'Ingest Template'!H485</f>
        <v/>
      </c>
      <c r="G485" s="21"/>
      <c r="H485" s="29"/>
      <c r="I485" s="21"/>
      <c r="J485" s="29" t="str">
        <f t="array" ref="J485">iF('Ingest Template'!A485="Standard","Pristine Brand",INDEX(DropDown!$M$2:$M$392,MATCH('Ingest Template'!E485,DropDown!$J$2:$J$392,0)))</f>
        <v>#N/A</v>
      </c>
      <c r="K485" s="21" t="str">
        <f>iF('Ingest Template'!A485="Standard",'Ingest Template'!K485&amp;CHAR(10)&amp;'Ingest Template'!L485,"Competitive View")</f>
        <v>Competitive View</v>
      </c>
      <c r="L485" s="29" t="s">
        <v>146</v>
      </c>
      <c r="M485" s="37" t="str">
        <f>'Ingest Template'!D485</f>
        <v/>
      </c>
      <c r="N485" s="21"/>
      <c r="O485" s="21"/>
      <c r="P485" s="21"/>
      <c r="Q485" s="21"/>
      <c r="R485" s="21" t="str">
        <f>'Ingest Template'!E485</f>
        <v/>
      </c>
      <c r="S485" s="29" t="s">
        <v>153</v>
      </c>
      <c r="T485" s="21" t="str">
        <f>'Ingest Template'!T485</f>
        <v/>
      </c>
      <c r="U485" s="21" t="str">
        <f>'Ingest Template'!S485</f>
        <v/>
      </c>
      <c r="V485" s="21" t="str">
        <f>LOWER(SUBSTITUTE(SUBSTITUTE(SUBSTITUTE(SUBSTITUTE(SUBSTITUTE('Ingest Template'!U485,"https:",""),"www.",""),"/",""),"?hl=en",""),"instagram.com",""))</f>
        <v/>
      </c>
      <c r="W485" s="41" t="str">
        <f t="array" ref="W485">IF('Ingest Template'!V485="",(INDEX(DropDown!$L$2:$L$392,MATCH('Ingest Template'!E485,DropDown!$J$2:$J$392,0))&amp;"|"&amp;'Ingest Template'!B485),(INDEX(DropDown!$L$2:$L$392,MATCH('Ingest Template'!E485,DropDown!$J$2:$J$392,0))&amp;"|"&amp;'Ingest Template'!B485)&amp;CHAR(10)&amp;'Ingest Template'!V485)</f>
        <v>#N/A</v>
      </c>
      <c r="X485" s="41" t="str">
        <f>'Ingest Template'!W485</f>
        <v/>
      </c>
      <c r="Y485" s="21" t="str">
        <f>SUBSTITUTE(SUBSTITUTE(SUBSTITUTE('Ingest Template'!X485,"http:",""),"https:",""),"/","")</f>
        <v/>
      </c>
      <c r="Z485" s="21" t="str">
        <f t="array" ref="Z485">IF('Ingest Template'!A485="Standard",(IF(ISBLANK('Ingest Template'!AA485),"", 'Ingest Template'!AA485&amp;"|DAR")),(IF(ISBLANK('Ingest Template'!AA485),"", 'Ingest Template'!AA485&amp;"|Film Ops")))</f>
        <v/>
      </c>
      <c r="AA485" s="21"/>
      <c r="AB485" s="21" t="str">
        <f>'Ingest Template'!M485</f>
        <v/>
      </c>
      <c r="AC485" s="21" t="str">
        <f>'Ingest Template'!Y485</f>
        <v/>
      </c>
      <c r="AD485" s="21" t="str">
        <f>'Ingest Template'!C485</f>
        <v/>
      </c>
      <c r="AE485" s="21" t="str">
        <f>'Ingest Template'!Z485</f>
        <v/>
      </c>
      <c r="AF485" s="29"/>
      <c r="AG485" s="21" t="str">
        <f t="array" ref="AG485">IF('Ingest Template'!A485="Standard",(CONCATENATE(IF(ISBLANK('Ingest Template'!O485),"", 'Ingest Template'!O485&amp;"|DAR"),CHAR(10), IF(ISBLANK('Ingest Template'!P485),"", 'Ingest Template'!P485&amp;"|DAR"),CHAR(10), IF(ISBLANK('Ingest Template'!Q485),"", 'Ingest Template'!Q485&amp;"|DAR"))),(CONCATENATE(IF(ISBLANK('Ingest Template'!O485),"", 'Ingest Template'!O485&amp;"|Operations - Core Title"),CHAR(10), IF(ISBLANK('Ingest Template'!P485),"", 'Ingest Template'!P485&amp;"|Operations - Core Title"),CHAR(10), IF(ISBLANK('Ingest Template'!Q485),"", 'Ingest Template'!Q485&amp;"|Operations - Core Title"))))</f>
        <v>#|Operations - Core Title
#|Operations - Core Title
</v>
      </c>
      <c r="AH485" s="21"/>
      <c r="AI485" s="21"/>
      <c r="AJ485" s="53" t="str">
        <f>if('Ingest Template'!A485="Standard",'Ingest Template'!N485&amp; "|DAR|DAR|2021-01-01",'Ingest Template'!N485&amp; "|Operations - Core Title|Operations - Core Title")</f>
        <v>#N/A</v>
      </c>
      <c r="AK485" s="53" t="str">
        <f>if('Ingest Template'!A485="Standard",'Ingest Template'!R485&amp; "|2021-01-01",'Ingest Template'!R485)</f>
        <v>#N/A</v>
      </c>
      <c r="AL485" s="21"/>
      <c r="AM485" s="21"/>
    </row>
    <row r="486">
      <c r="A486" s="21"/>
      <c r="B486" s="21" t="str">
        <f>'Ingest Template'!B486&amp;IF('Ingest Template'!A486 = "Standard", " - DAR","")</f>
        <v/>
      </c>
      <c r="C486" s="26" t="s">
        <v>109</v>
      </c>
      <c r="D486" s="29" t="str">
        <f t="array" ref="D486">CONCATENATE(INDEX(DropDown!$H$2:$H$10,MATCH(1,COUNTIF('Ingest Template'!F486,"*"&amp;DropDown!$H$2:$H$10&amp;"*"),0)),CHAR(10),'Ingest Template'!G486)</f>
        <v>#N/A</v>
      </c>
      <c r="E486" s="21" t="str">
        <f>CONCATENATE('Ingest Template'!H486,CHAR(10),'Ingest Template'!I486,CHAR(10),'Ingest Template'!J486)</f>
        <v>
</v>
      </c>
      <c r="F486" s="26" t="str">
        <f>'Ingest Template'!H486</f>
        <v/>
      </c>
      <c r="G486" s="21"/>
      <c r="H486" s="29"/>
      <c r="I486" s="21"/>
      <c r="J486" s="29" t="str">
        <f t="array" ref="J486">iF('Ingest Template'!A486="Standard","Pristine Brand",INDEX(DropDown!$M$2:$M$392,MATCH('Ingest Template'!E486,DropDown!$J$2:$J$392,0)))</f>
        <v>#N/A</v>
      </c>
      <c r="K486" s="21" t="str">
        <f>iF('Ingest Template'!A486="Standard",'Ingest Template'!K486&amp;CHAR(10)&amp;'Ingest Template'!L486,"Competitive View")</f>
        <v>Competitive View</v>
      </c>
      <c r="L486" s="29" t="s">
        <v>146</v>
      </c>
      <c r="M486" s="37" t="str">
        <f>'Ingest Template'!D486</f>
        <v/>
      </c>
      <c r="N486" s="21"/>
      <c r="O486" s="21"/>
      <c r="P486" s="21"/>
      <c r="Q486" s="21"/>
      <c r="R486" s="21" t="str">
        <f>'Ingest Template'!E486</f>
        <v/>
      </c>
      <c r="S486" s="29" t="s">
        <v>153</v>
      </c>
      <c r="T486" s="21" t="str">
        <f>'Ingest Template'!T486</f>
        <v/>
      </c>
      <c r="U486" s="21" t="str">
        <f>'Ingest Template'!S486</f>
        <v/>
      </c>
      <c r="V486" s="21" t="str">
        <f>LOWER(SUBSTITUTE(SUBSTITUTE(SUBSTITUTE(SUBSTITUTE(SUBSTITUTE('Ingest Template'!U486,"https:",""),"www.",""),"/",""),"?hl=en",""),"instagram.com",""))</f>
        <v/>
      </c>
      <c r="W486" s="41" t="str">
        <f t="array" ref="W486">IF('Ingest Template'!V486="",(INDEX(DropDown!$L$2:$L$392,MATCH('Ingest Template'!E486,DropDown!$J$2:$J$392,0))&amp;"|"&amp;'Ingest Template'!B486),(INDEX(DropDown!$L$2:$L$392,MATCH('Ingest Template'!E486,DropDown!$J$2:$J$392,0))&amp;"|"&amp;'Ingest Template'!B486)&amp;CHAR(10)&amp;'Ingest Template'!V486)</f>
        <v>#N/A</v>
      </c>
      <c r="X486" s="41" t="str">
        <f>'Ingest Template'!W486</f>
        <v/>
      </c>
      <c r="Y486" s="21" t="str">
        <f>SUBSTITUTE(SUBSTITUTE(SUBSTITUTE('Ingest Template'!X486,"http:",""),"https:",""),"/","")</f>
        <v/>
      </c>
      <c r="Z486" s="21" t="str">
        <f t="array" ref="Z486">IF('Ingest Template'!A486="Standard",(IF(ISBLANK('Ingest Template'!AA486),"", 'Ingest Template'!AA486&amp;"|DAR")),(IF(ISBLANK('Ingest Template'!AA486),"", 'Ingest Template'!AA486&amp;"|Film Ops")))</f>
        <v/>
      </c>
      <c r="AA486" s="21"/>
      <c r="AB486" s="21" t="str">
        <f>'Ingest Template'!M486</f>
        <v/>
      </c>
      <c r="AC486" s="21" t="str">
        <f>'Ingest Template'!Y486</f>
        <v/>
      </c>
      <c r="AD486" s="21" t="str">
        <f>'Ingest Template'!C486</f>
        <v/>
      </c>
      <c r="AE486" s="21" t="str">
        <f>'Ingest Template'!Z486</f>
        <v/>
      </c>
      <c r="AF486" s="29"/>
      <c r="AG486" s="21" t="str">
        <f t="array" ref="AG486">IF('Ingest Template'!A486="Standard",(CONCATENATE(IF(ISBLANK('Ingest Template'!O486),"", 'Ingest Template'!O486&amp;"|DAR"),CHAR(10), IF(ISBLANK('Ingest Template'!P486),"", 'Ingest Template'!P486&amp;"|DAR"),CHAR(10), IF(ISBLANK('Ingest Template'!Q486),"", 'Ingest Template'!Q486&amp;"|DAR"))),(CONCATENATE(IF(ISBLANK('Ingest Template'!O486),"", 'Ingest Template'!O486&amp;"|Operations - Core Title"),CHAR(10), IF(ISBLANK('Ingest Template'!P486),"", 'Ingest Template'!P486&amp;"|Operations - Core Title"),CHAR(10), IF(ISBLANK('Ingest Template'!Q486),"", 'Ingest Template'!Q486&amp;"|Operations - Core Title"))))</f>
        <v>#|Operations - Core Title
#|Operations - Core Title
</v>
      </c>
      <c r="AH486" s="21"/>
      <c r="AI486" s="21"/>
      <c r="AJ486" s="53" t="str">
        <f>if('Ingest Template'!A486="Standard",'Ingest Template'!N486&amp; "|DAR|DAR|2021-01-01",'Ingest Template'!N486&amp; "|Operations - Core Title|Operations - Core Title")</f>
        <v>#N/A</v>
      </c>
      <c r="AK486" s="53" t="str">
        <f>if('Ingest Template'!A486="Standard",'Ingest Template'!R486&amp; "|2021-01-01",'Ingest Template'!R486)</f>
        <v>#N/A</v>
      </c>
      <c r="AL486" s="21"/>
      <c r="AM486" s="21"/>
    </row>
    <row r="487">
      <c r="A487" s="21"/>
      <c r="B487" s="21" t="str">
        <f>'Ingest Template'!B487&amp;IF('Ingest Template'!A487 = "Standard", " - DAR","")</f>
        <v/>
      </c>
      <c r="C487" s="26" t="s">
        <v>109</v>
      </c>
      <c r="D487" s="29" t="str">
        <f t="array" ref="D487">CONCATENATE(INDEX(DropDown!$H$2:$H$10,MATCH(1,COUNTIF('Ingest Template'!F487,"*"&amp;DropDown!$H$2:$H$10&amp;"*"),0)),CHAR(10),'Ingest Template'!G487)</f>
        <v>#N/A</v>
      </c>
      <c r="E487" s="21" t="str">
        <f>CONCATENATE('Ingest Template'!H487,CHAR(10),'Ingest Template'!I487,CHAR(10),'Ingest Template'!J487)</f>
        <v>
</v>
      </c>
      <c r="F487" s="26" t="str">
        <f>'Ingest Template'!H487</f>
        <v/>
      </c>
      <c r="G487" s="21"/>
      <c r="H487" s="29"/>
      <c r="I487" s="21"/>
      <c r="J487" s="29" t="str">
        <f t="array" ref="J487">iF('Ingest Template'!A487="Standard","Pristine Brand",INDEX(DropDown!$M$2:$M$392,MATCH('Ingest Template'!E487,DropDown!$J$2:$J$392,0)))</f>
        <v>#N/A</v>
      </c>
      <c r="K487" s="21" t="str">
        <f>iF('Ingest Template'!A487="Standard",'Ingest Template'!K487&amp;CHAR(10)&amp;'Ingest Template'!L487,"Competitive View")</f>
        <v>Competitive View</v>
      </c>
      <c r="L487" s="29" t="s">
        <v>146</v>
      </c>
      <c r="M487" s="37" t="str">
        <f>'Ingest Template'!D487</f>
        <v/>
      </c>
      <c r="N487" s="21"/>
      <c r="O487" s="21"/>
      <c r="P487" s="21"/>
      <c r="Q487" s="21"/>
      <c r="R487" s="21" t="str">
        <f>'Ingest Template'!E487</f>
        <v/>
      </c>
      <c r="S487" s="29" t="s">
        <v>153</v>
      </c>
      <c r="T487" s="21" t="str">
        <f>'Ingest Template'!T487</f>
        <v/>
      </c>
      <c r="U487" s="21" t="str">
        <f>'Ingest Template'!S487</f>
        <v/>
      </c>
      <c r="V487" s="21" t="str">
        <f>LOWER(SUBSTITUTE(SUBSTITUTE(SUBSTITUTE(SUBSTITUTE(SUBSTITUTE('Ingest Template'!U487,"https:",""),"www.",""),"/",""),"?hl=en",""),"instagram.com",""))</f>
        <v/>
      </c>
      <c r="W487" s="41" t="str">
        <f t="array" ref="W487">IF('Ingest Template'!V487="",(INDEX(DropDown!$L$2:$L$392,MATCH('Ingest Template'!E487,DropDown!$J$2:$J$392,0))&amp;"|"&amp;'Ingest Template'!B487),(INDEX(DropDown!$L$2:$L$392,MATCH('Ingest Template'!E487,DropDown!$J$2:$J$392,0))&amp;"|"&amp;'Ingest Template'!B487)&amp;CHAR(10)&amp;'Ingest Template'!V487)</f>
        <v>#N/A</v>
      </c>
      <c r="X487" s="41" t="str">
        <f>'Ingest Template'!W487</f>
        <v/>
      </c>
      <c r="Y487" s="21" t="str">
        <f>SUBSTITUTE(SUBSTITUTE(SUBSTITUTE('Ingest Template'!X487,"http:",""),"https:",""),"/","")</f>
        <v/>
      </c>
      <c r="Z487" s="21" t="str">
        <f t="array" ref="Z487">IF('Ingest Template'!A487="Standard",(IF(ISBLANK('Ingest Template'!AA487),"", 'Ingest Template'!AA487&amp;"|DAR")),(IF(ISBLANK('Ingest Template'!AA487),"", 'Ingest Template'!AA487&amp;"|Film Ops")))</f>
        <v/>
      </c>
      <c r="AA487" s="21"/>
      <c r="AB487" s="21" t="str">
        <f>'Ingest Template'!M487</f>
        <v/>
      </c>
      <c r="AC487" s="21" t="str">
        <f>'Ingest Template'!Y487</f>
        <v/>
      </c>
      <c r="AD487" s="21" t="str">
        <f>'Ingest Template'!C487</f>
        <v/>
      </c>
      <c r="AE487" s="21" t="str">
        <f>'Ingest Template'!Z487</f>
        <v/>
      </c>
      <c r="AF487" s="29"/>
      <c r="AG487" s="21" t="str">
        <f t="array" ref="AG487">IF('Ingest Template'!A487="Standard",(CONCATENATE(IF(ISBLANK('Ingest Template'!O487),"", 'Ingest Template'!O487&amp;"|DAR"),CHAR(10), IF(ISBLANK('Ingest Template'!P487),"", 'Ingest Template'!P487&amp;"|DAR"),CHAR(10), IF(ISBLANK('Ingest Template'!Q487),"", 'Ingest Template'!Q487&amp;"|DAR"))),(CONCATENATE(IF(ISBLANK('Ingest Template'!O487),"", 'Ingest Template'!O487&amp;"|Operations - Core Title"),CHAR(10), IF(ISBLANK('Ingest Template'!P487),"", 'Ingest Template'!P487&amp;"|Operations - Core Title"),CHAR(10), IF(ISBLANK('Ingest Template'!Q487),"", 'Ingest Template'!Q487&amp;"|Operations - Core Title"))))</f>
        <v>#|Operations - Core Title
#|Operations - Core Title
</v>
      </c>
      <c r="AH487" s="21"/>
      <c r="AI487" s="21"/>
      <c r="AJ487" s="53" t="str">
        <f>if('Ingest Template'!A487="Standard",'Ingest Template'!N487&amp; "|DAR|DAR|2021-01-01",'Ingest Template'!N487&amp; "|Operations - Core Title|Operations - Core Title")</f>
        <v>#N/A</v>
      </c>
      <c r="AK487" s="53" t="str">
        <f>if('Ingest Template'!A487="Standard",'Ingest Template'!R487&amp; "|2021-01-01",'Ingest Template'!R487)</f>
        <v>#N/A</v>
      </c>
      <c r="AL487" s="21"/>
      <c r="AM487" s="21"/>
    </row>
    <row r="488">
      <c r="A488" s="21"/>
      <c r="B488" s="21" t="str">
        <f>'Ingest Template'!B488&amp;IF('Ingest Template'!A488 = "Standard", " - DAR","")</f>
        <v/>
      </c>
      <c r="C488" s="26" t="s">
        <v>109</v>
      </c>
      <c r="D488" s="29" t="str">
        <f t="array" ref="D488">CONCATENATE(INDEX(DropDown!$H$2:$H$10,MATCH(1,COUNTIF('Ingest Template'!F488,"*"&amp;DropDown!$H$2:$H$10&amp;"*"),0)),CHAR(10),'Ingest Template'!G488)</f>
        <v>#N/A</v>
      </c>
      <c r="E488" s="21" t="str">
        <f>CONCATENATE('Ingest Template'!H488,CHAR(10),'Ingest Template'!I488,CHAR(10),'Ingest Template'!J488)</f>
        <v>
</v>
      </c>
      <c r="F488" s="26" t="str">
        <f>'Ingest Template'!H488</f>
        <v/>
      </c>
      <c r="G488" s="21"/>
      <c r="H488" s="29"/>
      <c r="I488" s="21"/>
      <c r="J488" s="29" t="str">
        <f t="array" ref="J488">iF('Ingest Template'!A488="Standard","Pristine Brand",INDEX(DropDown!$M$2:$M$392,MATCH('Ingest Template'!E488,DropDown!$J$2:$J$392,0)))</f>
        <v>#N/A</v>
      </c>
      <c r="K488" s="21" t="str">
        <f>iF('Ingest Template'!A488="Standard",'Ingest Template'!K488&amp;CHAR(10)&amp;'Ingest Template'!L488,"Competitive View")</f>
        <v>Competitive View</v>
      </c>
      <c r="L488" s="29" t="s">
        <v>146</v>
      </c>
      <c r="M488" s="37" t="str">
        <f>'Ingest Template'!D488</f>
        <v/>
      </c>
      <c r="N488" s="21"/>
      <c r="O488" s="21"/>
      <c r="P488" s="21"/>
      <c r="Q488" s="21"/>
      <c r="R488" s="21" t="str">
        <f>'Ingest Template'!E488</f>
        <v/>
      </c>
      <c r="S488" s="29" t="s">
        <v>153</v>
      </c>
      <c r="T488" s="21" t="str">
        <f>'Ingest Template'!T488</f>
        <v/>
      </c>
      <c r="U488" s="21" t="str">
        <f>'Ingest Template'!S488</f>
        <v/>
      </c>
      <c r="V488" s="21" t="str">
        <f>LOWER(SUBSTITUTE(SUBSTITUTE(SUBSTITUTE(SUBSTITUTE(SUBSTITUTE('Ingest Template'!U488,"https:",""),"www.",""),"/",""),"?hl=en",""),"instagram.com",""))</f>
        <v/>
      </c>
      <c r="W488" s="41" t="str">
        <f t="array" ref="W488">IF('Ingest Template'!V488="",(INDEX(DropDown!$L$2:$L$392,MATCH('Ingest Template'!E488,DropDown!$J$2:$J$392,0))&amp;"|"&amp;'Ingest Template'!B488),(INDEX(DropDown!$L$2:$L$392,MATCH('Ingest Template'!E488,DropDown!$J$2:$J$392,0))&amp;"|"&amp;'Ingest Template'!B488)&amp;CHAR(10)&amp;'Ingest Template'!V488)</f>
        <v>#N/A</v>
      </c>
      <c r="X488" s="41" t="str">
        <f>'Ingest Template'!W488</f>
        <v/>
      </c>
      <c r="Y488" s="21" t="str">
        <f>SUBSTITUTE(SUBSTITUTE(SUBSTITUTE('Ingest Template'!X488,"http:",""),"https:",""),"/","")</f>
        <v/>
      </c>
      <c r="Z488" s="21" t="str">
        <f t="array" ref="Z488">IF('Ingest Template'!A488="Standard",(IF(ISBLANK('Ingest Template'!AA488),"", 'Ingest Template'!AA488&amp;"|DAR")),(IF(ISBLANK('Ingest Template'!AA488),"", 'Ingest Template'!AA488&amp;"|Film Ops")))</f>
        <v/>
      </c>
      <c r="AA488" s="21"/>
      <c r="AB488" s="21" t="str">
        <f>'Ingest Template'!M488</f>
        <v/>
      </c>
      <c r="AC488" s="21" t="str">
        <f>'Ingest Template'!Y488</f>
        <v/>
      </c>
      <c r="AD488" s="21" t="str">
        <f>'Ingest Template'!C488</f>
        <v/>
      </c>
      <c r="AE488" s="21" t="str">
        <f>'Ingest Template'!Z488</f>
        <v/>
      </c>
      <c r="AF488" s="29"/>
      <c r="AG488" s="21" t="str">
        <f t="array" ref="AG488">IF('Ingest Template'!A488="Standard",(CONCATENATE(IF(ISBLANK('Ingest Template'!O488),"", 'Ingest Template'!O488&amp;"|DAR"),CHAR(10), IF(ISBLANK('Ingest Template'!P488),"", 'Ingest Template'!P488&amp;"|DAR"),CHAR(10), IF(ISBLANK('Ingest Template'!Q488),"", 'Ingest Template'!Q488&amp;"|DAR"))),(CONCATENATE(IF(ISBLANK('Ingest Template'!O488),"", 'Ingest Template'!O488&amp;"|Operations - Core Title"),CHAR(10), IF(ISBLANK('Ingest Template'!P488),"", 'Ingest Template'!P488&amp;"|Operations - Core Title"),CHAR(10), IF(ISBLANK('Ingest Template'!Q488),"", 'Ingest Template'!Q488&amp;"|Operations - Core Title"))))</f>
        <v>#|Operations - Core Title
#|Operations - Core Title
</v>
      </c>
      <c r="AH488" s="21"/>
      <c r="AI488" s="21"/>
      <c r="AJ488" s="53" t="str">
        <f>if('Ingest Template'!A488="Standard",'Ingest Template'!N488&amp; "|DAR|DAR|2021-01-01",'Ingest Template'!N488&amp; "|Operations - Core Title|Operations - Core Title")</f>
        <v>#N/A</v>
      </c>
      <c r="AK488" s="53" t="str">
        <f>if('Ingest Template'!A488="Standard",'Ingest Template'!R488&amp; "|2021-01-01",'Ingest Template'!R488)</f>
        <v>#N/A</v>
      </c>
      <c r="AL488" s="21"/>
      <c r="AM488" s="21"/>
    </row>
    <row r="489">
      <c r="A489" s="21"/>
      <c r="B489" s="21" t="str">
        <f>'Ingest Template'!B489&amp;IF('Ingest Template'!A489 = "Standard", " - DAR","")</f>
        <v/>
      </c>
      <c r="C489" s="26" t="s">
        <v>109</v>
      </c>
      <c r="D489" s="29" t="str">
        <f t="array" ref="D489">CONCATENATE(INDEX(DropDown!$H$2:$H$10,MATCH(1,COUNTIF('Ingest Template'!F489,"*"&amp;DropDown!$H$2:$H$10&amp;"*"),0)),CHAR(10),'Ingest Template'!G489)</f>
        <v>#N/A</v>
      </c>
      <c r="E489" s="21" t="str">
        <f>CONCATENATE('Ingest Template'!H489,CHAR(10),'Ingest Template'!I489,CHAR(10),'Ingest Template'!J489)</f>
        <v>
</v>
      </c>
      <c r="F489" s="26" t="str">
        <f>'Ingest Template'!H489</f>
        <v/>
      </c>
      <c r="G489" s="21"/>
      <c r="H489" s="29"/>
      <c r="I489" s="21"/>
      <c r="J489" s="29" t="str">
        <f t="array" ref="J489">iF('Ingest Template'!A489="Standard","Pristine Brand",INDEX(DropDown!$M$2:$M$392,MATCH('Ingest Template'!E489,DropDown!$J$2:$J$392,0)))</f>
        <v>#N/A</v>
      </c>
      <c r="K489" s="21" t="str">
        <f>iF('Ingest Template'!A489="Standard",'Ingest Template'!K489&amp;CHAR(10)&amp;'Ingest Template'!L489,"Competitive View")</f>
        <v>Competitive View</v>
      </c>
      <c r="L489" s="29" t="s">
        <v>146</v>
      </c>
      <c r="M489" s="37" t="str">
        <f>'Ingest Template'!D489</f>
        <v/>
      </c>
      <c r="N489" s="21"/>
      <c r="O489" s="21"/>
      <c r="P489" s="21"/>
      <c r="Q489" s="21"/>
      <c r="R489" s="21" t="str">
        <f>'Ingest Template'!E489</f>
        <v/>
      </c>
      <c r="S489" s="29" t="s">
        <v>153</v>
      </c>
      <c r="T489" s="21" t="str">
        <f>'Ingest Template'!T489</f>
        <v/>
      </c>
      <c r="U489" s="21" t="str">
        <f>'Ingest Template'!S489</f>
        <v/>
      </c>
      <c r="V489" s="21" t="str">
        <f>LOWER(SUBSTITUTE(SUBSTITUTE(SUBSTITUTE(SUBSTITUTE(SUBSTITUTE('Ingest Template'!U489,"https:",""),"www.",""),"/",""),"?hl=en",""),"instagram.com",""))</f>
        <v/>
      </c>
      <c r="W489" s="41" t="str">
        <f t="array" ref="W489">IF('Ingest Template'!V489="",(INDEX(DropDown!$L$2:$L$392,MATCH('Ingest Template'!E489,DropDown!$J$2:$J$392,0))&amp;"|"&amp;'Ingest Template'!B489),(INDEX(DropDown!$L$2:$L$392,MATCH('Ingest Template'!E489,DropDown!$J$2:$J$392,0))&amp;"|"&amp;'Ingest Template'!B489)&amp;CHAR(10)&amp;'Ingest Template'!V489)</f>
        <v>#N/A</v>
      </c>
      <c r="X489" s="41" t="str">
        <f>'Ingest Template'!W489</f>
        <v/>
      </c>
      <c r="Y489" s="21" t="str">
        <f>SUBSTITUTE(SUBSTITUTE(SUBSTITUTE('Ingest Template'!X489,"http:",""),"https:",""),"/","")</f>
        <v/>
      </c>
      <c r="Z489" s="21" t="str">
        <f t="array" ref="Z489">IF('Ingest Template'!A489="Standard",(IF(ISBLANK('Ingest Template'!AA489),"", 'Ingest Template'!AA489&amp;"|DAR")),(IF(ISBLANK('Ingest Template'!AA489),"", 'Ingest Template'!AA489&amp;"|Film Ops")))</f>
        <v/>
      </c>
      <c r="AA489" s="21"/>
      <c r="AB489" s="21" t="str">
        <f>'Ingest Template'!M489</f>
        <v/>
      </c>
      <c r="AC489" s="21" t="str">
        <f>'Ingest Template'!Y489</f>
        <v/>
      </c>
      <c r="AD489" s="21" t="str">
        <f>'Ingest Template'!C489</f>
        <v/>
      </c>
      <c r="AE489" s="21" t="str">
        <f>'Ingest Template'!Z489</f>
        <v/>
      </c>
      <c r="AF489" s="29"/>
      <c r="AG489" s="21" t="str">
        <f t="array" ref="AG489">IF('Ingest Template'!A489="Standard",(CONCATENATE(IF(ISBLANK('Ingest Template'!O489),"", 'Ingest Template'!O489&amp;"|DAR"),CHAR(10), IF(ISBLANK('Ingest Template'!P489),"", 'Ingest Template'!P489&amp;"|DAR"),CHAR(10), IF(ISBLANK('Ingest Template'!Q489),"", 'Ingest Template'!Q489&amp;"|DAR"))),(CONCATENATE(IF(ISBLANK('Ingest Template'!O489),"", 'Ingest Template'!O489&amp;"|Operations - Core Title"),CHAR(10), IF(ISBLANK('Ingest Template'!P489),"", 'Ingest Template'!P489&amp;"|Operations - Core Title"),CHAR(10), IF(ISBLANK('Ingest Template'!Q489),"", 'Ingest Template'!Q489&amp;"|Operations - Core Title"))))</f>
        <v>#|Operations - Core Title
#|Operations - Core Title
</v>
      </c>
      <c r="AH489" s="21"/>
      <c r="AI489" s="21"/>
      <c r="AJ489" s="53" t="str">
        <f>if('Ingest Template'!A489="Standard",'Ingest Template'!N489&amp; "|DAR|DAR|2021-01-01",'Ingest Template'!N489&amp; "|Operations - Core Title|Operations - Core Title")</f>
        <v>#N/A</v>
      </c>
      <c r="AK489" s="53" t="str">
        <f>if('Ingest Template'!A489="Standard",'Ingest Template'!R489&amp; "|2021-01-01",'Ingest Template'!R489)</f>
        <v>#N/A</v>
      </c>
      <c r="AL489" s="21"/>
      <c r="AM489" s="21"/>
    </row>
    <row r="490">
      <c r="A490" s="21"/>
      <c r="B490" s="21" t="str">
        <f>'Ingest Template'!B490&amp;IF('Ingest Template'!A490 = "Standard", " - DAR","")</f>
        <v/>
      </c>
      <c r="C490" s="26" t="s">
        <v>109</v>
      </c>
      <c r="D490" s="29" t="str">
        <f t="array" ref="D490">CONCATENATE(INDEX(DropDown!$H$2:$H$10,MATCH(1,COUNTIF('Ingest Template'!F490,"*"&amp;DropDown!$H$2:$H$10&amp;"*"),0)),CHAR(10),'Ingest Template'!G490)</f>
        <v>#N/A</v>
      </c>
      <c r="E490" s="21" t="str">
        <f>CONCATENATE('Ingest Template'!H490,CHAR(10),'Ingest Template'!I490,CHAR(10),'Ingest Template'!J490)</f>
        <v>
</v>
      </c>
      <c r="F490" s="26" t="str">
        <f>'Ingest Template'!H490</f>
        <v/>
      </c>
      <c r="G490" s="21"/>
      <c r="H490" s="29"/>
      <c r="I490" s="21"/>
      <c r="J490" s="29" t="str">
        <f t="array" ref="J490">iF('Ingest Template'!A490="Standard","Pristine Brand",INDEX(DropDown!$M$2:$M$392,MATCH('Ingest Template'!E490,DropDown!$J$2:$J$392,0)))</f>
        <v>#N/A</v>
      </c>
      <c r="K490" s="21" t="str">
        <f>iF('Ingest Template'!A490="Standard",'Ingest Template'!K490&amp;CHAR(10)&amp;'Ingest Template'!L490,"Competitive View")</f>
        <v>Competitive View</v>
      </c>
      <c r="L490" s="29" t="s">
        <v>146</v>
      </c>
      <c r="M490" s="37" t="str">
        <f>'Ingest Template'!D490</f>
        <v/>
      </c>
      <c r="N490" s="21"/>
      <c r="O490" s="21"/>
      <c r="P490" s="21"/>
      <c r="Q490" s="21"/>
      <c r="R490" s="21" t="str">
        <f>'Ingest Template'!E490</f>
        <v/>
      </c>
      <c r="S490" s="29" t="s">
        <v>153</v>
      </c>
      <c r="T490" s="21" t="str">
        <f>'Ingest Template'!T490</f>
        <v/>
      </c>
      <c r="U490" s="21" t="str">
        <f>'Ingest Template'!S490</f>
        <v/>
      </c>
      <c r="V490" s="21" t="str">
        <f>LOWER(SUBSTITUTE(SUBSTITUTE(SUBSTITUTE(SUBSTITUTE(SUBSTITUTE('Ingest Template'!U490,"https:",""),"www.",""),"/",""),"?hl=en",""),"instagram.com",""))</f>
        <v/>
      </c>
      <c r="W490" s="41" t="str">
        <f t="array" ref="W490">IF('Ingest Template'!V490="",(INDEX(DropDown!$L$2:$L$392,MATCH('Ingest Template'!E490,DropDown!$J$2:$J$392,0))&amp;"|"&amp;'Ingest Template'!B490),(INDEX(DropDown!$L$2:$L$392,MATCH('Ingest Template'!E490,DropDown!$J$2:$J$392,0))&amp;"|"&amp;'Ingest Template'!B490)&amp;CHAR(10)&amp;'Ingest Template'!V490)</f>
        <v>#N/A</v>
      </c>
      <c r="X490" s="41" t="str">
        <f>'Ingest Template'!W490</f>
        <v/>
      </c>
      <c r="Y490" s="21" t="str">
        <f>SUBSTITUTE(SUBSTITUTE(SUBSTITUTE('Ingest Template'!X490,"http:",""),"https:",""),"/","")</f>
        <v/>
      </c>
      <c r="Z490" s="21" t="str">
        <f t="array" ref="Z490">IF('Ingest Template'!A490="Standard",(IF(ISBLANK('Ingest Template'!AA490),"", 'Ingest Template'!AA490&amp;"|DAR")),(IF(ISBLANK('Ingest Template'!AA490),"", 'Ingest Template'!AA490&amp;"|Film Ops")))</f>
        <v/>
      </c>
      <c r="AA490" s="21"/>
      <c r="AB490" s="21" t="str">
        <f>'Ingest Template'!M490</f>
        <v/>
      </c>
      <c r="AC490" s="21" t="str">
        <f>'Ingest Template'!Y490</f>
        <v/>
      </c>
      <c r="AD490" s="21" t="str">
        <f>'Ingest Template'!C490</f>
        <v/>
      </c>
      <c r="AE490" s="21" t="str">
        <f>'Ingest Template'!Z490</f>
        <v/>
      </c>
      <c r="AF490" s="29"/>
      <c r="AG490" s="21" t="str">
        <f t="array" ref="AG490">IF('Ingest Template'!A490="Standard",(CONCATENATE(IF(ISBLANK('Ingest Template'!O490),"", 'Ingest Template'!O490&amp;"|DAR"),CHAR(10), IF(ISBLANK('Ingest Template'!P490),"", 'Ingest Template'!P490&amp;"|DAR"),CHAR(10), IF(ISBLANK('Ingest Template'!Q490),"", 'Ingest Template'!Q490&amp;"|DAR"))),(CONCATENATE(IF(ISBLANK('Ingest Template'!O490),"", 'Ingest Template'!O490&amp;"|Operations - Core Title"),CHAR(10), IF(ISBLANK('Ingest Template'!P490),"", 'Ingest Template'!P490&amp;"|Operations - Core Title"),CHAR(10), IF(ISBLANK('Ingest Template'!Q490),"", 'Ingest Template'!Q490&amp;"|Operations - Core Title"))))</f>
        <v>#|Operations - Core Title
#|Operations - Core Title
</v>
      </c>
      <c r="AH490" s="21"/>
      <c r="AI490" s="21"/>
      <c r="AJ490" s="53" t="str">
        <f>if('Ingest Template'!A490="Standard",'Ingest Template'!N490&amp; "|DAR|DAR|2021-01-01",'Ingest Template'!N490&amp; "|Operations - Core Title|Operations - Core Title")</f>
        <v>#N/A</v>
      </c>
      <c r="AK490" s="53" t="str">
        <f>if('Ingest Template'!A490="Standard",'Ingest Template'!R490&amp; "|2021-01-01",'Ingest Template'!R490)</f>
        <v>#N/A</v>
      </c>
      <c r="AL490" s="21"/>
      <c r="AM490" s="21"/>
    </row>
    <row r="491">
      <c r="A491" s="21"/>
      <c r="B491" s="21" t="str">
        <f>'Ingest Template'!B491&amp;IF('Ingest Template'!A491 = "Standard", " - DAR","")</f>
        <v/>
      </c>
      <c r="C491" s="26" t="s">
        <v>109</v>
      </c>
      <c r="D491" s="29" t="str">
        <f t="array" ref="D491">CONCATENATE(INDEX(DropDown!$H$2:$H$10,MATCH(1,COUNTIF('Ingest Template'!F491,"*"&amp;DropDown!$H$2:$H$10&amp;"*"),0)),CHAR(10),'Ingest Template'!G491)</f>
        <v>#N/A</v>
      </c>
      <c r="E491" s="21" t="str">
        <f>CONCATENATE('Ingest Template'!H491,CHAR(10),'Ingest Template'!I491,CHAR(10),'Ingest Template'!J491)</f>
        <v>
</v>
      </c>
      <c r="F491" s="26" t="str">
        <f>'Ingest Template'!H491</f>
        <v/>
      </c>
      <c r="G491" s="21"/>
      <c r="H491" s="29"/>
      <c r="I491" s="21"/>
      <c r="J491" s="29" t="str">
        <f t="array" ref="J491">iF('Ingest Template'!A491="Standard","Pristine Brand",INDEX(DropDown!$M$2:$M$392,MATCH('Ingest Template'!E491,DropDown!$J$2:$J$392,0)))</f>
        <v>#N/A</v>
      </c>
      <c r="K491" s="21" t="str">
        <f>iF('Ingest Template'!A491="Standard",'Ingest Template'!K491&amp;CHAR(10)&amp;'Ingest Template'!L491,"Competitive View")</f>
        <v>Competitive View</v>
      </c>
      <c r="L491" s="29" t="s">
        <v>146</v>
      </c>
      <c r="M491" s="37" t="str">
        <f>'Ingest Template'!D491</f>
        <v/>
      </c>
      <c r="N491" s="21"/>
      <c r="O491" s="21"/>
      <c r="P491" s="21"/>
      <c r="Q491" s="21"/>
      <c r="R491" s="21" t="str">
        <f>'Ingest Template'!E491</f>
        <v/>
      </c>
      <c r="S491" s="29" t="s">
        <v>153</v>
      </c>
      <c r="T491" s="21" t="str">
        <f>'Ingest Template'!T491</f>
        <v/>
      </c>
      <c r="U491" s="21" t="str">
        <f>'Ingest Template'!S491</f>
        <v/>
      </c>
      <c r="V491" s="21" t="str">
        <f>LOWER(SUBSTITUTE(SUBSTITUTE(SUBSTITUTE(SUBSTITUTE(SUBSTITUTE('Ingest Template'!U491,"https:",""),"www.",""),"/",""),"?hl=en",""),"instagram.com",""))</f>
        <v/>
      </c>
      <c r="W491" s="41" t="str">
        <f t="array" ref="W491">IF('Ingest Template'!V491="",(INDEX(DropDown!$L$2:$L$392,MATCH('Ingest Template'!E491,DropDown!$J$2:$J$392,0))&amp;"|"&amp;'Ingest Template'!B491),(INDEX(DropDown!$L$2:$L$392,MATCH('Ingest Template'!E491,DropDown!$J$2:$J$392,0))&amp;"|"&amp;'Ingest Template'!B491)&amp;CHAR(10)&amp;'Ingest Template'!V491)</f>
        <v>#N/A</v>
      </c>
      <c r="X491" s="41" t="str">
        <f>'Ingest Template'!W491</f>
        <v/>
      </c>
      <c r="Y491" s="21" t="str">
        <f>SUBSTITUTE(SUBSTITUTE(SUBSTITUTE('Ingest Template'!X491,"http:",""),"https:",""),"/","")</f>
        <v/>
      </c>
      <c r="Z491" s="21" t="str">
        <f t="array" ref="Z491">IF('Ingest Template'!A491="Standard",(IF(ISBLANK('Ingest Template'!AA491),"", 'Ingest Template'!AA491&amp;"|DAR")),(IF(ISBLANK('Ingest Template'!AA491),"", 'Ingest Template'!AA491&amp;"|Film Ops")))</f>
        <v/>
      </c>
      <c r="AA491" s="21"/>
      <c r="AB491" s="21" t="str">
        <f>'Ingest Template'!M491</f>
        <v/>
      </c>
      <c r="AC491" s="21" t="str">
        <f>'Ingest Template'!Y491</f>
        <v/>
      </c>
      <c r="AD491" s="21" t="str">
        <f>'Ingest Template'!C491</f>
        <v/>
      </c>
      <c r="AE491" s="21" t="str">
        <f>'Ingest Template'!Z491</f>
        <v/>
      </c>
      <c r="AF491" s="29"/>
      <c r="AG491" s="21" t="str">
        <f t="array" ref="AG491">IF('Ingest Template'!A491="Standard",(CONCATENATE(IF(ISBLANK('Ingest Template'!O491),"", 'Ingest Template'!O491&amp;"|DAR"),CHAR(10), IF(ISBLANK('Ingest Template'!P491),"", 'Ingest Template'!P491&amp;"|DAR"),CHAR(10), IF(ISBLANK('Ingest Template'!Q491),"", 'Ingest Template'!Q491&amp;"|DAR"))),(CONCATENATE(IF(ISBLANK('Ingest Template'!O491),"", 'Ingest Template'!O491&amp;"|Operations - Core Title"),CHAR(10), IF(ISBLANK('Ingest Template'!P491),"", 'Ingest Template'!P491&amp;"|Operations - Core Title"),CHAR(10), IF(ISBLANK('Ingest Template'!Q491),"", 'Ingest Template'!Q491&amp;"|Operations - Core Title"))))</f>
        <v>#|Operations - Core Title
#|Operations - Core Title
</v>
      </c>
      <c r="AH491" s="21"/>
      <c r="AI491" s="21"/>
      <c r="AJ491" s="53" t="str">
        <f>if('Ingest Template'!A491="Standard",'Ingest Template'!N491&amp; "|DAR|DAR|2021-01-01",'Ingest Template'!N491&amp; "|Operations - Core Title|Operations - Core Title")</f>
        <v>#N/A</v>
      </c>
      <c r="AK491" s="53" t="str">
        <f>if('Ingest Template'!A491="Standard",'Ingest Template'!R491&amp; "|2021-01-01",'Ingest Template'!R491)</f>
        <v>#N/A</v>
      </c>
      <c r="AL491" s="21"/>
      <c r="AM491" s="21"/>
    </row>
    <row r="492">
      <c r="A492" s="21"/>
      <c r="B492" s="21" t="str">
        <f>'Ingest Template'!B492&amp;IF('Ingest Template'!A492 = "Standard", " - DAR","")</f>
        <v/>
      </c>
      <c r="C492" s="26" t="s">
        <v>109</v>
      </c>
      <c r="D492" s="29" t="str">
        <f t="array" ref="D492">CONCATENATE(INDEX(DropDown!$H$2:$H$10,MATCH(1,COUNTIF('Ingest Template'!F492,"*"&amp;DropDown!$H$2:$H$10&amp;"*"),0)),CHAR(10),'Ingest Template'!G492)</f>
        <v>#N/A</v>
      </c>
      <c r="E492" s="21" t="str">
        <f>CONCATENATE('Ingest Template'!H492,CHAR(10),'Ingest Template'!I492,CHAR(10),'Ingest Template'!J492)</f>
        <v>
</v>
      </c>
      <c r="F492" s="26" t="str">
        <f>'Ingest Template'!H492</f>
        <v/>
      </c>
      <c r="G492" s="21"/>
      <c r="H492" s="29"/>
      <c r="I492" s="21"/>
      <c r="J492" s="29" t="str">
        <f t="array" ref="J492">iF('Ingest Template'!A492="Standard","Pristine Brand",INDEX(DropDown!$M$2:$M$392,MATCH('Ingest Template'!E492,DropDown!$J$2:$J$392,0)))</f>
        <v>#N/A</v>
      </c>
      <c r="K492" s="21" t="str">
        <f>iF('Ingest Template'!A492="Standard",'Ingest Template'!K492&amp;CHAR(10)&amp;'Ingest Template'!L492,"Competitive View")</f>
        <v>Competitive View</v>
      </c>
      <c r="L492" s="29" t="s">
        <v>146</v>
      </c>
      <c r="M492" s="37" t="str">
        <f>'Ingest Template'!D492</f>
        <v/>
      </c>
      <c r="N492" s="21"/>
      <c r="O492" s="21"/>
      <c r="P492" s="21"/>
      <c r="Q492" s="21"/>
      <c r="R492" s="21" t="str">
        <f>'Ingest Template'!E492</f>
        <v/>
      </c>
      <c r="S492" s="29" t="s">
        <v>153</v>
      </c>
      <c r="T492" s="21" t="str">
        <f>'Ingest Template'!T492</f>
        <v/>
      </c>
      <c r="U492" s="21" t="str">
        <f>'Ingest Template'!S492</f>
        <v/>
      </c>
      <c r="V492" s="21" t="str">
        <f>LOWER(SUBSTITUTE(SUBSTITUTE(SUBSTITUTE(SUBSTITUTE(SUBSTITUTE('Ingest Template'!U492,"https:",""),"www.",""),"/",""),"?hl=en",""),"instagram.com",""))</f>
        <v/>
      </c>
      <c r="W492" s="41" t="str">
        <f t="array" ref="W492">IF('Ingest Template'!V492="",(INDEX(DropDown!$L$2:$L$392,MATCH('Ingest Template'!E492,DropDown!$J$2:$J$392,0))&amp;"|"&amp;'Ingest Template'!B492),(INDEX(DropDown!$L$2:$L$392,MATCH('Ingest Template'!E492,DropDown!$J$2:$J$392,0))&amp;"|"&amp;'Ingest Template'!B492)&amp;CHAR(10)&amp;'Ingest Template'!V492)</f>
        <v>#N/A</v>
      </c>
      <c r="X492" s="41" t="str">
        <f>'Ingest Template'!W492</f>
        <v/>
      </c>
      <c r="Y492" s="21" t="str">
        <f>SUBSTITUTE(SUBSTITUTE(SUBSTITUTE('Ingest Template'!X492,"http:",""),"https:",""),"/","")</f>
        <v/>
      </c>
      <c r="Z492" s="21" t="str">
        <f t="array" ref="Z492">IF('Ingest Template'!A492="Standard",(IF(ISBLANK('Ingest Template'!AA492),"", 'Ingest Template'!AA492&amp;"|DAR")),(IF(ISBLANK('Ingest Template'!AA492),"", 'Ingest Template'!AA492&amp;"|Film Ops")))</f>
        <v/>
      </c>
      <c r="AA492" s="21"/>
      <c r="AB492" s="21" t="str">
        <f>'Ingest Template'!M492</f>
        <v/>
      </c>
      <c r="AC492" s="21" t="str">
        <f>'Ingest Template'!Y492</f>
        <v/>
      </c>
      <c r="AD492" s="21" t="str">
        <f>'Ingest Template'!C492</f>
        <v/>
      </c>
      <c r="AE492" s="21" t="str">
        <f>'Ingest Template'!Z492</f>
        <v/>
      </c>
      <c r="AF492" s="29"/>
      <c r="AG492" s="21" t="str">
        <f t="array" ref="AG492">IF('Ingest Template'!A492="Standard",(CONCATENATE(IF(ISBLANK('Ingest Template'!O492),"", 'Ingest Template'!O492&amp;"|DAR"),CHAR(10), IF(ISBLANK('Ingest Template'!P492),"", 'Ingest Template'!P492&amp;"|DAR"),CHAR(10), IF(ISBLANK('Ingest Template'!Q492),"", 'Ingest Template'!Q492&amp;"|DAR"))),(CONCATENATE(IF(ISBLANK('Ingest Template'!O492),"", 'Ingest Template'!O492&amp;"|Operations - Core Title"),CHAR(10), IF(ISBLANK('Ingest Template'!P492),"", 'Ingest Template'!P492&amp;"|Operations - Core Title"),CHAR(10), IF(ISBLANK('Ingest Template'!Q492),"", 'Ingest Template'!Q492&amp;"|Operations - Core Title"))))</f>
        <v>#|Operations - Core Title
#|Operations - Core Title
</v>
      </c>
      <c r="AH492" s="21"/>
      <c r="AI492" s="21"/>
      <c r="AJ492" s="53" t="str">
        <f>if('Ingest Template'!A492="Standard",'Ingest Template'!N492&amp; "|DAR|DAR|2021-01-01",'Ingest Template'!N492&amp; "|Operations - Core Title|Operations - Core Title")</f>
        <v>#N/A</v>
      </c>
      <c r="AK492" s="53" t="str">
        <f>if('Ingest Template'!A492="Standard",'Ingest Template'!R492&amp; "|2021-01-01",'Ingest Template'!R492)</f>
        <v>#N/A</v>
      </c>
      <c r="AL492" s="21"/>
      <c r="AM492" s="21"/>
    </row>
    <row r="493">
      <c r="A493" s="21"/>
      <c r="B493" s="21" t="str">
        <f>'Ingest Template'!B493&amp;IF('Ingest Template'!A493 = "Standard", " - DAR","")</f>
        <v/>
      </c>
      <c r="C493" s="26" t="s">
        <v>109</v>
      </c>
      <c r="D493" s="29" t="str">
        <f t="array" ref="D493">CONCATENATE(INDEX(DropDown!$H$2:$H$10,MATCH(1,COUNTIF('Ingest Template'!F493,"*"&amp;DropDown!$H$2:$H$10&amp;"*"),0)),CHAR(10),'Ingest Template'!G493)</f>
        <v>#N/A</v>
      </c>
      <c r="E493" s="21" t="str">
        <f>CONCATENATE('Ingest Template'!H493,CHAR(10),'Ingest Template'!I493,CHAR(10),'Ingest Template'!J493)</f>
        <v>
</v>
      </c>
      <c r="F493" s="26" t="str">
        <f>'Ingest Template'!H493</f>
        <v/>
      </c>
      <c r="G493" s="21"/>
      <c r="H493" s="29"/>
      <c r="I493" s="21"/>
      <c r="J493" s="29" t="str">
        <f t="array" ref="J493">iF('Ingest Template'!A493="Standard","Pristine Brand",INDEX(DropDown!$M$2:$M$392,MATCH('Ingest Template'!E493,DropDown!$J$2:$J$392,0)))</f>
        <v>#N/A</v>
      </c>
      <c r="K493" s="21" t="str">
        <f>iF('Ingest Template'!A493="Standard",'Ingest Template'!K493&amp;CHAR(10)&amp;'Ingest Template'!L493,"Competitive View")</f>
        <v>Competitive View</v>
      </c>
      <c r="L493" s="29" t="s">
        <v>146</v>
      </c>
      <c r="M493" s="37" t="str">
        <f>'Ingest Template'!D493</f>
        <v/>
      </c>
      <c r="N493" s="21"/>
      <c r="O493" s="21"/>
      <c r="P493" s="21"/>
      <c r="Q493" s="21"/>
      <c r="R493" s="21" t="str">
        <f>'Ingest Template'!E493</f>
        <v/>
      </c>
      <c r="S493" s="29" t="s">
        <v>153</v>
      </c>
      <c r="T493" s="21" t="str">
        <f>'Ingest Template'!T493</f>
        <v/>
      </c>
      <c r="U493" s="21" t="str">
        <f>'Ingest Template'!S493</f>
        <v/>
      </c>
      <c r="V493" s="21" t="str">
        <f>LOWER(SUBSTITUTE(SUBSTITUTE(SUBSTITUTE(SUBSTITUTE(SUBSTITUTE('Ingest Template'!U493,"https:",""),"www.",""),"/",""),"?hl=en",""),"instagram.com",""))</f>
        <v/>
      </c>
      <c r="W493" s="41" t="str">
        <f t="array" ref="W493">IF('Ingest Template'!V493="",(INDEX(DropDown!$L$2:$L$392,MATCH('Ingest Template'!E493,DropDown!$J$2:$J$392,0))&amp;"|"&amp;'Ingest Template'!B493),(INDEX(DropDown!$L$2:$L$392,MATCH('Ingest Template'!E493,DropDown!$J$2:$J$392,0))&amp;"|"&amp;'Ingest Template'!B493)&amp;CHAR(10)&amp;'Ingest Template'!V493)</f>
        <v>#N/A</v>
      </c>
      <c r="X493" s="41" t="str">
        <f>'Ingest Template'!W493</f>
        <v/>
      </c>
      <c r="Y493" s="21" t="str">
        <f>SUBSTITUTE(SUBSTITUTE(SUBSTITUTE('Ingest Template'!X493,"http:",""),"https:",""),"/","")</f>
        <v/>
      </c>
      <c r="Z493" s="21" t="str">
        <f t="array" ref="Z493">IF('Ingest Template'!A493="Standard",(IF(ISBLANK('Ingest Template'!AA493),"", 'Ingest Template'!AA493&amp;"|DAR")),(IF(ISBLANK('Ingest Template'!AA493),"", 'Ingest Template'!AA493&amp;"|Film Ops")))</f>
        <v/>
      </c>
      <c r="AA493" s="21"/>
      <c r="AB493" s="21" t="str">
        <f>'Ingest Template'!M493</f>
        <v/>
      </c>
      <c r="AC493" s="21" t="str">
        <f>'Ingest Template'!Y493</f>
        <v/>
      </c>
      <c r="AD493" s="21" t="str">
        <f>'Ingest Template'!C493</f>
        <v/>
      </c>
      <c r="AE493" s="21" t="str">
        <f>'Ingest Template'!Z493</f>
        <v/>
      </c>
      <c r="AF493" s="29"/>
      <c r="AG493" s="21" t="str">
        <f t="array" ref="AG493">IF('Ingest Template'!A493="Standard",(CONCATENATE(IF(ISBLANK('Ingest Template'!O493),"", 'Ingest Template'!O493&amp;"|DAR"),CHAR(10), IF(ISBLANK('Ingest Template'!P493),"", 'Ingest Template'!P493&amp;"|DAR"),CHAR(10), IF(ISBLANK('Ingest Template'!Q493),"", 'Ingest Template'!Q493&amp;"|DAR"))),(CONCATENATE(IF(ISBLANK('Ingest Template'!O493),"", 'Ingest Template'!O493&amp;"|Operations - Core Title"),CHAR(10), IF(ISBLANK('Ingest Template'!P493),"", 'Ingest Template'!P493&amp;"|Operations - Core Title"),CHAR(10), IF(ISBLANK('Ingest Template'!Q493),"", 'Ingest Template'!Q493&amp;"|Operations - Core Title"))))</f>
        <v>#|Operations - Core Title
#|Operations - Core Title
</v>
      </c>
      <c r="AH493" s="21"/>
      <c r="AI493" s="21"/>
      <c r="AJ493" s="53" t="str">
        <f>if('Ingest Template'!A493="Standard",'Ingest Template'!N493&amp; "|DAR|DAR|2021-01-01",'Ingest Template'!N493&amp; "|Operations - Core Title|Operations - Core Title")</f>
        <v>#N/A</v>
      </c>
      <c r="AK493" s="53" t="str">
        <f>if('Ingest Template'!A493="Standard",'Ingest Template'!R493&amp; "|2021-01-01",'Ingest Template'!R493)</f>
        <v>#N/A</v>
      </c>
      <c r="AL493" s="21"/>
      <c r="AM493" s="21"/>
    </row>
    <row r="494">
      <c r="A494" s="21"/>
      <c r="B494" s="21" t="str">
        <f>'Ingest Template'!B494&amp;IF('Ingest Template'!A494 = "Standard", " - DAR","")</f>
        <v/>
      </c>
      <c r="C494" s="26" t="s">
        <v>109</v>
      </c>
      <c r="D494" s="29" t="str">
        <f t="array" ref="D494">CONCATENATE(INDEX(DropDown!$H$2:$H$10,MATCH(1,COUNTIF('Ingest Template'!F494,"*"&amp;DropDown!$H$2:$H$10&amp;"*"),0)),CHAR(10),'Ingest Template'!G494)</f>
        <v>#N/A</v>
      </c>
      <c r="E494" s="21" t="str">
        <f>CONCATENATE('Ingest Template'!H494,CHAR(10),'Ingest Template'!I494,CHAR(10),'Ingest Template'!J494)</f>
        <v>
</v>
      </c>
      <c r="F494" s="26" t="str">
        <f>'Ingest Template'!H494</f>
        <v/>
      </c>
      <c r="G494" s="21"/>
      <c r="H494" s="29"/>
      <c r="I494" s="21"/>
      <c r="J494" s="29" t="str">
        <f t="array" ref="J494">iF('Ingest Template'!A494="Standard","Pristine Brand",INDEX(DropDown!$M$2:$M$392,MATCH('Ingest Template'!E494,DropDown!$J$2:$J$392,0)))</f>
        <v>#N/A</v>
      </c>
      <c r="K494" s="21" t="str">
        <f>iF('Ingest Template'!A494="Standard",'Ingest Template'!K494&amp;CHAR(10)&amp;'Ingest Template'!L494,"Competitive View")</f>
        <v>Competitive View</v>
      </c>
      <c r="L494" s="29" t="s">
        <v>146</v>
      </c>
      <c r="M494" s="37" t="str">
        <f>'Ingest Template'!D494</f>
        <v/>
      </c>
      <c r="N494" s="21"/>
      <c r="O494" s="21"/>
      <c r="P494" s="21"/>
      <c r="Q494" s="21"/>
      <c r="R494" s="21" t="str">
        <f>'Ingest Template'!E494</f>
        <v/>
      </c>
      <c r="S494" s="29" t="s">
        <v>153</v>
      </c>
      <c r="T494" s="21" t="str">
        <f>'Ingest Template'!T494</f>
        <v/>
      </c>
      <c r="U494" s="21" t="str">
        <f>'Ingest Template'!S494</f>
        <v/>
      </c>
      <c r="V494" s="21" t="str">
        <f>LOWER(SUBSTITUTE(SUBSTITUTE(SUBSTITUTE(SUBSTITUTE(SUBSTITUTE('Ingest Template'!U494,"https:",""),"www.",""),"/",""),"?hl=en",""),"instagram.com",""))</f>
        <v/>
      </c>
      <c r="W494" s="41" t="str">
        <f t="array" ref="W494">IF('Ingest Template'!V494="",(INDEX(DropDown!$L$2:$L$392,MATCH('Ingest Template'!E494,DropDown!$J$2:$J$392,0))&amp;"|"&amp;'Ingest Template'!B494),(INDEX(DropDown!$L$2:$L$392,MATCH('Ingest Template'!E494,DropDown!$J$2:$J$392,0))&amp;"|"&amp;'Ingest Template'!B494)&amp;CHAR(10)&amp;'Ingest Template'!V494)</f>
        <v>#N/A</v>
      </c>
      <c r="X494" s="41" t="str">
        <f>'Ingest Template'!W494</f>
        <v/>
      </c>
      <c r="Y494" s="21" t="str">
        <f>SUBSTITUTE(SUBSTITUTE(SUBSTITUTE('Ingest Template'!X494,"http:",""),"https:",""),"/","")</f>
        <v/>
      </c>
      <c r="Z494" s="21" t="str">
        <f t="array" ref="Z494">IF('Ingest Template'!A494="Standard",(IF(ISBLANK('Ingest Template'!AA494),"", 'Ingest Template'!AA494&amp;"|DAR")),(IF(ISBLANK('Ingest Template'!AA494),"", 'Ingest Template'!AA494&amp;"|Film Ops")))</f>
        <v/>
      </c>
      <c r="AA494" s="21"/>
      <c r="AB494" s="21" t="str">
        <f>'Ingest Template'!M494</f>
        <v/>
      </c>
      <c r="AC494" s="21" t="str">
        <f>'Ingest Template'!Y494</f>
        <v/>
      </c>
      <c r="AD494" s="21" t="str">
        <f>'Ingest Template'!C494</f>
        <v/>
      </c>
      <c r="AE494" s="21" t="str">
        <f>'Ingest Template'!Z494</f>
        <v/>
      </c>
      <c r="AF494" s="29"/>
      <c r="AG494" s="21" t="str">
        <f t="array" ref="AG494">IF('Ingest Template'!A494="Standard",(CONCATENATE(IF(ISBLANK('Ingest Template'!O494),"", 'Ingest Template'!O494&amp;"|DAR"),CHAR(10), IF(ISBLANK('Ingest Template'!P494),"", 'Ingest Template'!P494&amp;"|DAR"),CHAR(10), IF(ISBLANK('Ingest Template'!Q494),"", 'Ingest Template'!Q494&amp;"|DAR"))),(CONCATENATE(IF(ISBLANK('Ingest Template'!O494),"", 'Ingest Template'!O494&amp;"|Operations - Core Title"),CHAR(10), IF(ISBLANK('Ingest Template'!P494),"", 'Ingest Template'!P494&amp;"|Operations - Core Title"),CHAR(10), IF(ISBLANK('Ingest Template'!Q494),"", 'Ingest Template'!Q494&amp;"|Operations - Core Title"))))</f>
        <v>#|Operations - Core Title
#|Operations - Core Title
</v>
      </c>
      <c r="AH494" s="21"/>
      <c r="AI494" s="21"/>
      <c r="AJ494" s="53" t="str">
        <f>if('Ingest Template'!A494="Standard",'Ingest Template'!N494&amp; "|DAR|DAR|2021-01-01",'Ingest Template'!N494&amp; "|Operations - Core Title|Operations - Core Title")</f>
        <v>#N/A</v>
      </c>
      <c r="AK494" s="53" t="str">
        <f>if('Ingest Template'!A494="Standard",'Ingest Template'!R494&amp; "|2021-01-01",'Ingest Template'!R494)</f>
        <v>#N/A</v>
      </c>
      <c r="AL494" s="21"/>
      <c r="AM494" s="21"/>
    </row>
    <row r="495">
      <c r="A495" s="21"/>
      <c r="B495" s="21" t="str">
        <f>'Ingest Template'!B495&amp;IF('Ingest Template'!A495 = "Standard", " - DAR","")</f>
        <v/>
      </c>
      <c r="C495" s="26" t="s">
        <v>109</v>
      </c>
      <c r="D495" s="29" t="str">
        <f t="array" ref="D495">CONCATENATE(INDEX(DropDown!$H$2:$H$10,MATCH(1,COUNTIF('Ingest Template'!F495,"*"&amp;DropDown!$H$2:$H$10&amp;"*"),0)),CHAR(10),'Ingest Template'!G495)</f>
        <v>#N/A</v>
      </c>
      <c r="E495" s="21" t="str">
        <f>CONCATENATE('Ingest Template'!H495,CHAR(10),'Ingest Template'!I495,CHAR(10),'Ingest Template'!J495)</f>
        <v>
</v>
      </c>
      <c r="F495" s="26" t="str">
        <f>'Ingest Template'!H495</f>
        <v/>
      </c>
      <c r="G495" s="21"/>
      <c r="H495" s="29"/>
      <c r="I495" s="21"/>
      <c r="J495" s="29" t="str">
        <f t="array" ref="J495">iF('Ingest Template'!A495="Standard","Pristine Brand",INDEX(DropDown!$M$2:$M$392,MATCH('Ingest Template'!E495,DropDown!$J$2:$J$392,0)))</f>
        <v>#N/A</v>
      </c>
      <c r="K495" s="21" t="str">
        <f>iF('Ingest Template'!A495="Standard",'Ingest Template'!K495&amp;CHAR(10)&amp;'Ingest Template'!L495,"Competitive View")</f>
        <v>Competitive View</v>
      </c>
      <c r="L495" s="29" t="s">
        <v>146</v>
      </c>
      <c r="M495" s="37" t="str">
        <f>'Ingest Template'!D495</f>
        <v/>
      </c>
      <c r="N495" s="21"/>
      <c r="O495" s="21"/>
      <c r="P495" s="21"/>
      <c r="Q495" s="21"/>
      <c r="R495" s="21" t="str">
        <f>'Ingest Template'!E495</f>
        <v/>
      </c>
      <c r="S495" s="29" t="s">
        <v>153</v>
      </c>
      <c r="T495" s="21" t="str">
        <f>'Ingest Template'!T495</f>
        <v/>
      </c>
      <c r="U495" s="21" t="str">
        <f>'Ingest Template'!S495</f>
        <v/>
      </c>
      <c r="V495" s="21" t="str">
        <f>LOWER(SUBSTITUTE(SUBSTITUTE(SUBSTITUTE(SUBSTITUTE(SUBSTITUTE('Ingest Template'!U495,"https:",""),"www.",""),"/",""),"?hl=en",""),"instagram.com",""))</f>
        <v/>
      </c>
      <c r="W495" s="41" t="str">
        <f t="array" ref="W495">IF('Ingest Template'!V495="",(INDEX(DropDown!$L$2:$L$392,MATCH('Ingest Template'!E495,DropDown!$J$2:$J$392,0))&amp;"|"&amp;'Ingest Template'!B495),(INDEX(DropDown!$L$2:$L$392,MATCH('Ingest Template'!E495,DropDown!$J$2:$J$392,0))&amp;"|"&amp;'Ingest Template'!B495)&amp;CHAR(10)&amp;'Ingest Template'!V495)</f>
        <v>#N/A</v>
      </c>
      <c r="X495" s="41" t="str">
        <f>'Ingest Template'!W495</f>
        <v/>
      </c>
      <c r="Y495" s="21" t="str">
        <f>SUBSTITUTE(SUBSTITUTE(SUBSTITUTE('Ingest Template'!X495,"http:",""),"https:",""),"/","")</f>
        <v/>
      </c>
      <c r="Z495" s="21" t="str">
        <f t="array" ref="Z495">IF('Ingest Template'!A495="Standard",(IF(ISBLANK('Ingest Template'!AA495),"", 'Ingest Template'!AA495&amp;"|DAR")),(IF(ISBLANK('Ingest Template'!AA495),"", 'Ingest Template'!AA495&amp;"|Film Ops")))</f>
        <v/>
      </c>
      <c r="AA495" s="21"/>
      <c r="AB495" s="21" t="str">
        <f>'Ingest Template'!M495</f>
        <v/>
      </c>
      <c r="AC495" s="21" t="str">
        <f>'Ingest Template'!Y495</f>
        <v/>
      </c>
      <c r="AD495" s="21" t="str">
        <f>'Ingest Template'!C495</f>
        <v/>
      </c>
      <c r="AE495" s="21" t="str">
        <f>'Ingest Template'!Z495</f>
        <v/>
      </c>
      <c r="AF495" s="29"/>
      <c r="AG495" s="21" t="str">
        <f t="array" ref="AG495">IF('Ingest Template'!A495="Standard",(CONCATENATE(IF(ISBLANK('Ingest Template'!O495),"", 'Ingest Template'!O495&amp;"|DAR"),CHAR(10), IF(ISBLANK('Ingest Template'!P495),"", 'Ingest Template'!P495&amp;"|DAR"),CHAR(10), IF(ISBLANK('Ingest Template'!Q495),"", 'Ingest Template'!Q495&amp;"|DAR"))),(CONCATENATE(IF(ISBLANK('Ingest Template'!O495),"", 'Ingest Template'!O495&amp;"|Operations - Core Title"),CHAR(10), IF(ISBLANK('Ingest Template'!P495),"", 'Ingest Template'!P495&amp;"|Operations - Core Title"),CHAR(10), IF(ISBLANK('Ingest Template'!Q495),"", 'Ingest Template'!Q495&amp;"|Operations - Core Title"))))</f>
        <v>#|Operations - Core Title
#|Operations - Core Title
</v>
      </c>
      <c r="AH495" s="21"/>
      <c r="AI495" s="21"/>
      <c r="AJ495" s="53" t="str">
        <f>if('Ingest Template'!A495="Standard",'Ingest Template'!N495&amp; "|DAR|DAR|2021-01-01",'Ingest Template'!N495&amp; "|Operations - Core Title|Operations - Core Title")</f>
        <v>#N/A</v>
      </c>
      <c r="AK495" s="53" t="str">
        <f>if('Ingest Template'!A495="Standard",'Ingest Template'!R495&amp; "|2021-01-01",'Ingest Template'!R495)</f>
        <v>#N/A</v>
      </c>
      <c r="AL495" s="21"/>
      <c r="AM495" s="21"/>
    </row>
    <row r="496">
      <c r="A496" s="21"/>
      <c r="B496" s="21" t="str">
        <f>'Ingest Template'!B496&amp;IF('Ingest Template'!A496 = "Standard", " - DAR","")</f>
        <v/>
      </c>
      <c r="C496" s="26" t="s">
        <v>109</v>
      </c>
      <c r="D496" s="29" t="str">
        <f t="array" ref="D496">CONCATENATE(INDEX(DropDown!$H$2:$H$10,MATCH(1,COUNTIF('Ingest Template'!F496,"*"&amp;DropDown!$H$2:$H$10&amp;"*"),0)),CHAR(10),'Ingest Template'!G496)</f>
        <v>#N/A</v>
      </c>
      <c r="E496" s="21" t="str">
        <f>CONCATENATE('Ingest Template'!H496,CHAR(10),'Ingest Template'!I496,CHAR(10),'Ingest Template'!J496)</f>
        <v>
</v>
      </c>
      <c r="F496" s="26" t="str">
        <f>'Ingest Template'!H496</f>
        <v/>
      </c>
      <c r="G496" s="21"/>
      <c r="H496" s="29"/>
      <c r="I496" s="21"/>
      <c r="J496" s="29" t="str">
        <f t="array" ref="J496">iF('Ingest Template'!A496="Standard","Pristine Brand",INDEX(DropDown!$M$2:$M$392,MATCH('Ingest Template'!E496,DropDown!$J$2:$J$392,0)))</f>
        <v>#N/A</v>
      </c>
      <c r="K496" s="21" t="str">
        <f>iF('Ingest Template'!A496="Standard",'Ingest Template'!K496&amp;CHAR(10)&amp;'Ingest Template'!L496,"Competitive View")</f>
        <v>Competitive View</v>
      </c>
      <c r="L496" s="29" t="s">
        <v>146</v>
      </c>
      <c r="M496" s="37" t="str">
        <f>'Ingest Template'!D496</f>
        <v/>
      </c>
      <c r="N496" s="21"/>
      <c r="O496" s="21"/>
      <c r="P496" s="21"/>
      <c r="Q496" s="21"/>
      <c r="R496" s="21" t="str">
        <f>'Ingest Template'!E496</f>
        <v/>
      </c>
      <c r="S496" s="29" t="s">
        <v>153</v>
      </c>
      <c r="T496" s="21" t="str">
        <f>'Ingest Template'!T496</f>
        <v/>
      </c>
      <c r="U496" s="21" t="str">
        <f>'Ingest Template'!S496</f>
        <v/>
      </c>
      <c r="V496" s="21" t="str">
        <f>LOWER(SUBSTITUTE(SUBSTITUTE(SUBSTITUTE(SUBSTITUTE(SUBSTITUTE('Ingest Template'!U496,"https:",""),"www.",""),"/",""),"?hl=en",""),"instagram.com",""))</f>
        <v/>
      </c>
      <c r="W496" s="41" t="str">
        <f t="array" ref="W496">IF('Ingest Template'!V496="",(INDEX(DropDown!$L$2:$L$392,MATCH('Ingest Template'!E496,DropDown!$J$2:$J$392,0))&amp;"|"&amp;'Ingest Template'!B496),(INDEX(DropDown!$L$2:$L$392,MATCH('Ingest Template'!E496,DropDown!$J$2:$J$392,0))&amp;"|"&amp;'Ingest Template'!B496)&amp;CHAR(10)&amp;'Ingest Template'!V496)</f>
        <v>#N/A</v>
      </c>
      <c r="X496" s="41" t="str">
        <f>'Ingest Template'!W496</f>
        <v/>
      </c>
      <c r="Y496" s="21" t="str">
        <f>SUBSTITUTE(SUBSTITUTE(SUBSTITUTE('Ingest Template'!X496,"http:",""),"https:",""),"/","")</f>
        <v/>
      </c>
      <c r="Z496" s="21" t="str">
        <f t="array" ref="Z496">IF('Ingest Template'!A496="Standard",(IF(ISBLANK('Ingest Template'!AA496),"", 'Ingest Template'!AA496&amp;"|DAR")),(IF(ISBLANK('Ingest Template'!AA496),"", 'Ingest Template'!AA496&amp;"|Film Ops")))</f>
        <v/>
      </c>
      <c r="AA496" s="21"/>
      <c r="AB496" s="21" t="str">
        <f>'Ingest Template'!M496</f>
        <v/>
      </c>
      <c r="AC496" s="21" t="str">
        <f>'Ingest Template'!Y496</f>
        <v/>
      </c>
      <c r="AD496" s="21" t="str">
        <f>'Ingest Template'!C496</f>
        <v/>
      </c>
      <c r="AE496" s="21" t="str">
        <f>'Ingest Template'!Z496</f>
        <v/>
      </c>
      <c r="AF496" s="29"/>
      <c r="AG496" s="21" t="str">
        <f t="array" ref="AG496">IF('Ingest Template'!A496="Standard",(CONCATENATE(IF(ISBLANK('Ingest Template'!O496),"", 'Ingest Template'!O496&amp;"|DAR"),CHAR(10), IF(ISBLANK('Ingest Template'!P496),"", 'Ingest Template'!P496&amp;"|DAR"),CHAR(10), IF(ISBLANK('Ingest Template'!Q496),"", 'Ingest Template'!Q496&amp;"|DAR"))),(CONCATENATE(IF(ISBLANK('Ingest Template'!O496),"", 'Ingest Template'!O496&amp;"|Operations - Core Title"),CHAR(10), IF(ISBLANK('Ingest Template'!P496),"", 'Ingest Template'!P496&amp;"|Operations - Core Title"),CHAR(10), IF(ISBLANK('Ingest Template'!Q496),"", 'Ingest Template'!Q496&amp;"|Operations - Core Title"))))</f>
        <v>#|Operations - Core Title
#|Operations - Core Title
</v>
      </c>
      <c r="AH496" s="21"/>
      <c r="AI496" s="21"/>
      <c r="AJ496" s="53" t="str">
        <f>if('Ingest Template'!A496="Standard",'Ingest Template'!N496&amp; "|DAR|DAR|2021-01-01",'Ingest Template'!N496&amp; "|Operations - Core Title|Operations - Core Title")</f>
        <v>#N/A</v>
      </c>
      <c r="AK496" s="53" t="str">
        <f>if('Ingest Template'!A496="Standard",'Ingest Template'!R496&amp; "|2021-01-01",'Ingest Template'!R496)</f>
        <v>#N/A</v>
      </c>
      <c r="AL496" s="21"/>
      <c r="AM496" s="21"/>
    </row>
    <row r="497">
      <c r="A497" s="21"/>
      <c r="B497" s="21" t="str">
        <f>'Ingest Template'!B497&amp;IF('Ingest Template'!A497 = "Standard", " - DAR","")</f>
        <v/>
      </c>
      <c r="C497" s="26" t="s">
        <v>109</v>
      </c>
      <c r="D497" s="29" t="str">
        <f t="array" ref="D497">CONCATENATE(INDEX(DropDown!$H$2:$H$10,MATCH(1,COUNTIF('Ingest Template'!F497,"*"&amp;DropDown!$H$2:$H$10&amp;"*"),0)),CHAR(10),'Ingest Template'!G497)</f>
        <v>#N/A</v>
      </c>
      <c r="E497" s="21" t="str">
        <f>CONCATENATE('Ingest Template'!H497,CHAR(10),'Ingest Template'!I497,CHAR(10),'Ingest Template'!J497)</f>
        <v>
</v>
      </c>
      <c r="F497" s="26" t="str">
        <f>'Ingest Template'!H497</f>
        <v/>
      </c>
      <c r="G497" s="21"/>
      <c r="H497" s="29"/>
      <c r="I497" s="21"/>
      <c r="J497" s="29" t="str">
        <f t="array" ref="J497">iF('Ingest Template'!A497="Standard","Pristine Brand",INDEX(DropDown!$M$2:$M$392,MATCH('Ingest Template'!E497,DropDown!$J$2:$J$392,0)))</f>
        <v>#N/A</v>
      </c>
      <c r="K497" s="21" t="str">
        <f>iF('Ingest Template'!A497="Standard",'Ingest Template'!K497&amp;CHAR(10)&amp;'Ingest Template'!L497,"Competitive View")</f>
        <v>Competitive View</v>
      </c>
      <c r="L497" s="29" t="s">
        <v>146</v>
      </c>
      <c r="M497" s="37" t="str">
        <f>'Ingest Template'!D497</f>
        <v/>
      </c>
      <c r="N497" s="21"/>
      <c r="O497" s="21"/>
      <c r="P497" s="21"/>
      <c r="Q497" s="21"/>
      <c r="R497" s="21" t="str">
        <f>'Ingest Template'!E497</f>
        <v/>
      </c>
      <c r="S497" s="29" t="s">
        <v>153</v>
      </c>
      <c r="T497" s="21" t="str">
        <f>'Ingest Template'!T497</f>
        <v/>
      </c>
      <c r="U497" s="21" t="str">
        <f>'Ingest Template'!S497</f>
        <v/>
      </c>
      <c r="V497" s="21" t="str">
        <f>LOWER(SUBSTITUTE(SUBSTITUTE(SUBSTITUTE(SUBSTITUTE(SUBSTITUTE('Ingest Template'!U497,"https:",""),"www.",""),"/",""),"?hl=en",""),"instagram.com",""))</f>
        <v/>
      </c>
      <c r="W497" s="41" t="str">
        <f t="array" ref="W497">IF('Ingest Template'!V497="",(INDEX(DropDown!$L$2:$L$392,MATCH('Ingest Template'!E497,DropDown!$J$2:$J$392,0))&amp;"|"&amp;'Ingest Template'!B497),(INDEX(DropDown!$L$2:$L$392,MATCH('Ingest Template'!E497,DropDown!$J$2:$J$392,0))&amp;"|"&amp;'Ingest Template'!B497)&amp;CHAR(10)&amp;'Ingest Template'!V497)</f>
        <v>#N/A</v>
      </c>
      <c r="X497" s="41" t="str">
        <f>'Ingest Template'!W497</f>
        <v/>
      </c>
      <c r="Y497" s="21" t="str">
        <f>SUBSTITUTE(SUBSTITUTE(SUBSTITUTE('Ingest Template'!X497,"http:",""),"https:",""),"/","")</f>
        <v/>
      </c>
      <c r="Z497" s="21" t="str">
        <f t="array" ref="Z497">IF('Ingest Template'!A497="Standard",(IF(ISBLANK('Ingest Template'!AA497),"", 'Ingest Template'!AA497&amp;"|DAR")),(IF(ISBLANK('Ingest Template'!AA497),"", 'Ingest Template'!AA497&amp;"|Film Ops")))</f>
        <v/>
      </c>
      <c r="AA497" s="21"/>
      <c r="AB497" s="21" t="str">
        <f>'Ingest Template'!M497</f>
        <v/>
      </c>
      <c r="AC497" s="21" t="str">
        <f>'Ingest Template'!Y497</f>
        <v/>
      </c>
      <c r="AD497" s="21" t="str">
        <f>'Ingest Template'!C497</f>
        <v/>
      </c>
      <c r="AE497" s="21" t="str">
        <f>'Ingest Template'!Z497</f>
        <v/>
      </c>
      <c r="AF497" s="29"/>
      <c r="AG497" s="21" t="str">
        <f t="array" ref="AG497">IF('Ingest Template'!A497="Standard",(CONCATENATE(IF(ISBLANK('Ingest Template'!O497),"", 'Ingest Template'!O497&amp;"|DAR"),CHAR(10), IF(ISBLANK('Ingest Template'!P497),"", 'Ingest Template'!P497&amp;"|DAR"),CHAR(10), IF(ISBLANK('Ingest Template'!Q497),"", 'Ingest Template'!Q497&amp;"|DAR"))),(CONCATENATE(IF(ISBLANK('Ingest Template'!O497),"", 'Ingest Template'!O497&amp;"|Operations - Core Title"),CHAR(10), IF(ISBLANK('Ingest Template'!P497),"", 'Ingest Template'!P497&amp;"|Operations - Core Title"),CHAR(10), IF(ISBLANK('Ingest Template'!Q497),"", 'Ingest Template'!Q497&amp;"|Operations - Core Title"))))</f>
        <v>#|Operations - Core Title
#|Operations - Core Title
</v>
      </c>
      <c r="AH497" s="21"/>
      <c r="AI497" s="21"/>
      <c r="AJ497" s="53" t="str">
        <f>if('Ingest Template'!A497="Standard",'Ingest Template'!N497&amp; "|DAR|DAR|2021-01-01",'Ingest Template'!N497&amp; "|Operations - Core Title|Operations - Core Title")</f>
        <v>#N/A</v>
      </c>
      <c r="AK497" s="53" t="str">
        <f>if('Ingest Template'!A497="Standard",'Ingest Template'!R497&amp; "|2021-01-01",'Ingest Template'!R497)</f>
        <v>#N/A</v>
      </c>
      <c r="AL497" s="21"/>
      <c r="AM497" s="21"/>
    </row>
    <row r="498">
      <c r="A498" s="21"/>
      <c r="B498" s="21" t="str">
        <f>'Ingest Template'!B498&amp;IF('Ingest Template'!A498 = "Standard", " - DAR","")</f>
        <v/>
      </c>
      <c r="C498" s="26" t="s">
        <v>109</v>
      </c>
      <c r="D498" s="29" t="str">
        <f t="array" ref="D498">CONCATENATE(INDEX(DropDown!$H$2:$H$10,MATCH(1,COUNTIF('Ingest Template'!F498,"*"&amp;DropDown!$H$2:$H$10&amp;"*"),0)),CHAR(10),'Ingest Template'!G498)</f>
        <v>#N/A</v>
      </c>
      <c r="E498" s="21" t="str">
        <f>CONCATENATE('Ingest Template'!H498,CHAR(10),'Ingest Template'!I498,CHAR(10),'Ingest Template'!J498)</f>
        <v>
</v>
      </c>
      <c r="F498" s="26" t="str">
        <f>'Ingest Template'!H498</f>
        <v/>
      </c>
      <c r="G498" s="21"/>
      <c r="H498" s="29"/>
      <c r="I498" s="21"/>
      <c r="J498" s="29" t="str">
        <f t="array" ref="J498">iF('Ingest Template'!A498="Standard","Pristine Brand",INDEX(DropDown!$M$2:$M$392,MATCH('Ingest Template'!E498,DropDown!$J$2:$J$392,0)))</f>
        <v>#N/A</v>
      </c>
      <c r="K498" s="21" t="str">
        <f>iF('Ingest Template'!A498="Standard",'Ingest Template'!K498&amp;CHAR(10)&amp;'Ingest Template'!L498,"Competitive View")</f>
        <v>Competitive View</v>
      </c>
      <c r="L498" s="29" t="s">
        <v>146</v>
      </c>
      <c r="M498" s="37" t="str">
        <f>'Ingest Template'!D498</f>
        <v/>
      </c>
      <c r="N498" s="21"/>
      <c r="O498" s="21"/>
      <c r="P498" s="21"/>
      <c r="Q498" s="21"/>
      <c r="R498" s="21" t="str">
        <f>'Ingest Template'!E498</f>
        <v/>
      </c>
      <c r="S498" s="29" t="s">
        <v>153</v>
      </c>
      <c r="T498" s="21" t="str">
        <f>'Ingest Template'!T498</f>
        <v/>
      </c>
      <c r="U498" s="21" t="str">
        <f>'Ingest Template'!S498</f>
        <v/>
      </c>
      <c r="V498" s="21" t="str">
        <f>LOWER(SUBSTITUTE(SUBSTITUTE(SUBSTITUTE(SUBSTITUTE(SUBSTITUTE('Ingest Template'!U498,"https:",""),"www.",""),"/",""),"?hl=en",""),"instagram.com",""))</f>
        <v/>
      </c>
      <c r="W498" s="41" t="str">
        <f t="array" ref="W498">IF('Ingest Template'!V498="",(INDEX(DropDown!$L$2:$L$392,MATCH('Ingest Template'!E498,DropDown!$J$2:$J$392,0))&amp;"|"&amp;'Ingest Template'!B498),(INDEX(DropDown!$L$2:$L$392,MATCH('Ingest Template'!E498,DropDown!$J$2:$J$392,0))&amp;"|"&amp;'Ingest Template'!B498)&amp;CHAR(10)&amp;'Ingest Template'!V498)</f>
        <v>#N/A</v>
      </c>
      <c r="X498" s="41" t="str">
        <f>'Ingest Template'!W498</f>
        <v/>
      </c>
      <c r="Y498" s="21" t="str">
        <f>SUBSTITUTE(SUBSTITUTE(SUBSTITUTE('Ingest Template'!X498,"http:",""),"https:",""),"/","")</f>
        <v/>
      </c>
      <c r="Z498" s="21" t="str">
        <f t="array" ref="Z498">IF('Ingest Template'!A498="Standard",(IF(ISBLANK('Ingest Template'!AA498),"", 'Ingest Template'!AA498&amp;"|DAR")),(IF(ISBLANK('Ingest Template'!AA498),"", 'Ingest Template'!AA498&amp;"|Film Ops")))</f>
        <v/>
      </c>
      <c r="AA498" s="21"/>
      <c r="AB498" s="21" t="str">
        <f>'Ingest Template'!M498</f>
        <v/>
      </c>
      <c r="AC498" s="21" t="str">
        <f>'Ingest Template'!Y498</f>
        <v/>
      </c>
      <c r="AD498" s="21" t="str">
        <f>'Ingest Template'!C498</f>
        <v/>
      </c>
      <c r="AE498" s="21" t="str">
        <f>'Ingest Template'!Z498</f>
        <v/>
      </c>
      <c r="AF498" s="29"/>
      <c r="AG498" s="21" t="str">
        <f t="array" ref="AG498">IF('Ingest Template'!A498="Standard",(CONCATENATE(IF(ISBLANK('Ingest Template'!O498),"", 'Ingest Template'!O498&amp;"|DAR"),CHAR(10), IF(ISBLANK('Ingest Template'!P498),"", 'Ingest Template'!P498&amp;"|DAR"),CHAR(10), IF(ISBLANK('Ingest Template'!Q498),"", 'Ingest Template'!Q498&amp;"|DAR"))),(CONCATENATE(IF(ISBLANK('Ingest Template'!O498),"", 'Ingest Template'!O498&amp;"|Operations - Core Title"),CHAR(10), IF(ISBLANK('Ingest Template'!P498),"", 'Ingest Template'!P498&amp;"|Operations - Core Title"),CHAR(10), IF(ISBLANK('Ingest Template'!Q498),"", 'Ingest Template'!Q498&amp;"|Operations - Core Title"))))</f>
        <v>#|Operations - Core Title
#|Operations - Core Title
</v>
      </c>
      <c r="AH498" s="21"/>
      <c r="AI498" s="21"/>
      <c r="AJ498" s="53" t="str">
        <f>if('Ingest Template'!A498="Standard",'Ingest Template'!N498&amp; "|DAR|DAR|2021-01-01",'Ingest Template'!N498&amp; "|Operations - Core Title|Operations - Core Title")</f>
        <v>#N/A</v>
      </c>
      <c r="AK498" s="53" t="str">
        <f>if('Ingest Template'!A498="Standard",'Ingest Template'!R498&amp; "|2021-01-01",'Ingest Template'!R498)</f>
        <v>#N/A</v>
      </c>
      <c r="AL498" s="21"/>
      <c r="AM498" s="21"/>
    </row>
    <row r="499">
      <c r="A499" s="21"/>
      <c r="B499" s="21" t="str">
        <f>'Ingest Template'!B499&amp;IF('Ingest Template'!A499 = "Standard", " - DAR","")</f>
        <v/>
      </c>
      <c r="C499" s="26" t="s">
        <v>109</v>
      </c>
      <c r="D499" s="29" t="str">
        <f t="array" ref="D499">CONCATENATE(INDEX(DropDown!$H$2:$H$10,MATCH(1,COUNTIF('Ingest Template'!F499,"*"&amp;DropDown!$H$2:$H$10&amp;"*"),0)),CHAR(10),'Ingest Template'!G499)</f>
        <v>#N/A</v>
      </c>
      <c r="E499" s="21" t="str">
        <f>CONCATENATE('Ingest Template'!H499,CHAR(10),'Ingest Template'!I499,CHAR(10),'Ingest Template'!J499)</f>
        <v>
</v>
      </c>
      <c r="F499" s="26" t="str">
        <f>'Ingest Template'!H499</f>
        <v/>
      </c>
      <c r="G499" s="21"/>
      <c r="H499" s="29"/>
      <c r="I499" s="21"/>
      <c r="J499" s="29" t="str">
        <f t="array" ref="J499">iF('Ingest Template'!A499="Standard","Pristine Brand",INDEX(DropDown!$M$2:$M$392,MATCH('Ingest Template'!E499,DropDown!$J$2:$J$392,0)))</f>
        <v>#N/A</v>
      </c>
      <c r="K499" s="21" t="str">
        <f>iF('Ingest Template'!A499="Standard",'Ingest Template'!K499&amp;CHAR(10)&amp;'Ingest Template'!L499,"Competitive View")</f>
        <v>Competitive View</v>
      </c>
      <c r="L499" s="29" t="s">
        <v>146</v>
      </c>
      <c r="M499" s="37" t="str">
        <f>'Ingest Template'!D499</f>
        <v/>
      </c>
      <c r="N499" s="21"/>
      <c r="O499" s="21"/>
      <c r="P499" s="21"/>
      <c r="Q499" s="21"/>
      <c r="R499" s="21" t="str">
        <f>'Ingest Template'!E499</f>
        <v/>
      </c>
      <c r="S499" s="29" t="s">
        <v>153</v>
      </c>
      <c r="T499" s="21" t="str">
        <f>'Ingest Template'!T499</f>
        <v/>
      </c>
      <c r="U499" s="21" t="str">
        <f>'Ingest Template'!S499</f>
        <v/>
      </c>
      <c r="V499" s="21" t="str">
        <f>LOWER(SUBSTITUTE(SUBSTITUTE(SUBSTITUTE(SUBSTITUTE(SUBSTITUTE('Ingest Template'!U499,"https:",""),"www.",""),"/",""),"?hl=en",""),"instagram.com",""))</f>
        <v/>
      </c>
      <c r="W499" s="41" t="str">
        <f t="array" ref="W499">IF('Ingest Template'!V499="",(INDEX(DropDown!$L$2:$L$392,MATCH('Ingest Template'!E499,DropDown!$J$2:$J$392,0))&amp;"|"&amp;'Ingest Template'!B499),(INDEX(DropDown!$L$2:$L$392,MATCH('Ingest Template'!E499,DropDown!$J$2:$J$392,0))&amp;"|"&amp;'Ingest Template'!B499)&amp;CHAR(10)&amp;'Ingest Template'!V499)</f>
        <v>#N/A</v>
      </c>
      <c r="X499" s="41" t="str">
        <f>'Ingest Template'!W499</f>
        <v/>
      </c>
      <c r="Y499" s="21" t="str">
        <f>SUBSTITUTE(SUBSTITUTE(SUBSTITUTE('Ingest Template'!X499,"http:",""),"https:",""),"/","")</f>
        <v/>
      </c>
      <c r="Z499" s="21" t="str">
        <f t="array" ref="Z499">IF('Ingest Template'!A499="Standard",(IF(ISBLANK('Ingest Template'!AA499),"", 'Ingest Template'!AA499&amp;"|DAR")),(IF(ISBLANK('Ingest Template'!AA499),"", 'Ingest Template'!AA499&amp;"|Film Ops")))</f>
        <v/>
      </c>
      <c r="AA499" s="21"/>
      <c r="AB499" s="21" t="str">
        <f>'Ingest Template'!M499</f>
        <v/>
      </c>
      <c r="AC499" s="21" t="str">
        <f>'Ingest Template'!Y499</f>
        <v/>
      </c>
      <c r="AD499" s="21" t="str">
        <f>'Ingest Template'!C499</f>
        <v/>
      </c>
      <c r="AE499" s="21" t="str">
        <f>'Ingest Template'!Z499</f>
        <v/>
      </c>
      <c r="AF499" s="29"/>
      <c r="AG499" s="21" t="str">
        <f t="array" ref="AG499">IF('Ingest Template'!A499="Standard",(CONCATENATE(IF(ISBLANK('Ingest Template'!O499),"", 'Ingest Template'!O499&amp;"|DAR"),CHAR(10), IF(ISBLANK('Ingest Template'!P499),"", 'Ingest Template'!P499&amp;"|DAR"),CHAR(10), IF(ISBLANK('Ingest Template'!Q499),"", 'Ingest Template'!Q499&amp;"|DAR"))),(CONCATENATE(IF(ISBLANK('Ingest Template'!O499),"", 'Ingest Template'!O499&amp;"|Operations - Core Title"),CHAR(10), IF(ISBLANK('Ingest Template'!P499),"", 'Ingest Template'!P499&amp;"|Operations - Core Title"),CHAR(10), IF(ISBLANK('Ingest Template'!Q499),"", 'Ingest Template'!Q499&amp;"|Operations - Core Title"))))</f>
        <v>#|Operations - Core Title
#|Operations - Core Title
</v>
      </c>
      <c r="AH499" s="21"/>
      <c r="AI499" s="21"/>
      <c r="AJ499" s="53" t="str">
        <f>if('Ingest Template'!A499="Standard",'Ingest Template'!N499&amp; "|DAR|DAR|2021-01-01",'Ingest Template'!N499&amp; "|Operations - Core Title|Operations - Core Title")</f>
        <v>#N/A</v>
      </c>
      <c r="AK499" s="53" t="str">
        <f>if('Ingest Template'!A499="Standard",'Ingest Template'!R499&amp; "|2021-01-01",'Ingest Template'!R499)</f>
        <v>#N/A</v>
      </c>
      <c r="AL499" s="21"/>
      <c r="AM499" s="21"/>
    </row>
    <row r="500">
      <c r="A500" s="21"/>
      <c r="B500" s="21" t="str">
        <f>'Ingest Template'!B500&amp;IF('Ingest Template'!A500 = "Standard", " - DAR","")</f>
        <v/>
      </c>
      <c r="C500" s="26" t="s">
        <v>109</v>
      </c>
      <c r="D500" s="29" t="str">
        <f t="array" ref="D500">CONCATENATE(INDEX(DropDown!$H$2:$H$10,MATCH(1,COUNTIF('Ingest Template'!F500,"*"&amp;DropDown!$H$2:$H$10&amp;"*"),0)),CHAR(10),'Ingest Template'!G500)</f>
        <v>#N/A</v>
      </c>
      <c r="E500" s="21" t="str">
        <f>CONCATENATE('Ingest Template'!H500,CHAR(10),'Ingest Template'!I500,CHAR(10),'Ingest Template'!J500)</f>
        <v>
</v>
      </c>
      <c r="F500" s="26" t="str">
        <f>'Ingest Template'!H500</f>
        <v/>
      </c>
      <c r="G500" s="21"/>
      <c r="H500" s="29"/>
      <c r="I500" s="21"/>
      <c r="J500" s="29" t="str">
        <f t="array" ref="J500">iF('Ingest Template'!A500="Standard","Pristine Brand",INDEX(DropDown!$M$2:$M$392,MATCH('Ingest Template'!E500,DropDown!$J$2:$J$392,0)))</f>
        <v>#N/A</v>
      </c>
      <c r="K500" s="21" t="str">
        <f>iF('Ingest Template'!A500="Standard",'Ingest Template'!K500&amp;CHAR(10)&amp;'Ingest Template'!L500,"Competitive View")</f>
        <v>Competitive View</v>
      </c>
      <c r="L500" s="29" t="s">
        <v>146</v>
      </c>
      <c r="M500" s="37" t="str">
        <f>'Ingest Template'!D500</f>
        <v/>
      </c>
      <c r="N500" s="21"/>
      <c r="O500" s="21"/>
      <c r="P500" s="21"/>
      <c r="Q500" s="21"/>
      <c r="R500" s="21" t="str">
        <f>'Ingest Template'!E500</f>
        <v/>
      </c>
      <c r="S500" s="29" t="s">
        <v>153</v>
      </c>
      <c r="T500" s="21" t="str">
        <f>'Ingest Template'!T500</f>
        <v/>
      </c>
      <c r="U500" s="21" t="str">
        <f>'Ingest Template'!S500</f>
        <v/>
      </c>
      <c r="V500" s="21" t="str">
        <f>LOWER(SUBSTITUTE(SUBSTITUTE(SUBSTITUTE(SUBSTITUTE(SUBSTITUTE('Ingest Template'!U500,"https:",""),"www.",""),"/",""),"?hl=en",""),"instagram.com",""))</f>
        <v/>
      </c>
      <c r="W500" s="41" t="str">
        <f t="array" ref="W500">IF('Ingest Template'!V500="",(INDEX(DropDown!$L$2:$L$392,MATCH('Ingest Template'!E500,DropDown!$J$2:$J$392,0))&amp;"|"&amp;'Ingest Template'!B500),(INDEX(DropDown!$L$2:$L$392,MATCH('Ingest Template'!E500,DropDown!$J$2:$J$392,0))&amp;"|"&amp;'Ingest Template'!B500)&amp;CHAR(10)&amp;'Ingest Template'!V500)</f>
        <v>#N/A</v>
      </c>
      <c r="X500" s="41" t="str">
        <f>'Ingest Template'!W500</f>
        <v/>
      </c>
      <c r="Y500" s="21" t="str">
        <f>SUBSTITUTE(SUBSTITUTE(SUBSTITUTE('Ingest Template'!X500,"http:",""),"https:",""),"/","")</f>
        <v/>
      </c>
      <c r="Z500" s="21" t="str">
        <f t="array" ref="Z500">IF('Ingest Template'!A500="Standard",(IF(ISBLANK('Ingest Template'!AA500),"", 'Ingest Template'!AA500&amp;"|DAR")),(IF(ISBLANK('Ingest Template'!AA500),"", 'Ingest Template'!AA500&amp;"|Film Ops")))</f>
        <v/>
      </c>
      <c r="AA500" s="21"/>
      <c r="AB500" s="21" t="str">
        <f>'Ingest Template'!M500</f>
        <v/>
      </c>
      <c r="AC500" s="21" t="str">
        <f>'Ingest Template'!Y500</f>
        <v/>
      </c>
      <c r="AD500" s="21" t="str">
        <f>'Ingest Template'!C500</f>
        <v/>
      </c>
      <c r="AE500" s="21" t="str">
        <f>'Ingest Template'!Z500</f>
        <v/>
      </c>
      <c r="AF500" s="29"/>
      <c r="AG500" s="21" t="str">
        <f t="array" ref="AG500">IF('Ingest Template'!A500="Standard",(CONCATENATE(IF(ISBLANK('Ingest Template'!O500),"", 'Ingest Template'!O500&amp;"|DAR"),CHAR(10), IF(ISBLANK('Ingest Template'!P500),"", 'Ingest Template'!P500&amp;"|DAR"),CHAR(10), IF(ISBLANK('Ingest Template'!Q500),"", 'Ingest Template'!Q500&amp;"|DAR"))),(CONCATENATE(IF(ISBLANK('Ingest Template'!O500),"", 'Ingest Template'!O500&amp;"|Operations - Core Title"),CHAR(10), IF(ISBLANK('Ingest Template'!P500),"", 'Ingest Template'!P500&amp;"|Operations - Core Title"),CHAR(10), IF(ISBLANK('Ingest Template'!Q500),"", 'Ingest Template'!Q500&amp;"|Operations - Core Title"))))</f>
        <v>#|Operations - Core Title
#|Operations - Core Title
</v>
      </c>
      <c r="AH500" s="21"/>
      <c r="AI500" s="21"/>
      <c r="AJ500" s="53" t="str">
        <f>if('Ingest Template'!A500="Standard",'Ingest Template'!N500&amp; "|DAR|DAR|2021-01-01",'Ingest Template'!N500&amp; "|Operations - Core Title|Operations - Core Title")</f>
        <v>#N/A</v>
      </c>
      <c r="AK500" s="53" t="str">
        <f>if('Ingest Template'!A500="Standard",'Ingest Template'!R500&amp; "|2021-01-01",'Ingest Template'!R500)</f>
        <v>#N/A</v>
      </c>
      <c r="AL500" s="21"/>
      <c r="AM500" s="21"/>
    </row>
    <row r="501">
      <c r="A501" s="21"/>
      <c r="B501" s="21" t="str">
        <f>'Ingest Template'!B501&amp;IF('Ingest Template'!A501 = "Standard", " - DAR","")</f>
        <v/>
      </c>
      <c r="C501" s="26" t="s">
        <v>109</v>
      </c>
      <c r="D501" s="29" t="str">
        <f t="array" ref="D501">CONCATENATE(INDEX(DropDown!$H$2:$H$10,MATCH(1,COUNTIF('Ingest Template'!F501,"*"&amp;DropDown!$H$2:$H$10&amp;"*"),0)),CHAR(10),'Ingest Template'!G501)</f>
        <v>#N/A</v>
      </c>
      <c r="E501" s="21" t="str">
        <f>CONCATENATE('Ingest Template'!H501,CHAR(10),'Ingest Template'!I501,CHAR(10),'Ingest Template'!J501)</f>
        <v>
</v>
      </c>
      <c r="F501" s="26" t="str">
        <f>'Ingest Template'!H501</f>
        <v/>
      </c>
      <c r="G501" s="21"/>
      <c r="H501" s="29"/>
      <c r="I501" s="21"/>
      <c r="J501" s="29" t="str">
        <f t="array" ref="J501">iF('Ingest Template'!A501="Standard","Pristine Brand",INDEX(DropDown!$M$2:$M$392,MATCH('Ingest Template'!E501,DropDown!$J$2:$J$392,0)))</f>
        <v>#N/A</v>
      </c>
      <c r="K501" s="21" t="str">
        <f>iF('Ingest Template'!A501="Standard",'Ingest Template'!K501&amp;CHAR(10)&amp;'Ingest Template'!L501,"Competitive View")</f>
        <v>Competitive View</v>
      </c>
      <c r="L501" s="29" t="s">
        <v>146</v>
      </c>
      <c r="M501" s="37" t="str">
        <f>'Ingest Template'!D501</f>
        <v/>
      </c>
      <c r="N501" s="21"/>
      <c r="O501" s="21"/>
      <c r="P501" s="21"/>
      <c r="Q501" s="21"/>
      <c r="R501" s="21" t="str">
        <f>'Ingest Template'!E501</f>
        <v/>
      </c>
      <c r="S501" s="29" t="s">
        <v>153</v>
      </c>
      <c r="T501" s="21" t="str">
        <f>'Ingest Template'!T501</f>
        <v/>
      </c>
      <c r="U501" s="21" t="str">
        <f>'Ingest Template'!S501</f>
        <v/>
      </c>
      <c r="V501" s="21" t="str">
        <f>LOWER(SUBSTITUTE(SUBSTITUTE(SUBSTITUTE(SUBSTITUTE(SUBSTITUTE('Ingest Template'!U501,"https:",""),"www.",""),"/",""),"?hl=en",""),"instagram.com",""))</f>
        <v/>
      </c>
      <c r="W501" s="41" t="str">
        <f t="array" ref="W501">IF('Ingest Template'!V501="",(INDEX(DropDown!$L$2:$L$392,MATCH('Ingest Template'!E501,DropDown!$J$2:$J$392,0))&amp;"|"&amp;'Ingest Template'!B501),(INDEX(DropDown!$L$2:$L$392,MATCH('Ingest Template'!E501,DropDown!$J$2:$J$392,0))&amp;"|"&amp;'Ingest Template'!B501)&amp;CHAR(10)&amp;'Ingest Template'!V501)</f>
        <v>#N/A</v>
      </c>
      <c r="X501" s="41" t="str">
        <f>'Ingest Template'!W501</f>
        <v/>
      </c>
      <c r="Y501" s="21" t="str">
        <f>SUBSTITUTE(SUBSTITUTE(SUBSTITUTE('Ingest Template'!X501,"http:",""),"https:",""),"/","")</f>
        <v/>
      </c>
      <c r="Z501" s="21" t="str">
        <f t="array" ref="Z501">IF('Ingest Template'!A501="Standard",(IF(ISBLANK('Ingest Template'!AA501),"", 'Ingest Template'!AA501&amp;"|DAR")),(IF(ISBLANK('Ingest Template'!AA501),"", 'Ingest Template'!AA501&amp;"|Film Ops")))</f>
        <v/>
      </c>
      <c r="AA501" s="21"/>
      <c r="AB501" s="21" t="str">
        <f>'Ingest Template'!M501</f>
        <v/>
      </c>
      <c r="AC501" s="21" t="str">
        <f>'Ingest Template'!Y501</f>
        <v/>
      </c>
      <c r="AD501" s="21" t="str">
        <f>'Ingest Template'!C501</f>
        <v/>
      </c>
      <c r="AE501" s="21" t="str">
        <f>'Ingest Template'!Z501</f>
        <v/>
      </c>
      <c r="AF501" s="29"/>
      <c r="AG501" s="21" t="str">
        <f t="array" ref="AG501">IF('Ingest Template'!A501="Standard",(CONCATENATE(IF(ISBLANK('Ingest Template'!O501),"", 'Ingest Template'!O501&amp;"|DAR"),CHAR(10), IF(ISBLANK('Ingest Template'!P501),"", 'Ingest Template'!P501&amp;"|DAR"),CHAR(10), IF(ISBLANK('Ingest Template'!Q501),"", 'Ingest Template'!Q501&amp;"|DAR"))),(CONCATENATE(IF(ISBLANK('Ingest Template'!O501),"", 'Ingest Template'!O501&amp;"|Operations - Core Title"),CHAR(10), IF(ISBLANK('Ingest Template'!P501),"", 'Ingest Template'!P501&amp;"|Operations - Core Title"),CHAR(10), IF(ISBLANK('Ingest Template'!Q501),"", 'Ingest Template'!Q501&amp;"|Operations - Core Title"))))</f>
        <v>#|Operations - Core Title
#|Operations - Core Title
</v>
      </c>
      <c r="AH501" s="21"/>
      <c r="AI501" s="21"/>
      <c r="AJ501" s="53" t="str">
        <f>if('Ingest Template'!A501="Standard",'Ingest Template'!N501&amp; "|DAR|DAR|2021-01-01",'Ingest Template'!N501&amp; "|Operations - Core Title|Operations - Core Title")</f>
        <v>#N/A</v>
      </c>
      <c r="AK501" s="53" t="str">
        <f>if('Ingest Template'!A501="Standard",'Ingest Template'!R501&amp; "|2021-01-01",'Ingest Template'!R501)</f>
        <v>#N/A</v>
      </c>
      <c r="AL501" s="21"/>
      <c r="AM501" s="21"/>
    </row>
    <row r="502">
      <c r="A502" s="21"/>
      <c r="B502" s="21" t="str">
        <f>'Ingest Template'!B502&amp;IF('Ingest Template'!A502 = "Standard", " - DAR","")</f>
        <v/>
      </c>
      <c r="C502" s="26" t="s">
        <v>109</v>
      </c>
      <c r="D502" s="29" t="str">
        <f t="array" ref="D502">CONCATENATE(INDEX(DropDown!$H$2:$H$10,MATCH(1,COUNTIF('Ingest Template'!F502,"*"&amp;DropDown!$H$2:$H$10&amp;"*"),0)),CHAR(10),'Ingest Template'!G502)</f>
        <v>#N/A</v>
      </c>
      <c r="E502" s="21" t="str">
        <f>CONCATENATE('Ingest Template'!H502,CHAR(10),'Ingest Template'!I502,CHAR(10),'Ingest Template'!J502)</f>
        <v>
</v>
      </c>
      <c r="F502" s="26" t="str">
        <f>'Ingest Template'!H502</f>
        <v/>
      </c>
      <c r="G502" s="21"/>
      <c r="H502" s="29"/>
      <c r="I502" s="21"/>
      <c r="J502" s="29" t="str">
        <f t="array" ref="J502">iF('Ingest Template'!A502="Standard","Pristine Brand",INDEX(DropDown!$M$2:$M$392,MATCH('Ingest Template'!E502,DropDown!$J$2:$J$392,0)))</f>
        <v>#N/A</v>
      </c>
      <c r="K502" s="21" t="str">
        <f>iF('Ingest Template'!A502="Standard",'Ingest Template'!K502&amp;CHAR(10)&amp;'Ingest Template'!L502,"Competitive View")</f>
        <v>Competitive View</v>
      </c>
      <c r="L502" s="29" t="s">
        <v>146</v>
      </c>
      <c r="M502" s="37" t="str">
        <f>'Ingest Template'!D502</f>
        <v/>
      </c>
      <c r="N502" s="21"/>
      <c r="O502" s="21"/>
      <c r="P502" s="21"/>
      <c r="Q502" s="21"/>
      <c r="R502" s="21" t="str">
        <f>'Ingest Template'!E502</f>
        <v/>
      </c>
      <c r="S502" s="29" t="s">
        <v>153</v>
      </c>
      <c r="T502" s="21" t="str">
        <f>'Ingest Template'!T502</f>
        <v/>
      </c>
      <c r="U502" s="21" t="str">
        <f>'Ingest Template'!S502</f>
        <v/>
      </c>
      <c r="V502" s="21" t="str">
        <f>LOWER(SUBSTITUTE(SUBSTITUTE(SUBSTITUTE(SUBSTITUTE(SUBSTITUTE('Ingest Template'!U502,"https:",""),"www.",""),"/",""),"?hl=en",""),"instagram.com",""))</f>
        <v/>
      </c>
      <c r="W502" s="41" t="str">
        <f t="array" ref="W502">IF('Ingest Template'!V502="",(INDEX(DropDown!$L$2:$L$392,MATCH('Ingest Template'!E502,DropDown!$J$2:$J$392,0))&amp;"|"&amp;'Ingest Template'!B502),(INDEX(DropDown!$L$2:$L$392,MATCH('Ingest Template'!E502,DropDown!$J$2:$J$392,0))&amp;"|"&amp;'Ingest Template'!B502)&amp;CHAR(10)&amp;'Ingest Template'!V502)</f>
        <v>#N/A</v>
      </c>
      <c r="X502" s="41" t="str">
        <f>'Ingest Template'!W502</f>
        <v/>
      </c>
      <c r="Y502" s="21" t="str">
        <f>SUBSTITUTE(SUBSTITUTE(SUBSTITUTE('Ingest Template'!X502,"http:",""),"https:",""),"/","")</f>
        <v/>
      </c>
      <c r="Z502" s="21" t="str">
        <f t="array" ref="Z502">IF('Ingest Template'!A502="Standard",(IF(ISBLANK('Ingest Template'!AA502),"", 'Ingest Template'!AA502&amp;"|DAR")),(IF(ISBLANK('Ingest Template'!AA502),"", 'Ingest Template'!AA502&amp;"|Film Ops")))</f>
        <v/>
      </c>
      <c r="AA502" s="21"/>
      <c r="AB502" s="21" t="str">
        <f>'Ingest Template'!M502</f>
        <v/>
      </c>
      <c r="AC502" s="21" t="str">
        <f>'Ingest Template'!Y502</f>
        <v/>
      </c>
      <c r="AD502" s="21" t="str">
        <f>'Ingest Template'!C502</f>
        <v/>
      </c>
      <c r="AE502" s="21" t="str">
        <f>'Ingest Template'!Z502</f>
        <v/>
      </c>
      <c r="AF502" s="29"/>
      <c r="AG502" s="21" t="str">
        <f t="array" ref="AG502">IF('Ingest Template'!A502="Standard",(CONCATENATE(IF(ISBLANK('Ingest Template'!O502),"", 'Ingest Template'!O502&amp;"|DAR"),CHAR(10), IF(ISBLANK('Ingest Template'!P502),"", 'Ingest Template'!P502&amp;"|DAR"),CHAR(10), IF(ISBLANK('Ingest Template'!Q502),"", 'Ingest Template'!Q502&amp;"|DAR"))),(CONCATENATE(IF(ISBLANK('Ingest Template'!O502),"", 'Ingest Template'!O502&amp;"|Operations - Core Title"),CHAR(10), IF(ISBLANK('Ingest Template'!P502),"", 'Ingest Template'!P502&amp;"|Operations - Core Title"),CHAR(10), IF(ISBLANK('Ingest Template'!Q502),"", 'Ingest Template'!Q502&amp;"|Operations - Core Title"))))</f>
        <v>#|Operations - Core Title
#|Operations - Core Title
</v>
      </c>
      <c r="AH502" s="21"/>
      <c r="AI502" s="21"/>
      <c r="AJ502" s="53" t="str">
        <f>if('Ingest Template'!A502="Standard",'Ingest Template'!N502&amp; "|DAR|DAR|2021-01-01",'Ingest Template'!N502&amp; "|Operations - Core Title|Operations - Core Title")</f>
        <v>#N/A</v>
      </c>
      <c r="AK502" s="53" t="str">
        <f>if('Ingest Template'!A502="Standard",'Ingest Template'!R502&amp; "|2021-01-01",'Ingest Template'!R502)</f>
        <v>#N/A</v>
      </c>
      <c r="AL502" s="21"/>
      <c r="AM502" s="21"/>
    </row>
    <row r="503">
      <c r="A503" s="21"/>
      <c r="B503" s="21" t="str">
        <f>'Ingest Template'!B503&amp;IF('Ingest Template'!A503 = "Standard", " - DAR","")</f>
        <v/>
      </c>
      <c r="C503" s="26" t="s">
        <v>109</v>
      </c>
      <c r="D503" s="29" t="str">
        <f t="array" ref="D503">CONCATENATE(INDEX(DropDown!$H$2:$H$10,MATCH(1,COUNTIF('Ingest Template'!F503,"*"&amp;DropDown!$H$2:$H$10&amp;"*"),0)),CHAR(10),'Ingest Template'!G503)</f>
        <v>#N/A</v>
      </c>
      <c r="E503" s="21" t="str">
        <f>CONCATENATE('Ingest Template'!H503,CHAR(10),'Ingest Template'!I503,CHAR(10),'Ingest Template'!J503)</f>
        <v>
</v>
      </c>
      <c r="F503" s="26" t="str">
        <f>'Ingest Template'!H503</f>
        <v/>
      </c>
      <c r="G503" s="21"/>
      <c r="H503" s="29"/>
      <c r="I503" s="21"/>
      <c r="J503" s="29" t="str">
        <f t="array" ref="J503">iF('Ingest Template'!A503="Standard","Pristine Brand",INDEX(DropDown!$M$2:$M$392,MATCH('Ingest Template'!E503,DropDown!$J$2:$J$392,0)))</f>
        <v>#N/A</v>
      </c>
      <c r="K503" s="21" t="str">
        <f>iF('Ingest Template'!A503="Standard",'Ingest Template'!K503&amp;CHAR(10)&amp;'Ingest Template'!L503,"Competitive View")</f>
        <v>Competitive View</v>
      </c>
      <c r="L503" s="29" t="s">
        <v>146</v>
      </c>
      <c r="M503" s="37" t="str">
        <f>'Ingest Template'!D503</f>
        <v/>
      </c>
      <c r="N503" s="21"/>
      <c r="O503" s="21"/>
      <c r="P503" s="21"/>
      <c r="Q503" s="21"/>
      <c r="R503" s="21" t="str">
        <f>'Ingest Template'!E503</f>
        <v/>
      </c>
      <c r="S503" s="29" t="s">
        <v>153</v>
      </c>
      <c r="T503" s="21" t="str">
        <f>'Ingest Template'!T503</f>
        <v/>
      </c>
      <c r="U503" s="21" t="str">
        <f>'Ingest Template'!S503</f>
        <v/>
      </c>
      <c r="V503" s="21" t="str">
        <f>LOWER(SUBSTITUTE(SUBSTITUTE(SUBSTITUTE(SUBSTITUTE(SUBSTITUTE('Ingest Template'!U503,"https:",""),"www.",""),"/",""),"?hl=en",""),"instagram.com",""))</f>
        <v/>
      </c>
      <c r="W503" s="41" t="str">
        <f t="array" ref="W503">IF('Ingest Template'!V503="",(INDEX(DropDown!$L$2:$L$392,MATCH('Ingest Template'!E503,DropDown!$J$2:$J$392,0))&amp;"|"&amp;'Ingest Template'!B503),(INDEX(DropDown!$L$2:$L$392,MATCH('Ingest Template'!E503,DropDown!$J$2:$J$392,0))&amp;"|"&amp;'Ingest Template'!B503)&amp;CHAR(10)&amp;'Ingest Template'!V503)</f>
        <v>#N/A</v>
      </c>
      <c r="X503" s="41" t="str">
        <f>'Ingest Template'!W503</f>
        <v/>
      </c>
      <c r="Y503" s="21" t="str">
        <f>SUBSTITUTE(SUBSTITUTE(SUBSTITUTE('Ingest Template'!X503,"http:",""),"https:",""),"/","")</f>
        <v/>
      </c>
      <c r="Z503" s="21" t="str">
        <f t="array" ref="Z503">IF('Ingest Template'!A503="Standard",(IF(ISBLANK('Ingest Template'!AA503),"", 'Ingest Template'!AA503&amp;"|DAR")),(IF(ISBLANK('Ingest Template'!AA503),"", 'Ingest Template'!AA503&amp;"|Film Ops")))</f>
        <v/>
      </c>
      <c r="AA503" s="21"/>
      <c r="AB503" s="21" t="str">
        <f>'Ingest Template'!M503</f>
        <v/>
      </c>
      <c r="AC503" s="21" t="str">
        <f>'Ingest Template'!Y503</f>
        <v/>
      </c>
      <c r="AD503" s="21" t="str">
        <f>'Ingest Template'!C503</f>
        <v/>
      </c>
      <c r="AE503" s="21" t="str">
        <f>'Ingest Template'!Z503</f>
        <v/>
      </c>
      <c r="AF503" s="29"/>
      <c r="AG503" s="21" t="str">
        <f t="array" ref="AG503">IF('Ingest Template'!A503="Standard",(CONCATENATE(IF(ISBLANK('Ingest Template'!O503),"", 'Ingest Template'!O503&amp;"|DAR"),CHAR(10), IF(ISBLANK('Ingest Template'!P503),"", 'Ingest Template'!P503&amp;"|DAR"),CHAR(10), IF(ISBLANK('Ingest Template'!Q503),"", 'Ingest Template'!Q503&amp;"|DAR"))),(CONCATENATE(IF(ISBLANK('Ingest Template'!O503),"", 'Ingest Template'!O503&amp;"|Operations - Core Title"),CHAR(10), IF(ISBLANK('Ingest Template'!P503),"", 'Ingest Template'!P503&amp;"|Operations - Core Title"),CHAR(10), IF(ISBLANK('Ingest Template'!Q503),"", 'Ingest Template'!Q503&amp;"|Operations - Core Title"))))</f>
        <v>#|Operations - Core Title
#|Operations - Core Title
</v>
      </c>
      <c r="AH503" s="21"/>
      <c r="AI503" s="21"/>
      <c r="AJ503" s="53" t="str">
        <f>if('Ingest Template'!A503="Standard",'Ingest Template'!N503&amp; "|DAR|DAR|2021-01-01",'Ingest Template'!N503&amp; "|Operations - Core Title|Operations - Core Title")</f>
        <v>#N/A</v>
      </c>
      <c r="AK503" s="53" t="str">
        <f>if('Ingest Template'!A503="Standard",'Ingest Template'!R503&amp; "|2021-01-01",'Ingest Template'!R503)</f>
        <v>#N/A</v>
      </c>
      <c r="AL503" s="21"/>
      <c r="AM503" s="21"/>
    </row>
    <row r="504">
      <c r="A504" s="21"/>
      <c r="B504" s="21" t="str">
        <f>'Ingest Template'!B504&amp;IF('Ingest Template'!A504 = "Standard", " - DAR","")</f>
        <v/>
      </c>
      <c r="C504" s="26" t="s">
        <v>109</v>
      </c>
      <c r="D504" s="29" t="str">
        <f t="array" ref="D504">CONCATENATE(INDEX(DropDown!$H$2:$H$10,MATCH(1,COUNTIF('Ingest Template'!F504,"*"&amp;DropDown!$H$2:$H$10&amp;"*"),0)),CHAR(10),'Ingest Template'!G504)</f>
        <v>#N/A</v>
      </c>
      <c r="E504" s="21" t="str">
        <f>CONCATENATE('Ingest Template'!H504,CHAR(10),'Ingest Template'!I504,CHAR(10),'Ingest Template'!J504)</f>
        <v>
</v>
      </c>
      <c r="F504" s="26" t="str">
        <f>'Ingest Template'!H504</f>
        <v/>
      </c>
      <c r="G504" s="21"/>
      <c r="H504" s="29"/>
      <c r="I504" s="21"/>
      <c r="J504" s="29" t="str">
        <f t="array" ref="J504">iF('Ingest Template'!A504="Standard","Pristine Brand",INDEX(DropDown!$M$2:$M$392,MATCH('Ingest Template'!E504,DropDown!$J$2:$J$392,0)))</f>
        <v>#N/A</v>
      </c>
      <c r="K504" s="21" t="str">
        <f>iF('Ingest Template'!A504="Standard",'Ingest Template'!K504&amp;CHAR(10)&amp;'Ingest Template'!L504,"Competitive View")</f>
        <v>Competitive View</v>
      </c>
      <c r="L504" s="29" t="s">
        <v>146</v>
      </c>
      <c r="M504" s="37" t="str">
        <f>'Ingest Template'!D504</f>
        <v/>
      </c>
      <c r="N504" s="21"/>
      <c r="O504" s="21"/>
      <c r="P504" s="21"/>
      <c r="Q504" s="21"/>
      <c r="R504" s="21" t="str">
        <f>'Ingest Template'!E504</f>
        <v/>
      </c>
      <c r="S504" s="29" t="s">
        <v>153</v>
      </c>
      <c r="T504" s="21" t="str">
        <f>'Ingest Template'!T504</f>
        <v/>
      </c>
      <c r="U504" s="21" t="str">
        <f>'Ingest Template'!S504</f>
        <v/>
      </c>
      <c r="V504" s="21" t="str">
        <f>LOWER(SUBSTITUTE(SUBSTITUTE(SUBSTITUTE(SUBSTITUTE(SUBSTITUTE('Ingest Template'!U504,"https:",""),"www.",""),"/",""),"?hl=en",""),"instagram.com",""))</f>
        <v/>
      </c>
      <c r="W504" s="41" t="str">
        <f t="array" ref="W504">IF('Ingest Template'!V504="",(INDEX(DropDown!$L$2:$L$392,MATCH('Ingest Template'!E504,DropDown!$J$2:$J$392,0))&amp;"|"&amp;'Ingest Template'!B504),(INDEX(DropDown!$L$2:$L$392,MATCH('Ingest Template'!E504,DropDown!$J$2:$J$392,0))&amp;"|"&amp;'Ingest Template'!B504)&amp;CHAR(10)&amp;'Ingest Template'!V504)</f>
        <v>#N/A</v>
      </c>
      <c r="X504" s="41" t="str">
        <f>'Ingest Template'!W504</f>
        <v/>
      </c>
      <c r="Y504" s="21" t="str">
        <f>SUBSTITUTE(SUBSTITUTE(SUBSTITUTE('Ingest Template'!X504,"http:",""),"https:",""),"/","")</f>
        <v/>
      </c>
      <c r="Z504" s="21" t="str">
        <f t="array" ref="Z504">IF('Ingest Template'!A504="Standard",(IF(ISBLANK('Ingest Template'!AA504),"", 'Ingest Template'!AA504&amp;"|DAR")),(IF(ISBLANK('Ingest Template'!AA504),"", 'Ingest Template'!AA504&amp;"|Film Ops")))</f>
        <v/>
      </c>
      <c r="AA504" s="21"/>
      <c r="AB504" s="21" t="str">
        <f>'Ingest Template'!M504</f>
        <v/>
      </c>
      <c r="AC504" s="21" t="str">
        <f>'Ingest Template'!Y504</f>
        <v/>
      </c>
      <c r="AD504" s="21" t="str">
        <f>'Ingest Template'!C504</f>
        <v/>
      </c>
      <c r="AE504" s="21" t="str">
        <f>'Ingest Template'!Z504</f>
        <v/>
      </c>
      <c r="AF504" s="29"/>
      <c r="AG504" s="21" t="str">
        <f t="array" ref="AG504">IF('Ingest Template'!A504="Standard",(CONCATENATE(IF(ISBLANK('Ingest Template'!O504),"", 'Ingest Template'!O504&amp;"|DAR"),CHAR(10), IF(ISBLANK('Ingest Template'!P504),"", 'Ingest Template'!P504&amp;"|DAR"),CHAR(10), IF(ISBLANK('Ingest Template'!Q504),"", 'Ingest Template'!Q504&amp;"|DAR"))),(CONCATENATE(IF(ISBLANK('Ingest Template'!O504),"", 'Ingest Template'!O504&amp;"|Operations - Core Title"),CHAR(10), IF(ISBLANK('Ingest Template'!P504),"", 'Ingest Template'!P504&amp;"|Operations - Core Title"),CHAR(10), IF(ISBLANK('Ingest Template'!Q504),"", 'Ingest Template'!Q504&amp;"|Operations - Core Title"))))</f>
        <v>#|Operations - Core Title
#|Operations - Core Title
</v>
      </c>
      <c r="AH504" s="21"/>
      <c r="AI504" s="21"/>
      <c r="AJ504" s="53" t="str">
        <f>if('Ingest Template'!A504="Standard",'Ingest Template'!N504&amp; "|DAR|DAR|2021-01-01",'Ingest Template'!N504&amp; "|Operations - Core Title|Operations - Core Title")</f>
        <v>#N/A</v>
      </c>
      <c r="AK504" s="53" t="str">
        <f>if('Ingest Template'!A504="Standard",'Ingest Template'!R504&amp; "|2021-01-01",'Ingest Template'!R504)</f>
        <v>#N/A</v>
      </c>
      <c r="AL504" s="21"/>
      <c r="AM504" s="21"/>
    </row>
    <row r="505">
      <c r="A505" s="21"/>
      <c r="B505" s="21" t="str">
        <f>'Ingest Template'!B505&amp;IF('Ingest Template'!A505 = "Standard", " - DAR","")</f>
        <v/>
      </c>
      <c r="C505" s="26" t="s">
        <v>109</v>
      </c>
      <c r="D505" s="29" t="str">
        <f t="array" ref="D505">CONCATENATE(INDEX(DropDown!$H$2:$H$10,MATCH(1,COUNTIF('Ingest Template'!F505,"*"&amp;DropDown!$H$2:$H$10&amp;"*"),0)),CHAR(10),'Ingest Template'!G505)</f>
        <v>#N/A</v>
      </c>
      <c r="E505" s="21" t="str">
        <f>CONCATENATE('Ingest Template'!H505,CHAR(10),'Ingest Template'!I505,CHAR(10),'Ingest Template'!J505)</f>
        <v>
</v>
      </c>
      <c r="F505" s="26" t="str">
        <f>'Ingest Template'!H505</f>
        <v/>
      </c>
      <c r="G505" s="21"/>
      <c r="H505" s="29"/>
      <c r="I505" s="21"/>
      <c r="J505" s="29" t="str">
        <f t="array" ref="J505">iF('Ingest Template'!A505="Standard","Pristine Brand",INDEX(DropDown!$M$2:$M$392,MATCH('Ingest Template'!E505,DropDown!$J$2:$J$392,0)))</f>
        <v>#N/A</v>
      </c>
      <c r="K505" s="21" t="str">
        <f>iF('Ingest Template'!A505="Standard",'Ingest Template'!K505&amp;CHAR(10)&amp;'Ingest Template'!L505,"Competitive View")</f>
        <v>Competitive View</v>
      </c>
      <c r="L505" s="29" t="s">
        <v>146</v>
      </c>
      <c r="M505" s="37" t="str">
        <f>'Ingest Template'!D505</f>
        <v/>
      </c>
      <c r="N505" s="21"/>
      <c r="O505" s="21"/>
      <c r="P505" s="21"/>
      <c r="Q505" s="21"/>
      <c r="R505" s="21" t="str">
        <f>'Ingest Template'!E505</f>
        <v/>
      </c>
      <c r="S505" s="29" t="s">
        <v>153</v>
      </c>
      <c r="T505" s="21" t="str">
        <f>'Ingest Template'!T505</f>
        <v/>
      </c>
      <c r="U505" s="21" t="str">
        <f>'Ingest Template'!S505</f>
        <v/>
      </c>
      <c r="V505" s="21" t="str">
        <f>LOWER(SUBSTITUTE(SUBSTITUTE(SUBSTITUTE(SUBSTITUTE(SUBSTITUTE('Ingest Template'!U505,"https:",""),"www.",""),"/",""),"?hl=en",""),"instagram.com",""))</f>
        <v/>
      </c>
      <c r="W505" s="41" t="str">
        <f t="array" ref="W505">IF('Ingest Template'!V505="",(INDEX(DropDown!$L$2:$L$392,MATCH('Ingest Template'!E505,DropDown!$J$2:$J$392,0))&amp;"|"&amp;'Ingest Template'!B505),(INDEX(DropDown!$L$2:$L$392,MATCH('Ingest Template'!E505,DropDown!$J$2:$J$392,0))&amp;"|"&amp;'Ingest Template'!B505)&amp;CHAR(10)&amp;'Ingest Template'!V505)</f>
        <v>#N/A</v>
      </c>
      <c r="X505" s="41" t="str">
        <f>'Ingest Template'!W505</f>
        <v/>
      </c>
      <c r="Y505" s="21" t="str">
        <f>SUBSTITUTE(SUBSTITUTE(SUBSTITUTE('Ingest Template'!X505,"http:",""),"https:",""),"/","")</f>
        <v/>
      </c>
      <c r="Z505" s="21" t="str">
        <f t="array" ref="Z505">IF('Ingest Template'!A505="Standard",(IF(ISBLANK('Ingest Template'!AA505),"", 'Ingest Template'!AA505&amp;"|DAR")),(IF(ISBLANK('Ingest Template'!AA505),"", 'Ingest Template'!AA505&amp;"|Film Ops")))</f>
        <v/>
      </c>
      <c r="AA505" s="21"/>
      <c r="AB505" s="21" t="str">
        <f>'Ingest Template'!M505</f>
        <v/>
      </c>
      <c r="AC505" s="21" t="str">
        <f>'Ingest Template'!Y505</f>
        <v/>
      </c>
      <c r="AD505" s="21" t="str">
        <f>'Ingest Template'!C505</f>
        <v/>
      </c>
      <c r="AE505" s="21" t="str">
        <f>'Ingest Template'!Z505</f>
        <v/>
      </c>
      <c r="AF505" s="29"/>
      <c r="AG505" s="21" t="str">
        <f t="array" ref="AG505">IF('Ingest Template'!A505="Standard",(CONCATENATE(IF(ISBLANK('Ingest Template'!O505),"", 'Ingest Template'!O505&amp;"|DAR"),CHAR(10), IF(ISBLANK('Ingest Template'!P505),"", 'Ingest Template'!P505&amp;"|DAR"),CHAR(10), IF(ISBLANK('Ingest Template'!Q505),"", 'Ingest Template'!Q505&amp;"|DAR"))),(CONCATENATE(IF(ISBLANK('Ingest Template'!O505),"", 'Ingest Template'!O505&amp;"|Operations - Core Title"),CHAR(10), IF(ISBLANK('Ingest Template'!P505),"", 'Ingest Template'!P505&amp;"|Operations - Core Title"),CHAR(10), IF(ISBLANK('Ingest Template'!Q505),"", 'Ingest Template'!Q505&amp;"|Operations - Core Title"))))</f>
        <v>#|Operations - Core Title
#|Operations - Core Title
</v>
      </c>
      <c r="AH505" s="21"/>
      <c r="AI505" s="21"/>
      <c r="AJ505" s="53" t="str">
        <f>if('Ingest Template'!A505="Standard",'Ingest Template'!N505&amp; "|DAR|DAR|2021-01-01",'Ingest Template'!N505&amp; "|Operations - Core Title|Operations - Core Title")</f>
        <v>#N/A</v>
      </c>
      <c r="AK505" s="53" t="str">
        <f>if('Ingest Template'!A505="Standard",'Ingest Template'!R505&amp; "|2021-01-01",'Ingest Template'!R505)</f>
        <v>#N/A</v>
      </c>
      <c r="AL505" s="21"/>
      <c r="AM505" s="21"/>
    </row>
    <row r="506">
      <c r="A506" s="21"/>
      <c r="B506" s="21" t="str">
        <f>'Ingest Template'!B506&amp;IF('Ingest Template'!A506 = "Standard", " - DAR","")</f>
        <v/>
      </c>
      <c r="C506" s="26" t="s">
        <v>109</v>
      </c>
      <c r="D506" s="29" t="str">
        <f t="array" ref="D506">CONCATENATE(INDEX(DropDown!$H$2:$H$10,MATCH(1,COUNTIF('Ingest Template'!F506,"*"&amp;DropDown!$H$2:$H$10&amp;"*"),0)),CHAR(10),'Ingest Template'!G506)</f>
        <v>#N/A</v>
      </c>
      <c r="E506" s="21" t="str">
        <f>CONCATENATE('Ingest Template'!H506,CHAR(10),'Ingest Template'!I506,CHAR(10),'Ingest Template'!J506)</f>
        <v>
</v>
      </c>
      <c r="F506" s="26" t="str">
        <f>'Ingest Template'!H506</f>
        <v/>
      </c>
      <c r="G506" s="21"/>
      <c r="H506" s="29"/>
      <c r="I506" s="21"/>
      <c r="J506" s="29" t="str">
        <f t="array" ref="J506">iF('Ingest Template'!A506="Standard","Pristine Brand",INDEX(DropDown!$M$2:$M$392,MATCH('Ingest Template'!E506,DropDown!$J$2:$J$392,0)))</f>
        <v>#N/A</v>
      </c>
      <c r="K506" s="21" t="str">
        <f>iF('Ingest Template'!A506="Standard",'Ingest Template'!K506&amp;CHAR(10)&amp;'Ingest Template'!L506,"Competitive View")</f>
        <v>Competitive View</v>
      </c>
      <c r="L506" s="29" t="s">
        <v>146</v>
      </c>
      <c r="M506" s="37" t="str">
        <f>'Ingest Template'!D506</f>
        <v/>
      </c>
      <c r="N506" s="21"/>
      <c r="O506" s="21"/>
      <c r="P506" s="21"/>
      <c r="Q506" s="21"/>
      <c r="R506" s="21" t="str">
        <f>'Ingest Template'!E506</f>
        <v/>
      </c>
      <c r="S506" s="29" t="s">
        <v>153</v>
      </c>
      <c r="T506" s="21" t="str">
        <f>'Ingest Template'!T506</f>
        <v/>
      </c>
      <c r="U506" s="21" t="str">
        <f>'Ingest Template'!S506</f>
        <v/>
      </c>
      <c r="V506" s="21" t="str">
        <f>LOWER(SUBSTITUTE(SUBSTITUTE(SUBSTITUTE(SUBSTITUTE(SUBSTITUTE('Ingest Template'!U506,"https:",""),"www.",""),"/",""),"?hl=en",""),"instagram.com",""))</f>
        <v/>
      </c>
      <c r="W506" s="41" t="str">
        <f t="array" ref="W506">IF('Ingest Template'!V506="",(INDEX(DropDown!$L$2:$L$392,MATCH('Ingest Template'!E506,DropDown!$J$2:$J$392,0))&amp;"|"&amp;'Ingest Template'!B506),(INDEX(DropDown!$L$2:$L$392,MATCH('Ingest Template'!E506,DropDown!$J$2:$J$392,0))&amp;"|"&amp;'Ingest Template'!B506)&amp;CHAR(10)&amp;'Ingest Template'!V506)</f>
        <v>#N/A</v>
      </c>
      <c r="X506" s="41" t="str">
        <f>'Ingest Template'!W506</f>
        <v/>
      </c>
      <c r="Y506" s="21" t="str">
        <f>SUBSTITUTE(SUBSTITUTE(SUBSTITUTE('Ingest Template'!X506,"http:",""),"https:",""),"/","")</f>
        <v/>
      </c>
      <c r="Z506" s="21" t="str">
        <f t="array" ref="Z506">IF('Ingest Template'!A506="Standard",(IF(ISBLANK('Ingest Template'!AA506),"", 'Ingest Template'!AA506&amp;"|DAR")),(IF(ISBLANK('Ingest Template'!AA506),"", 'Ingest Template'!AA506&amp;"|Film Ops")))</f>
        <v/>
      </c>
      <c r="AA506" s="21"/>
      <c r="AB506" s="21" t="str">
        <f>'Ingest Template'!M506</f>
        <v/>
      </c>
      <c r="AC506" s="21" t="str">
        <f>'Ingest Template'!Y506</f>
        <v/>
      </c>
      <c r="AD506" s="21" t="str">
        <f>'Ingest Template'!C506</f>
        <v/>
      </c>
      <c r="AE506" s="21" t="str">
        <f>'Ingest Template'!Z506</f>
        <v/>
      </c>
      <c r="AF506" s="29"/>
      <c r="AG506" s="21" t="str">
        <f t="array" ref="AG506">IF('Ingest Template'!A506="Standard",(CONCATENATE(IF(ISBLANK('Ingest Template'!O506),"", 'Ingest Template'!O506&amp;"|DAR"),CHAR(10), IF(ISBLANK('Ingest Template'!P506),"", 'Ingest Template'!P506&amp;"|DAR"),CHAR(10), IF(ISBLANK('Ingest Template'!Q506),"", 'Ingest Template'!Q506&amp;"|DAR"))),(CONCATENATE(IF(ISBLANK('Ingest Template'!O506),"", 'Ingest Template'!O506&amp;"|Operations - Core Title"),CHAR(10), IF(ISBLANK('Ingest Template'!P506),"", 'Ingest Template'!P506&amp;"|Operations - Core Title"),CHAR(10), IF(ISBLANK('Ingest Template'!Q506),"", 'Ingest Template'!Q506&amp;"|Operations - Core Title"))))</f>
        <v>#|Operations - Core Title
#|Operations - Core Title
</v>
      </c>
      <c r="AH506" s="21"/>
      <c r="AI506" s="21"/>
      <c r="AJ506" s="53" t="str">
        <f>if('Ingest Template'!A506="Standard",'Ingest Template'!N506&amp; "|DAR|DAR|2021-01-01",'Ingest Template'!N506&amp; "|Operations - Core Title|Operations - Core Title")</f>
        <v>#N/A</v>
      </c>
      <c r="AK506" s="53" t="str">
        <f>if('Ingest Template'!A506="Standard",'Ingest Template'!R506&amp; "|2021-01-01",'Ingest Template'!R506)</f>
        <v>#N/A</v>
      </c>
      <c r="AL506" s="21"/>
      <c r="AM506" s="21"/>
    </row>
    <row r="507">
      <c r="A507" s="21"/>
      <c r="B507" s="21" t="str">
        <f>'Ingest Template'!B507&amp;IF('Ingest Template'!A507 = "Standard", " - DAR","")</f>
        <v/>
      </c>
      <c r="C507" s="26" t="s">
        <v>109</v>
      </c>
      <c r="D507" s="29" t="str">
        <f t="array" ref="D507">CONCATENATE(INDEX(DropDown!$H$2:$H$10,MATCH(1,COUNTIF('Ingest Template'!F507,"*"&amp;DropDown!$H$2:$H$10&amp;"*"),0)),CHAR(10),'Ingest Template'!G507)</f>
        <v>#N/A</v>
      </c>
      <c r="E507" s="21" t="str">
        <f>CONCATENATE('Ingest Template'!H507,CHAR(10),'Ingest Template'!I507,CHAR(10),'Ingest Template'!J507)</f>
        <v>
</v>
      </c>
      <c r="F507" s="26" t="str">
        <f>'Ingest Template'!H507</f>
        <v/>
      </c>
      <c r="G507" s="21"/>
      <c r="H507" s="29"/>
      <c r="I507" s="21"/>
      <c r="J507" s="29" t="str">
        <f t="array" ref="J507">iF('Ingest Template'!A507="Standard","Pristine Brand",INDEX(DropDown!$M$2:$M$392,MATCH('Ingest Template'!E507,DropDown!$J$2:$J$392,0)))</f>
        <v>#N/A</v>
      </c>
      <c r="K507" s="21" t="str">
        <f>iF('Ingest Template'!A507="Standard",'Ingest Template'!K507&amp;CHAR(10)&amp;'Ingest Template'!L507,"Competitive View")</f>
        <v>Competitive View</v>
      </c>
      <c r="L507" s="29" t="s">
        <v>146</v>
      </c>
      <c r="M507" s="37" t="str">
        <f>'Ingest Template'!D507</f>
        <v/>
      </c>
      <c r="N507" s="21"/>
      <c r="O507" s="21"/>
      <c r="P507" s="21"/>
      <c r="Q507" s="21"/>
      <c r="R507" s="21" t="str">
        <f>'Ingest Template'!E507</f>
        <v/>
      </c>
      <c r="S507" s="29" t="s">
        <v>153</v>
      </c>
      <c r="T507" s="21" t="str">
        <f>'Ingest Template'!T507</f>
        <v/>
      </c>
      <c r="U507" s="21" t="str">
        <f>'Ingest Template'!S507</f>
        <v/>
      </c>
      <c r="V507" s="21" t="str">
        <f>LOWER(SUBSTITUTE(SUBSTITUTE(SUBSTITUTE(SUBSTITUTE(SUBSTITUTE('Ingest Template'!U507,"https:",""),"www.",""),"/",""),"?hl=en",""),"instagram.com",""))</f>
        <v/>
      </c>
      <c r="W507" s="41" t="str">
        <f t="array" ref="W507">IF('Ingest Template'!V507="",(INDEX(DropDown!$L$2:$L$392,MATCH('Ingest Template'!E507,DropDown!$J$2:$J$392,0))&amp;"|"&amp;'Ingest Template'!B507),(INDEX(DropDown!$L$2:$L$392,MATCH('Ingest Template'!E507,DropDown!$J$2:$J$392,0))&amp;"|"&amp;'Ingest Template'!B507)&amp;CHAR(10)&amp;'Ingest Template'!V507)</f>
        <v>#N/A</v>
      </c>
      <c r="X507" s="41" t="str">
        <f>'Ingest Template'!W507</f>
        <v/>
      </c>
      <c r="Y507" s="21" t="str">
        <f>SUBSTITUTE(SUBSTITUTE(SUBSTITUTE('Ingest Template'!X507,"http:",""),"https:",""),"/","")</f>
        <v/>
      </c>
      <c r="Z507" s="21" t="str">
        <f t="array" ref="Z507">IF('Ingest Template'!A507="Standard",(IF(ISBLANK('Ingest Template'!AA507),"", 'Ingest Template'!AA507&amp;"|DAR")),(IF(ISBLANK('Ingest Template'!AA507),"", 'Ingest Template'!AA507&amp;"|Film Ops")))</f>
        <v/>
      </c>
      <c r="AA507" s="21"/>
      <c r="AB507" s="21" t="str">
        <f>'Ingest Template'!M507</f>
        <v/>
      </c>
      <c r="AC507" s="21" t="str">
        <f>'Ingest Template'!Y507</f>
        <v/>
      </c>
      <c r="AD507" s="21" t="str">
        <f>'Ingest Template'!C507</f>
        <v/>
      </c>
      <c r="AE507" s="21" t="str">
        <f>'Ingest Template'!Z507</f>
        <v/>
      </c>
      <c r="AF507" s="29"/>
      <c r="AG507" s="21" t="str">
        <f t="array" ref="AG507">IF('Ingest Template'!A507="Standard",(CONCATENATE(IF(ISBLANK('Ingest Template'!O507),"", 'Ingest Template'!O507&amp;"|DAR"),CHAR(10), IF(ISBLANK('Ingest Template'!P507),"", 'Ingest Template'!P507&amp;"|DAR"),CHAR(10), IF(ISBLANK('Ingest Template'!Q507),"", 'Ingest Template'!Q507&amp;"|DAR"))),(CONCATENATE(IF(ISBLANK('Ingest Template'!O507),"", 'Ingest Template'!O507&amp;"|Operations - Core Title"),CHAR(10), IF(ISBLANK('Ingest Template'!P507),"", 'Ingest Template'!P507&amp;"|Operations - Core Title"),CHAR(10), IF(ISBLANK('Ingest Template'!Q507),"", 'Ingest Template'!Q507&amp;"|Operations - Core Title"))))</f>
        <v>#|Operations - Core Title
#|Operations - Core Title
</v>
      </c>
      <c r="AH507" s="21"/>
      <c r="AI507" s="21"/>
      <c r="AJ507" s="53" t="str">
        <f>if('Ingest Template'!A507="Standard",'Ingest Template'!N507&amp; "|DAR|DAR|2021-01-01",'Ingest Template'!N507&amp; "|Operations - Core Title|Operations - Core Title")</f>
        <v>#N/A</v>
      </c>
      <c r="AK507" s="53" t="str">
        <f>if('Ingest Template'!A507="Standard",'Ingest Template'!R507&amp; "|2021-01-01",'Ingest Template'!R507)</f>
        <v>#N/A</v>
      </c>
      <c r="AL507" s="21"/>
      <c r="AM507" s="21"/>
    </row>
    <row r="508">
      <c r="A508" s="21"/>
      <c r="B508" s="21" t="str">
        <f>'Ingest Template'!B508&amp;IF('Ingest Template'!A508 = "Standard", " - DAR","")</f>
        <v/>
      </c>
      <c r="C508" s="26" t="s">
        <v>109</v>
      </c>
      <c r="D508" s="29" t="str">
        <f t="array" ref="D508">CONCATENATE(INDEX(DropDown!$H$2:$H$10,MATCH(1,COUNTIF('Ingest Template'!F508,"*"&amp;DropDown!$H$2:$H$10&amp;"*"),0)),CHAR(10),'Ingest Template'!G508)</f>
        <v>#N/A</v>
      </c>
      <c r="E508" s="21" t="str">
        <f>CONCATENATE('Ingest Template'!H508,CHAR(10),'Ingest Template'!I508,CHAR(10),'Ingest Template'!J508)</f>
        <v>
</v>
      </c>
      <c r="F508" s="26" t="str">
        <f>'Ingest Template'!H508</f>
        <v/>
      </c>
      <c r="G508" s="21"/>
      <c r="H508" s="29"/>
      <c r="I508" s="21"/>
      <c r="J508" s="29" t="str">
        <f t="array" ref="J508">iF('Ingest Template'!A508="Standard","Pristine Brand",INDEX(DropDown!$M$2:$M$392,MATCH('Ingest Template'!E508,DropDown!$J$2:$J$392,0)))</f>
        <v>#N/A</v>
      </c>
      <c r="K508" s="21" t="str">
        <f>iF('Ingest Template'!A508="Standard",'Ingest Template'!K508&amp;CHAR(10)&amp;'Ingest Template'!L508,"Competitive View")</f>
        <v>Competitive View</v>
      </c>
      <c r="L508" s="29" t="s">
        <v>146</v>
      </c>
      <c r="M508" s="37" t="str">
        <f>'Ingest Template'!D508</f>
        <v/>
      </c>
      <c r="N508" s="21"/>
      <c r="O508" s="21"/>
      <c r="P508" s="21"/>
      <c r="Q508" s="21"/>
      <c r="R508" s="21" t="str">
        <f>'Ingest Template'!E508</f>
        <v/>
      </c>
      <c r="S508" s="29" t="s">
        <v>153</v>
      </c>
      <c r="T508" s="21" t="str">
        <f>'Ingest Template'!T508</f>
        <v/>
      </c>
      <c r="U508" s="21" t="str">
        <f>'Ingest Template'!S508</f>
        <v/>
      </c>
      <c r="V508" s="21" t="str">
        <f>LOWER(SUBSTITUTE(SUBSTITUTE(SUBSTITUTE(SUBSTITUTE(SUBSTITUTE('Ingest Template'!U508,"https:",""),"www.",""),"/",""),"?hl=en",""),"instagram.com",""))</f>
        <v/>
      </c>
      <c r="W508" s="41" t="str">
        <f t="array" ref="W508">IF('Ingest Template'!V508="",(INDEX(DropDown!$L$2:$L$392,MATCH('Ingest Template'!E508,DropDown!$J$2:$J$392,0))&amp;"|"&amp;'Ingest Template'!B508),(INDEX(DropDown!$L$2:$L$392,MATCH('Ingest Template'!E508,DropDown!$J$2:$J$392,0))&amp;"|"&amp;'Ingest Template'!B508)&amp;CHAR(10)&amp;'Ingest Template'!V508)</f>
        <v>#N/A</v>
      </c>
      <c r="X508" s="41" t="str">
        <f>'Ingest Template'!W508</f>
        <v/>
      </c>
      <c r="Y508" s="21" t="str">
        <f>SUBSTITUTE(SUBSTITUTE(SUBSTITUTE('Ingest Template'!X508,"http:",""),"https:",""),"/","")</f>
        <v/>
      </c>
      <c r="Z508" s="21" t="str">
        <f t="array" ref="Z508">IF('Ingest Template'!A508="Standard",(IF(ISBLANK('Ingest Template'!AA508),"", 'Ingest Template'!AA508&amp;"|DAR")),(IF(ISBLANK('Ingest Template'!AA508),"", 'Ingest Template'!AA508&amp;"|Film Ops")))</f>
        <v/>
      </c>
      <c r="AA508" s="21"/>
      <c r="AB508" s="21" t="str">
        <f>'Ingest Template'!M508</f>
        <v/>
      </c>
      <c r="AC508" s="21" t="str">
        <f>'Ingest Template'!Y508</f>
        <v/>
      </c>
      <c r="AD508" s="21" t="str">
        <f>'Ingest Template'!C508</f>
        <v/>
      </c>
      <c r="AE508" s="21" t="str">
        <f>'Ingest Template'!Z508</f>
        <v/>
      </c>
      <c r="AF508" s="29"/>
      <c r="AG508" s="21" t="str">
        <f t="array" ref="AG508">IF('Ingest Template'!A508="Standard",(CONCATENATE(IF(ISBLANK('Ingest Template'!O508),"", 'Ingest Template'!O508&amp;"|DAR"),CHAR(10), IF(ISBLANK('Ingest Template'!P508),"", 'Ingest Template'!P508&amp;"|DAR"),CHAR(10), IF(ISBLANK('Ingest Template'!Q508),"", 'Ingest Template'!Q508&amp;"|DAR"))),(CONCATENATE(IF(ISBLANK('Ingest Template'!O508),"", 'Ingest Template'!O508&amp;"|Operations - Core Title"),CHAR(10), IF(ISBLANK('Ingest Template'!P508),"", 'Ingest Template'!P508&amp;"|Operations - Core Title"),CHAR(10), IF(ISBLANK('Ingest Template'!Q508),"", 'Ingest Template'!Q508&amp;"|Operations - Core Title"))))</f>
        <v>#|Operations - Core Title
#|Operations - Core Title
</v>
      </c>
      <c r="AH508" s="21"/>
      <c r="AI508" s="21"/>
      <c r="AJ508" s="53" t="str">
        <f>if('Ingest Template'!A508="Standard",'Ingest Template'!N508&amp; "|DAR|DAR|2021-01-01",'Ingest Template'!N508&amp; "|Operations - Core Title|Operations - Core Title")</f>
        <v>#N/A</v>
      </c>
      <c r="AK508" s="53" t="str">
        <f>if('Ingest Template'!A508="Standard",'Ingest Template'!R508&amp; "|2021-01-01",'Ingest Template'!R508)</f>
        <v>#N/A</v>
      </c>
      <c r="AL508" s="21"/>
      <c r="AM508" s="21"/>
    </row>
    <row r="509">
      <c r="A509" s="21"/>
      <c r="B509" s="21" t="str">
        <f>'Ingest Template'!B509&amp;IF('Ingest Template'!A509 = "Standard", " - DAR","")</f>
        <v/>
      </c>
      <c r="C509" s="26" t="s">
        <v>109</v>
      </c>
      <c r="D509" s="29" t="str">
        <f t="array" ref="D509">CONCATENATE(INDEX(DropDown!$H$2:$H$10,MATCH(1,COUNTIF('Ingest Template'!F509,"*"&amp;DropDown!$H$2:$H$10&amp;"*"),0)),CHAR(10),'Ingest Template'!G509)</f>
        <v>#N/A</v>
      </c>
      <c r="E509" s="21" t="str">
        <f>CONCATENATE('Ingest Template'!H509,CHAR(10),'Ingest Template'!I509,CHAR(10),'Ingest Template'!J509)</f>
        <v>
</v>
      </c>
      <c r="F509" s="26" t="str">
        <f>'Ingest Template'!H509</f>
        <v/>
      </c>
      <c r="G509" s="21"/>
      <c r="H509" s="29"/>
      <c r="I509" s="21"/>
      <c r="J509" s="29" t="str">
        <f t="array" ref="J509">iF('Ingest Template'!A509="Standard","Pristine Brand",INDEX(DropDown!$M$2:$M$392,MATCH('Ingest Template'!E509,DropDown!$J$2:$J$392,0)))</f>
        <v>#N/A</v>
      </c>
      <c r="K509" s="21" t="str">
        <f>iF('Ingest Template'!A509="Standard",'Ingest Template'!K509&amp;CHAR(10)&amp;'Ingest Template'!L509,"Competitive View")</f>
        <v>Competitive View</v>
      </c>
      <c r="L509" s="29" t="s">
        <v>146</v>
      </c>
      <c r="M509" s="37" t="str">
        <f>'Ingest Template'!D509</f>
        <v/>
      </c>
      <c r="N509" s="21"/>
      <c r="O509" s="21"/>
      <c r="P509" s="21"/>
      <c r="Q509" s="21"/>
      <c r="R509" s="21" t="str">
        <f>'Ingest Template'!E509</f>
        <v/>
      </c>
      <c r="S509" s="29" t="s">
        <v>153</v>
      </c>
      <c r="T509" s="21" t="str">
        <f>'Ingest Template'!T509</f>
        <v/>
      </c>
      <c r="U509" s="21" t="str">
        <f>'Ingest Template'!S509</f>
        <v/>
      </c>
      <c r="V509" s="21" t="str">
        <f>LOWER(SUBSTITUTE(SUBSTITUTE(SUBSTITUTE(SUBSTITUTE(SUBSTITUTE('Ingest Template'!U509,"https:",""),"www.",""),"/",""),"?hl=en",""),"instagram.com",""))</f>
        <v/>
      </c>
      <c r="W509" s="41" t="str">
        <f t="array" ref="W509">IF('Ingest Template'!V509="",(INDEX(DropDown!$L$2:$L$392,MATCH('Ingest Template'!E509,DropDown!$J$2:$J$392,0))&amp;"|"&amp;'Ingest Template'!B509),(INDEX(DropDown!$L$2:$L$392,MATCH('Ingest Template'!E509,DropDown!$J$2:$J$392,0))&amp;"|"&amp;'Ingest Template'!B509)&amp;CHAR(10)&amp;'Ingest Template'!V509)</f>
        <v>#N/A</v>
      </c>
      <c r="X509" s="41" t="str">
        <f>'Ingest Template'!W509</f>
        <v/>
      </c>
      <c r="Y509" s="21" t="str">
        <f>SUBSTITUTE(SUBSTITUTE(SUBSTITUTE('Ingest Template'!X509,"http:",""),"https:",""),"/","")</f>
        <v/>
      </c>
      <c r="Z509" s="21" t="str">
        <f t="array" ref="Z509">IF('Ingest Template'!A509="Standard",(IF(ISBLANK('Ingest Template'!AA509),"", 'Ingest Template'!AA509&amp;"|DAR")),(IF(ISBLANK('Ingest Template'!AA509),"", 'Ingest Template'!AA509&amp;"|Film Ops")))</f>
        <v/>
      </c>
      <c r="AA509" s="21"/>
      <c r="AB509" s="21" t="str">
        <f>'Ingest Template'!M509</f>
        <v/>
      </c>
      <c r="AC509" s="21" t="str">
        <f>'Ingest Template'!Y509</f>
        <v/>
      </c>
      <c r="AD509" s="21" t="str">
        <f>'Ingest Template'!C509</f>
        <v/>
      </c>
      <c r="AE509" s="21" t="str">
        <f>'Ingest Template'!Z509</f>
        <v/>
      </c>
      <c r="AF509" s="29"/>
      <c r="AG509" s="21" t="str">
        <f t="array" ref="AG509">IF('Ingest Template'!A509="Standard",(CONCATENATE(IF(ISBLANK('Ingest Template'!O509),"", 'Ingest Template'!O509&amp;"|DAR"),CHAR(10), IF(ISBLANK('Ingest Template'!P509),"", 'Ingest Template'!P509&amp;"|DAR"),CHAR(10), IF(ISBLANK('Ingest Template'!Q509),"", 'Ingest Template'!Q509&amp;"|DAR"))),(CONCATENATE(IF(ISBLANK('Ingest Template'!O509),"", 'Ingest Template'!O509&amp;"|Operations - Core Title"),CHAR(10), IF(ISBLANK('Ingest Template'!P509),"", 'Ingest Template'!P509&amp;"|Operations - Core Title"),CHAR(10), IF(ISBLANK('Ingest Template'!Q509),"", 'Ingest Template'!Q509&amp;"|Operations - Core Title"))))</f>
        <v>#|Operations - Core Title
#|Operations - Core Title
</v>
      </c>
      <c r="AH509" s="21"/>
      <c r="AI509" s="21"/>
      <c r="AJ509" s="53" t="str">
        <f>if('Ingest Template'!A509="Standard",'Ingest Template'!N509&amp; "|DAR|DAR|2021-01-01",'Ingest Template'!N509&amp; "|Operations - Core Title|Operations - Core Title")</f>
        <v>#N/A</v>
      </c>
      <c r="AK509" s="53" t="str">
        <f>if('Ingest Template'!A509="Standard",'Ingest Template'!R509&amp; "|2021-01-01",'Ingest Template'!R509)</f>
        <v>#N/A</v>
      </c>
      <c r="AL509" s="21"/>
      <c r="AM509" s="21"/>
    </row>
    <row r="510">
      <c r="A510" s="21"/>
      <c r="B510" s="21" t="str">
        <f>'Ingest Template'!B510&amp;IF('Ingest Template'!A510 = "Standard", " - DAR","")</f>
        <v/>
      </c>
      <c r="C510" s="26" t="s">
        <v>109</v>
      </c>
      <c r="D510" s="29" t="str">
        <f t="array" ref="D510">CONCATENATE(INDEX(DropDown!$H$2:$H$10,MATCH(1,COUNTIF('Ingest Template'!F510,"*"&amp;DropDown!$H$2:$H$10&amp;"*"),0)),CHAR(10),'Ingest Template'!G510)</f>
        <v>#N/A</v>
      </c>
      <c r="E510" s="21" t="str">
        <f>CONCATENATE('Ingest Template'!H510,CHAR(10),'Ingest Template'!I510,CHAR(10),'Ingest Template'!J510)</f>
        <v>
</v>
      </c>
      <c r="F510" s="26" t="str">
        <f>'Ingest Template'!H510</f>
        <v/>
      </c>
      <c r="G510" s="21"/>
      <c r="H510" s="29"/>
      <c r="I510" s="21"/>
      <c r="J510" s="29" t="str">
        <f t="array" ref="J510">iF('Ingest Template'!A510="Standard","Pristine Brand",INDEX(DropDown!$M$2:$M$392,MATCH('Ingest Template'!E510,DropDown!$J$2:$J$392,0)))</f>
        <v>#N/A</v>
      </c>
      <c r="K510" s="21" t="str">
        <f>iF('Ingest Template'!A510="Standard",'Ingest Template'!K510&amp;CHAR(10)&amp;'Ingest Template'!L510,"Competitive View")</f>
        <v>Competitive View</v>
      </c>
      <c r="L510" s="29" t="s">
        <v>146</v>
      </c>
      <c r="M510" s="37" t="str">
        <f>'Ingest Template'!D510</f>
        <v/>
      </c>
      <c r="N510" s="21"/>
      <c r="O510" s="21"/>
      <c r="P510" s="21"/>
      <c r="Q510" s="21"/>
      <c r="R510" s="21" t="str">
        <f>'Ingest Template'!E510</f>
        <v/>
      </c>
      <c r="S510" s="29" t="s">
        <v>153</v>
      </c>
      <c r="T510" s="21" t="str">
        <f>'Ingest Template'!T510</f>
        <v/>
      </c>
      <c r="U510" s="21" t="str">
        <f>'Ingest Template'!S510</f>
        <v/>
      </c>
      <c r="V510" s="21" t="str">
        <f>LOWER(SUBSTITUTE(SUBSTITUTE(SUBSTITUTE(SUBSTITUTE(SUBSTITUTE('Ingest Template'!U510,"https:",""),"www.",""),"/",""),"?hl=en",""),"instagram.com",""))</f>
        <v/>
      </c>
      <c r="W510" s="41" t="str">
        <f t="array" ref="W510">IF('Ingest Template'!V510="",(INDEX(DropDown!$L$2:$L$392,MATCH('Ingest Template'!E510,DropDown!$J$2:$J$392,0))&amp;"|"&amp;'Ingest Template'!B510),(INDEX(DropDown!$L$2:$L$392,MATCH('Ingest Template'!E510,DropDown!$J$2:$J$392,0))&amp;"|"&amp;'Ingest Template'!B510)&amp;CHAR(10)&amp;'Ingest Template'!V510)</f>
        <v>#N/A</v>
      </c>
      <c r="X510" s="41" t="str">
        <f>'Ingest Template'!W510</f>
        <v/>
      </c>
      <c r="Y510" s="21" t="str">
        <f>SUBSTITUTE(SUBSTITUTE(SUBSTITUTE('Ingest Template'!X510,"http:",""),"https:",""),"/","")</f>
        <v/>
      </c>
      <c r="Z510" s="21" t="str">
        <f t="array" ref="Z510">IF('Ingest Template'!A510="Standard",(IF(ISBLANK('Ingest Template'!AA510),"", 'Ingest Template'!AA510&amp;"|DAR")),(IF(ISBLANK('Ingest Template'!AA510),"", 'Ingest Template'!AA510&amp;"|Film Ops")))</f>
        <v/>
      </c>
      <c r="AA510" s="21"/>
      <c r="AB510" s="21" t="str">
        <f>'Ingest Template'!M510</f>
        <v/>
      </c>
      <c r="AC510" s="21" t="str">
        <f>'Ingest Template'!Y510</f>
        <v/>
      </c>
      <c r="AD510" s="21" t="str">
        <f>'Ingest Template'!C510</f>
        <v/>
      </c>
      <c r="AE510" s="21" t="str">
        <f>'Ingest Template'!Z510</f>
        <v/>
      </c>
      <c r="AF510" s="29"/>
      <c r="AG510" s="21" t="str">
        <f t="array" ref="AG510">IF('Ingest Template'!A510="Standard",(CONCATENATE(IF(ISBLANK('Ingest Template'!O510),"", 'Ingest Template'!O510&amp;"|DAR"),CHAR(10), IF(ISBLANK('Ingest Template'!P510),"", 'Ingest Template'!P510&amp;"|DAR"),CHAR(10), IF(ISBLANK('Ingest Template'!Q510),"", 'Ingest Template'!Q510&amp;"|DAR"))),(CONCATENATE(IF(ISBLANK('Ingest Template'!O510),"", 'Ingest Template'!O510&amp;"|Operations - Core Title"),CHAR(10), IF(ISBLANK('Ingest Template'!P510),"", 'Ingest Template'!P510&amp;"|Operations - Core Title"),CHAR(10), IF(ISBLANK('Ingest Template'!Q510),"", 'Ingest Template'!Q510&amp;"|Operations - Core Title"))))</f>
        <v>#|Operations - Core Title
#|Operations - Core Title
</v>
      </c>
      <c r="AH510" s="21"/>
      <c r="AI510" s="21"/>
      <c r="AJ510" s="53" t="str">
        <f>if('Ingest Template'!A510="Standard",'Ingest Template'!N510&amp; "|DAR|DAR|2021-01-01",'Ingest Template'!N510&amp; "|Operations - Core Title|Operations - Core Title")</f>
        <v>#N/A</v>
      </c>
      <c r="AK510" s="53" t="str">
        <f>if('Ingest Template'!A510="Standard",'Ingest Template'!R510&amp; "|2021-01-01",'Ingest Template'!R510)</f>
        <v>#N/A</v>
      </c>
      <c r="AL510" s="21"/>
      <c r="AM510" s="21"/>
    </row>
    <row r="511">
      <c r="A511" s="21"/>
      <c r="B511" s="21" t="str">
        <f>'Ingest Template'!B511&amp;IF('Ingest Template'!A511 = "Standard", " - DAR","")</f>
        <v/>
      </c>
      <c r="C511" s="26" t="s">
        <v>109</v>
      </c>
      <c r="D511" s="29" t="str">
        <f t="array" ref="D511">CONCATENATE(INDEX(DropDown!$H$2:$H$10,MATCH(1,COUNTIF('Ingest Template'!F511,"*"&amp;DropDown!$H$2:$H$10&amp;"*"),0)),CHAR(10),'Ingest Template'!G511)</f>
        <v>#N/A</v>
      </c>
      <c r="E511" s="21" t="str">
        <f>CONCATENATE('Ingest Template'!H511,CHAR(10),'Ingest Template'!I511,CHAR(10),'Ingest Template'!J511)</f>
        <v>
</v>
      </c>
      <c r="F511" s="26" t="str">
        <f>'Ingest Template'!H511</f>
        <v/>
      </c>
      <c r="G511" s="21"/>
      <c r="H511" s="29"/>
      <c r="I511" s="21"/>
      <c r="J511" s="29" t="str">
        <f t="array" ref="J511">iF('Ingest Template'!A511="Standard","Pristine Brand",INDEX(DropDown!$M$2:$M$392,MATCH('Ingest Template'!E511,DropDown!$J$2:$J$392,0)))</f>
        <v>#N/A</v>
      </c>
      <c r="K511" s="21" t="str">
        <f>iF('Ingest Template'!A511="Standard",'Ingest Template'!K511&amp;CHAR(10)&amp;'Ingest Template'!L511,"Competitive View")</f>
        <v>Competitive View</v>
      </c>
      <c r="L511" s="29" t="s">
        <v>146</v>
      </c>
      <c r="M511" s="37" t="str">
        <f>'Ingest Template'!D511</f>
        <v/>
      </c>
      <c r="N511" s="21"/>
      <c r="O511" s="21"/>
      <c r="P511" s="21"/>
      <c r="Q511" s="21"/>
      <c r="R511" s="21" t="str">
        <f>'Ingest Template'!E511</f>
        <v/>
      </c>
      <c r="S511" s="29" t="s">
        <v>153</v>
      </c>
      <c r="T511" s="21" t="str">
        <f>'Ingest Template'!T511</f>
        <v/>
      </c>
      <c r="U511" s="21" t="str">
        <f>'Ingest Template'!S511</f>
        <v/>
      </c>
      <c r="V511" s="21" t="str">
        <f>LOWER(SUBSTITUTE(SUBSTITUTE(SUBSTITUTE(SUBSTITUTE(SUBSTITUTE('Ingest Template'!U511,"https:",""),"www.",""),"/",""),"?hl=en",""),"instagram.com",""))</f>
        <v/>
      </c>
      <c r="W511" s="41" t="str">
        <f t="array" ref="W511">IF('Ingest Template'!V511="",(INDEX(DropDown!$L$2:$L$392,MATCH('Ingest Template'!E511,DropDown!$J$2:$J$392,0))&amp;"|"&amp;'Ingest Template'!B511),(INDEX(DropDown!$L$2:$L$392,MATCH('Ingest Template'!E511,DropDown!$J$2:$J$392,0))&amp;"|"&amp;'Ingest Template'!B511)&amp;CHAR(10)&amp;'Ingest Template'!V511)</f>
        <v>#N/A</v>
      </c>
      <c r="X511" s="41" t="str">
        <f>'Ingest Template'!W511</f>
        <v/>
      </c>
      <c r="Y511" s="21" t="str">
        <f>SUBSTITUTE(SUBSTITUTE(SUBSTITUTE('Ingest Template'!X511,"http:",""),"https:",""),"/","")</f>
        <v/>
      </c>
      <c r="Z511" s="21" t="str">
        <f t="array" ref="Z511">IF('Ingest Template'!A511="Standard",(IF(ISBLANK('Ingest Template'!AA511),"", 'Ingest Template'!AA511&amp;"|DAR")),(IF(ISBLANK('Ingest Template'!AA511),"", 'Ingest Template'!AA511&amp;"|Film Ops")))</f>
        <v/>
      </c>
      <c r="AA511" s="21"/>
      <c r="AB511" s="21" t="str">
        <f>'Ingest Template'!M511</f>
        <v/>
      </c>
      <c r="AC511" s="21" t="str">
        <f>'Ingest Template'!Y511</f>
        <v/>
      </c>
      <c r="AD511" s="21" t="str">
        <f>'Ingest Template'!C511</f>
        <v/>
      </c>
      <c r="AE511" s="21" t="str">
        <f>'Ingest Template'!Z511</f>
        <v/>
      </c>
      <c r="AF511" s="29"/>
      <c r="AG511" s="21" t="str">
        <f t="array" ref="AG511">IF('Ingest Template'!A511="Standard",(CONCATENATE(IF(ISBLANK('Ingest Template'!O511),"", 'Ingest Template'!O511&amp;"|DAR"),CHAR(10), IF(ISBLANK('Ingest Template'!P511),"", 'Ingest Template'!P511&amp;"|DAR"),CHAR(10), IF(ISBLANK('Ingest Template'!Q511),"", 'Ingest Template'!Q511&amp;"|DAR"))),(CONCATENATE(IF(ISBLANK('Ingest Template'!O511),"", 'Ingest Template'!O511&amp;"|Operations - Core Title"),CHAR(10), IF(ISBLANK('Ingest Template'!P511),"", 'Ingest Template'!P511&amp;"|Operations - Core Title"),CHAR(10), IF(ISBLANK('Ingest Template'!Q511),"", 'Ingest Template'!Q511&amp;"|Operations - Core Title"))))</f>
        <v>#|Operations - Core Title
#|Operations - Core Title
</v>
      </c>
      <c r="AH511" s="21"/>
      <c r="AI511" s="21"/>
      <c r="AJ511" s="53" t="str">
        <f>if('Ingest Template'!A511="Standard",'Ingest Template'!N511&amp; "|DAR|DAR|2021-01-01",'Ingest Template'!N511&amp; "|Operations - Core Title|Operations - Core Title")</f>
        <v>#N/A</v>
      </c>
      <c r="AK511" s="53" t="str">
        <f>if('Ingest Template'!A511="Standard",'Ingest Template'!R511&amp; "|2021-01-01",'Ingest Template'!R511)</f>
        <v>#N/A</v>
      </c>
      <c r="AL511" s="21"/>
      <c r="AM511" s="21"/>
    </row>
    <row r="512">
      <c r="A512" s="21"/>
      <c r="B512" s="21" t="str">
        <f>'Ingest Template'!B512&amp;IF('Ingest Template'!A512 = "Standard", " - DAR","")</f>
        <v/>
      </c>
      <c r="C512" s="26" t="s">
        <v>109</v>
      </c>
      <c r="D512" s="29" t="str">
        <f t="array" ref="D512">CONCATENATE(INDEX(DropDown!$H$2:$H$10,MATCH(1,COUNTIF('Ingest Template'!F512,"*"&amp;DropDown!$H$2:$H$10&amp;"*"),0)),CHAR(10),'Ingest Template'!G512)</f>
        <v>#N/A</v>
      </c>
      <c r="E512" s="21" t="str">
        <f>CONCATENATE('Ingest Template'!H512,CHAR(10),'Ingest Template'!I512,CHAR(10),'Ingest Template'!J512)</f>
        <v>
</v>
      </c>
      <c r="F512" s="26" t="str">
        <f>'Ingest Template'!H512</f>
        <v/>
      </c>
      <c r="G512" s="21"/>
      <c r="H512" s="29"/>
      <c r="I512" s="21"/>
      <c r="J512" s="29" t="str">
        <f t="array" ref="J512">iF('Ingest Template'!A512="Standard","Pristine Brand",INDEX(DropDown!$M$2:$M$392,MATCH('Ingest Template'!E512,DropDown!$J$2:$J$392,0)))</f>
        <v>#N/A</v>
      </c>
      <c r="K512" s="21" t="str">
        <f>iF('Ingest Template'!A512="Standard",'Ingest Template'!K512&amp;CHAR(10)&amp;'Ingest Template'!L512,"Competitive View")</f>
        <v>Competitive View</v>
      </c>
      <c r="L512" s="29" t="s">
        <v>146</v>
      </c>
      <c r="M512" s="37" t="str">
        <f>'Ingest Template'!D512</f>
        <v/>
      </c>
      <c r="N512" s="21"/>
      <c r="O512" s="21"/>
      <c r="P512" s="21"/>
      <c r="Q512" s="21"/>
      <c r="R512" s="21" t="str">
        <f>'Ingest Template'!E512</f>
        <v/>
      </c>
      <c r="S512" s="29" t="s">
        <v>153</v>
      </c>
      <c r="T512" s="21" t="str">
        <f>'Ingest Template'!T512</f>
        <v/>
      </c>
      <c r="U512" s="21" t="str">
        <f>'Ingest Template'!S512</f>
        <v/>
      </c>
      <c r="V512" s="21" t="str">
        <f>LOWER(SUBSTITUTE(SUBSTITUTE(SUBSTITUTE(SUBSTITUTE(SUBSTITUTE('Ingest Template'!U512,"https:",""),"www.",""),"/",""),"?hl=en",""),"instagram.com",""))</f>
        <v/>
      </c>
      <c r="W512" s="41" t="str">
        <f t="array" ref="W512">IF('Ingest Template'!V512="",(INDEX(DropDown!$L$2:$L$392,MATCH('Ingest Template'!E512,DropDown!$J$2:$J$392,0))&amp;"|"&amp;'Ingest Template'!B512),(INDEX(DropDown!$L$2:$L$392,MATCH('Ingest Template'!E512,DropDown!$J$2:$J$392,0))&amp;"|"&amp;'Ingest Template'!B512)&amp;CHAR(10)&amp;'Ingest Template'!V512)</f>
        <v>#N/A</v>
      </c>
      <c r="X512" s="41" t="str">
        <f>'Ingest Template'!W512</f>
        <v/>
      </c>
      <c r="Y512" s="21" t="str">
        <f>SUBSTITUTE(SUBSTITUTE(SUBSTITUTE('Ingest Template'!X512,"http:",""),"https:",""),"/","")</f>
        <v/>
      </c>
      <c r="Z512" s="21" t="str">
        <f t="array" ref="Z512">IF('Ingest Template'!A512="Standard",(IF(ISBLANK('Ingest Template'!AA512),"", 'Ingest Template'!AA512&amp;"|DAR")),(IF(ISBLANK('Ingest Template'!AA512),"", 'Ingest Template'!AA512&amp;"|Film Ops")))</f>
        <v/>
      </c>
      <c r="AA512" s="21"/>
      <c r="AB512" s="21" t="str">
        <f>'Ingest Template'!M512</f>
        <v/>
      </c>
      <c r="AC512" s="21" t="str">
        <f>'Ingest Template'!Y512</f>
        <v/>
      </c>
      <c r="AD512" s="21" t="str">
        <f>'Ingest Template'!C512</f>
        <v/>
      </c>
      <c r="AE512" s="21" t="str">
        <f>'Ingest Template'!Z512</f>
        <v/>
      </c>
      <c r="AF512" s="29"/>
      <c r="AG512" s="21" t="str">
        <f t="array" ref="AG512">IF('Ingest Template'!A512="Standard",(CONCATENATE(IF(ISBLANK('Ingest Template'!O512),"", 'Ingest Template'!O512&amp;"|DAR"),CHAR(10), IF(ISBLANK('Ingest Template'!P512),"", 'Ingest Template'!P512&amp;"|DAR"),CHAR(10), IF(ISBLANK('Ingest Template'!Q512),"", 'Ingest Template'!Q512&amp;"|DAR"))),(CONCATENATE(IF(ISBLANK('Ingest Template'!O512),"", 'Ingest Template'!O512&amp;"|Operations - Core Title"),CHAR(10), IF(ISBLANK('Ingest Template'!P512),"", 'Ingest Template'!P512&amp;"|Operations - Core Title"),CHAR(10), IF(ISBLANK('Ingest Template'!Q512),"", 'Ingest Template'!Q512&amp;"|Operations - Core Title"))))</f>
        <v>#|Operations - Core Title
#|Operations - Core Title
</v>
      </c>
      <c r="AH512" s="21"/>
      <c r="AI512" s="21"/>
      <c r="AJ512" s="53" t="str">
        <f>if('Ingest Template'!A512="Standard",'Ingest Template'!N512&amp; "|DAR|DAR|2021-01-01",'Ingest Template'!N512&amp; "|Operations - Core Title|Operations - Core Title")</f>
        <v>#N/A</v>
      </c>
      <c r="AK512" s="53" t="str">
        <f>if('Ingest Template'!A512="Standard",'Ingest Template'!R512&amp; "|2021-01-01",'Ingest Template'!R512)</f>
        <v>#N/A</v>
      </c>
      <c r="AL512" s="21"/>
      <c r="AM512" s="21"/>
    </row>
    <row r="513">
      <c r="A513" s="21"/>
      <c r="B513" s="21" t="str">
        <f>'Ingest Template'!B513&amp;IF('Ingest Template'!A513 = "Standard", " - DAR","")</f>
        <v/>
      </c>
      <c r="C513" s="26" t="s">
        <v>109</v>
      </c>
      <c r="D513" s="29" t="str">
        <f t="array" ref="D513">CONCATENATE(INDEX(DropDown!$H$2:$H$10,MATCH(1,COUNTIF('Ingest Template'!F513,"*"&amp;DropDown!$H$2:$H$10&amp;"*"),0)),CHAR(10),'Ingest Template'!G513)</f>
        <v>#N/A</v>
      </c>
      <c r="E513" s="21" t="str">
        <f>CONCATENATE('Ingest Template'!H513,CHAR(10),'Ingest Template'!I513,CHAR(10),'Ingest Template'!J513)</f>
        <v>
</v>
      </c>
      <c r="F513" s="26" t="str">
        <f>'Ingest Template'!H513</f>
        <v/>
      </c>
      <c r="G513" s="21"/>
      <c r="H513" s="29"/>
      <c r="I513" s="21"/>
      <c r="J513" s="29" t="str">
        <f t="array" ref="J513">iF('Ingest Template'!A513="Standard","Pristine Brand",INDEX(DropDown!$M$2:$M$392,MATCH('Ingest Template'!E513,DropDown!$J$2:$J$392,0)))</f>
        <v>#N/A</v>
      </c>
      <c r="K513" s="21" t="str">
        <f>iF('Ingest Template'!A513="Standard",'Ingest Template'!K513&amp;CHAR(10)&amp;'Ingest Template'!L513,"Competitive View")</f>
        <v>Competitive View</v>
      </c>
      <c r="L513" s="29" t="s">
        <v>146</v>
      </c>
      <c r="M513" s="37" t="str">
        <f>'Ingest Template'!D513</f>
        <v/>
      </c>
      <c r="N513" s="21"/>
      <c r="O513" s="21"/>
      <c r="P513" s="21"/>
      <c r="Q513" s="21"/>
      <c r="R513" s="21" t="str">
        <f>'Ingest Template'!E513</f>
        <v/>
      </c>
      <c r="S513" s="29" t="s">
        <v>153</v>
      </c>
      <c r="T513" s="21" t="str">
        <f>'Ingest Template'!T513</f>
        <v/>
      </c>
      <c r="U513" s="21" t="str">
        <f>'Ingest Template'!S513</f>
        <v/>
      </c>
      <c r="V513" s="21" t="str">
        <f>LOWER(SUBSTITUTE(SUBSTITUTE(SUBSTITUTE(SUBSTITUTE(SUBSTITUTE('Ingest Template'!U513,"https:",""),"www.",""),"/",""),"?hl=en",""),"instagram.com",""))</f>
        <v/>
      </c>
      <c r="W513" s="41" t="str">
        <f t="array" ref="W513">IF('Ingest Template'!V513="",(INDEX(DropDown!$L$2:$L$392,MATCH('Ingest Template'!E513,DropDown!$J$2:$J$392,0))&amp;"|"&amp;'Ingest Template'!B513),(INDEX(DropDown!$L$2:$L$392,MATCH('Ingest Template'!E513,DropDown!$J$2:$J$392,0))&amp;"|"&amp;'Ingest Template'!B513)&amp;CHAR(10)&amp;'Ingest Template'!V513)</f>
        <v>#N/A</v>
      </c>
      <c r="X513" s="41" t="str">
        <f>'Ingest Template'!W513</f>
        <v/>
      </c>
      <c r="Y513" s="21" t="str">
        <f>SUBSTITUTE(SUBSTITUTE(SUBSTITUTE('Ingest Template'!X513,"http:",""),"https:",""),"/","")</f>
        <v/>
      </c>
      <c r="Z513" s="21" t="str">
        <f t="array" ref="Z513">IF('Ingest Template'!A513="Standard",(IF(ISBLANK('Ingest Template'!AA513),"", 'Ingest Template'!AA513&amp;"|DAR")),(IF(ISBLANK('Ingest Template'!AA513),"", 'Ingest Template'!AA513&amp;"|Film Ops")))</f>
        <v/>
      </c>
      <c r="AA513" s="21"/>
      <c r="AB513" s="21" t="str">
        <f>'Ingest Template'!M513</f>
        <v/>
      </c>
      <c r="AC513" s="21" t="str">
        <f>'Ingest Template'!Y513</f>
        <v/>
      </c>
      <c r="AD513" s="21" t="str">
        <f>'Ingest Template'!C513</f>
        <v/>
      </c>
      <c r="AE513" s="21" t="str">
        <f>'Ingest Template'!Z513</f>
        <v/>
      </c>
      <c r="AF513" s="29"/>
      <c r="AG513" s="21" t="str">
        <f t="array" ref="AG513">IF('Ingest Template'!A513="Standard",(CONCATENATE(IF(ISBLANK('Ingest Template'!O513),"", 'Ingest Template'!O513&amp;"|DAR"),CHAR(10), IF(ISBLANK('Ingest Template'!P513),"", 'Ingest Template'!P513&amp;"|DAR"),CHAR(10), IF(ISBLANK('Ingest Template'!Q513),"", 'Ingest Template'!Q513&amp;"|DAR"))),(CONCATENATE(IF(ISBLANK('Ingest Template'!O513),"", 'Ingest Template'!O513&amp;"|Operations - Core Title"),CHAR(10), IF(ISBLANK('Ingest Template'!P513),"", 'Ingest Template'!P513&amp;"|Operations - Core Title"),CHAR(10), IF(ISBLANK('Ingest Template'!Q513),"", 'Ingest Template'!Q513&amp;"|Operations - Core Title"))))</f>
        <v>#|Operations - Core Title
#|Operations - Core Title
</v>
      </c>
      <c r="AH513" s="21"/>
      <c r="AI513" s="21"/>
      <c r="AJ513" s="53" t="str">
        <f>if('Ingest Template'!A513="Standard",'Ingest Template'!N513&amp; "|DAR|DAR|2021-01-01",'Ingest Template'!N513&amp; "|Operations - Core Title|Operations - Core Title")</f>
        <v>#N/A</v>
      </c>
      <c r="AK513" s="53" t="str">
        <f>if('Ingest Template'!A513="Standard",'Ingest Template'!R513&amp; "|2021-01-01",'Ingest Template'!R513)</f>
        <v>#N/A</v>
      </c>
      <c r="AL513" s="21"/>
      <c r="AM513" s="21"/>
    </row>
    <row r="514">
      <c r="A514" s="21"/>
      <c r="B514" s="21" t="str">
        <f>'Ingest Template'!B514&amp;IF('Ingest Template'!A514 = "Standard", " - DAR","")</f>
        <v/>
      </c>
      <c r="C514" s="26" t="s">
        <v>109</v>
      </c>
      <c r="D514" s="29" t="str">
        <f t="array" ref="D514">CONCATENATE(INDEX(DropDown!$H$2:$H$10,MATCH(1,COUNTIF('Ingest Template'!F514,"*"&amp;DropDown!$H$2:$H$10&amp;"*"),0)),CHAR(10),'Ingest Template'!G514)</f>
        <v>#N/A</v>
      </c>
      <c r="E514" s="21" t="str">
        <f>CONCATENATE('Ingest Template'!H514,CHAR(10),'Ingest Template'!I514,CHAR(10),'Ingest Template'!J514)</f>
        <v>
</v>
      </c>
      <c r="F514" s="26" t="str">
        <f>'Ingest Template'!H514</f>
        <v/>
      </c>
      <c r="G514" s="21"/>
      <c r="H514" s="29"/>
      <c r="I514" s="21"/>
      <c r="J514" s="29" t="str">
        <f t="array" ref="J514">iF('Ingest Template'!A514="Standard","Pristine Brand",INDEX(DropDown!$M$2:$M$392,MATCH('Ingest Template'!E514,DropDown!$J$2:$J$392,0)))</f>
        <v>#N/A</v>
      </c>
      <c r="K514" s="21" t="str">
        <f>iF('Ingest Template'!A514="Standard",'Ingest Template'!K514&amp;CHAR(10)&amp;'Ingest Template'!L514,"Competitive View")</f>
        <v>Competitive View</v>
      </c>
      <c r="L514" s="29" t="s">
        <v>146</v>
      </c>
      <c r="M514" s="37" t="str">
        <f>'Ingest Template'!D514</f>
        <v/>
      </c>
      <c r="N514" s="21"/>
      <c r="O514" s="21"/>
      <c r="P514" s="21"/>
      <c r="Q514" s="21"/>
      <c r="R514" s="21" t="str">
        <f>'Ingest Template'!E514</f>
        <v/>
      </c>
      <c r="S514" s="29" t="s">
        <v>153</v>
      </c>
      <c r="T514" s="21" t="str">
        <f>'Ingest Template'!T514</f>
        <v/>
      </c>
      <c r="U514" s="21" t="str">
        <f>'Ingest Template'!S514</f>
        <v/>
      </c>
      <c r="V514" s="21" t="str">
        <f>LOWER(SUBSTITUTE(SUBSTITUTE(SUBSTITUTE(SUBSTITUTE(SUBSTITUTE('Ingest Template'!U514,"https:",""),"www.",""),"/",""),"?hl=en",""),"instagram.com",""))</f>
        <v/>
      </c>
      <c r="W514" s="41" t="str">
        <f t="array" ref="W514">IF('Ingest Template'!V514="",(INDEX(DropDown!$L$2:$L$392,MATCH('Ingest Template'!E514,DropDown!$J$2:$J$392,0))&amp;"|"&amp;'Ingest Template'!B514),(INDEX(DropDown!$L$2:$L$392,MATCH('Ingest Template'!E514,DropDown!$J$2:$J$392,0))&amp;"|"&amp;'Ingest Template'!B514)&amp;CHAR(10)&amp;'Ingest Template'!V514)</f>
        <v>#N/A</v>
      </c>
      <c r="X514" s="41" t="str">
        <f>'Ingest Template'!W514</f>
        <v/>
      </c>
      <c r="Y514" s="21" t="str">
        <f>SUBSTITUTE(SUBSTITUTE(SUBSTITUTE('Ingest Template'!X514,"http:",""),"https:",""),"/","")</f>
        <v/>
      </c>
      <c r="Z514" s="21" t="str">
        <f t="array" ref="Z514">IF('Ingest Template'!A514="Standard",(IF(ISBLANK('Ingest Template'!AA514),"", 'Ingest Template'!AA514&amp;"|DAR")),(IF(ISBLANK('Ingest Template'!AA514),"", 'Ingest Template'!AA514&amp;"|Film Ops")))</f>
        <v/>
      </c>
      <c r="AA514" s="21"/>
      <c r="AB514" s="21" t="str">
        <f>'Ingest Template'!M514</f>
        <v/>
      </c>
      <c r="AC514" s="21" t="str">
        <f>'Ingest Template'!Y514</f>
        <v/>
      </c>
      <c r="AD514" s="21" t="str">
        <f>'Ingest Template'!C514</f>
        <v/>
      </c>
      <c r="AE514" s="21" t="str">
        <f>'Ingest Template'!Z514</f>
        <v/>
      </c>
      <c r="AF514" s="29"/>
      <c r="AG514" s="21" t="str">
        <f t="array" ref="AG514">IF('Ingest Template'!A514="Standard",(CONCATENATE(IF(ISBLANK('Ingest Template'!O514),"", 'Ingest Template'!O514&amp;"|DAR"),CHAR(10), IF(ISBLANK('Ingest Template'!P514),"", 'Ingest Template'!P514&amp;"|DAR"),CHAR(10), IF(ISBLANK('Ingest Template'!Q514),"", 'Ingest Template'!Q514&amp;"|DAR"))),(CONCATENATE(IF(ISBLANK('Ingest Template'!O514),"", 'Ingest Template'!O514&amp;"|Operations - Core Title"),CHAR(10), IF(ISBLANK('Ingest Template'!P514),"", 'Ingest Template'!P514&amp;"|Operations - Core Title"),CHAR(10), IF(ISBLANK('Ingest Template'!Q514),"", 'Ingest Template'!Q514&amp;"|Operations - Core Title"))))</f>
        <v>#|Operations - Core Title
#|Operations - Core Title
</v>
      </c>
      <c r="AH514" s="21"/>
      <c r="AI514" s="21"/>
      <c r="AJ514" s="53" t="str">
        <f>if('Ingest Template'!A514="Standard",'Ingest Template'!N514&amp; "|DAR|DAR|2021-01-01",'Ingest Template'!N514&amp; "|Operations - Core Title|Operations - Core Title")</f>
        <v>#N/A</v>
      </c>
      <c r="AK514" s="53" t="str">
        <f>if('Ingest Template'!A514="Standard",'Ingest Template'!R514&amp; "|2021-01-01",'Ingest Template'!R514)</f>
        <v>#N/A</v>
      </c>
      <c r="AL514" s="21"/>
      <c r="AM514" s="21"/>
    </row>
    <row r="515">
      <c r="A515" s="21"/>
      <c r="B515" s="21" t="str">
        <f>'Ingest Template'!B515&amp;IF('Ingest Template'!A515 = "Standard", " - DAR","")</f>
        <v/>
      </c>
      <c r="C515" s="26" t="s">
        <v>109</v>
      </c>
      <c r="D515" s="29" t="str">
        <f t="array" ref="D515">CONCATENATE(INDEX(DropDown!$H$2:$H$10,MATCH(1,COUNTIF('Ingest Template'!F515,"*"&amp;DropDown!$H$2:$H$10&amp;"*"),0)),CHAR(10),'Ingest Template'!G515)</f>
        <v>#N/A</v>
      </c>
      <c r="E515" s="21" t="str">
        <f>CONCATENATE('Ingest Template'!H515,CHAR(10),'Ingest Template'!I515,CHAR(10),'Ingest Template'!J515)</f>
        <v>
</v>
      </c>
      <c r="F515" s="26" t="str">
        <f>'Ingest Template'!H515</f>
        <v/>
      </c>
      <c r="G515" s="21"/>
      <c r="H515" s="29"/>
      <c r="I515" s="21"/>
      <c r="J515" s="29" t="str">
        <f t="array" ref="J515">iF('Ingest Template'!A515="Standard","Pristine Brand",INDEX(DropDown!$M$2:$M$392,MATCH('Ingest Template'!E515,DropDown!$J$2:$J$392,0)))</f>
        <v>#N/A</v>
      </c>
      <c r="K515" s="21" t="str">
        <f>iF('Ingest Template'!A515="Standard",'Ingest Template'!K515&amp;CHAR(10)&amp;'Ingest Template'!L515,"Competitive View")</f>
        <v>Competitive View</v>
      </c>
      <c r="L515" s="29" t="s">
        <v>146</v>
      </c>
      <c r="M515" s="37" t="str">
        <f>'Ingest Template'!D515</f>
        <v/>
      </c>
      <c r="N515" s="21"/>
      <c r="O515" s="21"/>
      <c r="P515" s="21"/>
      <c r="Q515" s="21"/>
      <c r="R515" s="21" t="str">
        <f>'Ingest Template'!E515</f>
        <v/>
      </c>
      <c r="S515" s="29" t="s">
        <v>153</v>
      </c>
      <c r="T515" s="21" t="str">
        <f>'Ingest Template'!T515</f>
        <v/>
      </c>
      <c r="U515" s="21" t="str">
        <f>'Ingest Template'!S515</f>
        <v/>
      </c>
      <c r="V515" s="21" t="str">
        <f>LOWER(SUBSTITUTE(SUBSTITUTE(SUBSTITUTE(SUBSTITUTE(SUBSTITUTE('Ingest Template'!U515,"https:",""),"www.",""),"/",""),"?hl=en",""),"instagram.com",""))</f>
        <v/>
      </c>
      <c r="W515" s="41" t="str">
        <f t="array" ref="W515">IF('Ingest Template'!V515="",(INDEX(DropDown!$L$2:$L$392,MATCH('Ingest Template'!E515,DropDown!$J$2:$J$392,0))&amp;"|"&amp;'Ingest Template'!B515),(INDEX(DropDown!$L$2:$L$392,MATCH('Ingest Template'!E515,DropDown!$J$2:$J$392,0))&amp;"|"&amp;'Ingest Template'!B515)&amp;CHAR(10)&amp;'Ingest Template'!V515)</f>
        <v>#N/A</v>
      </c>
      <c r="X515" s="41" t="str">
        <f>'Ingest Template'!W515</f>
        <v/>
      </c>
      <c r="Y515" s="21" t="str">
        <f>SUBSTITUTE(SUBSTITUTE(SUBSTITUTE('Ingest Template'!X515,"http:",""),"https:",""),"/","")</f>
        <v/>
      </c>
      <c r="Z515" s="21" t="str">
        <f t="array" ref="Z515">IF('Ingest Template'!A515="Standard",(IF(ISBLANK('Ingest Template'!AA515),"", 'Ingest Template'!AA515&amp;"|DAR")),(IF(ISBLANK('Ingest Template'!AA515),"", 'Ingest Template'!AA515&amp;"|Film Ops")))</f>
        <v/>
      </c>
      <c r="AA515" s="21"/>
      <c r="AB515" s="21" t="str">
        <f>'Ingest Template'!M515</f>
        <v/>
      </c>
      <c r="AC515" s="21" t="str">
        <f>'Ingest Template'!Y515</f>
        <v/>
      </c>
      <c r="AD515" s="21" t="str">
        <f>'Ingest Template'!C515</f>
        <v/>
      </c>
      <c r="AE515" s="21" t="str">
        <f>'Ingest Template'!Z515</f>
        <v/>
      </c>
      <c r="AF515" s="29"/>
      <c r="AG515" s="21" t="str">
        <f t="array" ref="AG515">IF('Ingest Template'!A515="Standard",(CONCATENATE(IF(ISBLANK('Ingest Template'!O515),"", 'Ingest Template'!O515&amp;"|DAR"),CHAR(10), IF(ISBLANK('Ingest Template'!P515),"", 'Ingest Template'!P515&amp;"|DAR"),CHAR(10), IF(ISBLANK('Ingest Template'!Q515),"", 'Ingest Template'!Q515&amp;"|DAR"))),(CONCATENATE(IF(ISBLANK('Ingest Template'!O515),"", 'Ingest Template'!O515&amp;"|Operations - Core Title"),CHAR(10), IF(ISBLANK('Ingest Template'!P515),"", 'Ingest Template'!P515&amp;"|Operations - Core Title"),CHAR(10), IF(ISBLANK('Ingest Template'!Q515),"", 'Ingest Template'!Q515&amp;"|Operations - Core Title"))))</f>
        <v>#|Operations - Core Title
#|Operations - Core Title
</v>
      </c>
      <c r="AH515" s="21"/>
      <c r="AI515" s="21"/>
      <c r="AJ515" s="53" t="str">
        <f>if('Ingest Template'!A515="Standard",'Ingest Template'!N515&amp; "|DAR|DAR|2021-01-01",'Ingest Template'!N515&amp; "|Operations - Core Title|Operations - Core Title")</f>
        <v>#N/A</v>
      </c>
      <c r="AK515" s="53" t="str">
        <f>if('Ingest Template'!A515="Standard",'Ingest Template'!R515&amp; "|2021-01-01",'Ingest Template'!R515)</f>
        <v>#N/A</v>
      </c>
      <c r="AL515" s="21"/>
      <c r="AM515" s="21"/>
    </row>
    <row r="516">
      <c r="A516" s="21"/>
      <c r="B516" s="21" t="str">
        <f>'Ingest Template'!B516&amp;IF('Ingest Template'!A516 = "Standard", " - DAR","")</f>
        <v/>
      </c>
      <c r="C516" s="26" t="s">
        <v>109</v>
      </c>
      <c r="D516" s="29" t="str">
        <f t="array" ref="D516">CONCATENATE(INDEX(DropDown!$H$2:$H$10,MATCH(1,COUNTIF('Ingest Template'!F516,"*"&amp;DropDown!$H$2:$H$10&amp;"*"),0)),CHAR(10),'Ingest Template'!G516)</f>
        <v>#N/A</v>
      </c>
      <c r="E516" s="21" t="str">
        <f>CONCATENATE('Ingest Template'!H516,CHAR(10),'Ingest Template'!I516,CHAR(10),'Ingest Template'!J516)</f>
        <v>
</v>
      </c>
      <c r="F516" s="26" t="str">
        <f>'Ingest Template'!H516</f>
        <v/>
      </c>
      <c r="G516" s="21"/>
      <c r="H516" s="29"/>
      <c r="I516" s="21"/>
      <c r="J516" s="29" t="str">
        <f t="array" ref="J516">iF('Ingest Template'!A516="Standard","Pristine Brand",INDEX(DropDown!$M$2:$M$392,MATCH('Ingest Template'!E516,DropDown!$J$2:$J$392,0)))</f>
        <v>#N/A</v>
      </c>
      <c r="K516" s="21" t="str">
        <f>iF('Ingest Template'!A516="Standard",'Ingest Template'!K516&amp;CHAR(10)&amp;'Ingest Template'!L516,"Competitive View")</f>
        <v>Competitive View</v>
      </c>
      <c r="L516" s="29" t="s">
        <v>146</v>
      </c>
      <c r="M516" s="37" t="str">
        <f>'Ingest Template'!D516</f>
        <v/>
      </c>
      <c r="N516" s="21"/>
      <c r="O516" s="21"/>
      <c r="P516" s="21"/>
      <c r="Q516" s="21"/>
      <c r="R516" s="21" t="str">
        <f>'Ingest Template'!E516</f>
        <v/>
      </c>
      <c r="S516" s="29" t="s">
        <v>153</v>
      </c>
      <c r="T516" s="21" t="str">
        <f>'Ingest Template'!T516</f>
        <v/>
      </c>
      <c r="U516" s="21" t="str">
        <f>'Ingest Template'!S516</f>
        <v/>
      </c>
      <c r="V516" s="21" t="str">
        <f>LOWER(SUBSTITUTE(SUBSTITUTE(SUBSTITUTE(SUBSTITUTE(SUBSTITUTE('Ingest Template'!U516,"https:",""),"www.",""),"/",""),"?hl=en",""),"instagram.com",""))</f>
        <v/>
      </c>
      <c r="W516" s="41" t="str">
        <f t="array" ref="W516">IF('Ingest Template'!V516="",(INDEX(DropDown!$L$2:$L$392,MATCH('Ingest Template'!E516,DropDown!$J$2:$J$392,0))&amp;"|"&amp;'Ingest Template'!B516),(INDEX(DropDown!$L$2:$L$392,MATCH('Ingest Template'!E516,DropDown!$J$2:$J$392,0))&amp;"|"&amp;'Ingest Template'!B516)&amp;CHAR(10)&amp;'Ingest Template'!V516)</f>
        <v>#N/A</v>
      </c>
      <c r="X516" s="41" t="str">
        <f>'Ingest Template'!W516</f>
        <v/>
      </c>
      <c r="Y516" s="21" t="str">
        <f>SUBSTITUTE(SUBSTITUTE(SUBSTITUTE('Ingest Template'!X516,"http:",""),"https:",""),"/","")</f>
        <v/>
      </c>
      <c r="Z516" s="21" t="str">
        <f t="array" ref="Z516">IF('Ingest Template'!A516="Standard",(IF(ISBLANK('Ingest Template'!AA516),"", 'Ingest Template'!AA516&amp;"|DAR")),(IF(ISBLANK('Ingest Template'!AA516),"", 'Ingest Template'!AA516&amp;"|Film Ops")))</f>
        <v/>
      </c>
      <c r="AA516" s="21"/>
      <c r="AB516" s="21" t="str">
        <f>'Ingest Template'!M516</f>
        <v/>
      </c>
      <c r="AC516" s="21" t="str">
        <f>'Ingest Template'!Y516</f>
        <v/>
      </c>
      <c r="AD516" s="21" t="str">
        <f>'Ingest Template'!C516</f>
        <v/>
      </c>
      <c r="AE516" s="21" t="str">
        <f>'Ingest Template'!Z516</f>
        <v/>
      </c>
      <c r="AF516" s="29"/>
      <c r="AG516" s="21" t="str">
        <f t="array" ref="AG516">IF('Ingest Template'!A516="Standard",(CONCATENATE(IF(ISBLANK('Ingest Template'!O516),"", 'Ingest Template'!O516&amp;"|DAR"),CHAR(10), IF(ISBLANK('Ingest Template'!P516),"", 'Ingest Template'!P516&amp;"|DAR"),CHAR(10), IF(ISBLANK('Ingest Template'!Q516),"", 'Ingest Template'!Q516&amp;"|DAR"))),(CONCATENATE(IF(ISBLANK('Ingest Template'!O516),"", 'Ingest Template'!O516&amp;"|Operations - Core Title"),CHAR(10), IF(ISBLANK('Ingest Template'!P516),"", 'Ingest Template'!P516&amp;"|Operations - Core Title"),CHAR(10), IF(ISBLANK('Ingest Template'!Q516),"", 'Ingest Template'!Q516&amp;"|Operations - Core Title"))))</f>
        <v>#|Operations - Core Title
#|Operations - Core Title
</v>
      </c>
      <c r="AH516" s="21"/>
      <c r="AI516" s="21"/>
      <c r="AJ516" s="53" t="str">
        <f>if('Ingest Template'!A516="Standard",'Ingest Template'!N516&amp; "|DAR|DAR|2021-01-01",'Ingest Template'!N516&amp; "|Operations - Core Title|Operations - Core Title")</f>
        <v>#N/A</v>
      </c>
      <c r="AK516" s="53" t="str">
        <f>if('Ingest Template'!A516="Standard",'Ingest Template'!R516&amp; "|2021-01-01",'Ingest Template'!R516)</f>
        <v>#N/A</v>
      </c>
      <c r="AL516" s="21"/>
      <c r="AM516" s="21"/>
    </row>
    <row r="517">
      <c r="A517" s="21"/>
      <c r="B517" s="21" t="str">
        <f>'Ingest Template'!B517&amp;IF('Ingest Template'!A517 = "Standard", " - DAR","")</f>
        <v/>
      </c>
      <c r="C517" s="26" t="s">
        <v>109</v>
      </c>
      <c r="D517" s="29" t="str">
        <f t="array" ref="D517">CONCATENATE(INDEX(DropDown!$H$2:$H$10,MATCH(1,COUNTIF('Ingest Template'!F517,"*"&amp;DropDown!$H$2:$H$10&amp;"*"),0)),CHAR(10),'Ingest Template'!G517)</f>
        <v>#N/A</v>
      </c>
      <c r="E517" s="21" t="str">
        <f>CONCATENATE('Ingest Template'!H517,CHAR(10),'Ingest Template'!I517,CHAR(10),'Ingest Template'!J517)</f>
        <v>
</v>
      </c>
      <c r="F517" s="26" t="str">
        <f>'Ingest Template'!H517</f>
        <v/>
      </c>
      <c r="G517" s="21"/>
      <c r="H517" s="29"/>
      <c r="I517" s="21"/>
      <c r="J517" s="29" t="str">
        <f t="array" ref="J517">iF('Ingest Template'!A517="Standard","Pristine Brand",INDEX(DropDown!$M$2:$M$392,MATCH('Ingest Template'!E517,DropDown!$J$2:$J$392,0)))</f>
        <v>#N/A</v>
      </c>
      <c r="K517" s="21" t="str">
        <f>iF('Ingest Template'!A517="Standard",'Ingest Template'!K517&amp;CHAR(10)&amp;'Ingest Template'!L517,"Competitive View")</f>
        <v>Competitive View</v>
      </c>
      <c r="L517" s="29" t="s">
        <v>146</v>
      </c>
      <c r="M517" s="37" t="str">
        <f>'Ingest Template'!D517</f>
        <v/>
      </c>
      <c r="N517" s="21"/>
      <c r="O517" s="21"/>
      <c r="P517" s="21"/>
      <c r="Q517" s="21"/>
      <c r="R517" s="21" t="str">
        <f>'Ingest Template'!E517</f>
        <v/>
      </c>
      <c r="S517" s="29" t="s">
        <v>153</v>
      </c>
      <c r="T517" s="21" t="str">
        <f>'Ingest Template'!T517</f>
        <v/>
      </c>
      <c r="U517" s="21" t="str">
        <f>'Ingest Template'!S517</f>
        <v/>
      </c>
      <c r="V517" s="21" t="str">
        <f>LOWER(SUBSTITUTE(SUBSTITUTE(SUBSTITUTE(SUBSTITUTE(SUBSTITUTE('Ingest Template'!U517,"https:",""),"www.",""),"/",""),"?hl=en",""),"instagram.com",""))</f>
        <v/>
      </c>
      <c r="W517" s="41" t="str">
        <f t="array" ref="W517">IF('Ingest Template'!V517="",(INDEX(DropDown!$L$2:$L$392,MATCH('Ingest Template'!E517,DropDown!$J$2:$J$392,0))&amp;"|"&amp;'Ingest Template'!B517),(INDEX(DropDown!$L$2:$L$392,MATCH('Ingest Template'!E517,DropDown!$J$2:$J$392,0))&amp;"|"&amp;'Ingest Template'!B517)&amp;CHAR(10)&amp;'Ingest Template'!V517)</f>
        <v>#N/A</v>
      </c>
      <c r="X517" s="41" t="str">
        <f>'Ingest Template'!W517</f>
        <v/>
      </c>
      <c r="Y517" s="21" t="str">
        <f>SUBSTITUTE(SUBSTITUTE(SUBSTITUTE('Ingest Template'!X517,"http:",""),"https:",""),"/","")</f>
        <v/>
      </c>
      <c r="Z517" s="21" t="str">
        <f t="array" ref="Z517">IF('Ingest Template'!A517="Standard",(IF(ISBLANK('Ingest Template'!AA517),"", 'Ingest Template'!AA517&amp;"|DAR")),(IF(ISBLANK('Ingest Template'!AA517),"", 'Ingest Template'!AA517&amp;"|Film Ops")))</f>
        <v/>
      </c>
      <c r="AA517" s="21"/>
      <c r="AB517" s="21" t="str">
        <f>'Ingest Template'!M517</f>
        <v/>
      </c>
      <c r="AC517" s="21" t="str">
        <f>'Ingest Template'!Y517</f>
        <v/>
      </c>
      <c r="AD517" s="21" t="str">
        <f>'Ingest Template'!C517</f>
        <v/>
      </c>
      <c r="AE517" s="21" t="str">
        <f>'Ingest Template'!Z517</f>
        <v/>
      </c>
      <c r="AF517" s="29"/>
      <c r="AG517" s="21" t="str">
        <f t="array" ref="AG517">IF('Ingest Template'!A517="Standard",(CONCATENATE(IF(ISBLANK('Ingest Template'!O517),"", 'Ingest Template'!O517&amp;"|DAR"),CHAR(10), IF(ISBLANK('Ingest Template'!P517),"", 'Ingest Template'!P517&amp;"|DAR"),CHAR(10), IF(ISBLANK('Ingest Template'!Q517),"", 'Ingest Template'!Q517&amp;"|DAR"))),(CONCATENATE(IF(ISBLANK('Ingest Template'!O517),"", 'Ingest Template'!O517&amp;"|Operations - Core Title"),CHAR(10), IF(ISBLANK('Ingest Template'!P517),"", 'Ingest Template'!P517&amp;"|Operations - Core Title"),CHAR(10), IF(ISBLANK('Ingest Template'!Q517),"", 'Ingest Template'!Q517&amp;"|Operations - Core Title"))))</f>
        <v>#|Operations - Core Title
#|Operations - Core Title
</v>
      </c>
      <c r="AH517" s="21"/>
      <c r="AI517" s="21"/>
      <c r="AJ517" s="53" t="str">
        <f>if('Ingest Template'!A517="Standard",'Ingest Template'!N517&amp; "|DAR|DAR|2021-01-01",'Ingest Template'!N517&amp; "|Operations - Core Title|Operations - Core Title")</f>
        <v>#N/A</v>
      </c>
      <c r="AK517" s="53" t="str">
        <f>if('Ingest Template'!A517="Standard",'Ingest Template'!R517&amp; "|2021-01-01",'Ingest Template'!R517)</f>
        <v>#N/A</v>
      </c>
      <c r="AL517" s="21"/>
      <c r="AM517" s="21"/>
    </row>
    <row r="518">
      <c r="A518" s="21"/>
      <c r="B518" s="21" t="str">
        <f>'Ingest Template'!B518&amp;IF('Ingest Template'!A518 = "Standard", " - DAR","")</f>
        <v/>
      </c>
      <c r="C518" s="26" t="s">
        <v>109</v>
      </c>
      <c r="D518" s="29" t="str">
        <f t="array" ref="D518">CONCATENATE(INDEX(DropDown!$H$2:$H$10,MATCH(1,COUNTIF('Ingest Template'!F518,"*"&amp;DropDown!$H$2:$H$10&amp;"*"),0)),CHAR(10),'Ingest Template'!G518)</f>
        <v>#N/A</v>
      </c>
      <c r="E518" s="21" t="str">
        <f>CONCATENATE('Ingest Template'!H518,CHAR(10),'Ingest Template'!I518,CHAR(10),'Ingest Template'!J518)</f>
        <v>
</v>
      </c>
      <c r="F518" s="26" t="str">
        <f>'Ingest Template'!H518</f>
        <v/>
      </c>
      <c r="G518" s="21"/>
      <c r="H518" s="29"/>
      <c r="I518" s="21"/>
      <c r="J518" s="29" t="str">
        <f t="array" ref="J518">iF('Ingest Template'!A518="Standard","Pristine Brand",INDEX(DropDown!$M$2:$M$392,MATCH('Ingest Template'!E518,DropDown!$J$2:$J$392,0)))</f>
        <v>#N/A</v>
      </c>
      <c r="K518" s="21" t="str">
        <f>iF('Ingest Template'!A518="Standard",'Ingest Template'!K518&amp;CHAR(10)&amp;'Ingest Template'!L518,"Competitive View")</f>
        <v>Competitive View</v>
      </c>
      <c r="L518" s="29" t="s">
        <v>146</v>
      </c>
      <c r="M518" s="37" t="str">
        <f>'Ingest Template'!D518</f>
        <v/>
      </c>
      <c r="N518" s="21"/>
      <c r="O518" s="21"/>
      <c r="P518" s="21"/>
      <c r="Q518" s="21"/>
      <c r="R518" s="21" t="str">
        <f>'Ingest Template'!E518</f>
        <v/>
      </c>
      <c r="S518" s="29" t="s">
        <v>153</v>
      </c>
      <c r="T518" s="21" t="str">
        <f>'Ingest Template'!T518</f>
        <v/>
      </c>
      <c r="U518" s="21" t="str">
        <f>'Ingest Template'!S518</f>
        <v/>
      </c>
      <c r="V518" s="21" t="str">
        <f>LOWER(SUBSTITUTE(SUBSTITUTE(SUBSTITUTE(SUBSTITUTE(SUBSTITUTE('Ingest Template'!U518,"https:",""),"www.",""),"/",""),"?hl=en",""),"instagram.com",""))</f>
        <v/>
      </c>
      <c r="W518" s="41" t="str">
        <f t="array" ref="W518">IF('Ingest Template'!V518="",(INDEX(DropDown!$L$2:$L$392,MATCH('Ingest Template'!E518,DropDown!$J$2:$J$392,0))&amp;"|"&amp;'Ingest Template'!B518),(INDEX(DropDown!$L$2:$L$392,MATCH('Ingest Template'!E518,DropDown!$J$2:$J$392,0))&amp;"|"&amp;'Ingest Template'!B518)&amp;CHAR(10)&amp;'Ingest Template'!V518)</f>
        <v>#N/A</v>
      </c>
      <c r="X518" s="41" t="str">
        <f>'Ingest Template'!W518</f>
        <v/>
      </c>
      <c r="Y518" s="21" t="str">
        <f>SUBSTITUTE(SUBSTITUTE(SUBSTITUTE('Ingest Template'!X518,"http:",""),"https:",""),"/","")</f>
        <v/>
      </c>
      <c r="Z518" s="21" t="str">
        <f t="array" ref="Z518">IF('Ingest Template'!A518="Standard",(IF(ISBLANK('Ingest Template'!AA518),"", 'Ingest Template'!AA518&amp;"|DAR")),(IF(ISBLANK('Ingest Template'!AA518),"", 'Ingest Template'!AA518&amp;"|Film Ops")))</f>
        <v/>
      </c>
      <c r="AA518" s="21"/>
      <c r="AB518" s="21" t="str">
        <f>'Ingest Template'!M518</f>
        <v/>
      </c>
      <c r="AC518" s="21" t="str">
        <f>'Ingest Template'!Y518</f>
        <v/>
      </c>
      <c r="AD518" s="21" t="str">
        <f>'Ingest Template'!C518</f>
        <v/>
      </c>
      <c r="AE518" s="21" t="str">
        <f>'Ingest Template'!Z518</f>
        <v/>
      </c>
      <c r="AF518" s="29"/>
      <c r="AG518" s="21" t="str">
        <f t="array" ref="AG518">IF('Ingest Template'!A518="Standard",(CONCATENATE(IF(ISBLANK('Ingest Template'!O518),"", 'Ingest Template'!O518&amp;"|DAR"),CHAR(10), IF(ISBLANK('Ingest Template'!P518),"", 'Ingest Template'!P518&amp;"|DAR"),CHAR(10), IF(ISBLANK('Ingest Template'!Q518),"", 'Ingest Template'!Q518&amp;"|DAR"))),(CONCATENATE(IF(ISBLANK('Ingest Template'!O518),"", 'Ingest Template'!O518&amp;"|Operations - Core Title"),CHAR(10), IF(ISBLANK('Ingest Template'!P518),"", 'Ingest Template'!P518&amp;"|Operations - Core Title"),CHAR(10), IF(ISBLANK('Ingest Template'!Q518),"", 'Ingest Template'!Q518&amp;"|Operations - Core Title"))))</f>
        <v>#|Operations - Core Title
#|Operations - Core Title
</v>
      </c>
      <c r="AH518" s="21"/>
      <c r="AI518" s="21"/>
      <c r="AJ518" s="53" t="str">
        <f>if('Ingest Template'!A518="Standard",'Ingest Template'!N518&amp; "|DAR|DAR|2021-01-01",'Ingest Template'!N518&amp; "|Operations - Core Title|Operations - Core Title")</f>
        <v>#N/A</v>
      </c>
      <c r="AK518" s="53" t="str">
        <f>if('Ingest Template'!A518="Standard",'Ingest Template'!R518&amp; "|2021-01-01",'Ingest Template'!R518)</f>
        <v>#N/A</v>
      </c>
      <c r="AL518" s="21"/>
      <c r="AM518" s="21"/>
    </row>
    <row r="519">
      <c r="A519" s="21"/>
      <c r="B519" s="21" t="str">
        <f>'Ingest Template'!B519&amp;IF('Ingest Template'!A519 = "Standard", " - DAR","")</f>
        <v/>
      </c>
      <c r="C519" s="26" t="s">
        <v>109</v>
      </c>
      <c r="D519" s="29" t="str">
        <f t="array" ref="D519">CONCATENATE(INDEX(DropDown!$H$2:$H$10,MATCH(1,COUNTIF('Ingest Template'!F519,"*"&amp;DropDown!$H$2:$H$10&amp;"*"),0)),CHAR(10),'Ingest Template'!G519)</f>
        <v>#N/A</v>
      </c>
      <c r="E519" s="21" t="str">
        <f>CONCATENATE('Ingest Template'!H519,CHAR(10),'Ingest Template'!I519,CHAR(10),'Ingest Template'!J519)</f>
        <v>
</v>
      </c>
      <c r="F519" s="26" t="str">
        <f>'Ingest Template'!H519</f>
        <v/>
      </c>
      <c r="G519" s="21"/>
      <c r="H519" s="29"/>
      <c r="I519" s="21"/>
      <c r="J519" s="29" t="str">
        <f t="array" ref="J519">iF('Ingest Template'!A519="Standard","Pristine Brand",INDEX(DropDown!$M$2:$M$392,MATCH('Ingest Template'!E519,DropDown!$J$2:$J$392,0)))</f>
        <v>#N/A</v>
      </c>
      <c r="K519" s="21" t="str">
        <f>iF('Ingest Template'!A519="Standard",'Ingest Template'!K519&amp;CHAR(10)&amp;'Ingest Template'!L519,"Competitive View")</f>
        <v>Competitive View</v>
      </c>
      <c r="L519" s="29" t="s">
        <v>146</v>
      </c>
      <c r="M519" s="37" t="str">
        <f>'Ingest Template'!D519</f>
        <v/>
      </c>
      <c r="N519" s="21"/>
      <c r="O519" s="21"/>
      <c r="P519" s="21"/>
      <c r="Q519" s="21"/>
      <c r="R519" s="21" t="str">
        <f>'Ingest Template'!E519</f>
        <v/>
      </c>
      <c r="S519" s="29" t="s">
        <v>153</v>
      </c>
      <c r="T519" s="21" t="str">
        <f>'Ingest Template'!T519</f>
        <v/>
      </c>
      <c r="U519" s="21" t="str">
        <f>'Ingest Template'!S519</f>
        <v/>
      </c>
      <c r="V519" s="21" t="str">
        <f>LOWER(SUBSTITUTE(SUBSTITUTE(SUBSTITUTE(SUBSTITUTE(SUBSTITUTE('Ingest Template'!U519,"https:",""),"www.",""),"/",""),"?hl=en",""),"instagram.com",""))</f>
        <v/>
      </c>
      <c r="W519" s="41" t="str">
        <f t="array" ref="W519">IF('Ingest Template'!V519="",(INDEX(DropDown!$L$2:$L$392,MATCH('Ingest Template'!E519,DropDown!$J$2:$J$392,0))&amp;"|"&amp;'Ingest Template'!B519),(INDEX(DropDown!$L$2:$L$392,MATCH('Ingest Template'!E519,DropDown!$J$2:$J$392,0))&amp;"|"&amp;'Ingest Template'!B519)&amp;CHAR(10)&amp;'Ingest Template'!V519)</f>
        <v>#N/A</v>
      </c>
      <c r="X519" s="41" t="str">
        <f>'Ingest Template'!W519</f>
        <v/>
      </c>
      <c r="Y519" s="21" t="str">
        <f>SUBSTITUTE(SUBSTITUTE(SUBSTITUTE('Ingest Template'!X519,"http:",""),"https:",""),"/","")</f>
        <v/>
      </c>
      <c r="Z519" s="21" t="str">
        <f t="array" ref="Z519">IF('Ingest Template'!A519="Standard",(IF(ISBLANK('Ingest Template'!AA519),"", 'Ingest Template'!AA519&amp;"|DAR")),(IF(ISBLANK('Ingest Template'!AA519),"", 'Ingest Template'!AA519&amp;"|Film Ops")))</f>
        <v/>
      </c>
      <c r="AA519" s="21"/>
      <c r="AB519" s="21" t="str">
        <f>'Ingest Template'!M519</f>
        <v/>
      </c>
      <c r="AC519" s="21" t="str">
        <f>'Ingest Template'!Y519</f>
        <v/>
      </c>
      <c r="AD519" s="21" t="str">
        <f>'Ingest Template'!C519</f>
        <v/>
      </c>
      <c r="AE519" s="21" t="str">
        <f>'Ingest Template'!Z519</f>
        <v/>
      </c>
      <c r="AF519" s="29"/>
      <c r="AG519" s="21" t="str">
        <f t="array" ref="AG519">IF('Ingest Template'!A519="Standard",(CONCATENATE(IF(ISBLANK('Ingest Template'!O519),"", 'Ingest Template'!O519&amp;"|DAR"),CHAR(10), IF(ISBLANK('Ingest Template'!P519),"", 'Ingest Template'!P519&amp;"|DAR"),CHAR(10), IF(ISBLANK('Ingest Template'!Q519),"", 'Ingest Template'!Q519&amp;"|DAR"))),(CONCATENATE(IF(ISBLANK('Ingest Template'!O519),"", 'Ingest Template'!O519&amp;"|Operations - Core Title"),CHAR(10), IF(ISBLANK('Ingest Template'!P519),"", 'Ingest Template'!P519&amp;"|Operations - Core Title"),CHAR(10), IF(ISBLANK('Ingest Template'!Q519),"", 'Ingest Template'!Q519&amp;"|Operations - Core Title"))))</f>
        <v>#|Operations - Core Title
#|Operations - Core Title
</v>
      </c>
      <c r="AH519" s="21"/>
      <c r="AI519" s="21"/>
      <c r="AJ519" s="53" t="str">
        <f>if('Ingest Template'!A519="Standard",'Ingest Template'!N519&amp; "|DAR|DAR|2021-01-01",'Ingest Template'!N519&amp; "|Operations - Core Title|Operations - Core Title")</f>
        <v>#N/A</v>
      </c>
      <c r="AK519" s="53" t="str">
        <f>if('Ingest Template'!A519="Standard",'Ingest Template'!R519&amp; "|2021-01-01",'Ingest Template'!R519)</f>
        <v>#N/A</v>
      </c>
      <c r="AL519" s="21"/>
      <c r="AM519" s="21"/>
    </row>
    <row r="520">
      <c r="A520" s="21"/>
      <c r="B520" s="21" t="str">
        <f>'Ingest Template'!B520&amp;IF('Ingest Template'!A520 = "Standard", " - DAR","")</f>
        <v/>
      </c>
      <c r="C520" s="26" t="s">
        <v>109</v>
      </c>
      <c r="D520" s="29" t="str">
        <f t="array" ref="D520">CONCATENATE(INDEX(DropDown!$H$2:$H$10,MATCH(1,COUNTIF('Ingest Template'!F520,"*"&amp;DropDown!$H$2:$H$10&amp;"*"),0)),CHAR(10),'Ingest Template'!G520)</f>
        <v>#N/A</v>
      </c>
      <c r="E520" s="21" t="str">
        <f>CONCATENATE('Ingest Template'!H520,CHAR(10),'Ingest Template'!I520,CHAR(10),'Ingest Template'!J520)</f>
        <v>
</v>
      </c>
      <c r="F520" s="26" t="str">
        <f>'Ingest Template'!H520</f>
        <v/>
      </c>
      <c r="G520" s="21"/>
      <c r="H520" s="29"/>
      <c r="I520" s="21"/>
      <c r="J520" s="29" t="str">
        <f t="array" ref="J520">iF('Ingest Template'!A520="Standard","Pristine Brand",INDEX(DropDown!$M$2:$M$392,MATCH('Ingest Template'!E520,DropDown!$J$2:$J$392,0)))</f>
        <v>#N/A</v>
      </c>
      <c r="K520" s="21" t="str">
        <f>iF('Ingest Template'!A520="Standard",'Ingest Template'!K520&amp;CHAR(10)&amp;'Ingest Template'!L520,"Competitive View")</f>
        <v>Competitive View</v>
      </c>
      <c r="L520" s="29" t="s">
        <v>146</v>
      </c>
      <c r="M520" s="37" t="str">
        <f>'Ingest Template'!D520</f>
        <v/>
      </c>
      <c r="N520" s="21"/>
      <c r="O520" s="21"/>
      <c r="P520" s="21"/>
      <c r="Q520" s="21"/>
      <c r="R520" s="21" t="str">
        <f>'Ingest Template'!E520</f>
        <v/>
      </c>
      <c r="S520" s="29" t="s">
        <v>153</v>
      </c>
      <c r="T520" s="21" t="str">
        <f>'Ingest Template'!T520</f>
        <v/>
      </c>
      <c r="U520" s="21" t="str">
        <f>'Ingest Template'!S520</f>
        <v/>
      </c>
      <c r="V520" s="21" t="str">
        <f>LOWER(SUBSTITUTE(SUBSTITUTE(SUBSTITUTE(SUBSTITUTE(SUBSTITUTE('Ingest Template'!U520,"https:",""),"www.",""),"/",""),"?hl=en",""),"instagram.com",""))</f>
        <v/>
      </c>
      <c r="W520" s="41" t="str">
        <f t="array" ref="W520">IF('Ingest Template'!V520="",(INDEX(DropDown!$L$2:$L$392,MATCH('Ingest Template'!E520,DropDown!$J$2:$J$392,0))&amp;"|"&amp;'Ingest Template'!B520),(INDEX(DropDown!$L$2:$L$392,MATCH('Ingest Template'!E520,DropDown!$J$2:$J$392,0))&amp;"|"&amp;'Ingest Template'!B520)&amp;CHAR(10)&amp;'Ingest Template'!V520)</f>
        <v>#N/A</v>
      </c>
      <c r="X520" s="41" t="str">
        <f>'Ingest Template'!W520</f>
        <v/>
      </c>
      <c r="Y520" s="21" t="str">
        <f>SUBSTITUTE(SUBSTITUTE(SUBSTITUTE('Ingest Template'!X520,"http:",""),"https:",""),"/","")</f>
        <v/>
      </c>
      <c r="Z520" s="21" t="str">
        <f t="array" ref="Z520">IF('Ingest Template'!A520="Standard",(IF(ISBLANK('Ingest Template'!AA520),"", 'Ingest Template'!AA520&amp;"|DAR")),(IF(ISBLANK('Ingest Template'!AA520),"", 'Ingest Template'!AA520&amp;"|Film Ops")))</f>
        <v/>
      </c>
      <c r="AA520" s="21"/>
      <c r="AB520" s="21" t="str">
        <f>'Ingest Template'!M520</f>
        <v/>
      </c>
      <c r="AC520" s="21" t="str">
        <f>'Ingest Template'!Y520</f>
        <v/>
      </c>
      <c r="AD520" s="21" t="str">
        <f>'Ingest Template'!C520</f>
        <v/>
      </c>
      <c r="AE520" s="21" t="str">
        <f>'Ingest Template'!Z520</f>
        <v/>
      </c>
      <c r="AF520" s="29"/>
      <c r="AG520" s="21" t="str">
        <f t="array" ref="AG520">IF('Ingest Template'!A520="Standard",(CONCATENATE(IF(ISBLANK('Ingest Template'!O520),"", 'Ingest Template'!O520&amp;"|DAR"),CHAR(10), IF(ISBLANK('Ingest Template'!P520),"", 'Ingest Template'!P520&amp;"|DAR"),CHAR(10), IF(ISBLANK('Ingest Template'!Q520),"", 'Ingest Template'!Q520&amp;"|DAR"))),(CONCATENATE(IF(ISBLANK('Ingest Template'!O520),"", 'Ingest Template'!O520&amp;"|Operations - Core Title"),CHAR(10), IF(ISBLANK('Ingest Template'!P520),"", 'Ingest Template'!P520&amp;"|Operations - Core Title"),CHAR(10), IF(ISBLANK('Ingest Template'!Q520),"", 'Ingest Template'!Q520&amp;"|Operations - Core Title"))))</f>
        <v>#|Operations - Core Title
#|Operations - Core Title
</v>
      </c>
      <c r="AH520" s="21"/>
      <c r="AI520" s="21"/>
      <c r="AJ520" s="53" t="str">
        <f>if('Ingest Template'!A520="Standard",'Ingest Template'!N520&amp; "|DAR|DAR|2021-01-01",'Ingest Template'!N520&amp; "|Operations - Core Title|Operations - Core Title")</f>
        <v>#N/A</v>
      </c>
      <c r="AK520" s="53" t="str">
        <f>if('Ingest Template'!A520="Standard",'Ingest Template'!R520&amp; "|2021-01-01",'Ingest Template'!R520)</f>
        <v>#N/A</v>
      </c>
      <c r="AL520" s="21"/>
      <c r="AM520" s="21"/>
    </row>
    <row r="521">
      <c r="A521" s="21"/>
      <c r="B521" s="21" t="str">
        <f>'Ingest Template'!B521&amp;IF('Ingest Template'!A521 = "Standard", " - DAR","")</f>
        <v/>
      </c>
      <c r="C521" s="26" t="s">
        <v>109</v>
      </c>
      <c r="D521" s="29" t="str">
        <f t="array" ref="D521">CONCATENATE(INDEX(DropDown!$H$2:$H$10,MATCH(1,COUNTIF('Ingest Template'!F521,"*"&amp;DropDown!$H$2:$H$10&amp;"*"),0)),CHAR(10),'Ingest Template'!G521)</f>
        <v>#N/A</v>
      </c>
      <c r="E521" s="21" t="str">
        <f>CONCATENATE('Ingest Template'!H521,CHAR(10),'Ingest Template'!I521,CHAR(10),'Ingest Template'!J521)</f>
        <v>
</v>
      </c>
      <c r="F521" s="26" t="str">
        <f>'Ingest Template'!H521</f>
        <v/>
      </c>
      <c r="G521" s="21"/>
      <c r="H521" s="29"/>
      <c r="I521" s="21"/>
      <c r="J521" s="29" t="str">
        <f t="array" ref="J521">iF('Ingest Template'!A521="Standard","Pristine Brand",INDEX(DropDown!$M$2:$M$392,MATCH('Ingest Template'!E521,DropDown!$J$2:$J$392,0)))</f>
        <v>#N/A</v>
      </c>
      <c r="K521" s="21" t="str">
        <f>iF('Ingest Template'!A521="Standard",'Ingest Template'!K521&amp;CHAR(10)&amp;'Ingest Template'!L521,"Competitive View")</f>
        <v>Competitive View</v>
      </c>
      <c r="L521" s="29" t="s">
        <v>146</v>
      </c>
      <c r="M521" s="37" t="str">
        <f>'Ingest Template'!D521</f>
        <v/>
      </c>
      <c r="N521" s="21"/>
      <c r="O521" s="21"/>
      <c r="P521" s="21"/>
      <c r="Q521" s="21"/>
      <c r="R521" s="21" t="str">
        <f>'Ingest Template'!E521</f>
        <v/>
      </c>
      <c r="S521" s="29" t="s">
        <v>153</v>
      </c>
      <c r="T521" s="21" t="str">
        <f>'Ingest Template'!T521</f>
        <v/>
      </c>
      <c r="U521" s="21" t="str">
        <f>'Ingest Template'!S521</f>
        <v/>
      </c>
      <c r="V521" s="21" t="str">
        <f>LOWER(SUBSTITUTE(SUBSTITUTE(SUBSTITUTE(SUBSTITUTE(SUBSTITUTE('Ingest Template'!U521,"https:",""),"www.",""),"/",""),"?hl=en",""),"instagram.com",""))</f>
        <v/>
      </c>
      <c r="W521" s="41" t="str">
        <f t="array" ref="W521">IF('Ingest Template'!V521="",(INDEX(DropDown!$L$2:$L$392,MATCH('Ingest Template'!E521,DropDown!$J$2:$J$392,0))&amp;"|"&amp;'Ingest Template'!B521),(INDEX(DropDown!$L$2:$L$392,MATCH('Ingest Template'!E521,DropDown!$J$2:$J$392,0))&amp;"|"&amp;'Ingest Template'!B521)&amp;CHAR(10)&amp;'Ingest Template'!V521)</f>
        <v>#N/A</v>
      </c>
      <c r="X521" s="41" t="str">
        <f>'Ingest Template'!W521</f>
        <v/>
      </c>
      <c r="Y521" s="21" t="str">
        <f>SUBSTITUTE(SUBSTITUTE(SUBSTITUTE('Ingest Template'!X521,"http:",""),"https:",""),"/","")</f>
        <v/>
      </c>
      <c r="Z521" s="21" t="str">
        <f t="array" ref="Z521">IF('Ingest Template'!A521="Standard",(IF(ISBLANK('Ingest Template'!AA521),"", 'Ingest Template'!AA521&amp;"|DAR")),(IF(ISBLANK('Ingest Template'!AA521),"", 'Ingest Template'!AA521&amp;"|Film Ops")))</f>
        <v/>
      </c>
      <c r="AA521" s="21"/>
      <c r="AB521" s="21" t="str">
        <f>'Ingest Template'!M521</f>
        <v/>
      </c>
      <c r="AC521" s="21" t="str">
        <f>'Ingest Template'!Y521</f>
        <v/>
      </c>
      <c r="AD521" s="21" t="str">
        <f>'Ingest Template'!C521</f>
        <v/>
      </c>
      <c r="AE521" s="21" t="str">
        <f>'Ingest Template'!Z521</f>
        <v/>
      </c>
      <c r="AF521" s="29"/>
      <c r="AG521" s="21" t="str">
        <f t="array" ref="AG521">IF('Ingest Template'!A521="Standard",(CONCATENATE(IF(ISBLANK('Ingest Template'!O521),"", 'Ingest Template'!O521&amp;"|DAR"),CHAR(10), IF(ISBLANK('Ingest Template'!P521),"", 'Ingest Template'!P521&amp;"|DAR"),CHAR(10), IF(ISBLANK('Ingest Template'!Q521),"", 'Ingest Template'!Q521&amp;"|DAR"))),(CONCATENATE(IF(ISBLANK('Ingest Template'!O521),"", 'Ingest Template'!O521&amp;"|Operations - Core Title"),CHAR(10), IF(ISBLANK('Ingest Template'!P521),"", 'Ingest Template'!P521&amp;"|Operations - Core Title"),CHAR(10), IF(ISBLANK('Ingest Template'!Q521),"", 'Ingest Template'!Q521&amp;"|Operations - Core Title"))))</f>
        <v>#|Operations - Core Title
#|Operations - Core Title
</v>
      </c>
      <c r="AH521" s="21"/>
      <c r="AI521" s="21"/>
      <c r="AJ521" s="53" t="str">
        <f>if('Ingest Template'!A521="Standard",'Ingest Template'!N521&amp; "|DAR|DAR|2021-01-01",'Ingest Template'!N521&amp; "|Operations - Core Title|Operations - Core Title")</f>
        <v>#N/A</v>
      </c>
      <c r="AK521" s="53" t="str">
        <f>if('Ingest Template'!A521="Standard",'Ingest Template'!R521&amp; "|2021-01-01",'Ingest Template'!R521)</f>
        <v>#N/A</v>
      </c>
      <c r="AL521" s="21"/>
      <c r="AM521" s="21"/>
    </row>
    <row r="522">
      <c r="A522" s="21"/>
      <c r="B522" s="21" t="str">
        <f>'Ingest Template'!B522&amp;IF('Ingest Template'!A522 = "Standard", " - DAR","")</f>
        <v/>
      </c>
      <c r="C522" s="26" t="s">
        <v>109</v>
      </c>
      <c r="D522" s="29" t="str">
        <f t="array" ref="D522">CONCATENATE(INDEX(DropDown!$H$2:$H$10,MATCH(1,COUNTIF('Ingest Template'!F522,"*"&amp;DropDown!$H$2:$H$10&amp;"*"),0)),CHAR(10),'Ingest Template'!G522)</f>
        <v>#N/A</v>
      </c>
      <c r="E522" s="21" t="str">
        <f>CONCATENATE('Ingest Template'!H522,CHAR(10),'Ingest Template'!I522,CHAR(10),'Ingest Template'!J522)</f>
        <v>
</v>
      </c>
      <c r="F522" s="26" t="str">
        <f>'Ingest Template'!H522</f>
        <v/>
      </c>
      <c r="G522" s="21"/>
      <c r="H522" s="29"/>
      <c r="I522" s="21"/>
      <c r="J522" s="29" t="str">
        <f t="array" ref="J522">iF('Ingest Template'!A522="Standard","Pristine Brand",INDEX(DropDown!$M$2:$M$392,MATCH('Ingest Template'!E522,DropDown!$J$2:$J$392,0)))</f>
        <v>#N/A</v>
      </c>
      <c r="K522" s="21" t="str">
        <f>iF('Ingest Template'!A522="Standard",'Ingest Template'!K522&amp;CHAR(10)&amp;'Ingest Template'!L522,"Competitive View")</f>
        <v>Competitive View</v>
      </c>
      <c r="L522" s="29" t="s">
        <v>146</v>
      </c>
      <c r="M522" s="37" t="str">
        <f>'Ingest Template'!D522</f>
        <v/>
      </c>
      <c r="N522" s="21"/>
      <c r="O522" s="21"/>
      <c r="P522" s="21"/>
      <c r="Q522" s="21"/>
      <c r="R522" s="21" t="str">
        <f>'Ingest Template'!E522</f>
        <v/>
      </c>
      <c r="S522" s="29" t="s">
        <v>153</v>
      </c>
      <c r="T522" s="21" t="str">
        <f>'Ingest Template'!T522</f>
        <v/>
      </c>
      <c r="U522" s="21" t="str">
        <f>'Ingest Template'!S522</f>
        <v/>
      </c>
      <c r="V522" s="21" t="str">
        <f>LOWER(SUBSTITUTE(SUBSTITUTE(SUBSTITUTE(SUBSTITUTE(SUBSTITUTE('Ingest Template'!U522,"https:",""),"www.",""),"/",""),"?hl=en",""),"instagram.com",""))</f>
        <v/>
      </c>
      <c r="W522" s="41" t="str">
        <f t="array" ref="W522">IF('Ingest Template'!V522="",(INDEX(DropDown!$L$2:$L$392,MATCH('Ingest Template'!E522,DropDown!$J$2:$J$392,0))&amp;"|"&amp;'Ingest Template'!B522),(INDEX(DropDown!$L$2:$L$392,MATCH('Ingest Template'!E522,DropDown!$J$2:$J$392,0))&amp;"|"&amp;'Ingest Template'!B522)&amp;CHAR(10)&amp;'Ingest Template'!V522)</f>
        <v>#N/A</v>
      </c>
      <c r="X522" s="41" t="str">
        <f>'Ingest Template'!W522</f>
        <v/>
      </c>
      <c r="Y522" s="21" t="str">
        <f>SUBSTITUTE(SUBSTITUTE(SUBSTITUTE('Ingest Template'!X522,"http:",""),"https:",""),"/","")</f>
        <v/>
      </c>
      <c r="Z522" s="21" t="str">
        <f t="array" ref="Z522">IF('Ingest Template'!A522="Standard",(IF(ISBLANK('Ingest Template'!AA522),"", 'Ingest Template'!AA522&amp;"|DAR")),(IF(ISBLANK('Ingest Template'!AA522),"", 'Ingest Template'!AA522&amp;"|Film Ops")))</f>
        <v/>
      </c>
      <c r="AA522" s="21"/>
      <c r="AB522" s="21" t="str">
        <f>'Ingest Template'!M522</f>
        <v/>
      </c>
      <c r="AC522" s="21" t="str">
        <f>'Ingest Template'!Y522</f>
        <v/>
      </c>
      <c r="AD522" s="21" t="str">
        <f>'Ingest Template'!C522</f>
        <v/>
      </c>
      <c r="AE522" s="21" t="str">
        <f>'Ingest Template'!Z522</f>
        <v/>
      </c>
      <c r="AF522" s="29"/>
      <c r="AG522" s="21" t="str">
        <f t="array" ref="AG522">IF('Ingest Template'!A522="Standard",(CONCATENATE(IF(ISBLANK('Ingest Template'!O522),"", 'Ingest Template'!O522&amp;"|DAR"),CHAR(10), IF(ISBLANK('Ingest Template'!P522),"", 'Ingest Template'!P522&amp;"|DAR"),CHAR(10), IF(ISBLANK('Ingest Template'!Q522),"", 'Ingest Template'!Q522&amp;"|DAR"))),(CONCATENATE(IF(ISBLANK('Ingest Template'!O522),"", 'Ingest Template'!O522&amp;"|Operations - Core Title"),CHAR(10), IF(ISBLANK('Ingest Template'!P522),"", 'Ingest Template'!P522&amp;"|Operations - Core Title"),CHAR(10), IF(ISBLANK('Ingest Template'!Q522),"", 'Ingest Template'!Q522&amp;"|Operations - Core Title"))))</f>
        <v>#|Operations - Core Title
#|Operations - Core Title
</v>
      </c>
      <c r="AH522" s="21"/>
      <c r="AI522" s="21"/>
      <c r="AJ522" s="53" t="str">
        <f>if('Ingest Template'!A522="Standard",'Ingest Template'!N522&amp; "|DAR|DAR|2021-01-01",'Ingest Template'!N522&amp; "|Operations - Core Title|Operations - Core Title")</f>
        <v>#N/A</v>
      </c>
      <c r="AK522" s="53" t="str">
        <f>if('Ingest Template'!A522="Standard",'Ingest Template'!R522&amp; "|2021-01-01",'Ingest Template'!R522)</f>
        <v>#N/A</v>
      </c>
      <c r="AL522" s="21"/>
      <c r="AM522" s="21"/>
    </row>
    <row r="523">
      <c r="A523" s="21"/>
      <c r="B523" s="21" t="str">
        <f>'Ingest Template'!B523&amp;IF('Ingest Template'!A523 = "Standard", " - DAR","")</f>
        <v/>
      </c>
      <c r="C523" s="26" t="s">
        <v>109</v>
      </c>
      <c r="D523" s="29" t="str">
        <f t="array" ref="D523">CONCATENATE(INDEX(DropDown!$H$2:$H$10,MATCH(1,COUNTIF('Ingest Template'!F523,"*"&amp;DropDown!$H$2:$H$10&amp;"*"),0)),CHAR(10),'Ingest Template'!G523)</f>
        <v>#N/A</v>
      </c>
      <c r="E523" s="21" t="str">
        <f>CONCATENATE('Ingest Template'!H523,CHAR(10),'Ingest Template'!I523,CHAR(10),'Ingest Template'!J523)</f>
        <v>
</v>
      </c>
      <c r="F523" s="26" t="str">
        <f>'Ingest Template'!H523</f>
        <v/>
      </c>
      <c r="G523" s="21"/>
      <c r="H523" s="29"/>
      <c r="I523" s="21"/>
      <c r="J523" s="29" t="str">
        <f t="array" ref="J523">iF('Ingest Template'!A523="Standard","Pristine Brand",INDEX(DropDown!$M$2:$M$392,MATCH('Ingest Template'!E523,DropDown!$J$2:$J$392,0)))</f>
        <v>#N/A</v>
      </c>
      <c r="K523" s="21" t="str">
        <f>iF('Ingest Template'!A523="Standard",'Ingest Template'!K523&amp;CHAR(10)&amp;'Ingest Template'!L523,"Competitive View")</f>
        <v>Competitive View</v>
      </c>
      <c r="L523" s="29" t="s">
        <v>146</v>
      </c>
      <c r="M523" s="37" t="str">
        <f>'Ingest Template'!D523</f>
        <v/>
      </c>
      <c r="N523" s="21"/>
      <c r="O523" s="21"/>
      <c r="P523" s="21"/>
      <c r="Q523" s="21"/>
      <c r="R523" s="21" t="str">
        <f>'Ingest Template'!E523</f>
        <v/>
      </c>
      <c r="S523" s="29" t="s">
        <v>153</v>
      </c>
      <c r="T523" s="21" t="str">
        <f>'Ingest Template'!T523</f>
        <v/>
      </c>
      <c r="U523" s="21" t="str">
        <f>'Ingest Template'!S523</f>
        <v/>
      </c>
      <c r="V523" s="21" t="str">
        <f>LOWER(SUBSTITUTE(SUBSTITUTE(SUBSTITUTE(SUBSTITUTE(SUBSTITUTE('Ingest Template'!U523,"https:",""),"www.",""),"/",""),"?hl=en",""),"instagram.com",""))</f>
        <v/>
      </c>
      <c r="W523" s="41" t="str">
        <f t="array" ref="W523">IF('Ingest Template'!V523="",(INDEX(DropDown!$L$2:$L$392,MATCH('Ingest Template'!E523,DropDown!$J$2:$J$392,0))&amp;"|"&amp;'Ingest Template'!B523),(INDEX(DropDown!$L$2:$L$392,MATCH('Ingest Template'!E523,DropDown!$J$2:$J$392,0))&amp;"|"&amp;'Ingest Template'!B523)&amp;CHAR(10)&amp;'Ingest Template'!V523)</f>
        <v>#N/A</v>
      </c>
      <c r="X523" s="41" t="str">
        <f>'Ingest Template'!W523</f>
        <v/>
      </c>
      <c r="Y523" s="21" t="str">
        <f>SUBSTITUTE(SUBSTITUTE(SUBSTITUTE('Ingest Template'!X523,"http:",""),"https:",""),"/","")</f>
        <v/>
      </c>
      <c r="Z523" s="21" t="str">
        <f t="array" ref="Z523">IF('Ingest Template'!A523="Standard",(IF(ISBLANK('Ingest Template'!AA523),"", 'Ingest Template'!AA523&amp;"|DAR")),(IF(ISBLANK('Ingest Template'!AA523),"", 'Ingest Template'!AA523&amp;"|Film Ops")))</f>
        <v/>
      </c>
      <c r="AA523" s="21"/>
      <c r="AB523" s="21" t="str">
        <f>'Ingest Template'!M523</f>
        <v/>
      </c>
      <c r="AC523" s="21" t="str">
        <f>'Ingest Template'!Y523</f>
        <v/>
      </c>
      <c r="AD523" s="21" t="str">
        <f>'Ingest Template'!C523</f>
        <v/>
      </c>
      <c r="AE523" s="21" t="str">
        <f>'Ingest Template'!Z523</f>
        <v/>
      </c>
      <c r="AF523" s="29"/>
      <c r="AG523" s="21" t="str">
        <f t="array" ref="AG523">IF('Ingest Template'!A523="Standard",(CONCATENATE(IF(ISBLANK('Ingest Template'!O523),"", 'Ingest Template'!O523&amp;"|DAR"),CHAR(10), IF(ISBLANK('Ingest Template'!P523),"", 'Ingest Template'!P523&amp;"|DAR"),CHAR(10), IF(ISBLANK('Ingest Template'!Q523),"", 'Ingest Template'!Q523&amp;"|DAR"))),(CONCATENATE(IF(ISBLANK('Ingest Template'!O523),"", 'Ingest Template'!O523&amp;"|Operations - Core Title"),CHAR(10), IF(ISBLANK('Ingest Template'!P523),"", 'Ingest Template'!P523&amp;"|Operations - Core Title"),CHAR(10), IF(ISBLANK('Ingest Template'!Q523),"", 'Ingest Template'!Q523&amp;"|Operations - Core Title"))))</f>
        <v>#|Operations - Core Title
#|Operations - Core Title
</v>
      </c>
      <c r="AH523" s="21"/>
      <c r="AI523" s="21"/>
      <c r="AJ523" s="53" t="str">
        <f>if('Ingest Template'!A523="Standard",'Ingest Template'!N523&amp; "|DAR|DAR|2021-01-01",'Ingest Template'!N523&amp; "|Operations - Core Title|Operations - Core Title")</f>
        <v>#N/A</v>
      </c>
      <c r="AK523" s="53" t="str">
        <f>if('Ingest Template'!A523="Standard",'Ingest Template'!R523&amp; "|2021-01-01",'Ingest Template'!R523)</f>
        <v>#N/A</v>
      </c>
      <c r="AL523" s="21"/>
      <c r="AM523" s="21"/>
    </row>
    <row r="524">
      <c r="A524" s="21"/>
      <c r="B524" s="21" t="str">
        <f>'Ingest Template'!B524&amp;IF('Ingest Template'!A524 = "Standard", " - DAR","")</f>
        <v/>
      </c>
      <c r="C524" s="26" t="s">
        <v>109</v>
      </c>
      <c r="D524" s="29" t="str">
        <f t="array" ref="D524">CONCATENATE(INDEX(DropDown!$H$2:$H$10,MATCH(1,COUNTIF('Ingest Template'!F524,"*"&amp;DropDown!$H$2:$H$10&amp;"*"),0)),CHAR(10),'Ingest Template'!G524)</f>
        <v>#N/A</v>
      </c>
      <c r="E524" s="21" t="str">
        <f>CONCATENATE('Ingest Template'!H524,CHAR(10),'Ingest Template'!I524,CHAR(10),'Ingest Template'!J524)</f>
        <v>
</v>
      </c>
      <c r="F524" s="26" t="str">
        <f>'Ingest Template'!H524</f>
        <v/>
      </c>
      <c r="G524" s="21"/>
      <c r="H524" s="29"/>
      <c r="I524" s="21"/>
      <c r="J524" s="29" t="str">
        <f t="array" ref="J524">iF('Ingest Template'!A524="Standard","Pristine Brand",INDEX(DropDown!$M$2:$M$392,MATCH('Ingest Template'!E524,DropDown!$J$2:$J$392,0)))</f>
        <v>#N/A</v>
      </c>
      <c r="K524" s="21" t="str">
        <f>iF('Ingest Template'!A524="Standard",'Ingest Template'!K524&amp;CHAR(10)&amp;'Ingest Template'!L524,"Competitive View")</f>
        <v>Competitive View</v>
      </c>
      <c r="L524" s="29" t="s">
        <v>146</v>
      </c>
      <c r="M524" s="37" t="str">
        <f>'Ingest Template'!D524</f>
        <v/>
      </c>
      <c r="N524" s="21"/>
      <c r="O524" s="21"/>
      <c r="P524" s="21"/>
      <c r="Q524" s="21"/>
      <c r="R524" s="21" t="str">
        <f>'Ingest Template'!E524</f>
        <v/>
      </c>
      <c r="S524" s="29" t="s">
        <v>153</v>
      </c>
      <c r="T524" s="21" t="str">
        <f>'Ingest Template'!T524</f>
        <v/>
      </c>
      <c r="U524" s="21" t="str">
        <f>'Ingest Template'!S524</f>
        <v/>
      </c>
      <c r="V524" s="21" t="str">
        <f>LOWER(SUBSTITUTE(SUBSTITUTE(SUBSTITUTE(SUBSTITUTE(SUBSTITUTE('Ingest Template'!U524,"https:",""),"www.",""),"/",""),"?hl=en",""),"instagram.com",""))</f>
        <v/>
      </c>
      <c r="W524" s="41" t="str">
        <f t="array" ref="W524">IF('Ingest Template'!V524="",(INDEX(DropDown!$L$2:$L$392,MATCH('Ingest Template'!E524,DropDown!$J$2:$J$392,0))&amp;"|"&amp;'Ingest Template'!B524),(INDEX(DropDown!$L$2:$L$392,MATCH('Ingest Template'!E524,DropDown!$J$2:$J$392,0))&amp;"|"&amp;'Ingest Template'!B524)&amp;CHAR(10)&amp;'Ingest Template'!V524)</f>
        <v>#N/A</v>
      </c>
      <c r="X524" s="41" t="str">
        <f>'Ingest Template'!W524</f>
        <v/>
      </c>
      <c r="Y524" s="21" t="str">
        <f>SUBSTITUTE(SUBSTITUTE(SUBSTITUTE('Ingest Template'!X524,"http:",""),"https:",""),"/","")</f>
        <v/>
      </c>
      <c r="Z524" s="21" t="str">
        <f t="array" ref="Z524">IF('Ingest Template'!A524="Standard",(IF(ISBLANK('Ingest Template'!AA524),"", 'Ingest Template'!AA524&amp;"|DAR")),(IF(ISBLANK('Ingest Template'!AA524),"", 'Ingest Template'!AA524&amp;"|Film Ops")))</f>
        <v/>
      </c>
      <c r="AA524" s="21"/>
      <c r="AB524" s="21" t="str">
        <f>'Ingest Template'!M524</f>
        <v/>
      </c>
      <c r="AC524" s="21" t="str">
        <f>'Ingest Template'!Y524</f>
        <v/>
      </c>
      <c r="AD524" s="21" t="str">
        <f>'Ingest Template'!C524</f>
        <v/>
      </c>
      <c r="AE524" s="21" t="str">
        <f>'Ingest Template'!Z524</f>
        <v/>
      </c>
      <c r="AF524" s="29"/>
      <c r="AG524" s="21" t="str">
        <f t="array" ref="AG524">IF('Ingest Template'!A524="Standard",(CONCATENATE(IF(ISBLANK('Ingest Template'!O524),"", 'Ingest Template'!O524&amp;"|DAR"),CHAR(10), IF(ISBLANK('Ingest Template'!P524),"", 'Ingest Template'!P524&amp;"|DAR"),CHAR(10), IF(ISBLANK('Ingest Template'!Q524),"", 'Ingest Template'!Q524&amp;"|DAR"))),(CONCATENATE(IF(ISBLANK('Ingest Template'!O524),"", 'Ingest Template'!O524&amp;"|Operations - Core Title"),CHAR(10), IF(ISBLANK('Ingest Template'!P524),"", 'Ingest Template'!P524&amp;"|Operations - Core Title"),CHAR(10), IF(ISBLANK('Ingest Template'!Q524),"", 'Ingest Template'!Q524&amp;"|Operations - Core Title"))))</f>
        <v>#|Operations - Core Title
#|Operations - Core Title
</v>
      </c>
      <c r="AH524" s="21"/>
      <c r="AI524" s="21"/>
      <c r="AJ524" s="53" t="str">
        <f>if('Ingest Template'!A524="Standard",'Ingest Template'!N524&amp; "|DAR|DAR|2021-01-01",'Ingest Template'!N524&amp; "|Operations - Core Title|Operations - Core Title")</f>
        <v>#N/A</v>
      </c>
      <c r="AK524" s="53" t="str">
        <f>if('Ingest Template'!A524="Standard",'Ingest Template'!R524&amp; "|2021-01-01",'Ingest Template'!R524)</f>
        <v>#N/A</v>
      </c>
      <c r="AL524" s="21"/>
      <c r="AM524" s="21"/>
    </row>
    <row r="525">
      <c r="A525" s="21"/>
      <c r="B525" s="21" t="str">
        <f>'Ingest Template'!B525&amp;IF('Ingest Template'!A525 = "Standard", " - DAR","")</f>
        <v/>
      </c>
      <c r="C525" s="26" t="s">
        <v>109</v>
      </c>
      <c r="D525" s="29" t="str">
        <f t="array" ref="D525">CONCATENATE(INDEX(DropDown!$H$2:$H$10,MATCH(1,COUNTIF('Ingest Template'!F525,"*"&amp;DropDown!$H$2:$H$10&amp;"*"),0)),CHAR(10),'Ingest Template'!G525)</f>
        <v>#N/A</v>
      </c>
      <c r="E525" s="21" t="str">
        <f>CONCATENATE('Ingest Template'!H525,CHAR(10),'Ingest Template'!I525,CHAR(10),'Ingest Template'!J525)</f>
        <v>
</v>
      </c>
      <c r="F525" s="26" t="str">
        <f>'Ingest Template'!H525</f>
        <v/>
      </c>
      <c r="G525" s="21"/>
      <c r="H525" s="29"/>
      <c r="I525" s="21"/>
      <c r="J525" s="29" t="str">
        <f t="array" ref="J525">iF('Ingest Template'!A525="Standard","Pristine Brand",INDEX(DropDown!$M$2:$M$392,MATCH('Ingest Template'!E525,DropDown!$J$2:$J$392,0)))</f>
        <v>#N/A</v>
      </c>
      <c r="K525" s="21" t="str">
        <f>iF('Ingest Template'!A525="Standard",'Ingest Template'!K525&amp;CHAR(10)&amp;'Ingest Template'!L525,"Competitive View")</f>
        <v>Competitive View</v>
      </c>
      <c r="L525" s="29" t="s">
        <v>146</v>
      </c>
      <c r="M525" s="37" t="str">
        <f>'Ingest Template'!D525</f>
        <v/>
      </c>
      <c r="N525" s="21"/>
      <c r="O525" s="21"/>
      <c r="P525" s="21"/>
      <c r="Q525" s="21"/>
      <c r="R525" s="21" t="str">
        <f>'Ingest Template'!E525</f>
        <v/>
      </c>
      <c r="S525" s="29" t="s">
        <v>153</v>
      </c>
      <c r="T525" s="21" t="str">
        <f>'Ingest Template'!T525</f>
        <v/>
      </c>
      <c r="U525" s="21" t="str">
        <f>'Ingest Template'!S525</f>
        <v/>
      </c>
      <c r="V525" s="21" t="str">
        <f>LOWER(SUBSTITUTE(SUBSTITUTE(SUBSTITUTE(SUBSTITUTE(SUBSTITUTE('Ingest Template'!U525,"https:",""),"www.",""),"/",""),"?hl=en",""),"instagram.com",""))</f>
        <v/>
      </c>
      <c r="W525" s="41" t="str">
        <f t="array" ref="W525">IF('Ingest Template'!V525="",(INDEX(DropDown!$L$2:$L$392,MATCH('Ingest Template'!E525,DropDown!$J$2:$J$392,0))&amp;"|"&amp;'Ingest Template'!B525),(INDEX(DropDown!$L$2:$L$392,MATCH('Ingest Template'!E525,DropDown!$J$2:$J$392,0))&amp;"|"&amp;'Ingest Template'!B525)&amp;CHAR(10)&amp;'Ingest Template'!V525)</f>
        <v>#N/A</v>
      </c>
      <c r="X525" s="41" t="str">
        <f>'Ingest Template'!W525</f>
        <v/>
      </c>
      <c r="Y525" s="21" t="str">
        <f>SUBSTITUTE(SUBSTITUTE(SUBSTITUTE('Ingest Template'!X525,"http:",""),"https:",""),"/","")</f>
        <v/>
      </c>
      <c r="Z525" s="21" t="str">
        <f t="array" ref="Z525">IF('Ingest Template'!A525="Standard",(IF(ISBLANK('Ingest Template'!AA525),"", 'Ingest Template'!AA525&amp;"|DAR")),(IF(ISBLANK('Ingest Template'!AA525),"", 'Ingest Template'!AA525&amp;"|Film Ops")))</f>
        <v/>
      </c>
      <c r="AA525" s="21"/>
      <c r="AB525" s="21" t="str">
        <f>'Ingest Template'!M525</f>
        <v/>
      </c>
      <c r="AC525" s="21" t="str">
        <f>'Ingest Template'!Y525</f>
        <v/>
      </c>
      <c r="AD525" s="21" t="str">
        <f>'Ingest Template'!C525</f>
        <v/>
      </c>
      <c r="AE525" s="21" t="str">
        <f>'Ingest Template'!Z525</f>
        <v/>
      </c>
      <c r="AF525" s="29"/>
      <c r="AG525" s="21" t="str">
        <f t="array" ref="AG525">IF('Ingest Template'!A525="Standard",(CONCATENATE(IF(ISBLANK('Ingest Template'!O525),"", 'Ingest Template'!O525&amp;"|DAR"),CHAR(10), IF(ISBLANK('Ingest Template'!P525),"", 'Ingest Template'!P525&amp;"|DAR"),CHAR(10), IF(ISBLANK('Ingest Template'!Q525),"", 'Ingest Template'!Q525&amp;"|DAR"))),(CONCATENATE(IF(ISBLANK('Ingest Template'!O525),"", 'Ingest Template'!O525&amp;"|Operations - Core Title"),CHAR(10), IF(ISBLANK('Ingest Template'!P525),"", 'Ingest Template'!P525&amp;"|Operations - Core Title"),CHAR(10), IF(ISBLANK('Ingest Template'!Q525),"", 'Ingest Template'!Q525&amp;"|Operations - Core Title"))))</f>
        <v>#|Operations - Core Title
#|Operations - Core Title
</v>
      </c>
      <c r="AH525" s="21"/>
      <c r="AI525" s="21"/>
      <c r="AJ525" s="53" t="str">
        <f>if('Ingest Template'!A525="Standard",'Ingest Template'!N525&amp; "|DAR|DAR|2021-01-01",'Ingest Template'!N525&amp; "|Operations - Core Title|Operations - Core Title")</f>
        <v>#N/A</v>
      </c>
      <c r="AK525" s="53" t="str">
        <f>if('Ingest Template'!A525="Standard",'Ingest Template'!R525&amp; "|2021-01-01",'Ingest Template'!R525)</f>
        <v>#N/A</v>
      </c>
      <c r="AL525" s="21"/>
      <c r="AM525" s="21"/>
    </row>
    <row r="526">
      <c r="A526" s="21"/>
      <c r="B526" s="21" t="str">
        <f>'Ingest Template'!B526&amp;IF('Ingest Template'!A526 = "Standard", " - DAR","")</f>
        <v/>
      </c>
      <c r="C526" s="26" t="s">
        <v>109</v>
      </c>
      <c r="D526" s="29" t="str">
        <f t="array" ref="D526">CONCATENATE(INDEX(DropDown!$H$2:$H$10,MATCH(1,COUNTIF('Ingest Template'!F526,"*"&amp;DropDown!$H$2:$H$10&amp;"*"),0)),CHAR(10),'Ingest Template'!G526)</f>
        <v>#N/A</v>
      </c>
      <c r="E526" s="21" t="str">
        <f>CONCATENATE('Ingest Template'!H526,CHAR(10),'Ingest Template'!I526,CHAR(10),'Ingest Template'!J526)</f>
        <v>
</v>
      </c>
      <c r="F526" s="26" t="str">
        <f>'Ingest Template'!H526</f>
        <v/>
      </c>
      <c r="G526" s="21"/>
      <c r="H526" s="29"/>
      <c r="I526" s="21"/>
      <c r="J526" s="29" t="str">
        <f t="array" ref="J526">iF('Ingest Template'!A526="Standard","Pristine Brand",INDEX(DropDown!$M$2:$M$392,MATCH('Ingest Template'!E526,DropDown!$J$2:$J$392,0)))</f>
        <v>#N/A</v>
      </c>
      <c r="K526" s="21" t="str">
        <f>iF('Ingest Template'!A526="Standard",'Ingest Template'!K526&amp;CHAR(10)&amp;'Ingest Template'!L526,"Competitive View")</f>
        <v>Competitive View</v>
      </c>
      <c r="L526" s="29" t="s">
        <v>146</v>
      </c>
      <c r="M526" s="37" t="str">
        <f>'Ingest Template'!D526</f>
        <v/>
      </c>
      <c r="N526" s="21"/>
      <c r="O526" s="21"/>
      <c r="P526" s="21"/>
      <c r="Q526" s="21"/>
      <c r="R526" s="21" t="str">
        <f>'Ingest Template'!E526</f>
        <v/>
      </c>
      <c r="S526" s="29" t="s">
        <v>153</v>
      </c>
      <c r="T526" s="21" t="str">
        <f>'Ingest Template'!T526</f>
        <v/>
      </c>
      <c r="U526" s="21" t="str">
        <f>'Ingest Template'!S526</f>
        <v/>
      </c>
      <c r="V526" s="21" t="str">
        <f>LOWER(SUBSTITUTE(SUBSTITUTE(SUBSTITUTE(SUBSTITUTE(SUBSTITUTE('Ingest Template'!U526,"https:",""),"www.",""),"/",""),"?hl=en",""),"instagram.com",""))</f>
        <v/>
      </c>
      <c r="W526" s="41" t="str">
        <f t="array" ref="W526">IF('Ingest Template'!V526="",(INDEX(DropDown!$L$2:$L$392,MATCH('Ingest Template'!E526,DropDown!$J$2:$J$392,0))&amp;"|"&amp;'Ingest Template'!B526),(INDEX(DropDown!$L$2:$L$392,MATCH('Ingest Template'!E526,DropDown!$J$2:$J$392,0))&amp;"|"&amp;'Ingest Template'!B526)&amp;CHAR(10)&amp;'Ingest Template'!V526)</f>
        <v>#N/A</v>
      </c>
      <c r="X526" s="41" t="str">
        <f>'Ingest Template'!W526</f>
        <v/>
      </c>
      <c r="Y526" s="21" t="str">
        <f>SUBSTITUTE(SUBSTITUTE(SUBSTITUTE('Ingest Template'!X526,"http:",""),"https:",""),"/","")</f>
        <v/>
      </c>
      <c r="Z526" s="21" t="str">
        <f t="array" ref="Z526">IF('Ingest Template'!A526="Standard",(IF(ISBLANK('Ingest Template'!AA526),"", 'Ingest Template'!AA526&amp;"|DAR")),(IF(ISBLANK('Ingest Template'!AA526),"", 'Ingest Template'!AA526&amp;"|Film Ops")))</f>
        <v/>
      </c>
      <c r="AA526" s="21"/>
      <c r="AB526" s="21" t="str">
        <f>'Ingest Template'!M526</f>
        <v/>
      </c>
      <c r="AC526" s="21" t="str">
        <f>'Ingest Template'!Y526</f>
        <v/>
      </c>
      <c r="AD526" s="21" t="str">
        <f>'Ingest Template'!C526</f>
        <v/>
      </c>
      <c r="AE526" s="21" t="str">
        <f>'Ingest Template'!Z526</f>
        <v/>
      </c>
      <c r="AF526" s="29"/>
      <c r="AG526" s="21" t="str">
        <f t="array" ref="AG526">IF('Ingest Template'!A526="Standard",(CONCATENATE(IF(ISBLANK('Ingest Template'!O526),"", 'Ingest Template'!O526&amp;"|DAR"),CHAR(10), IF(ISBLANK('Ingest Template'!P526),"", 'Ingest Template'!P526&amp;"|DAR"),CHAR(10), IF(ISBLANK('Ingest Template'!Q526),"", 'Ingest Template'!Q526&amp;"|DAR"))),(CONCATENATE(IF(ISBLANK('Ingest Template'!O526),"", 'Ingest Template'!O526&amp;"|Operations - Core Title"),CHAR(10), IF(ISBLANK('Ingest Template'!P526),"", 'Ingest Template'!P526&amp;"|Operations - Core Title"),CHAR(10), IF(ISBLANK('Ingest Template'!Q526),"", 'Ingest Template'!Q526&amp;"|Operations - Core Title"))))</f>
        <v>#|Operations - Core Title
#|Operations - Core Title
</v>
      </c>
      <c r="AH526" s="21"/>
      <c r="AI526" s="21"/>
      <c r="AJ526" s="53" t="str">
        <f>if('Ingest Template'!A526="Standard",'Ingest Template'!N526&amp; "|DAR|DAR|2021-01-01",'Ingest Template'!N526&amp; "|Operations - Core Title|Operations - Core Title")</f>
        <v>#N/A</v>
      </c>
      <c r="AK526" s="53" t="str">
        <f>if('Ingest Template'!A526="Standard",'Ingest Template'!R526&amp; "|2021-01-01",'Ingest Template'!R526)</f>
        <v>#N/A</v>
      </c>
      <c r="AL526" s="21"/>
      <c r="AM526" s="21"/>
    </row>
    <row r="527">
      <c r="A527" s="21"/>
      <c r="B527" s="21" t="str">
        <f>'Ingest Template'!B527&amp;IF('Ingest Template'!A527 = "Standard", " - DAR","")</f>
        <v/>
      </c>
      <c r="C527" s="26" t="s">
        <v>109</v>
      </c>
      <c r="D527" s="29" t="str">
        <f t="array" ref="D527">CONCATENATE(INDEX(DropDown!$H$2:$H$10,MATCH(1,COUNTIF('Ingest Template'!F527,"*"&amp;DropDown!$H$2:$H$10&amp;"*"),0)),CHAR(10),'Ingest Template'!G527)</f>
        <v>#N/A</v>
      </c>
      <c r="E527" s="21" t="str">
        <f>CONCATENATE('Ingest Template'!H527,CHAR(10),'Ingest Template'!I527,CHAR(10),'Ingest Template'!J527)</f>
        <v>
</v>
      </c>
      <c r="F527" s="26" t="str">
        <f>'Ingest Template'!H527</f>
        <v/>
      </c>
      <c r="G527" s="21"/>
      <c r="H527" s="29"/>
      <c r="I527" s="21"/>
      <c r="J527" s="29" t="str">
        <f t="array" ref="J527">iF('Ingest Template'!A527="Standard","Pristine Brand",INDEX(DropDown!$M$2:$M$392,MATCH('Ingest Template'!E527,DropDown!$J$2:$J$392,0)))</f>
        <v>#N/A</v>
      </c>
      <c r="K527" s="21" t="str">
        <f>iF('Ingest Template'!A527="Standard",'Ingest Template'!K527&amp;CHAR(10)&amp;'Ingest Template'!L527,"Competitive View")</f>
        <v>Competitive View</v>
      </c>
      <c r="L527" s="29" t="s">
        <v>146</v>
      </c>
      <c r="M527" s="37" t="str">
        <f>'Ingest Template'!D527</f>
        <v/>
      </c>
      <c r="N527" s="21"/>
      <c r="O527" s="21"/>
      <c r="P527" s="21"/>
      <c r="Q527" s="21"/>
      <c r="R527" s="21" t="str">
        <f>'Ingest Template'!E527</f>
        <v/>
      </c>
      <c r="S527" s="29" t="s">
        <v>153</v>
      </c>
      <c r="T527" s="21" t="str">
        <f>'Ingest Template'!T527</f>
        <v/>
      </c>
      <c r="U527" s="21" t="str">
        <f>'Ingest Template'!S527</f>
        <v/>
      </c>
      <c r="V527" s="21" t="str">
        <f>LOWER(SUBSTITUTE(SUBSTITUTE(SUBSTITUTE(SUBSTITUTE(SUBSTITUTE('Ingest Template'!U527,"https:",""),"www.",""),"/",""),"?hl=en",""),"instagram.com",""))</f>
        <v/>
      </c>
      <c r="W527" s="41" t="str">
        <f t="array" ref="W527">IF('Ingest Template'!V527="",(INDEX(DropDown!$L$2:$L$392,MATCH('Ingest Template'!E527,DropDown!$J$2:$J$392,0))&amp;"|"&amp;'Ingest Template'!B527),(INDEX(DropDown!$L$2:$L$392,MATCH('Ingest Template'!E527,DropDown!$J$2:$J$392,0))&amp;"|"&amp;'Ingest Template'!B527)&amp;CHAR(10)&amp;'Ingest Template'!V527)</f>
        <v>#N/A</v>
      </c>
      <c r="X527" s="41" t="str">
        <f>'Ingest Template'!W527</f>
        <v/>
      </c>
      <c r="Y527" s="21" t="str">
        <f>SUBSTITUTE(SUBSTITUTE(SUBSTITUTE('Ingest Template'!X527,"http:",""),"https:",""),"/","")</f>
        <v/>
      </c>
      <c r="Z527" s="21" t="str">
        <f t="array" ref="Z527">IF('Ingest Template'!A527="Standard",(IF(ISBLANK('Ingest Template'!AA527),"", 'Ingest Template'!AA527&amp;"|DAR")),(IF(ISBLANK('Ingest Template'!AA527),"", 'Ingest Template'!AA527&amp;"|Film Ops")))</f>
        <v/>
      </c>
      <c r="AA527" s="21"/>
      <c r="AB527" s="21" t="str">
        <f>'Ingest Template'!M527</f>
        <v/>
      </c>
      <c r="AC527" s="21" t="str">
        <f>'Ingest Template'!Y527</f>
        <v/>
      </c>
      <c r="AD527" s="21" t="str">
        <f>'Ingest Template'!C527</f>
        <v/>
      </c>
      <c r="AE527" s="21" t="str">
        <f>'Ingest Template'!Z527</f>
        <v/>
      </c>
      <c r="AF527" s="29"/>
      <c r="AG527" s="21" t="str">
        <f t="array" ref="AG527">IF('Ingest Template'!A527="Standard",(CONCATENATE(IF(ISBLANK('Ingest Template'!O527),"", 'Ingest Template'!O527&amp;"|DAR"),CHAR(10), IF(ISBLANK('Ingest Template'!P527),"", 'Ingest Template'!P527&amp;"|DAR"),CHAR(10), IF(ISBLANK('Ingest Template'!Q527),"", 'Ingest Template'!Q527&amp;"|DAR"))),(CONCATENATE(IF(ISBLANK('Ingest Template'!O527),"", 'Ingest Template'!O527&amp;"|Operations - Core Title"),CHAR(10), IF(ISBLANK('Ingest Template'!P527),"", 'Ingest Template'!P527&amp;"|Operations - Core Title"),CHAR(10), IF(ISBLANK('Ingest Template'!Q527),"", 'Ingest Template'!Q527&amp;"|Operations - Core Title"))))</f>
        <v>#|Operations - Core Title
#|Operations - Core Title
</v>
      </c>
      <c r="AH527" s="21"/>
      <c r="AI527" s="21"/>
      <c r="AJ527" s="53" t="str">
        <f>if('Ingest Template'!A527="Standard",'Ingest Template'!N527&amp; "|DAR|DAR|2021-01-01",'Ingest Template'!N527&amp; "|Operations - Core Title|Operations - Core Title")</f>
        <v>#N/A</v>
      </c>
      <c r="AK527" s="53" t="str">
        <f>if('Ingest Template'!A527="Standard",'Ingest Template'!R527&amp; "|2021-01-01",'Ingest Template'!R527)</f>
        <v>#N/A</v>
      </c>
      <c r="AL527" s="21"/>
      <c r="AM527" s="21"/>
    </row>
    <row r="528">
      <c r="A528" s="21"/>
      <c r="B528" s="21" t="str">
        <f>'Ingest Template'!B528&amp;IF('Ingest Template'!A528 = "Standard", " - DAR","")</f>
        <v/>
      </c>
      <c r="C528" s="26" t="s">
        <v>109</v>
      </c>
      <c r="D528" s="29" t="str">
        <f t="array" ref="D528">CONCATENATE(INDEX(DropDown!$H$2:$H$10,MATCH(1,COUNTIF('Ingest Template'!F528,"*"&amp;DropDown!$H$2:$H$10&amp;"*"),0)),CHAR(10),'Ingest Template'!G528)</f>
        <v>#N/A</v>
      </c>
      <c r="E528" s="21" t="str">
        <f>CONCATENATE('Ingest Template'!H528,CHAR(10),'Ingest Template'!I528,CHAR(10),'Ingest Template'!J528)</f>
        <v>
</v>
      </c>
      <c r="F528" s="26" t="str">
        <f>'Ingest Template'!H528</f>
        <v/>
      </c>
      <c r="G528" s="21"/>
      <c r="H528" s="29"/>
      <c r="I528" s="21"/>
      <c r="J528" s="29" t="str">
        <f t="array" ref="J528">iF('Ingest Template'!A528="Standard","Pristine Brand",INDEX(DropDown!$M$2:$M$392,MATCH('Ingest Template'!E528,DropDown!$J$2:$J$392,0)))</f>
        <v>#N/A</v>
      </c>
      <c r="K528" s="21" t="str">
        <f>iF('Ingest Template'!A528="Standard",'Ingest Template'!K528&amp;CHAR(10)&amp;'Ingest Template'!L528,"Competitive View")</f>
        <v>Competitive View</v>
      </c>
      <c r="L528" s="29" t="s">
        <v>146</v>
      </c>
      <c r="M528" s="37" t="str">
        <f>'Ingest Template'!D528</f>
        <v/>
      </c>
      <c r="N528" s="21"/>
      <c r="O528" s="21"/>
      <c r="P528" s="21"/>
      <c r="Q528" s="21"/>
      <c r="R528" s="21" t="str">
        <f>'Ingest Template'!E528</f>
        <v/>
      </c>
      <c r="S528" s="29" t="s">
        <v>153</v>
      </c>
      <c r="T528" s="21" t="str">
        <f>'Ingest Template'!T528</f>
        <v/>
      </c>
      <c r="U528" s="21" t="str">
        <f>'Ingest Template'!S528</f>
        <v/>
      </c>
      <c r="V528" s="21" t="str">
        <f>LOWER(SUBSTITUTE(SUBSTITUTE(SUBSTITUTE(SUBSTITUTE(SUBSTITUTE('Ingest Template'!U528,"https:",""),"www.",""),"/",""),"?hl=en",""),"instagram.com",""))</f>
        <v/>
      </c>
      <c r="W528" s="41" t="str">
        <f t="array" ref="W528">IF('Ingest Template'!V528="",(INDEX(DropDown!$L$2:$L$392,MATCH('Ingest Template'!E528,DropDown!$J$2:$J$392,0))&amp;"|"&amp;'Ingest Template'!B528),(INDEX(DropDown!$L$2:$L$392,MATCH('Ingest Template'!E528,DropDown!$J$2:$J$392,0))&amp;"|"&amp;'Ingest Template'!B528)&amp;CHAR(10)&amp;'Ingest Template'!V528)</f>
        <v>#N/A</v>
      </c>
      <c r="X528" s="41" t="str">
        <f>'Ingest Template'!W528</f>
        <v/>
      </c>
      <c r="Y528" s="21" t="str">
        <f>SUBSTITUTE(SUBSTITUTE(SUBSTITUTE('Ingest Template'!X528,"http:",""),"https:",""),"/","")</f>
        <v/>
      </c>
      <c r="Z528" s="21" t="str">
        <f t="array" ref="Z528">IF('Ingest Template'!A528="Standard",(IF(ISBLANK('Ingest Template'!AA528),"", 'Ingest Template'!AA528&amp;"|DAR")),(IF(ISBLANK('Ingest Template'!AA528),"", 'Ingest Template'!AA528&amp;"|Film Ops")))</f>
        <v/>
      </c>
      <c r="AA528" s="21"/>
      <c r="AB528" s="21" t="str">
        <f>'Ingest Template'!M528</f>
        <v/>
      </c>
      <c r="AC528" s="21" t="str">
        <f>'Ingest Template'!Y528</f>
        <v/>
      </c>
      <c r="AD528" s="21" t="str">
        <f>'Ingest Template'!C528</f>
        <v/>
      </c>
      <c r="AE528" s="21" t="str">
        <f>'Ingest Template'!Z528</f>
        <v/>
      </c>
      <c r="AF528" s="29"/>
      <c r="AG528" s="21" t="str">
        <f t="array" ref="AG528">IF('Ingest Template'!A528="Standard",(CONCATENATE(IF(ISBLANK('Ingest Template'!O528),"", 'Ingest Template'!O528&amp;"|DAR"),CHAR(10), IF(ISBLANK('Ingest Template'!P528),"", 'Ingest Template'!P528&amp;"|DAR"),CHAR(10), IF(ISBLANK('Ingest Template'!Q528),"", 'Ingest Template'!Q528&amp;"|DAR"))),(CONCATENATE(IF(ISBLANK('Ingest Template'!O528),"", 'Ingest Template'!O528&amp;"|Operations - Core Title"),CHAR(10), IF(ISBLANK('Ingest Template'!P528),"", 'Ingest Template'!P528&amp;"|Operations - Core Title"),CHAR(10), IF(ISBLANK('Ingest Template'!Q528),"", 'Ingest Template'!Q528&amp;"|Operations - Core Title"))))</f>
        <v>#|Operations - Core Title
#|Operations - Core Title
</v>
      </c>
      <c r="AH528" s="21"/>
      <c r="AI528" s="21"/>
      <c r="AJ528" s="53" t="str">
        <f>if('Ingest Template'!A528="Standard",'Ingest Template'!N528&amp; "|DAR|DAR|2021-01-01",'Ingest Template'!N528&amp; "|Operations - Core Title|Operations - Core Title")</f>
        <v>#N/A</v>
      </c>
      <c r="AK528" s="53" t="str">
        <f>if('Ingest Template'!A528="Standard",'Ingest Template'!R528&amp; "|2021-01-01",'Ingest Template'!R528)</f>
        <v>#N/A</v>
      </c>
      <c r="AL528" s="21"/>
      <c r="AM528" s="21"/>
    </row>
    <row r="529">
      <c r="A529" s="21"/>
      <c r="B529" s="21" t="str">
        <f>'Ingest Template'!B529&amp;IF('Ingest Template'!A529 = "Standard", " - DAR","")</f>
        <v/>
      </c>
      <c r="C529" s="26" t="s">
        <v>109</v>
      </c>
      <c r="D529" s="29" t="str">
        <f t="array" ref="D529">CONCATENATE(INDEX(DropDown!$H$2:$H$10,MATCH(1,COUNTIF('Ingest Template'!F529,"*"&amp;DropDown!$H$2:$H$10&amp;"*"),0)),CHAR(10),'Ingest Template'!G529)</f>
        <v>#N/A</v>
      </c>
      <c r="E529" s="21" t="str">
        <f>CONCATENATE('Ingest Template'!H529,CHAR(10),'Ingest Template'!I529,CHAR(10),'Ingest Template'!J529)</f>
        <v>
</v>
      </c>
      <c r="F529" s="26" t="str">
        <f>'Ingest Template'!H529</f>
        <v/>
      </c>
      <c r="G529" s="21"/>
      <c r="H529" s="29"/>
      <c r="I529" s="21"/>
      <c r="J529" s="29" t="str">
        <f t="array" ref="J529">iF('Ingest Template'!A529="Standard","Pristine Brand",INDEX(DropDown!$M$2:$M$392,MATCH('Ingest Template'!E529,DropDown!$J$2:$J$392,0)))</f>
        <v>#N/A</v>
      </c>
      <c r="K529" s="21" t="str">
        <f>iF('Ingest Template'!A529="Standard",'Ingest Template'!K529&amp;CHAR(10)&amp;'Ingest Template'!L529,"Competitive View")</f>
        <v>Competitive View</v>
      </c>
      <c r="L529" s="29" t="s">
        <v>146</v>
      </c>
      <c r="M529" s="37" t="str">
        <f>'Ingest Template'!D529</f>
        <v/>
      </c>
      <c r="N529" s="21"/>
      <c r="O529" s="21"/>
      <c r="P529" s="21"/>
      <c r="Q529" s="21"/>
      <c r="R529" s="21" t="str">
        <f>'Ingest Template'!E529</f>
        <v/>
      </c>
      <c r="S529" s="29" t="s">
        <v>153</v>
      </c>
      <c r="T529" s="21" t="str">
        <f>'Ingest Template'!T529</f>
        <v/>
      </c>
      <c r="U529" s="21" t="str">
        <f>'Ingest Template'!S529</f>
        <v/>
      </c>
      <c r="V529" s="21" t="str">
        <f>LOWER(SUBSTITUTE(SUBSTITUTE(SUBSTITUTE(SUBSTITUTE(SUBSTITUTE('Ingest Template'!U529,"https:",""),"www.",""),"/",""),"?hl=en",""),"instagram.com",""))</f>
        <v/>
      </c>
      <c r="W529" s="41" t="str">
        <f t="array" ref="W529">IF('Ingest Template'!V529="",(INDEX(DropDown!$L$2:$L$392,MATCH('Ingest Template'!E529,DropDown!$J$2:$J$392,0))&amp;"|"&amp;'Ingest Template'!B529),(INDEX(DropDown!$L$2:$L$392,MATCH('Ingest Template'!E529,DropDown!$J$2:$J$392,0))&amp;"|"&amp;'Ingest Template'!B529)&amp;CHAR(10)&amp;'Ingest Template'!V529)</f>
        <v>#N/A</v>
      </c>
      <c r="X529" s="41" t="str">
        <f>'Ingest Template'!W529</f>
        <v/>
      </c>
      <c r="Y529" s="21" t="str">
        <f>SUBSTITUTE(SUBSTITUTE(SUBSTITUTE('Ingest Template'!X529,"http:",""),"https:",""),"/","")</f>
        <v/>
      </c>
      <c r="Z529" s="21" t="str">
        <f t="array" ref="Z529">IF('Ingest Template'!A529="Standard",(IF(ISBLANK('Ingest Template'!AA529),"", 'Ingest Template'!AA529&amp;"|DAR")),(IF(ISBLANK('Ingest Template'!AA529),"", 'Ingest Template'!AA529&amp;"|Film Ops")))</f>
        <v/>
      </c>
      <c r="AA529" s="21"/>
      <c r="AB529" s="21" t="str">
        <f>'Ingest Template'!M529</f>
        <v/>
      </c>
      <c r="AC529" s="21" t="str">
        <f>'Ingest Template'!Y529</f>
        <v/>
      </c>
      <c r="AD529" s="21" t="str">
        <f>'Ingest Template'!C529</f>
        <v/>
      </c>
      <c r="AE529" s="21" t="str">
        <f>'Ingest Template'!Z529</f>
        <v/>
      </c>
      <c r="AF529" s="29"/>
      <c r="AG529" s="21" t="str">
        <f t="array" ref="AG529">IF('Ingest Template'!A529="Standard",(CONCATENATE(IF(ISBLANK('Ingest Template'!O529),"", 'Ingest Template'!O529&amp;"|DAR"),CHAR(10), IF(ISBLANK('Ingest Template'!P529),"", 'Ingest Template'!P529&amp;"|DAR"),CHAR(10), IF(ISBLANK('Ingest Template'!Q529),"", 'Ingest Template'!Q529&amp;"|DAR"))),(CONCATENATE(IF(ISBLANK('Ingest Template'!O529),"", 'Ingest Template'!O529&amp;"|Operations - Core Title"),CHAR(10), IF(ISBLANK('Ingest Template'!P529),"", 'Ingest Template'!P529&amp;"|Operations - Core Title"),CHAR(10), IF(ISBLANK('Ingest Template'!Q529),"", 'Ingest Template'!Q529&amp;"|Operations - Core Title"))))</f>
        <v>#|Operations - Core Title
#|Operations - Core Title
</v>
      </c>
      <c r="AH529" s="21"/>
      <c r="AI529" s="21"/>
      <c r="AJ529" s="53" t="str">
        <f>if('Ingest Template'!A529="Standard",'Ingest Template'!N529&amp; "|DAR|DAR|2021-01-01",'Ingest Template'!N529&amp; "|Operations - Core Title|Operations - Core Title")</f>
        <v>#N/A</v>
      </c>
      <c r="AK529" s="53" t="str">
        <f>if('Ingest Template'!A529="Standard",'Ingest Template'!R529&amp; "|2021-01-01",'Ingest Template'!R529)</f>
        <v>#N/A</v>
      </c>
      <c r="AL529" s="21"/>
      <c r="AM529" s="21"/>
    </row>
    <row r="530">
      <c r="A530" s="21"/>
      <c r="B530" s="21" t="str">
        <f>'Ingest Template'!B530&amp;IF('Ingest Template'!A530 = "Standard", " - DAR","")</f>
        <v/>
      </c>
      <c r="C530" s="26" t="s">
        <v>109</v>
      </c>
      <c r="D530" s="29" t="str">
        <f t="array" ref="D530">CONCATENATE(INDEX(DropDown!$H$2:$H$10,MATCH(1,COUNTIF('Ingest Template'!F530,"*"&amp;DropDown!$H$2:$H$10&amp;"*"),0)),CHAR(10),'Ingest Template'!G530)</f>
        <v>#N/A</v>
      </c>
      <c r="E530" s="21" t="str">
        <f>CONCATENATE('Ingest Template'!H530,CHAR(10),'Ingest Template'!I530,CHAR(10),'Ingest Template'!J530)</f>
        <v>
</v>
      </c>
      <c r="F530" s="26" t="str">
        <f>'Ingest Template'!H530</f>
        <v/>
      </c>
      <c r="G530" s="21"/>
      <c r="H530" s="29"/>
      <c r="I530" s="21"/>
      <c r="J530" s="29" t="str">
        <f t="array" ref="J530">iF('Ingest Template'!A530="Standard","Pristine Brand",INDEX(DropDown!$M$2:$M$392,MATCH('Ingest Template'!E530,DropDown!$J$2:$J$392,0)))</f>
        <v>#N/A</v>
      </c>
      <c r="K530" s="21" t="str">
        <f>iF('Ingest Template'!A530="Standard",'Ingest Template'!K530&amp;CHAR(10)&amp;'Ingest Template'!L530,"Competitive View")</f>
        <v>Competitive View</v>
      </c>
      <c r="L530" s="29" t="s">
        <v>146</v>
      </c>
      <c r="M530" s="37" t="str">
        <f>'Ingest Template'!D530</f>
        <v/>
      </c>
      <c r="N530" s="21"/>
      <c r="O530" s="21"/>
      <c r="P530" s="21"/>
      <c r="Q530" s="21"/>
      <c r="R530" s="21" t="str">
        <f>'Ingest Template'!E530</f>
        <v/>
      </c>
      <c r="S530" s="29" t="s">
        <v>153</v>
      </c>
      <c r="T530" s="21" t="str">
        <f>'Ingest Template'!T530</f>
        <v/>
      </c>
      <c r="U530" s="21" t="str">
        <f>'Ingest Template'!S530</f>
        <v/>
      </c>
      <c r="V530" s="21" t="str">
        <f>LOWER(SUBSTITUTE(SUBSTITUTE(SUBSTITUTE(SUBSTITUTE(SUBSTITUTE('Ingest Template'!U530,"https:",""),"www.",""),"/",""),"?hl=en",""),"instagram.com",""))</f>
        <v/>
      </c>
      <c r="W530" s="41" t="str">
        <f t="array" ref="W530">IF('Ingest Template'!V530="",(INDEX(DropDown!$L$2:$L$392,MATCH('Ingest Template'!E530,DropDown!$J$2:$J$392,0))&amp;"|"&amp;'Ingest Template'!B530),(INDEX(DropDown!$L$2:$L$392,MATCH('Ingest Template'!E530,DropDown!$J$2:$J$392,0))&amp;"|"&amp;'Ingest Template'!B530)&amp;CHAR(10)&amp;'Ingest Template'!V530)</f>
        <v>#N/A</v>
      </c>
      <c r="X530" s="41" t="str">
        <f>'Ingest Template'!W530</f>
        <v/>
      </c>
      <c r="Y530" s="21" t="str">
        <f>SUBSTITUTE(SUBSTITUTE(SUBSTITUTE('Ingest Template'!X530,"http:",""),"https:",""),"/","")</f>
        <v/>
      </c>
      <c r="Z530" s="21" t="str">
        <f t="array" ref="Z530">IF('Ingest Template'!A530="Standard",(IF(ISBLANK('Ingest Template'!AA530),"", 'Ingest Template'!AA530&amp;"|DAR")),(IF(ISBLANK('Ingest Template'!AA530),"", 'Ingest Template'!AA530&amp;"|Film Ops")))</f>
        <v/>
      </c>
      <c r="AA530" s="21"/>
      <c r="AB530" s="21" t="str">
        <f>'Ingest Template'!M530</f>
        <v/>
      </c>
      <c r="AC530" s="21" t="str">
        <f>'Ingest Template'!Y530</f>
        <v/>
      </c>
      <c r="AD530" s="21" t="str">
        <f>'Ingest Template'!C530</f>
        <v/>
      </c>
      <c r="AE530" s="21" t="str">
        <f>'Ingest Template'!Z530</f>
        <v/>
      </c>
      <c r="AF530" s="29"/>
      <c r="AG530" s="21" t="str">
        <f t="array" ref="AG530">IF('Ingest Template'!A530="Standard",(CONCATENATE(IF(ISBLANK('Ingest Template'!O530),"", 'Ingest Template'!O530&amp;"|DAR"),CHAR(10), IF(ISBLANK('Ingest Template'!P530),"", 'Ingest Template'!P530&amp;"|DAR"),CHAR(10), IF(ISBLANK('Ingest Template'!Q530),"", 'Ingest Template'!Q530&amp;"|DAR"))),(CONCATENATE(IF(ISBLANK('Ingest Template'!O530),"", 'Ingest Template'!O530&amp;"|Operations - Core Title"),CHAR(10), IF(ISBLANK('Ingest Template'!P530),"", 'Ingest Template'!P530&amp;"|Operations - Core Title"),CHAR(10), IF(ISBLANK('Ingest Template'!Q530),"", 'Ingest Template'!Q530&amp;"|Operations - Core Title"))))</f>
        <v>#|Operations - Core Title
#|Operations - Core Title
</v>
      </c>
      <c r="AH530" s="21"/>
      <c r="AI530" s="21"/>
      <c r="AJ530" s="53" t="str">
        <f>if('Ingest Template'!A530="Standard",'Ingest Template'!N530&amp; "|DAR|DAR|2021-01-01",'Ingest Template'!N530&amp; "|Operations - Core Title|Operations - Core Title")</f>
        <v>#N/A</v>
      </c>
      <c r="AK530" s="53" t="str">
        <f>if('Ingest Template'!A530="Standard",'Ingest Template'!R530&amp; "|2021-01-01",'Ingest Template'!R530)</f>
        <v>#N/A</v>
      </c>
      <c r="AL530" s="21"/>
      <c r="AM530" s="21"/>
    </row>
    <row r="531">
      <c r="A531" s="21"/>
      <c r="B531" s="21" t="str">
        <f>'Ingest Template'!B531&amp;IF('Ingest Template'!A531 = "Standard", " - DAR","")</f>
        <v/>
      </c>
      <c r="C531" s="26" t="s">
        <v>109</v>
      </c>
      <c r="D531" s="29" t="str">
        <f t="array" ref="D531">CONCATENATE(INDEX(DropDown!$H$2:$H$10,MATCH(1,COUNTIF('Ingest Template'!F531,"*"&amp;DropDown!$H$2:$H$10&amp;"*"),0)),CHAR(10),'Ingest Template'!G531)</f>
        <v>#N/A</v>
      </c>
      <c r="E531" s="21" t="str">
        <f>CONCATENATE('Ingest Template'!H531,CHAR(10),'Ingest Template'!I531,CHAR(10),'Ingest Template'!J531)</f>
        <v>
</v>
      </c>
      <c r="F531" s="26" t="str">
        <f>'Ingest Template'!H531</f>
        <v/>
      </c>
      <c r="G531" s="21"/>
      <c r="H531" s="29"/>
      <c r="I531" s="21"/>
      <c r="J531" s="29" t="str">
        <f t="array" ref="J531">iF('Ingest Template'!A531="Standard","Pristine Brand",INDEX(DropDown!$M$2:$M$392,MATCH('Ingest Template'!E531,DropDown!$J$2:$J$392,0)))</f>
        <v>#N/A</v>
      </c>
      <c r="K531" s="21" t="str">
        <f>iF('Ingest Template'!A531="Standard",'Ingest Template'!K531&amp;CHAR(10)&amp;'Ingest Template'!L531,"Competitive View")</f>
        <v>Competitive View</v>
      </c>
      <c r="L531" s="29" t="s">
        <v>146</v>
      </c>
      <c r="M531" s="37" t="str">
        <f>'Ingest Template'!D531</f>
        <v/>
      </c>
      <c r="N531" s="21"/>
      <c r="O531" s="21"/>
      <c r="P531" s="21"/>
      <c r="Q531" s="21"/>
      <c r="R531" s="21" t="str">
        <f>'Ingest Template'!E531</f>
        <v/>
      </c>
      <c r="S531" s="29" t="s">
        <v>153</v>
      </c>
      <c r="T531" s="21" t="str">
        <f>'Ingest Template'!T531</f>
        <v/>
      </c>
      <c r="U531" s="21" t="str">
        <f>'Ingest Template'!S531</f>
        <v/>
      </c>
      <c r="V531" s="21" t="str">
        <f>LOWER(SUBSTITUTE(SUBSTITUTE(SUBSTITUTE(SUBSTITUTE(SUBSTITUTE('Ingest Template'!U531,"https:",""),"www.",""),"/",""),"?hl=en",""),"instagram.com",""))</f>
        <v/>
      </c>
      <c r="W531" s="41" t="str">
        <f t="array" ref="W531">IF('Ingest Template'!V531="",(INDEX(DropDown!$L$2:$L$392,MATCH('Ingest Template'!E531,DropDown!$J$2:$J$392,0))&amp;"|"&amp;'Ingest Template'!B531),(INDEX(DropDown!$L$2:$L$392,MATCH('Ingest Template'!E531,DropDown!$J$2:$J$392,0))&amp;"|"&amp;'Ingest Template'!B531)&amp;CHAR(10)&amp;'Ingest Template'!V531)</f>
        <v>#N/A</v>
      </c>
      <c r="X531" s="41" t="str">
        <f>'Ingest Template'!W531</f>
        <v/>
      </c>
      <c r="Y531" s="21" t="str">
        <f>SUBSTITUTE(SUBSTITUTE(SUBSTITUTE('Ingest Template'!X531,"http:",""),"https:",""),"/","")</f>
        <v/>
      </c>
      <c r="Z531" s="21" t="str">
        <f t="array" ref="Z531">IF('Ingest Template'!A531="Standard",(IF(ISBLANK('Ingest Template'!AA531),"", 'Ingest Template'!AA531&amp;"|DAR")),(IF(ISBLANK('Ingest Template'!AA531),"", 'Ingest Template'!AA531&amp;"|Film Ops")))</f>
        <v/>
      </c>
      <c r="AA531" s="21"/>
      <c r="AB531" s="21" t="str">
        <f>'Ingest Template'!M531</f>
        <v/>
      </c>
      <c r="AC531" s="21" t="str">
        <f>'Ingest Template'!Y531</f>
        <v/>
      </c>
      <c r="AD531" s="21" t="str">
        <f>'Ingest Template'!C531</f>
        <v/>
      </c>
      <c r="AE531" s="21" t="str">
        <f>'Ingest Template'!Z531</f>
        <v/>
      </c>
      <c r="AF531" s="29"/>
      <c r="AG531" s="21" t="str">
        <f t="array" ref="AG531">IF('Ingest Template'!A531="Standard",(CONCATENATE(IF(ISBLANK('Ingest Template'!O531),"", 'Ingest Template'!O531&amp;"|DAR"),CHAR(10), IF(ISBLANK('Ingest Template'!P531),"", 'Ingest Template'!P531&amp;"|DAR"),CHAR(10), IF(ISBLANK('Ingest Template'!Q531),"", 'Ingest Template'!Q531&amp;"|DAR"))),(CONCATENATE(IF(ISBLANK('Ingest Template'!O531),"", 'Ingest Template'!O531&amp;"|Operations - Core Title"),CHAR(10), IF(ISBLANK('Ingest Template'!P531),"", 'Ingest Template'!P531&amp;"|Operations - Core Title"),CHAR(10), IF(ISBLANK('Ingest Template'!Q531),"", 'Ingest Template'!Q531&amp;"|Operations - Core Title"))))</f>
        <v>#|Operations - Core Title
#|Operations - Core Title
</v>
      </c>
      <c r="AH531" s="21"/>
      <c r="AI531" s="21"/>
      <c r="AJ531" s="53" t="str">
        <f>if('Ingest Template'!A531="Standard",'Ingest Template'!N531&amp; "|DAR|DAR|2021-01-01",'Ingest Template'!N531&amp; "|Operations - Core Title|Operations - Core Title")</f>
        <v>#N/A</v>
      </c>
      <c r="AK531" s="53" t="str">
        <f>if('Ingest Template'!A531="Standard",'Ingest Template'!R531&amp; "|2021-01-01",'Ingest Template'!R531)</f>
        <v>#N/A</v>
      </c>
      <c r="AL531" s="21"/>
      <c r="AM531" s="21"/>
    </row>
    <row r="532">
      <c r="A532" s="21"/>
      <c r="B532" s="21" t="str">
        <f>'Ingest Template'!B532&amp;IF('Ingest Template'!A532 = "Standard", " - DAR","")</f>
        <v/>
      </c>
      <c r="C532" s="26" t="s">
        <v>109</v>
      </c>
      <c r="D532" s="29" t="str">
        <f t="array" ref="D532">CONCATENATE(INDEX(DropDown!$H$2:$H$10,MATCH(1,COUNTIF('Ingest Template'!F532,"*"&amp;DropDown!$H$2:$H$10&amp;"*"),0)),CHAR(10),'Ingest Template'!G532)</f>
        <v>#N/A</v>
      </c>
      <c r="E532" s="21" t="str">
        <f>CONCATENATE('Ingest Template'!H532,CHAR(10),'Ingest Template'!I532,CHAR(10),'Ingest Template'!J532)</f>
        <v>
</v>
      </c>
      <c r="F532" s="26" t="str">
        <f>'Ingest Template'!H532</f>
        <v/>
      </c>
      <c r="G532" s="21"/>
      <c r="H532" s="29"/>
      <c r="I532" s="21"/>
      <c r="J532" s="29" t="str">
        <f t="array" ref="J532">iF('Ingest Template'!A532="Standard","Pristine Brand",INDEX(DropDown!$M$2:$M$392,MATCH('Ingest Template'!E532,DropDown!$J$2:$J$392,0)))</f>
        <v>#N/A</v>
      </c>
      <c r="K532" s="21" t="str">
        <f>iF('Ingest Template'!A532="Standard",'Ingest Template'!K532&amp;CHAR(10)&amp;'Ingest Template'!L532,"Competitive View")</f>
        <v>Competitive View</v>
      </c>
      <c r="L532" s="29" t="s">
        <v>146</v>
      </c>
      <c r="M532" s="37" t="str">
        <f>'Ingest Template'!D532</f>
        <v/>
      </c>
      <c r="N532" s="21"/>
      <c r="O532" s="21"/>
      <c r="P532" s="21"/>
      <c r="Q532" s="21"/>
      <c r="R532" s="21" t="str">
        <f>'Ingest Template'!E532</f>
        <v/>
      </c>
      <c r="S532" s="29" t="s">
        <v>153</v>
      </c>
      <c r="T532" s="21" t="str">
        <f>'Ingest Template'!T532</f>
        <v/>
      </c>
      <c r="U532" s="21" t="str">
        <f>'Ingest Template'!S532</f>
        <v/>
      </c>
      <c r="V532" s="21" t="str">
        <f>LOWER(SUBSTITUTE(SUBSTITUTE(SUBSTITUTE(SUBSTITUTE(SUBSTITUTE('Ingest Template'!U532,"https:",""),"www.",""),"/",""),"?hl=en",""),"instagram.com",""))</f>
        <v/>
      </c>
      <c r="W532" s="41" t="str">
        <f t="array" ref="W532">IF('Ingest Template'!V532="",(INDEX(DropDown!$L$2:$L$392,MATCH('Ingest Template'!E532,DropDown!$J$2:$J$392,0))&amp;"|"&amp;'Ingest Template'!B532),(INDEX(DropDown!$L$2:$L$392,MATCH('Ingest Template'!E532,DropDown!$J$2:$J$392,0))&amp;"|"&amp;'Ingest Template'!B532)&amp;CHAR(10)&amp;'Ingest Template'!V532)</f>
        <v>#N/A</v>
      </c>
      <c r="X532" s="41" t="str">
        <f>'Ingest Template'!W532</f>
        <v/>
      </c>
      <c r="Y532" s="21" t="str">
        <f>SUBSTITUTE(SUBSTITUTE(SUBSTITUTE('Ingest Template'!X532,"http:",""),"https:",""),"/","")</f>
        <v/>
      </c>
      <c r="Z532" s="21" t="str">
        <f t="array" ref="Z532">IF('Ingest Template'!A532="Standard",(IF(ISBLANK('Ingest Template'!AA532),"", 'Ingest Template'!AA532&amp;"|DAR")),(IF(ISBLANK('Ingest Template'!AA532),"", 'Ingest Template'!AA532&amp;"|Film Ops")))</f>
        <v/>
      </c>
      <c r="AA532" s="21"/>
      <c r="AB532" s="21" t="str">
        <f>'Ingest Template'!M532</f>
        <v/>
      </c>
      <c r="AC532" s="21" t="str">
        <f>'Ingest Template'!Y532</f>
        <v/>
      </c>
      <c r="AD532" s="21" t="str">
        <f>'Ingest Template'!C532</f>
        <v/>
      </c>
      <c r="AE532" s="21" t="str">
        <f>'Ingest Template'!Z532</f>
        <v/>
      </c>
      <c r="AF532" s="29"/>
      <c r="AG532" s="21" t="str">
        <f t="array" ref="AG532">IF('Ingest Template'!A532="Standard",(CONCATENATE(IF(ISBLANK('Ingest Template'!O532),"", 'Ingest Template'!O532&amp;"|DAR"),CHAR(10), IF(ISBLANK('Ingest Template'!P532),"", 'Ingest Template'!P532&amp;"|DAR"),CHAR(10), IF(ISBLANK('Ingest Template'!Q532),"", 'Ingest Template'!Q532&amp;"|DAR"))),(CONCATENATE(IF(ISBLANK('Ingest Template'!O532),"", 'Ingest Template'!O532&amp;"|Operations - Core Title"),CHAR(10), IF(ISBLANK('Ingest Template'!P532),"", 'Ingest Template'!P532&amp;"|Operations - Core Title"),CHAR(10), IF(ISBLANK('Ingest Template'!Q532),"", 'Ingest Template'!Q532&amp;"|Operations - Core Title"))))</f>
        <v>#|Operations - Core Title
#|Operations - Core Title
</v>
      </c>
      <c r="AH532" s="21"/>
      <c r="AI532" s="21"/>
      <c r="AJ532" s="53" t="str">
        <f>if('Ingest Template'!A532="Standard",'Ingest Template'!N532&amp; "|DAR|DAR|2021-01-01",'Ingest Template'!N532&amp; "|Operations - Core Title|Operations - Core Title")</f>
        <v>#N/A</v>
      </c>
      <c r="AK532" s="53" t="str">
        <f>if('Ingest Template'!A532="Standard",'Ingest Template'!R532&amp; "|2021-01-01",'Ingest Template'!R532)</f>
        <v>#N/A</v>
      </c>
      <c r="AL532" s="21"/>
      <c r="AM532" s="21"/>
    </row>
    <row r="533">
      <c r="A533" s="21"/>
      <c r="B533" s="21" t="str">
        <f>'Ingest Template'!B533&amp;IF('Ingest Template'!A533 = "Standard", " - DAR","")</f>
        <v/>
      </c>
      <c r="C533" s="26" t="s">
        <v>109</v>
      </c>
      <c r="D533" s="29" t="str">
        <f t="array" ref="D533">CONCATENATE(INDEX(DropDown!$H$2:$H$10,MATCH(1,COUNTIF('Ingest Template'!F533,"*"&amp;DropDown!$H$2:$H$10&amp;"*"),0)),CHAR(10),'Ingest Template'!G533)</f>
        <v>#N/A</v>
      </c>
      <c r="E533" s="21" t="str">
        <f>CONCATENATE('Ingest Template'!H533,CHAR(10),'Ingest Template'!I533,CHAR(10),'Ingest Template'!J533)</f>
        <v>
</v>
      </c>
      <c r="F533" s="26" t="str">
        <f>'Ingest Template'!H533</f>
        <v/>
      </c>
      <c r="G533" s="21"/>
      <c r="H533" s="29"/>
      <c r="I533" s="21"/>
      <c r="J533" s="29" t="str">
        <f t="array" ref="J533">iF('Ingest Template'!A533="Standard","Pristine Brand",INDEX(DropDown!$M$2:$M$392,MATCH('Ingest Template'!E533,DropDown!$J$2:$J$392,0)))</f>
        <v>#N/A</v>
      </c>
      <c r="K533" s="21" t="str">
        <f>iF('Ingest Template'!A533="Standard",'Ingest Template'!K533&amp;CHAR(10)&amp;'Ingest Template'!L533,"Competitive View")</f>
        <v>Competitive View</v>
      </c>
      <c r="L533" s="29" t="s">
        <v>146</v>
      </c>
      <c r="M533" s="37" t="str">
        <f>'Ingest Template'!D533</f>
        <v/>
      </c>
      <c r="N533" s="21"/>
      <c r="O533" s="21"/>
      <c r="P533" s="21"/>
      <c r="Q533" s="21"/>
      <c r="R533" s="21" t="str">
        <f>'Ingest Template'!E533</f>
        <v/>
      </c>
      <c r="S533" s="29" t="s">
        <v>153</v>
      </c>
      <c r="T533" s="21" t="str">
        <f>'Ingest Template'!T533</f>
        <v/>
      </c>
      <c r="U533" s="21" t="str">
        <f>'Ingest Template'!S533</f>
        <v/>
      </c>
      <c r="V533" s="21" t="str">
        <f>LOWER(SUBSTITUTE(SUBSTITUTE(SUBSTITUTE(SUBSTITUTE(SUBSTITUTE('Ingest Template'!U533,"https:",""),"www.",""),"/",""),"?hl=en",""),"instagram.com",""))</f>
        <v/>
      </c>
      <c r="W533" s="41" t="str">
        <f t="array" ref="W533">IF('Ingest Template'!V533="",(INDEX(DropDown!$L$2:$L$392,MATCH('Ingest Template'!E533,DropDown!$J$2:$J$392,0))&amp;"|"&amp;'Ingest Template'!B533),(INDEX(DropDown!$L$2:$L$392,MATCH('Ingest Template'!E533,DropDown!$J$2:$J$392,0))&amp;"|"&amp;'Ingest Template'!B533)&amp;CHAR(10)&amp;'Ingest Template'!V533)</f>
        <v>#N/A</v>
      </c>
      <c r="X533" s="41" t="str">
        <f>'Ingest Template'!W533</f>
        <v/>
      </c>
      <c r="Y533" s="21" t="str">
        <f>SUBSTITUTE(SUBSTITUTE(SUBSTITUTE('Ingest Template'!X533,"http:",""),"https:",""),"/","")</f>
        <v/>
      </c>
      <c r="Z533" s="21" t="str">
        <f t="array" ref="Z533">IF('Ingest Template'!A533="Standard",(IF(ISBLANK('Ingest Template'!AA533),"", 'Ingest Template'!AA533&amp;"|DAR")),(IF(ISBLANK('Ingest Template'!AA533),"", 'Ingest Template'!AA533&amp;"|Film Ops")))</f>
        <v/>
      </c>
      <c r="AA533" s="21"/>
      <c r="AB533" s="21" t="str">
        <f>'Ingest Template'!M533</f>
        <v/>
      </c>
      <c r="AC533" s="21" t="str">
        <f>'Ingest Template'!Y533</f>
        <v/>
      </c>
      <c r="AD533" s="21" t="str">
        <f>'Ingest Template'!C533</f>
        <v/>
      </c>
      <c r="AE533" s="21" t="str">
        <f>'Ingest Template'!Z533</f>
        <v/>
      </c>
      <c r="AF533" s="29"/>
      <c r="AG533" s="21" t="str">
        <f t="array" ref="AG533">IF('Ingest Template'!A533="Standard",(CONCATENATE(IF(ISBLANK('Ingest Template'!O533),"", 'Ingest Template'!O533&amp;"|DAR"),CHAR(10), IF(ISBLANK('Ingest Template'!P533),"", 'Ingest Template'!P533&amp;"|DAR"),CHAR(10), IF(ISBLANK('Ingest Template'!Q533),"", 'Ingest Template'!Q533&amp;"|DAR"))),(CONCATENATE(IF(ISBLANK('Ingest Template'!O533),"", 'Ingest Template'!O533&amp;"|Operations - Core Title"),CHAR(10), IF(ISBLANK('Ingest Template'!P533),"", 'Ingest Template'!P533&amp;"|Operations - Core Title"),CHAR(10), IF(ISBLANK('Ingest Template'!Q533),"", 'Ingest Template'!Q533&amp;"|Operations - Core Title"))))</f>
        <v>#|Operations - Core Title
#|Operations - Core Title
</v>
      </c>
      <c r="AH533" s="21"/>
      <c r="AI533" s="21"/>
      <c r="AJ533" s="53" t="str">
        <f>if('Ingest Template'!A533="Standard",'Ingest Template'!N533&amp; "|DAR|DAR|2021-01-01",'Ingest Template'!N533&amp; "|Operations - Core Title|Operations - Core Title")</f>
        <v>#N/A</v>
      </c>
      <c r="AK533" s="53" t="str">
        <f>if('Ingest Template'!A533="Standard",'Ingest Template'!R533&amp; "|2021-01-01",'Ingest Template'!R533)</f>
        <v>#N/A</v>
      </c>
      <c r="AL533" s="21"/>
      <c r="AM533" s="21"/>
    </row>
    <row r="534">
      <c r="A534" s="21"/>
      <c r="B534" s="21" t="str">
        <f>'Ingest Template'!B534&amp;IF('Ingest Template'!A534 = "Standard", " - DAR","")</f>
        <v/>
      </c>
      <c r="C534" s="26" t="s">
        <v>109</v>
      </c>
      <c r="D534" s="29" t="str">
        <f t="array" ref="D534">CONCATENATE(INDEX(DropDown!$H$2:$H$10,MATCH(1,COUNTIF('Ingest Template'!F534,"*"&amp;DropDown!$H$2:$H$10&amp;"*"),0)),CHAR(10),'Ingest Template'!G534)</f>
        <v>#N/A</v>
      </c>
      <c r="E534" s="21" t="str">
        <f>CONCATENATE('Ingest Template'!H534,CHAR(10),'Ingest Template'!I534,CHAR(10),'Ingest Template'!J534)</f>
        <v>
</v>
      </c>
      <c r="F534" s="26" t="str">
        <f>'Ingest Template'!H534</f>
        <v/>
      </c>
      <c r="G534" s="21"/>
      <c r="H534" s="29"/>
      <c r="I534" s="21"/>
      <c r="J534" s="29" t="str">
        <f t="array" ref="J534">iF('Ingest Template'!A534="Standard","Pristine Brand",INDEX(DropDown!$M$2:$M$392,MATCH('Ingest Template'!E534,DropDown!$J$2:$J$392,0)))</f>
        <v>#N/A</v>
      </c>
      <c r="K534" s="21" t="str">
        <f>iF('Ingest Template'!A534="Standard",'Ingest Template'!K534&amp;CHAR(10)&amp;'Ingest Template'!L534,"Competitive View")</f>
        <v>Competitive View</v>
      </c>
      <c r="L534" s="29" t="s">
        <v>146</v>
      </c>
      <c r="M534" s="37" t="str">
        <f>'Ingest Template'!D534</f>
        <v/>
      </c>
      <c r="N534" s="21"/>
      <c r="O534" s="21"/>
      <c r="P534" s="21"/>
      <c r="Q534" s="21"/>
      <c r="R534" s="21" t="str">
        <f>'Ingest Template'!E534</f>
        <v/>
      </c>
      <c r="S534" s="29" t="s">
        <v>153</v>
      </c>
      <c r="T534" s="21" t="str">
        <f>'Ingest Template'!T534</f>
        <v/>
      </c>
      <c r="U534" s="21" t="str">
        <f>'Ingest Template'!S534</f>
        <v/>
      </c>
      <c r="V534" s="21" t="str">
        <f>LOWER(SUBSTITUTE(SUBSTITUTE(SUBSTITUTE(SUBSTITUTE(SUBSTITUTE('Ingest Template'!U534,"https:",""),"www.",""),"/",""),"?hl=en",""),"instagram.com",""))</f>
        <v/>
      </c>
      <c r="W534" s="41" t="str">
        <f t="array" ref="W534">IF('Ingest Template'!V534="",(INDEX(DropDown!$L$2:$L$392,MATCH('Ingest Template'!E534,DropDown!$J$2:$J$392,0))&amp;"|"&amp;'Ingest Template'!B534),(INDEX(DropDown!$L$2:$L$392,MATCH('Ingest Template'!E534,DropDown!$J$2:$J$392,0))&amp;"|"&amp;'Ingest Template'!B534)&amp;CHAR(10)&amp;'Ingest Template'!V534)</f>
        <v>#N/A</v>
      </c>
      <c r="X534" s="41" t="str">
        <f>'Ingest Template'!W534</f>
        <v/>
      </c>
      <c r="Y534" s="21" t="str">
        <f>SUBSTITUTE(SUBSTITUTE(SUBSTITUTE('Ingest Template'!X534,"http:",""),"https:",""),"/","")</f>
        <v/>
      </c>
      <c r="Z534" s="21" t="str">
        <f t="array" ref="Z534">IF('Ingest Template'!A534="Standard",(IF(ISBLANK('Ingest Template'!AA534),"", 'Ingest Template'!AA534&amp;"|DAR")),(IF(ISBLANK('Ingest Template'!AA534),"", 'Ingest Template'!AA534&amp;"|Film Ops")))</f>
        <v/>
      </c>
      <c r="AA534" s="21"/>
      <c r="AB534" s="21" t="str">
        <f>'Ingest Template'!M534</f>
        <v/>
      </c>
      <c r="AC534" s="21" t="str">
        <f>'Ingest Template'!Y534</f>
        <v/>
      </c>
      <c r="AD534" s="21" t="str">
        <f>'Ingest Template'!C534</f>
        <v/>
      </c>
      <c r="AE534" s="21" t="str">
        <f>'Ingest Template'!Z534</f>
        <v/>
      </c>
      <c r="AF534" s="29"/>
      <c r="AG534" s="21" t="str">
        <f t="array" ref="AG534">IF('Ingest Template'!A534="Standard",(CONCATENATE(IF(ISBLANK('Ingest Template'!O534),"", 'Ingest Template'!O534&amp;"|DAR"),CHAR(10), IF(ISBLANK('Ingest Template'!P534),"", 'Ingest Template'!P534&amp;"|DAR"),CHAR(10), IF(ISBLANK('Ingest Template'!Q534),"", 'Ingest Template'!Q534&amp;"|DAR"))),(CONCATENATE(IF(ISBLANK('Ingest Template'!O534),"", 'Ingest Template'!O534&amp;"|Operations - Core Title"),CHAR(10), IF(ISBLANK('Ingest Template'!P534),"", 'Ingest Template'!P534&amp;"|Operations - Core Title"),CHAR(10), IF(ISBLANK('Ingest Template'!Q534),"", 'Ingest Template'!Q534&amp;"|Operations - Core Title"))))</f>
        <v>#|Operations - Core Title
#|Operations - Core Title
</v>
      </c>
      <c r="AH534" s="21"/>
      <c r="AI534" s="21"/>
      <c r="AJ534" s="53" t="str">
        <f>if('Ingest Template'!A534="Standard",'Ingest Template'!N534&amp; "|DAR|DAR|2021-01-01",'Ingest Template'!N534&amp; "|Operations - Core Title|Operations - Core Title")</f>
        <v>#N/A</v>
      </c>
      <c r="AK534" s="53" t="str">
        <f>if('Ingest Template'!A534="Standard",'Ingest Template'!R534&amp; "|2021-01-01",'Ingest Template'!R534)</f>
        <v>#N/A</v>
      </c>
      <c r="AL534" s="21"/>
      <c r="AM534" s="21"/>
    </row>
    <row r="535">
      <c r="A535" s="21"/>
      <c r="B535" s="21" t="str">
        <f>'Ingest Template'!B535&amp;IF('Ingest Template'!A535 = "Standard", " - DAR","")</f>
        <v/>
      </c>
      <c r="C535" s="26" t="s">
        <v>109</v>
      </c>
      <c r="D535" s="29" t="str">
        <f t="array" ref="D535">CONCATENATE(INDEX(DropDown!$H$2:$H$10,MATCH(1,COUNTIF('Ingest Template'!F535,"*"&amp;DropDown!$H$2:$H$10&amp;"*"),0)),CHAR(10),'Ingest Template'!G535)</f>
        <v>#N/A</v>
      </c>
      <c r="E535" s="21" t="str">
        <f>CONCATENATE('Ingest Template'!H535,CHAR(10),'Ingest Template'!I535,CHAR(10),'Ingest Template'!J535)</f>
        <v>
</v>
      </c>
      <c r="F535" s="26" t="str">
        <f>'Ingest Template'!H535</f>
        <v/>
      </c>
      <c r="G535" s="21"/>
      <c r="H535" s="29"/>
      <c r="I535" s="21"/>
      <c r="J535" s="29" t="str">
        <f t="array" ref="J535">iF('Ingest Template'!A535="Standard","Pristine Brand",INDEX(DropDown!$M$2:$M$392,MATCH('Ingest Template'!E535,DropDown!$J$2:$J$392,0)))</f>
        <v>#N/A</v>
      </c>
      <c r="K535" s="21" t="str">
        <f>iF('Ingest Template'!A535="Standard",'Ingest Template'!K535&amp;CHAR(10)&amp;'Ingest Template'!L535,"Competitive View")</f>
        <v>Competitive View</v>
      </c>
      <c r="L535" s="29" t="s">
        <v>146</v>
      </c>
      <c r="M535" s="37" t="str">
        <f>'Ingest Template'!D535</f>
        <v/>
      </c>
      <c r="N535" s="21"/>
      <c r="O535" s="21"/>
      <c r="P535" s="21"/>
      <c r="Q535" s="21"/>
      <c r="R535" s="21" t="str">
        <f>'Ingest Template'!E535</f>
        <v/>
      </c>
      <c r="S535" s="29" t="s">
        <v>153</v>
      </c>
      <c r="T535" s="21" t="str">
        <f>'Ingest Template'!T535</f>
        <v/>
      </c>
      <c r="U535" s="21" t="str">
        <f>'Ingest Template'!S535</f>
        <v/>
      </c>
      <c r="V535" s="21" t="str">
        <f>LOWER(SUBSTITUTE(SUBSTITUTE(SUBSTITUTE(SUBSTITUTE(SUBSTITUTE('Ingest Template'!U535,"https:",""),"www.",""),"/",""),"?hl=en",""),"instagram.com",""))</f>
        <v/>
      </c>
      <c r="W535" s="41" t="str">
        <f t="array" ref="W535">IF('Ingest Template'!V535="",(INDEX(DropDown!$L$2:$L$392,MATCH('Ingest Template'!E535,DropDown!$J$2:$J$392,0))&amp;"|"&amp;'Ingest Template'!B535),(INDEX(DropDown!$L$2:$L$392,MATCH('Ingest Template'!E535,DropDown!$J$2:$J$392,0))&amp;"|"&amp;'Ingest Template'!B535)&amp;CHAR(10)&amp;'Ingest Template'!V535)</f>
        <v>#N/A</v>
      </c>
      <c r="X535" s="41" t="str">
        <f>'Ingest Template'!W535</f>
        <v/>
      </c>
      <c r="Y535" s="21" t="str">
        <f>SUBSTITUTE(SUBSTITUTE(SUBSTITUTE('Ingest Template'!X535,"http:",""),"https:",""),"/","")</f>
        <v/>
      </c>
      <c r="Z535" s="21" t="str">
        <f t="array" ref="Z535">IF('Ingest Template'!A535="Standard",(IF(ISBLANK('Ingest Template'!AA535),"", 'Ingest Template'!AA535&amp;"|DAR")),(IF(ISBLANK('Ingest Template'!AA535),"", 'Ingest Template'!AA535&amp;"|Film Ops")))</f>
        <v/>
      </c>
      <c r="AA535" s="21"/>
      <c r="AB535" s="21" t="str">
        <f>'Ingest Template'!M535</f>
        <v/>
      </c>
      <c r="AC535" s="21" t="str">
        <f>'Ingest Template'!Y535</f>
        <v/>
      </c>
      <c r="AD535" s="21" t="str">
        <f>'Ingest Template'!C535</f>
        <v/>
      </c>
      <c r="AE535" s="21" t="str">
        <f>'Ingest Template'!Z535</f>
        <v/>
      </c>
      <c r="AF535" s="29"/>
      <c r="AG535" s="21" t="str">
        <f t="array" ref="AG535">IF('Ingest Template'!A535="Standard",(CONCATENATE(IF(ISBLANK('Ingest Template'!O535),"", 'Ingest Template'!O535&amp;"|DAR"),CHAR(10), IF(ISBLANK('Ingest Template'!P535),"", 'Ingest Template'!P535&amp;"|DAR"),CHAR(10), IF(ISBLANK('Ingest Template'!Q535),"", 'Ingest Template'!Q535&amp;"|DAR"))),(CONCATENATE(IF(ISBLANK('Ingest Template'!O535),"", 'Ingest Template'!O535&amp;"|Operations - Core Title"),CHAR(10), IF(ISBLANK('Ingest Template'!P535),"", 'Ingest Template'!P535&amp;"|Operations - Core Title"),CHAR(10), IF(ISBLANK('Ingest Template'!Q535),"", 'Ingest Template'!Q535&amp;"|Operations - Core Title"))))</f>
        <v>#|Operations - Core Title
#|Operations - Core Title
</v>
      </c>
      <c r="AH535" s="21"/>
      <c r="AI535" s="21"/>
      <c r="AJ535" s="53" t="str">
        <f>if('Ingest Template'!A535="Standard",'Ingest Template'!N535&amp; "|DAR|DAR|2021-01-01",'Ingest Template'!N535&amp; "|Operations - Core Title|Operations - Core Title")</f>
        <v>#N/A</v>
      </c>
      <c r="AK535" s="53" t="str">
        <f>if('Ingest Template'!A535="Standard",'Ingest Template'!R535&amp; "|2021-01-01",'Ingest Template'!R535)</f>
        <v>#N/A</v>
      </c>
      <c r="AL535" s="21"/>
      <c r="AM535" s="21"/>
    </row>
    <row r="536">
      <c r="A536" s="21"/>
      <c r="B536" s="21" t="str">
        <f>'Ingest Template'!B536&amp;IF('Ingest Template'!A536 = "Standard", " - DAR","")</f>
        <v/>
      </c>
      <c r="C536" s="26" t="s">
        <v>109</v>
      </c>
      <c r="D536" s="29" t="str">
        <f t="array" ref="D536">CONCATENATE(INDEX(DropDown!$H$2:$H$10,MATCH(1,COUNTIF('Ingest Template'!F536,"*"&amp;DropDown!$H$2:$H$10&amp;"*"),0)),CHAR(10),'Ingest Template'!G536)</f>
        <v>#N/A</v>
      </c>
      <c r="E536" s="21" t="str">
        <f>CONCATENATE('Ingest Template'!H536,CHAR(10),'Ingest Template'!I536,CHAR(10),'Ingest Template'!J536)</f>
        <v>
</v>
      </c>
      <c r="F536" s="26" t="str">
        <f>'Ingest Template'!H536</f>
        <v/>
      </c>
      <c r="G536" s="21"/>
      <c r="H536" s="29"/>
      <c r="I536" s="21"/>
      <c r="J536" s="29" t="str">
        <f t="array" ref="J536">iF('Ingest Template'!A536="Standard","Pristine Brand",INDEX(DropDown!$M$2:$M$392,MATCH('Ingest Template'!E536,DropDown!$J$2:$J$392,0)))</f>
        <v>#N/A</v>
      </c>
      <c r="K536" s="21" t="str">
        <f>iF('Ingest Template'!A536="Standard",'Ingest Template'!K536&amp;CHAR(10)&amp;'Ingest Template'!L536,"Competitive View")</f>
        <v>Competitive View</v>
      </c>
      <c r="L536" s="29" t="s">
        <v>146</v>
      </c>
      <c r="M536" s="37" t="str">
        <f>'Ingest Template'!D536</f>
        <v/>
      </c>
      <c r="N536" s="21"/>
      <c r="O536" s="21"/>
      <c r="P536" s="21"/>
      <c r="Q536" s="21"/>
      <c r="R536" s="21" t="str">
        <f>'Ingest Template'!E536</f>
        <v/>
      </c>
      <c r="S536" s="29" t="s">
        <v>153</v>
      </c>
      <c r="T536" s="21" t="str">
        <f>'Ingest Template'!T536</f>
        <v/>
      </c>
      <c r="U536" s="21" t="str">
        <f>'Ingest Template'!S536</f>
        <v/>
      </c>
      <c r="V536" s="21" t="str">
        <f>LOWER(SUBSTITUTE(SUBSTITUTE(SUBSTITUTE(SUBSTITUTE(SUBSTITUTE('Ingest Template'!U536,"https:",""),"www.",""),"/",""),"?hl=en",""),"instagram.com",""))</f>
        <v/>
      </c>
      <c r="W536" s="41" t="str">
        <f t="array" ref="W536">IF('Ingest Template'!V536="",(INDEX(DropDown!$L$2:$L$392,MATCH('Ingest Template'!E536,DropDown!$J$2:$J$392,0))&amp;"|"&amp;'Ingest Template'!B536),(INDEX(DropDown!$L$2:$L$392,MATCH('Ingest Template'!E536,DropDown!$J$2:$J$392,0))&amp;"|"&amp;'Ingest Template'!B536)&amp;CHAR(10)&amp;'Ingest Template'!V536)</f>
        <v>#N/A</v>
      </c>
      <c r="X536" s="41" t="str">
        <f>'Ingest Template'!W536</f>
        <v/>
      </c>
      <c r="Y536" s="21" t="str">
        <f>SUBSTITUTE(SUBSTITUTE(SUBSTITUTE('Ingest Template'!X536,"http:",""),"https:",""),"/","")</f>
        <v/>
      </c>
      <c r="Z536" s="21" t="str">
        <f t="array" ref="Z536">IF('Ingest Template'!A536="Standard",(IF(ISBLANK('Ingest Template'!AA536),"", 'Ingest Template'!AA536&amp;"|DAR")),(IF(ISBLANK('Ingest Template'!AA536),"", 'Ingest Template'!AA536&amp;"|Film Ops")))</f>
        <v/>
      </c>
      <c r="AA536" s="21"/>
      <c r="AB536" s="21" t="str">
        <f>'Ingest Template'!M536</f>
        <v/>
      </c>
      <c r="AC536" s="21" t="str">
        <f>'Ingest Template'!Y536</f>
        <v/>
      </c>
      <c r="AD536" s="21" t="str">
        <f>'Ingest Template'!C536</f>
        <v/>
      </c>
      <c r="AE536" s="21" t="str">
        <f>'Ingest Template'!Z536</f>
        <v/>
      </c>
      <c r="AF536" s="29"/>
      <c r="AG536" s="21" t="str">
        <f t="array" ref="AG536">IF('Ingest Template'!A536="Standard",(CONCATENATE(IF(ISBLANK('Ingest Template'!O536),"", 'Ingest Template'!O536&amp;"|DAR"),CHAR(10), IF(ISBLANK('Ingest Template'!P536),"", 'Ingest Template'!P536&amp;"|DAR"),CHAR(10), IF(ISBLANK('Ingest Template'!Q536),"", 'Ingest Template'!Q536&amp;"|DAR"))),(CONCATENATE(IF(ISBLANK('Ingest Template'!O536),"", 'Ingest Template'!O536&amp;"|Operations - Core Title"),CHAR(10), IF(ISBLANK('Ingest Template'!P536),"", 'Ingest Template'!P536&amp;"|Operations - Core Title"),CHAR(10), IF(ISBLANK('Ingest Template'!Q536),"", 'Ingest Template'!Q536&amp;"|Operations - Core Title"))))</f>
        <v>#|Operations - Core Title
#|Operations - Core Title
</v>
      </c>
      <c r="AH536" s="21"/>
      <c r="AI536" s="21"/>
      <c r="AJ536" s="53" t="str">
        <f>if('Ingest Template'!A536="Standard",'Ingest Template'!N536&amp; "|DAR|DAR|2021-01-01",'Ingest Template'!N536&amp; "|Operations - Core Title|Operations - Core Title")</f>
        <v>#N/A</v>
      </c>
      <c r="AK536" s="53" t="str">
        <f>if('Ingest Template'!A536="Standard",'Ingest Template'!R536&amp; "|2021-01-01",'Ingest Template'!R536)</f>
        <v>#N/A</v>
      </c>
      <c r="AL536" s="21"/>
      <c r="AM536" s="21"/>
    </row>
    <row r="537">
      <c r="A537" s="21"/>
      <c r="B537" s="21" t="str">
        <f>'Ingest Template'!B537&amp;IF('Ingest Template'!A537 = "Standard", " - DAR","")</f>
        <v/>
      </c>
      <c r="C537" s="26" t="s">
        <v>109</v>
      </c>
      <c r="D537" s="29" t="str">
        <f t="array" ref="D537">CONCATENATE(INDEX(DropDown!$H$2:$H$10,MATCH(1,COUNTIF('Ingest Template'!F537,"*"&amp;DropDown!$H$2:$H$10&amp;"*"),0)),CHAR(10),'Ingest Template'!G537)</f>
        <v>#N/A</v>
      </c>
      <c r="E537" s="21" t="str">
        <f>CONCATENATE('Ingest Template'!H537,CHAR(10),'Ingest Template'!I537,CHAR(10),'Ingest Template'!J537)</f>
        <v>
</v>
      </c>
      <c r="F537" s="26" t="str">
        <f>'Ingest Template'!H537</f>
        <v/>
      </c>
      <c r="G537" s="21"/>
      <c r="H537" s="29"/>
      <c r="I537" s="21"/>
      <c r="J537" s="29" t="str">
        <f t="array" ref="J537">iF('Ingest Template'!A537="Standard","Pristine Brand",INDEX(DropDown!$M$2:$M$392,MATCH('Ingest Template'!E537,DropDown!$J$2:$J$392,0)))</f>
        <v>#N/A</v>
      </c>
      <c r="K537" s="21" t="str">
        <f>iF('Ingest Template'!A537="Standard",'Ingest Template'!K537&amp;CHAR(10)&amp;'Ingest Template'!L537,"Competitive View")</f>
        <v>Competitive View</v>
      </c>
      <c r="L537" s="29" t="s">
        <v>146</v>
      </c>
      <c r="M537" s="37" t="str">
        <f>'Ingest Template'!D537</f>
        <v/>
      </c>
      <c r="N537" s="21"/>
      <c r="O537" s="21"/>
      <c r="P537" s="21"/>
      <c r="Q537" s="21"/>
      <c r="R537" s="21" t="str">
        <f>'Ingest Template'!E537</f>
        <v/>
      </c>
      <c r="S537" s="29" t="s">
        <v>153</v>
      </c>
      <c r="T537" s="21" t="str">
        <f>'Ingest Template'!T537</f>
        <v/>
      </c>
      <c r="U537" s="21" t="str">
        <f>'Ingest Template'!S537</f>
        <v/>
      </c>
      <c r="V537" s="21" t="str">
        <f>LOWER(SUBSTITUTE(SUBSTITUTE(SUBSTITUTE(SUBSTITUTE(SUBSTITUTE('Ingest Template'!U537,"https:",""),"www.",""),"/",""),"?hl=en",""),"instagram.com",""))</f>
        <v/>
      </c>
      <c r="W537" s="41" t="str">
        <f t="array" ref="W537">IF('Ingest Template'!V537="",(INDEX(DropDown!$L$2:$L$392,MATCH('Ingest Template'!E537,DropDown!$J$2:$J$392,0))&amp;"|"&amp;'Ingest Template'!B537),(INDEX(DropDown!$L$2:$L$392,MATCH('Ingest Template'!E537,DropDown!$J$2:$J$392,0))&amp;"|"&amp;'Ingest Template'!B537)&amp;CHAR(10)&amp;'Ingest Template'!V537)</f>
        <v>#N/A</v>
      </c>
      <c r="X537" s="41" t="str">
        <f>'Ingest Template'!W537</f>
        <v/>
      </c>
      <c r="Y537" s="21" t="str">
        <f>SUBSTITUTE(SUBSTITUTE(SUBSTITUTE('Ingest Template'!X537,"http:",""),"https:",""),"/","")</f>
        <v/>
      </c>
      <c r="Z537" s="21" t="str">
        <f t="array" ref="Z537">IF('Ingest Template'!A537="Standard",(IF(ISBLANK('Ingest Template'!AA537),"", 'Ingest Template'!AA537&amp;"|DAR")),(IF(ISBLANK('Ingest Template'!AA537),"", 'Ingest Template'!AA537&amp;"|Film Ops")))</f>
        <v/>
      </c>
      <c r="AA537" s="21"/>
      <c r="AB537" s="21" t="str">
        <f>'Ingest Template'!M537</f>
        <v/>
      </c>
      <c r="AC537" s="21" t="str">
        <f>'Ingest Template'!Y537</f>
        <v/>
      </c>
      <c r="AD537" s="21" t="str">
        <f>'Ingest Template'!C537</f>
        <v/>
      </c>
      <c r="AE537" s="21" t="str">
        <f>'Ingest Template'!Z537</f>
        <v/>
      </c>
      <c r="AF537" s="29"/>
      <c r="AG537" s="21" t="str">
        <f t="array" ref="AG537">IF('Ingest Template'!A537="Standard",(CONCATENATE(IF(ISBLANK('Ingest Template'!O537),"", 'Ingest Template'!O537&amp;"|DAR"),CHAR(10), IF(ISBLANK('Ingest Template'!P537),"", 'Ingest Template'!P537&amp;"|DAR"),CHAR(10), IF(ISBLANK('Ingest Template'!Q537),"", 'Ingest Template'!Q537&amp;"|DAR"))),(CONCATENATE(IF(ISBLANK('Ingest Template'!O537),"", 'Ingest Template'!O537&amp;"|Operations - Core Title"),CHAR(10), IF(ISBLANK('Ingest Template'!P537),"", 'Ingest Template'!P537&amp;"|Operations - Core Title"),CHAR(10), IF(ISBLANK('Ingest Template'!Q537),"", 'Ingest Template'!Q537&amp;"|Operations - Core Title"))))</f>
        <v>#|Operations - Core Title
#|Operations - Core Title
</v>
      </c>
      <c r="AH537" s="21"/>
      <c r="AI537" s="21"/>
      <c r="AJ537" s="53" t="str">
        <f>if('Ingest Template'!A537="Standard",'Ingest Template'!N537&amp; "|DAR|DAR|2021-01-01",'Ingest Template'!N537&amp; "|Operations - Core Title|Operations - Core Title")</f>
        <v>#N/A</v>
      </c>
      <c r="AK537" s="53" t="str">
        <f>if('Ingest Template'!A537="Standard",'Ingest Template'!R537&amp; "|2021-01-01",'Ingest Template'!R537)</f>
        <v>#N/A</v>
      </c>
      <c r="AL537" s="21"/>
      <c r="AM537" s="21"/>
    </row>
    <row r="538">
      <c r="A538" s="21"/>
      <c r="B538" s="21" t="str">
        <f>'Ingest Template'!B538&amp;IF('Ingest Template'!A538 = "Standard", " - DAR","")</f>
        <v/>
      </c>
      <c r="C538" s="26" t="s">
        <v>109</v>
      </c>
      <c r="D538" s="29" t="str">
        <f t="array" ref="D538">CONCATENATE(INDEX(DropDown!$H$2:$H$10,MATCH(1,COUNTIF('Ingest Template'!F538,"*"&amp;DropDown!$H$2:$H$10&amp;"*"),0)),CHAR(10),'Ingest Template'!G538)</f>
        <v>#N/A</v>
      </c>
      <c r="E538" s="21" t="str">
        <f>CONCATENATE('Ingest Template'!H538,CHAR(10),'Ingest Template'!I538,CHAR(10),'Ingest Template'!J538)</f>
        <v>
</v>
      </c>
      <c r="F538" s="26" t="str">
        <f>'Ingest Template'!H538</f>
        <v/>
      </c>
      <c r="G538" s="21"/>
      <c r="H538" s="29"/>
      <c r="I538" s="21"/>
      <c r="J538" s="29" t="str">
        <f t="array" ref="J538">iF('Ingest Template'!A538="Standard","Pristine Brand",INDEX(DropDown!$M$2:$M$392,MATCH('Ingest Template'!E538,DropDown!$J$2:$J$392,0)))</f>
        <v>#N/A</v>
      </c>
      <c r="K538" s="21" t="str">
        <f>iF('Ingest Template'!A538="Standard",'Ingest Template'!K538&amp;CHAR(10)&amp;'Ingest Template'!L538,"Competitive View")</f>
        <v>Competitive View</v>
      </c>
      <c r="L538" s="29" t="s">
        <v>146</v>
      </c>
      <c r="M538" s="37" t="str">
        <f>'Ingest Template'!D538</f>
        <v/>
      </c>
      <c r="N538" s="21"/>
      <c r="O538" s="21"/>
      <c r="P538" s="21"/>
      <c r="Q538" s="21"/>
      <c r="R538" s="21" t="str">
        <f>'Ingest Template'!E538</f>
        <v/>
      </c>
      <c r="S538" s="29" t="s">
        <v>153</v>
      </c>
      <c r="T538" s="21" t="str">
        <f>'Ingest Template'!T538</f>
        <v/>
      </c>
      <c r="U538" s="21" t="str">
        <f>'Ingest Template'!S538</f>
        <v/>
      </c>
      <c r="V538" s="21" t="str">
        <f>LOWER(SUBSTITUTE(SUBSTITUTE(SUBSTITUTE(SUBSTITUTE(SUBSTITUTE('Ingest Template'!U538,"https:",""),"www.",""),"/",""),"?hl=en",""),"instagram.com",""))</f>
        <v/>
      </c>
      <c r="W538" s="41" t="str">
        <f t="array" ref="W538">IF('Ingest Template'!V538="",(INDEX(DropDown!$L$2:$L$392,MATCH('Ingest Template'!E538,DropDown!$J$2:$J$392,0))&amp;"|"&amp;'Ingest Template'!B538),(INDEX(DropDown!$L$2:$L$392,MATCH('Ingest Template'!E538,DropDown!$J$2:$J$392,0))&amp;"|"&amp;'Ingest Template'!B538)&amp;CHAR(10)&amp;'Ingest Template'!V538)</f>
        <v>#N/A</v>
      </c>
      <c r="X538" s="41" t="str">
        <f>'Ingest Template'!W538</f>
        <v/>
      </c>
      <c r="Y538" s="21" t="str">
        <f>SUBSTITUTE(SUBSTITUTE(SUBSTITUTE('Ingest Template'!X538,"http:",""),"https:",""),"/","")</f>
        <v/>
      </c>
      <c r="Z538" s="21" t="str">
        <f t="array" ref="Z538">IF('Ingest Template'!A538="Standard",(IF(ISBLANK('Ingest Template'!AA538),"", 'Ingest Template'!AA538&amp;"|DAR")),(IF(ISBLANK('Ingest Template'!AA538),"", 'Ingest Template'!AA538&amp;"|Film Ops")))</f>
        <v/>
      </c>
      <c r="AA538" s="21"/>
      <c r="AB538" s="21" t="str">
        <f>'Ingest Template'!M538</f>
        <v/>
      </c>
      <c r="AC538" s="21" t="str">
        <f>'Ingest Template'!Y538</f>
        <v/>
      </c>
      <c r="AD538" s="21" t="str">
        <f>'Ingest Template'!C538</f>
        <v/>
      </c>
      <c r="AE538" s="21" t="str">
        <f>'Ingest Template'!Z538</f>
        <v/>
      </c>
      <c r="AF538" s="29"/>
      <c r="AG538" s="21" t="str">
        <f t="array" ref="AG538">IF('Ingest Template'!A538="Standard",(CONCATENATE(IF(ISBLANK('Ingest Template'!O538),"", 'Ingest Template'!O538&amp;"|DAR"),CHAR(10), IF(ISBLANK('Ingest Template'!P538),"", 'Ingest Template'!P538&amp;"|DAR"),CHAR(10), IF(ISBLANK('Ingest Template'!Q538),"", 'Ingest Template'!Q538&amp;"|DAR"))),(CONCATENATE(IF(ISBLANK('Ingest Template'!O538),"", 'Ingest Template'!O538&amp;"|Operations - Core Title"),CHAR(10), IF(ISBLANK('Ingest Template'!P538),"", 'Ingest Template'!P538&amp;"|Operations - Core Title"),CHAR(10), IF(ISBLANK('Ingest Template'!Q538),"", 'Ingest Template'!Q538&amp;"|Operations - Core Title"))))</f>
        <v>#|Operations - Core Title
#|Operations - Core Title
</v>
      </c>
      <c r="AH538" s="21"/>
      <c r="AI538" s="21"/>
      <c r="AJ538" s="53" t="str">
        <f>if('Ingest Template'!A538="Standard",'Ingest Template'!N538&amp; "|DAR|DAR|2021-01-01",'Ingest Template'!N538&amp; "|Operations - Core Title|Operations - Core Title")</f>
        <v>#N/A</v>
      </c>
      <c r="AK538" s="53" t="str">
        <f>if('Ingest Template'!A538="Standard",'Ingest Template'!R538&amp; "|2021-01-01",'Ingest Template'!R538)</f>
        <v>#N/A</v>
      </c>
      <c r="AL538" s="21"/>
      <c r="AM538" s="21"/>
    </row>
    <row r="539">
      <c r="A539" s="21"/>
      <c r="B539" s="21" t="str">
        <f>'Ingest Template'!B539&amp;IF('Ingest Template'!A539 = "Standard", " - DAR","")</f>
        <v/>
      </c>
      <c r="C539" s="26" t="s">
        <v>109</v>
      </c>
      <c r="D539" s="29" t="str">
        <f t="array" ref="D539">CONCATENATE(INDEX(DropDown!$H$2:$H$10,MATCH(1,COUNTIF('Ingest Template'!F539,"*"&amp;DropDown!$H$2:$H$10&amp;"*"),0)),CHAR(10),'Ingest Template'!G539)</f>
        <v>#N/A</v>
      </c>
      <c r="E539" s="21" t="str">
        <f>CONCATENATE('Ingest Template'!H539,CHAR(10),'Ingest Template'!I539,CHAR(10),'Ingest Template'!J539)</f>
        <v>
</v>
      </c>
      <c r="F539" s="26" t="str">
        <f>'Ingest Template'!H539</f>
        <v/>
      </c>
      <c r="G539" s="21"/>
      <c r="H539" s="29"/>
      <c r="I539" s="21"/>
      <c r="J539" s="29" t="str">
        <f t="array" ref="J539">iF('Ingest Template'!A539="Standard","Pristine Brand",INDEX(DropDown!$M$2:$M$392,MATCH('Ingest Template'!E539,DropDown!$J$2:$J$392,0)))</f>
        <v>#N/A</v>
      </c>
      <c r="K539" s="21" t="str">
        <f>iF('Ingest Template'!A539="Standard",'Ingest Template'!K539&amp;CHAR(10)&amp;'Ingest Template'!L539,"Competitive View")</f>
        <v>Competitive View</v>
      </c>
      <c r="L539" s="29" t="s">
        <v>146</v>
      </c>
      <c r="M539" s="37" t="str">
        <f>'Ingest Template'!D539</f>
        <v/>
      </c>
      <c r="N539" s="21"/>
      <c r="O539" s="21"/>
      <c r="P539" s="21"/>
      <c r="Q539" s="21"/>
      <c r="R539" s="21" t="str">
        <f>'Ingest Template'!E539</f>
        <v/>
      </c>
      <c r="S539" s="29" t="s">
        <v>153</v>
      </c>
      <c r="T539" s="21" t="str">
        <f>'Ingest Template'!T539</f>
        <v/>
      </c>
      <c r="U539" s="21" t="str">
        <f>'Ingest Template'!S539</f>
        <v/>
      </c>
      <c r="V539" s="21" t="str">
        <f>LOWER(SUBSTITUTE(SUBSTITUTE(SUBSTITUTE(SUBSTITUTE(SUBSTITUTE('Ingest Template'!U539,"https:",""),"www.",""),"/",""),"?hl=en",""),"instagram.com",""))</f>
        <v/>
      </c>
      <c r="W539" s="41" t="str">
        <f t="array" ref="W539">IF('Ingest Template'!V539="",(INDEX(DropDown!$L$2:$L$392,MATCH('Ingest Template'!E539,DropDown!$J$2:$J$392,0))&amp;"|"&amp;'Ingest Template'!B539),(INDEX(DropDown!$L$2:$L$392,MATCH('Ingest Template'!E539,DropDown!$J$2:$J$392,0))&amp;"|"&amp;'Ingest Template'!B539)&amp;CHAR(10)&amp;'Ingest Template'!V539)</f>
        <v>#N/A</v>
      </c>
      <c r="X539" s="41" t="str">
        <f>'Ingest Template'!W539</f>
        <v/>
      </c>
      <c r="Y539" s="21" t="str">
        <f>SUBSTITUTE(SUBSTITUTE(SUBSTITUTE('Ingest Template'!X539,"http:",""),"https:",""),"/","")</f>
        <v/>
      </c>
      <c r="Z539" s="21" t="str">
        <f t="array" ref="Z539">IF('Ingest Template'!A539="Standard",(IF(ISBLANK('Ingest Template'!AA539),"", 'Ingest Template'!AA539&amp;"|DAR")),(IF(ISBLANK('Ingest Template'!AA539),"", 'Ingest Template'!AA539&amp;"|Film Ops")))</f>
        <v/>
      </c>
      <c r="AA539" s="21"/>
      <c r="AB539" s="21" t="str">
        <f>'Ingest Template'!M539</f>
        <v/>
      </c>
      <c r="AC539" s="21" t="str">
        <f>'Ingest Template'!Y539</f>
        <v/>
      </c>
      <c r="AD539" s="21" t="str">
        <f>'Ingest Template'!C539</f>
        <v/>
      </c>
      <c r="AE539" s="21" t="str">
        <f>'Ingest Template'!Z539</f>
        <v/>
      </c>
      <c r="AF539" s="29"/>
      <c r="AG539" s="21" t="str">
        <f t="array" ref="AG539">IF('Ingest Template'!A539="Standard",(CONCATENATE(IF(ISBLANK('Ingest Template'!O539),"", 'Ingest Template'!O539&amp;"|DAR"),CHAR(10), IF(ISBLANK('Ingest Template'!P539),"", 'Ingest Template'!P539&amp;"|DAR"),CHAR(10), IF(ISBLANK('Ingest Template'!Q539),"", 'Ingest Template'!Q539&amp;"|DAR"))),(CONCATENATE(IF(ISBLANK('Ingest Template'!O539),"", 'Ingest Template'!O539&amp;"|Operations - Core Title"),CHAR(10), IF(ISBLANK('Ingest Template'!P539),"", 'Ingest Template'!P539&amp;"|Operations - Core Title"),CHAR(10), IF(ISBLANK('Ingest Template'!Q539),"", 'Ingest Template'!Q539&amp;"|Operations - Core Title"))))</f>
        <v>#|Operations - Core Title
#|Operations - Core Title
</v>
      </c>
      <c r="AH539" s="21"/>
      <c r="AI539" s="21"/>
      <c r="AJ539" s="53" t="str">
        <f>if('Ingest Template'!A539="Standard",'Ingest Template'!N539&amp; "|DAR|DAR|2021-01-01",'Ingest Template'!N539&amp; "|Operations - Core Title|Operations - Core Title")</f>
        <v>#N/A</v>
      </c>
      <c r="AK539" s="53" t="str">
        <f>if('Ingest Template'!A539="Standard",'Ingest Template'!R539&amp; "|2021-01-01",'Ingest Template'!R539)</f>
        <v>#N/A</v>
      </c>
      <c r="AL539" s="21"/>
      <c r="AM539" s="21"/>
    </row>
    <row r="540">
      <c r="A540" s="21"/>
      <c r="B540" s="21" t="str">
        <f>'Ingest Template'!B540&amp;IF('Ingest Template'!A540 = "Standard", " - DAR","")</f>
        <v/>
      </c>
      <c r="C540" s="26" t="s">
        <v>109</v>
      </c>
      <c r="D540" s="29" t="str">
        <f t="array" ref="D540">CONCATENATE(INDEX(DropDown!$H$2:$H$10,MATCH(1,COUNTIF('Ingest Template'!F540,"*"&amp;DropDown!$H$2:$H$10&amp;"*"),0)),CHAR(10),'Ingest Template'!G540)</f>
        <v>#N/A</v>
      </c>
      <c r="E540" s="21" t="str">
        <f>CONCATENATE('Ingest Template'!H540,CHAR(10),'Ingest Template'!I540,CHAR(10),'Ingest Template'!J540)</f>
        <v>
</v>
      </c>
      <c r="F540" s="26" t="str">
        <f>'Ingest Template'!H540</f>
        <v/>
      </c>
      <c r="G540" s="21"/>
      <c r="H540" s="29"/>
      <c r="I540" s="21"/>
      <c r="J540" s="29" t="str">
        <f t="array" ref="J540">iF('Ingest Template'!A540="Standard","Pristine Brand",INDEX(DropDown!$M$2:$M$392,MATCH('Ingest Template'!E540,DropDown!$J$2:$J$392,0)))</f>
        <v>#N/A</v>
      </c>
      <c r="K540" s="21" t="str">
        <f>iF('Ingest Template'!A540="Standard",'Ingest Template'!K540&amp;CHAR(10)&amp;'Ingest Template'!L540,"Competitive View")</f>
        <v>Competitive View</v>
      </c>
      <c r="L540" s="29" t="s">
        <v>146</v>
      </c>
      <c r="M540" s="37" t="str">
        <f>'Ingest Template'!D540</f>
        <v/>
      </c>
      <c r="N540" s="21"/>
      <c r="O540" s="21"/>
      <c r="P540" s="21"/>
      <c r="Q540" s="21"/>
      <c r="R540" s="21" t="str">
        <f>'Ingest Template'!E540</f>
        <v/>
      </c>
      <c r="S540" s="29" t="s">
        <v>153</v>
      </c>
      <c r="T540" s="21" t="str">
        <f>'Ingest Template'!T540</f>
        <v/>
      </c>
      <c r="U540" s="21" t="str">
        <f>'Ingest Template'!S540</f>
        <v/>
      </c>
      <c r="V540" s="21" t="str">
        <f>LOWER(SUBSTITUTE(SUBSTITUTE(SUBSTITUTE(SUBSTITUTE(SUBSTITUTE('Ingest Template'!U540,"https:",""),"www.",""),"/",""),"?hl=en",""),"instagram.com",""))</f>
        <v/>
      </c>
      <c r="W540" s="41" t="str">
        <f t="array" ref="W540">IF('Ingest Template'!V540="",(INDEX(DropDown!$L$2:$L$392,MATCH('Ingest Template'!E540,DropDown!$J$2:$J$392,0))&amp;"|"&amp;'Ingest Template'!B540),(INDEX(DropDown!$L$2:$L$392,MATCH('Ingest Template'!E540,DropDown!$J$2:$J$392,0))&amp;"|"&amp;'Ingest Template'!B540)&amp;CHAR(10)&amp;'Ingest Template'!V540)</f>
        <v>#N/A</v>
      </c>
      <c r="X540" s="41" t="str">
        <f>'Ingest Template'!W540</f>
        <v/>
      </c>
      <c r="Y540" s="21" t="str">
        <f>SUBSTITUTE(SUBSTITUTE(SUBSTITUTE('Ingest Template'!X540,"http:",""),"https:",""),"/","")</f>
        <v/>
      </c>
      <c r="Z540" s="21" t="str">
        <f t="array" ref="Z540">IF('Ingest Template'!A540="Standard",(IF(ISBLANK('Ingest Template'!AA540),"", 'Ingest Template'!AA540&amp;"|DAR")),(IF(ISBLANK('Ingest Template'!AA540),"", 'Ingest Template'!AA540&amp;"|Film Ops")))</f>
        <v/>
      </c>
      <c r="AA540" s="21"/>
      <c r="AB540" s="21" t="str">
        <f>'Ingest Template'!M540</f>
        <v/>
      </c>
      <c r="AC540" s="21" t="str">
        <f>'Ingest Template'!Y540</f>
        <v/>
      </c>
      <c r="AD540" s="21" t="str">
        <f>'Ingest Template'!C540</f>
        <v/>
      </c>
      <c r="AE540" s="21" t="str">
        <f>'Ingest Template'!Z540</f>
        <v/>
      </c>
      <c r="AF540" s="29"/>
      <c r="AG540" s="21" t="str">
        <f t="array" ref="AG540">IF('Ingest Template'!A540="Standard",(CONCATENATE(IF(ISBLANK('Ingest Template'!O540),"", 'Ingest Template'!O540&amp;"|DAR"),CHAR(10), IF(ISBLANK('Ingest Template'!P540),"", 'Ingest Template'!P540&amp;"|DAR"),CHAR(10), IF(ISBLANK('Ingest Template'!Q540),"", 'Ingest Template'!Q540&amp;"|DAR"))),(CONCATENATE(IF(ISBLANK('Ingest Template'!O540),"", 'Ingest Template'!O540&amp;"|Operations - Core Title"),CHAR(10), IF(ISBLANK('Ingest Template'!P540),"", 'Ingest Template'!P540&amp;"|Operations - Core Title"),CHAR(10), IF(ISBLANK('Ingest Template'!Q540),"", 'Ingest Template'!Q540&amp;"|Operations - Core Title"))))</f>
        <v>#|Operations - Core Title
#|Operations - Core Title
</v>
      </c>
      <c r="AH540" s="21"/>
      <c r="AI540" s="21"/>
      <c r="AJ540" s="53" t="str">
        <f>if('Ingest Template'!A540="Standard",'Ingest Template'!N540&amp; "|DAR|DAR|2021-01-01",'Ingest Template'!N540&amp; "|Operations - Core Title|Operations - Core Title")</f>
        <v>#N/A</v>
      </c>
      <c r="AK540" s="53" t="str">
        <f>if('Ingest Template'!A540="Standard",'Ingest Template'!R540&amp; "|2021-01-01",'Ingest Template'!R540)</f>
        <v>#N/A</v>
      </c>
      <c r="AL540" s="21"/>
      <c r="AM540" s="21"/>
    </row>
    <row r="541">
      <c r="A541" s="21"/>
      <c r="B541" s="21" t="str">
        <f>'Ingest Template'!B541&amp;IF('Ingest Template'!A541 = "Standard", " - DAR","")</f>
        <v/>
      </c>
      <c r="C541" s="26" t="s">
        <v>109</v>
      </c>
      <c r="D541" s="29" t="str">
        <f t="array" ref="D541">CONCATENATE(INDEX(DropDown!$H$2:$H$10,MATCH(1,COUNTIF('Ingest Template'!F541,"*"&amp;DropDown!$H$2:$H$10&amp;"*"),0)),CHAR(10),'Ingest Template'!G541)</f>
        <v>#N/A</v>
      </c>
      <c r="E541" s="21" t="str">
        <f>CONCATENATE('Ingest Template'!H541,CHAR(10),'Ingest Template'!I541,CHAR(10),'Ingest Template'!J541)</f>
        <v>
</v>
      </c>
      <c r="F541" s="26" t="str">
        <f>'Ingest Template'!H541</f>
        <v/>
      </c>
      <c r="G541" s="21"/>
      <c r="H541" s="29"/>
      <c r="I541" s="21"/>
      <c r="J541" s="29" t="str">
        <f t="array" ref="J541">iF('Ingest Template'!A541="Standard","Pristine Brand",INDEX(DropDown!$M$2:$M$392,MATCH('Ingest Template'!E541,DropDown!$J$2:$J$392,0)))</f>
        <v>#N/A</v>
      </c>
      <c r="K541" s="21" t="str">
        <f>iF('Ingest Template'!A541="Standard",'Ingest Template'!K541&amp;CHAR(10)&amp;'Ingest Template'!L541,"Competitive View")</f>
        <v>Competitive View</v>
      </c>
      <c r="L541" s="29" t="s">
        <v>146</v>
      </c>
      <c r="M541" s="37" t="str">
        <f>'Ingest Template'!D541</f>
        <v/>
      </c>
      <c r="N541" s="21"/>
      <c r="O541" s="21"/>
      <c r="P541" s="21"/>
      <c r="Q541" s="21"/>
      <c r="R541" s="21" t="str">
        <f>'Ingest Template'!E541</f>
        <v/>
      </c>
      <c r="S541" s="29" t="s">
        <v>153</v>
      </c>
      <c r="T541" s="21" t="str">
        <f>'Ingest Template'!T541</f>
        <v/>
      </c>
      <c r="U541" s="21" t="str">
        <f>'Ingest Template'!S541</f>
        <v/>
      </c>
      <c r="V541" s="21" t="str">
        <f>LOWER(SUBSTITUTE(SUBSTITUTE(SUBSTITUTE(SUBSTITUTE(SUBSTITUTE('Ingest Template'!U541,"https:",""),"www.",""),"/",""),"?hl=en",""),"instagram.com",""))</f>
        <v/>
      </c>
      <c r="W541" s="41" t="str">
        <f t="array" ref="W541">IF('Ingest Template'!V541="",(INDEX(DropDown!$L$2:$L$392,MATCH('Ingest Template'!E541,DropDown!$J$2:$J$392,0))&amp;"|"&amp;'Ingest Template'!B541),(INDEX(DropDown!$L$2:$L$392,MATCH('Ingest Template'!E541,DropDown!$J$2:$J$392,0))&amp;"|"&amp;'Ingest Template'!B541)&amp;CHAR(10)&amp;'Ingest Template'!V541)</f>
        <v>#N/A</v>
      </c>
      <c r="X541" s="41" t="str">
        <f>'Ingest Template'!W541</f>
        <v/>
      </c>
      <c r="Y541" s="21" t="str">
        <f>SUBSTITUTE(SUBSTITUTE(SUBSTITUTE('Ingest Template'!X541,"http:",""),"https:",""),"/","")</f>
        <v/>
      </c>
      <c r="Z541" s="21" t="str">
        <f t="array" ref="Z541">IF('Ingest Template'!A541="Standard",(IF(ISBLANK('Ingest Template'!AA541),"", 'Ingest Template'!AA541&amp;"|DAR")),(IF(ISBLANK('Ingest Template'!AA541),"", 'Ingest Template'!AA541&amp;"|Film Ops")))</f>
        <v/>
      </c>
      <c r="AA541" s="21"/>
      <c r="AB541" s="21" t="str">
        <f>'Ingest Template'!M541</f>
        <v/>
      </c>
      <c r="AC541" s="21" t="str">
        <f>'Ingest Template'!Y541</f>
        <v/>
      </c>
      <c r="AD541" s="21" t="str">
        <f>'Ingest Template'!C541</f>
        <v/>
      </c>
      <c r="AE541" s="21" t="str">
        <f>'Ingest Template'!Z541</f>
        <v/>
      </c>
      <c r="AF541" s="29"/>
      <c r="AG541" s="21" t="str">
        <f t="array" ref="AG541">IF('Ingest Template'!A541="Standard",(CONCATENATE(IF(ISBLANK('Ingest Template'!O541),"", 'Ingest Template'!O541&amp;"|DAR"),CHAR(10), IF(ISBLANK('Ingest Template'!P541),"", 'Ingest Template'!P541&amp;"|DAR"),CHAR(10), IF(ISBLANK('Ingest Template'!Q541),"", 'Ingest Template'!Q541&amp;"|DAR"))),(CONCATENATE(IF(ISBLANK('Ingest Template'!O541),"", 'Ingest Template'!O541&amp;"|Operations - Core Title"),CHAR(10), IF(ISBLANK('Ingest Template'!P541),"", 'Ingest Template'!P541&amp;"|Operations - Core Title"),CHAR(10), IF(ISBLANK('Ingest Template'!Q541),"", 'Ingest Template'!Q541&amp;"|Operations - Core Title"))))</f>
        <v>#|Operations - Core Title
#|Operations - Core Title
</v>
      </c>
      <c r="AH541" s="21"/>
      <c r="AI541" s="21"/>
      <c r="AJ541" s="53" t="str">
        <f>if('Ingest Template'!A541="Standard",'Ingest Template'!N541&amp; "|DAR|DAR|2021-01-01",'Ingest Template'!N541&amp; "|Operations - Core Title|Operations - Core Title")</f>
        <v>#N/A</v>
      </c>
      <c r="AK541" s="53" t="str">
        <f>if('Ingest Template'!A541="Standard",'Ingest Template'!R541&amp; "|2021-01-01",'Ingest Template'!R541)</f>
        <v>#N/A</v>
      </c>
      <c r="AL541" s="21"/>
      <c r="AM541" s="21"/>
    </row>
    <row r="542">
      <c r="A542" s="21"/>
      <c r="B542" s="21" t="str">
        <f>'Ingest Template'!B542&amp;IF('Ingest Template'!A542 = "Standard", " - DAR","")</f>
        <v/>
      </c>
      <c r="C542" s="26" t="s">
        <v>109</v>
      </c>
      <c r="D542" s="29" t="str">
        <f t="array" ref="D542">CONCATENATE(INDEX(DropDown!$H$2:$H$10,MATCH(1,COUNTIF('Ingest Template'!F542,"*"&amp;DropDown!$H$2:$H$10&amp;"*"),0)),CHAR(10),'Ingest Template'!G542)</f>
        <v>#N/A</v>
      </c>
      <c r="E542" s="21" t="str">
        <f>CONCATENATE('Ingest Template'!H542,CHAR(10),'Ingest Template'!I542,CHAR(10),'Ingest Template'!J542)</f>
        <v>
</v>
      </c>
      <c r="F542" s="26" t="str">
        <f>'Ingest Template'!H542</f>
        <v/>
      </c>
      <c r="G542" s="21"/>
      <c r="H542" s="29"/>
      <c r="I542" s="21"/>
      <c r="J542" s="29" t="str">
        <f t="array" ref="J542">iF('Ingest Template'!A542="Standard","Pristine Brand",INDEX(DropDown!$M$2:$M$392,MATCH('Ingest Template'!E542,DropDown!$J$2:$J$392,0)))</f>
        <v>#N/A</v>
      </c>
      <c r="K542" s="21" t="str">
        <f>iF('Ingest Template'!A542="Standard",'Ingest Template'!K542&amp;CHAR(10)&amp;'Ingest Template'!L542,"Competitive View")</f>
        <v>Competitive View</v>
      </c>
      <c r="L542" s="29" t="s">
        <v>146</v>
      </c>
      <c r="M542" s="37" t="str">
        <f>'Ingest Template'!D542</f>
        <v/>
      </c>
      <c r="N542" s="21"/>
      <c r="O542" s="21"/>
      <c r="P542" s="21"/>
      <c r="Q542" s="21"/>
      <c r="R542" s="21" t="str">
        <f>'Ingest Template'!E542</f>
        <v/>
      </c>
      <c r="S542" s="29" t="s">
        <v>153</v>
      </c>
      <c r="T542" s="21" t="str">
        <f>'Ingest Template'!T542</f>
        <v/>
      </c>
      <c r="U542" s="21" t="str">
        <f>'Ingest Template'!S542</f>
        <v/>
      </c>
      <c r="V542" s="21" t="str">
        <f>LOWER(SUBSTITUTE(SUBSTITUTE(SUBSTITUTE(SUBSTITUTE(SUBSTITUTE('Ingest Template'!U542,"https:",""),"www.",""),"/",""),"?hl=en",""),"instagram.com",""))</f>
        <v/>
      </c>
      <c r="W542" s="41" t="str">
        <f t="array" ref="W542">IF('Ingest Template'!V542="",(INDEX(DropDown!$L$2:$L$392,MATCH('Ingest Template'!E542,DropDown!$J$2:$J$392,0))&amp;"|"&amp;'Ingest Template'!B542),(INDEX(DropDown!$L$2:$L$392,MATCH('Ingest Template'!E542,DropDown!$J$2:$J$392,0))&amp;"|"&amp;'Ingest Template'!B542)&amp;CHAR(10)&amp;'Ingest Template'!V542)</f>
        <v>#N/A</v>
      </c>
      <c r="X542" s="41" t="str">
        <f>'Ingest Template'!W542</f>
        <v/>
      </c>
      <c r="Y542" s="21" t="str">
        <f>SUBSTITUTE(SUBSTITUTE(SUBSTITUTE('Ingest Template'!X542,"http:",""),"https:",""),"/","")</f>
        <v/>
      </c>
      <c r="Z542" s="21" t="str">
        <f t="array" ref="Z542">IF('Ingest Template'!A542="Standard",(IF(ISBLANK('Ingest Template'!AA542),"", 'Ingest Template'!AA542&amp;"|DAR")),(IF(ISBLANK('Ingest Template'!AA542),"", 'Ingest Template'!AA542&amp;"|Film Ops")))</f>
        <v/>
      </c>
      <c r="AA542" s="21"/>
      <c r="AB542" s="21" t="str">
        <f>'Ingest Template'!M542</f>
        <v/>
      </c>
      <c r="AC542" s="21" t="str">
        <f>'Ingest Template'!Y542</f>
        <v/>
      </c>
      <c r="AD542" s="21" t="str">
        <f>'Ingest Template'!C542</f>
        <v/>
      </c>
      <c r="AE542" s="21" t="str">
        <f>'Ingest Template'!Z542</f>
        <v/>
      </c>
      <c r="AF542" s="29"/>
      <c r="AG542" s="21" t="str">
        <f t="array" ref="AG542">IF('Ingest Template'!A542="Standard",(CONCATENATE(IF(ISBLANK('Ingest Template'!O542),"", 'Ingest Template'!O542&amp;"|DAR"),CHAR(10), IF(ISBLANK('Ingest Template'!P542),"", 'Ingest Template'!P542&amp;"|DAR"),CHAR(10), IF(ISBLANK('Ingest Template'!Q542),"", 'Ingest Template'!Q542&amp;"|DAR"))),(CONCATENATE(IF(ISBLANK('Ingest Template'!O542),"", 'Ingest Template'!O542&amp;"|Operations - Core Title"),CHAR(10), IF(ISBLANK('Ingest Template'!P542),"", 'Ingest Template'!P542&amp;"|Operations - Core Title"),CHAR(10), IF(ISBLANK('Ingest Template'!Q542),"", 'Ingest Template'!Q542&amp;"|Operations - Core Title"))))</f>
        <v>#|Operations - Core Title
#|Operations - Core Title
</v>
      </c>
      <c r="AH542" s="21"/>
      <c r="AI542" s="21"/>
      <c r="AJ542" s="53" t="str">
        <f>if('Ingest Template'!A542="Standard",'Ingest Template'!N542&amp; "|DAR|DAR|2021-01-01",'Ingest Template'!N542&amp; "|Operations - Core Title|Operations - Core Title")</f>
        <v>#N/A</v>
      </c>
      <c r="AK542" s="53" t="str">
        <f>if('Ingest Template'!A542="Standard",'Ingest Template'!R542&amp; "|2021-01-01",'Ingest Template'!R542)</f>
        <v>#N/A</v>
      </c>
      <c r="AL542" s="21"/>
      <c r="AM542" s="21"/>
    </row>
    <row r="543">
      <c r="A543" s="21"/>
      <c r="B543" s="21" t="str">
        <f>'Ingest Template'!B543&amp;IF('Ingest Template'!A543 = "Standard", " - DAR","")</f>
        <v/>
      </c>
      <c r="C543" s="26" t="s">
        <v>109</v>
      </c>
      <c r="D543" s="29" t="str">
        <f t="array" ref="D543">CONCATENATE(INDEX(DropDown!$H$2:$H$10,MATCH(1,COUNTIF('Ingest Template'!F543,"*"&amp;DropDown!$H$2:$H$10&amp;"*"),0)),CHAR(10),'Ingest Template'!G543)</f>
        <v>#N/A</v>
      </c>
      <c r="E543" s="21" t="str">
        <f>CONCATENATE('Ingest Template'!H543,CHAR(10),'Ingest Template'!I543,CHAR(10),'Ingest Template'!J543)</f>
        <v>
</v>
      </c>
      <c r="F543" s="26" t="str">
        <f>'Ingest Template'!H543</f>
        <v/>
      </c>
      <c r="G543" s="21"/>
      <c r="H543" s="29"/>
      <c r="I543" s="21"/>
      <c r="J543" s="29" t="str">
        <f t="array" ref="J543">iF('Ingest Template'!A543="Standard","Pristine Brand",INDEX(DropDown!$M$2:$M$392,MATCH('Ingest Template'!E543,DropDown!$J$2:$J$392,0)))</f>
        <v>#N/A</v>
      </c>
      <c r="K543" s="21" t="str">
        <f>iF('Ingest Template'!A543="Standard",'Ingest Template'!K543&amp;CHAR(10)&amp;'Ingest Template'!L543,"Competitive View")</f>
        <v>Competitive View</v>
      </c>
      <c r="L543" s="29" t="s">
        <v>146</v>
      </c>
      <c r="M543" s="37" t="str">
        <f>'Ingest Template'!D543</f>
        <v/>
      </c>
      <c r="N543" s="21"/>
      <c r="O543" s="21"/>
      <c r="P543" s="21"/>
      <c r="Q543" s="21"/>
      <c r="R543" s="21" t="str">
        <f>'Ingest Template'!E543</f>
        <v/>
      </c>
      <c r="S543" s="29" t="s">
        <v>153</v>
      </c>
      <c r="T543" s="21" t="str">
        <f>'Ingest Template'!T543</f>
        <v/>
      </c>
      <c r="U543" s="21" t="str">
        <f>'Ingest Template'!S543</f>
        <v/>
      </c>
      <c r="V543" s="21" t="str">
        <f>LOWER(SUBSTITUTE(SUBSTITUTE(SUBSTITUTE(SUBSTITUTE(SUBSTITUTE('Ingest Template'!U543,"https:",""),"www.",""),"/",""),"?hl=en",""),"instagram.com",""))</f>
        <v/>
      </c>
      <c r="W543" s="41" t="str">
        <f t="array" ref="W543">IF('Ingest Template'!V543="",(INDEX(DropDown!$L$2:$L$392,MATCH('Ingest Template'!E543,DropDown!$J$2:$J$392,0))&amp;"|"&amp;'Ingest Template'!B543),(INDEX(DropDown!$L$2:$L$392,MATCH('Ingest Template'!E543,DropDown!$J$2:$J$392,0))&amp;"|"&amp;'Ingest Template'!B543)&amp;CHAR(10)&amp;'Ingest Template'!V543)</f>
        <v>#N/A</v>
      </c>
      <c r="X543" s="41" t="str">
        <f>'Ingest Template'!W543</f>
        <v/>
      </c>
      <c r="Y543" s="21" t="str">
        <f>SUBSTITUTE(SUBSTITUTE(SUBSTITUTE('Ingest Template'!X543,"http:",""),"https:",""),"/","")</f>
        <v/>
      </c>
      <c r="Z543" s="21" t="str">
        <f t="array" ref="Z543">IF('Ingest Template'!A543="Standard",(IF(ISBLANK('Ingest Template'!AA543),"", 'Ingest Template'!AA543&amp;"|DAR")),(IF(ISBLANK('Ingest Template'!AA543),"", 'Ingest Template'!AA543&amp;"|Film Ops")))</f>
        <v/>
      </c>
      <c r="AA543" s="21"/>
      <c r="AB543" s="21" t="str">
        <f>'Ingest Template'!M543</f>
        <v/>
      </c>
      <c r="AC543" s="21" t="str">
        <f>'Ingest Template'!Y543</f>
        <v/>
      </c>
      <c r="AD543" s="21" t="str">
        <f>'Ingest Template'!C543</f>
        <v/>
      </c>
      <c r="AE543" s="21" t="str">
        <f>'Ingest Template'!Z543</f>
        <v/>
      </c>
      <c r="AF543" s="29"/>
      <c r="AG543" s="21" t="str">
        <f t="array" ref="AG543">IF('Ingest Template'!A543="Standard",(CONCATENATE(IF(ISBLANK('Ingest Template'!O543),"", 'Ingest Template'!O543&amp;"|DAR"),CHAR(10), IF(ISBLANK('Ingest Template'!P543),"", 'Ingest Template'!P543&amp;"|DAR"),CHAR(10), IF(ISBLANK('Ingest Template'!Q543),"", 'Ingest Template'!Q543&amp;"|DAR"))),(CONCATENATE(IF(ISBLANK('Ingest Template'!O543),"", 'Ingest Template'!O543&amp;"|Operations - Core Title"),CHAR(10), IF(ISBLANK('Ingest Template'!P543),"", 'Ingest Template'!P543&amp;"|Operations - Core Title"),CHAR(10), IF(ISBLANK('Ingest Template'!Q543),"", 'Ingest Template'!Q543&amp;"|Operations - Core Title"))))</f>
        <v>#|Operations - Core Title
#|Operations - Core Title
</v>
      </c>
      <c r="AH543" s="21"/>
      <c r="AI543" s="21"/>
      <c r="AJ543" s="53" t="str">
        <f>if('Ingest Template'!A543="Standard",'Ingest Template'!N543&amp; "|DAR|DAR|2021-01-01",'Ingest Template'!N543&amp; "|Operations - Core Title|Operations - Core Title")</f>
        <v>#N/A</v>
      </c>
      <c r="AK543" s="53" t="str">
        <f>if('Ingest Template'!A543="Standard",'Ingest Template'!R543&amp; "|2021-01-01",'Ingest Template'!R543)</f>
        <v>#N/A</v>
      </c>
      <c r="AL543" s="21"/>
      <c r="AM543" s="21"/>
    </row>
    <row r="544">
      <c r="A544" s="21"/>
      <c r="B544" s="21" t="str">
        <f>'Ingest Template'!B544&amp;IF('Ingest Template'!A544 = "Standard", " - DAR","")</f>
        <v/>
      </c>
      <c r="C544" s="26" t="s">
        <v>109</v>
      </c>
      <c r="D544" s="29" t="str">
        <f t="array" ref="D544">CONCATENATE(INDEX(DropDown!$H$2:$H$10,MATCH(1,COUNTIF('Ingest Template'!F544,"*"&amp;DropDown!$H$2:$H$10&amp;"*"),0)),CHAR(10),'Ingest Template'!G544)</f>
        <v>#N/A</v>
      </c>
      <c r="E544" s="21" t="str">
        <f>CONCATENATE('Ingest Template'!H544,CHAR(10),'Ingest Template'!I544,CHAR(10),'Ingest Template'!J544)</f>
        <v>
</v>
      </c>
      <c r="F544" s="26" t="str">
        <f>'Ingest Template'!H544</f>
        <v/>
      </c>
      <c r="G544" s="21"/>
      <c r="H544" s="29"/>
      <c r="I544" s="21"/>
      <c r="J544" s="29" t="str">
        <f t="array" ref="J544">iF('Ingest Template'!A544="Standard","Pristine Brand",INDEX(DropDown!$M$2:$M$392,MATCH('Ingest Template'!E544,DropDown!$J$2:$J$392,0)))</f>
        <v>#N/A</v>
      </c>
      <c r="K544" s="21" t="str">
        <f>iF('Ingest Template'!A544="Standard",'Ingest Template'!K544&amp;CHAR(10)&amp;'Ingest Template'!L544,"Competitive View")</f>
        <v>Competitive View</v>
      </c>
      <c r="L544" s="29" t="s">
        <v>146</v>
      </c>
      <c r="M544" s="37" t="str">
        <f>'Ingest Template'!D544</f>
        <v/>
      </c>
      <c r="N544" s="21"/>
      <c r="O544" s="21"/>
      <c r="P544" s="21"/>
      <c r="Q544" s="21"/>
      <c r="R544" s="21" t="str">
        <f>'Ingest Template'!E544</f>
        <v/>
      </c>
      <c r="S544" s="29" t="s">
        <v>153</v>
      </c>
      <c r="T544" s="21" t="str">
        <f>'Ingest Template'!T544</f>
        <v/>
      </c>
      <c r="U544" s="21" t="str">
        <f>'Ingest Template'!S544</f>
        <v/>
      </c>
      <c r="V544" s="21" t="str">
        <f>LOWER(SUBSTITUTE(SUBSTITUTE(SUBSTITUTE(SUBSTITUTE(SUBSTITUTE('Ingest Template'!U544,"https:",""),"www.",""),"/",""),"?hl=en",""),"instagram.com",""))</f>
        <v/>
      </c>
      <c r="W544" s="41" t="str">
        <f t="array" ref="W544">IF('Ingest Template'!V544="",(INDEX(DropDown!$L$2:$L$392,MATCH('Ingest Template'!E544,DropDown!$J$2:$J$392,0))&amp;"|"&amp;'Ingest Template'!B544),(INDEX(DropDown!$L$2:$L$392,MATCH('Ingest Template'!E544,DropDown!$J$2:$J$392,0))&amp;"|"&amp;'Ingest Template'!B544)&amp;CHAR(10)&amp;'Ingest Template'!V544)</f>
        <v>#N/A</v>
      </c>
      <c r="X544" s="41" t="str">
        <f>'Ingest Template'!W544</f>
        <v/>
      </c>
      <c r="Y544" s="21" t="str">
        <f>SUBSTITUTE(SUBSTITUTE(SUBSTITUTE('Ingest Template'!X544,"http:",""),"https:",""),"/","")</f>
        <v/>
      </c>
      <c r="Z544" s="21" t="str">
        <f t="array" ref="Z544">IF('Ingest Template'!A544="Standard",(IF(ISBLANK('Ingest Template'!AA544),"", 'Ingest Template'!AA544&amp;"|DAR")),(IF(ISBLANK('Ingest Template'!AA544),"", 'Ingest Template'!AA544&amp;"|Film Ops")))</f>
        <v/>
      </c>
      <c r="AA544" s="21"/>
      <c r="AB544" s="21" t="str">
        <f>'Ingest Template'!M544</f>
        <v/>
      </c>
      <c r="AC544" s="21" t="str">
        <f>'Ingest Template'!Y544</f>
        <v/>
      </c>
      <c r="AD544" s="21" t="str">
        <f>'Ingest Template'!C544</f>
        <v/>
      </c>
      <c r="AE544" s="21" t="str">
        <f>'Ingest Template'!Z544</f>
        <v/>
      </c>
      <c r="AF544" s="29"/>
      <c r="AG544" s="21" t="str">
        <f t="array" ref="AG544">IF('Ingest Template'!A544="Standard",(CONCATENATE(IF(ISBLANK('Ingest Template'!O544),"", 'Ingest Template'!O544&amp;"|DAR"),CHAR(10), IF(ISBLANK('Ingest Template'!P544),"", 'Ingest Template'!P544&amp;"|DAR"),CHAR(10), IF(ISBLANK('Ingest Template'!Q544),"", 'Ingest Template'!Q544&amp;"|DAR"))),(CONCATENATE(IF(ISBLANK('Ingest Template'!O544),"", 'Ingest Template'!O544&amp;"|Operations - Core Title"),CHAR(10), IF(ISBLANK('Ingest Template'!P544),"", 'Ingest Template'!P544&amp;"|Operations - Core Title"),CHAR(10), IF(ISBLANK('Ingest Template'!Q544),"", 'Ingest Template'!Q544&amp;"|Operations - Core Title"))))</f>
        <v>#|Operations - Core Title
#|Operations - Core Title
</v>
      </c>
      <c r="AH544" s="21"/>
      <c r="AI544" s="21"/>
      <c r="AJ544" s="53" t="str">
        <f>if('Ingest Template'!A544="Standard",'Ingest Template'!N544&amp; "|DAR|DAR|2021-01-01",'Ingest Template'!N544&amp; "|Operations - Core Title|Operations - Core Title")</f>
        <v>#N/A</v>
      </c>
      <c r="AK544" s="53" t="str">
        <f>if('Ingest Template'!A544="Standard",'Ingest Template'!R544&amp; "|2021-01-01",'Ingest Template'!R544)</f>
        <v>#N/A</v>
      </c>
      <c r="AL544" s="21"/>
      <c r="AM544" s="21"/>
    </row>
    <row r="545">
      <c r="A545" s="21"/>
      <c r="B545" s="21" t="str">
        <f>'Ingest Template'!B545&amp;IF('Ingest Template'!A545 = "Standard", " - DAR","")</f>
        <v/>
      </c>
      <c r="C545" s="26" t="s">
        <v>109</v>
      </c>
      <c r="D545" s="29" t="str">
        <f t="array" ref="D545">CONCATENATE(INDEX(DropDown!$H$2:$H$10,MATCH(1,COUNTIF('Ingest Template'!F545,"*"&amp;DropDown!$H$2:$H$10&amp;"*"),0)),CHAR(10),'Ingest Template'!G545)</f>
        <v>#N/A</v>
      </c>
      <c r="E545" s="21" t="str">
        <f>CONCATENATE('Ingest Template'!H545,CHAR(10),'Ingest Template'!I545,CHAR(10),'Ingest Template'!J545)</f>
        <v>
</v>
      </c>
      <c r="F545" s="26" t="str">
        <f>'Ingest Template'!H545</f>
        <v/>
      </c>
      <c r="G545" s="21"/>
      <c r="H545" s="29"/>
      <c r="I545" s="21"/>
      <c r="J545" s="29" t="str">
        <f t="array" ref="J545">iF('Ingest Template'!A545="Standard","Pristine Brand",INDEX(DropDown!$M$2:$M$392,MATCH('Ingest Template'!E545,DropDown!$J$2:$J$392,0)))</f>
        <v>#N/A</v>
      </c>
      <c r="K545" s="21" t="str">
        <f>iF('Ingest Template'!A545="Standard",'Ingest Template'!K545&amp;CHAR(10)&amp;'Ingest Template'!L545,"Competitive View")</f>
        <v>Competitive View</v>
      </c>
      <c r="L545" s="29" t="s">
        <v>146</v>
      </c>
      <c r="M545" s="37" t="str">
        <f>'Ingest Template'!D545</f>
        <v/>
      </c>
      <c r="N545" s="21"/>
      <c r="O545" s="21"/>
      <c r="P545" s="21"/>
      <c r="Q545" s="21"/>
      <c r="R545" s="21" t="str">
        <f>'Ingest Template'!E545</f>
        <v/>
      </c>
      <c r="S545" s="29" t="s">
        <v>153</v>
      </c>
      <c r="T545" s="21" t="str">
        <f>'Ingest Template'!T545</f>
        <v/>
      </c>
      <c r="U545" s="21" t="str">
        <f>'Ingest Template'!S545</f>
        <v/>
      </c>
      <c r="V545" s="21" t="str">
        <f>LOWER(SUBSTITUTE(SUBSTITUTE(SUBSTITUTE(SUBSTITUTE(SUBSTITUTE('Ingest Template'!U545,"https:",""),"www.",""),"/",""),"?hl=en",""),"instagram.com",""))</f>
        <v/>
      </c>
      <c r="W545" s="41" t="str">
        <f t="array" ref="W545">IF('Ingest Template'!V545="",(INDEX(DropDown!$L$2:$L$392,MATCH('Ingest Template'!E545,DropDown!$J$2:$J$392,0))&amp;"|"&amp;'Ingest Template'!B545),(INDEX(DropDown!$L$2:$L$392,MATCH('Ingest Template'!E545,DropDown!$J$2:$J$392,0))&amp;"|"&amp;'Ingest Template'!B545)&amp;CHAR(10)&amp;'Ingest Template'!V545)</f>
        <v>#N/A</v>
      </c>
      <c r="X545" s="41" t="str">
        <f>'Ingest Template'!W545</f>
        <v/>
      </c>
      <c r="Y545" s="21" t="str">
        <f>SUBSTITUTE(SUBSTITUTE(SUBSTITUTE('Ingest Template'!X545,"http:",""),"https:",""),"/","")</f>
        <v/>
      </c>
      <c r="Z545" s="21" t="str">
        <f t="array" ref="Z545">IF('Ingest Template'!A545="Standard",(IF(ISBLANK('Ingest Template'!AA545),"", 'Ingest Template'!AA545&amp;"|DAR")),(IF(ISBLANK('Ingest Template'!AA545),"", 'Ingest Template'!AA545&amp;"|Film Ops")))</f>
        <v/>
      </c>
      <c r="AA545" s="21"/>
      <c r="AB545" s="21" t="str">
        <f>'Ingest Template'!M545</f>
        <v/>
      </c>
      <c r="AC545" s="21" t="str">
        <f>'Ingest Template'!Y545</f>
        <v/>
      </c>
      <c r="AD545" s="21" t="str">
        <f>'Ingest Template'!C545</f>
        <v/>
      </c>
      <c r="AE545" s="21" t="str">
        <f>'Ingest Template'!Z545</f>
        <v/>
      </c>
      <c r="AF545" s="29"/>
      <c r="AG545" s="21" t="str">
        <f t="array" ref="AG545">IF('Ingest Template'!A545="Standard",(CONCATENATE(IF(ISBLANK('Ingest Template'!O545),"", 'Ingest Template'!O545&amp;"|DAR"),CHAR(10), IF(ISBLANK('Ingest Template'!P545),"", 'Ingest Template'!P545&amp;"|DAR"),CHAR(10), IF(ISBLANK('Ingest Template'!Q545),"", 'Ingest Template'!Q545&amp;"|DAR"))),(CONCATENATE(IF(ISBLANK('Ingest Template'!O545),"", 'Ingest Template'!O545&amp;"|Operations - Core Title"),CHAR(10), IF(ISBLANK('Ingest Template'!P545),"", 'Ingest Template'!P545&amp;"|Operations - Core Title"),CHAR(10), IF(ISBLANK('Ingest Template'!Q545),"", 'Ingest Template'!Q545&amp;"|Operations - Core Title"))))</f>
        <v>#|Operations - Core Title
#|Operations - Core Title
</v>
      </c>
      <c r="AH545" s="21"/>
      <c r="AI545" s="21"/>
      <c r="AJ545" s="53" t="str">
        <f>if('Ingest Template'!A545="Standard",'Ingest Template'!N545&amp; "|DAR|DAR|2021-01-01",'Ingest Template'!N545&amp; "|Operations - Core Title|Operations - Core Title")</f>
        <v>#N/A</v>
      </c>
      <c r="AK545" s="53" t="str">
        <f>if('Ingest Template'!A545="Standard",'Ingest Template'!R545&amp; "|2021-01-01",'Ingest Template'!R545)</f>
        <v>#N/A</v>
      </c>
      <c r="AL545" s="21"/>
      <c r="AM545" s="21"/>
    </row>
    <row r="546">
      <c r="A546" s="21"/>
      <c r="B546" s="21" t="str">
        <f>'Ingest Template'!B546&amp;IF('Ingest Template'!A546 = "Standard", " - DAR","")</f>
        <v/>
      </c>
      <c r="C546" s="26" t="s">
        <v>109</v>
      </c>
      <c r="D546" s="29" t="str">
        <f t="array" ref="D546">CONCATENATE(INDEX(DropDown!$H$2:$H$10,MATCH(1,COUNTIF('Ingest Template'!F546,"*"&amp;DropDown!$H$2:$H$10&amp;"*"),0)),CHAR(10),'Ingest Template'!G546)</f>
        <v>#N/A</v>
      </c>
      <c r="E546" s="21" t="str">
        <f>CONCATENATE('Ingest Template'!H546,CHAR(10),'Ingest Template'!I546,CHAR(10),'Ingest Template'!J546)</f>
        <v>
</v>
      </c>
      <c r="F546" s="26" t="str">
        <f>'Ingest Template'!H546</f>
        <v/>
      </c>
      <c r="G546" s="21"/>
      <c r="H546" s="29"/>
      <c r="I546" s="21"/>
      <c r="J546" s="29" t="str">
        <f t="array" ref="J546">iF('Ingest Template'!A546="Standard","Pristine Brand",INDEX(DropDown!$M$2:$M$392,MATCH('Ingest Template'!E546,DropDown!$J$2:$J$392,0)))</f>
        <v>#N/A</v>
      </c>
      <c r="K546" s="21" t="str">
        <f>iF('Ingest Template'!A546="Standard",'Ingest Template'!K546&amp;CHAR(10)&amp;'Ingest Template'!L546,"Competitive View")</f>
        <v>Competitive View</v>
      </c>
      <c r="L546" s="29" t="s">
        <v>146</v>
      </c>
      <c r="M546" s="37" t="str">
        <f>'Ingest Template'!D546</f>
        <v/>
      </c>
      <c r="N546" s="21"/>
      <c r="O546" s="21"/>
      <c r="P546" s="21"/>
      <c r="Q546" s="21"/>
      <c r="R546" s="21" t="str">
        <f>'Ingest Template'!E546</f>
        <v/>
      </c>
      <c r="S546" s="29" t="s">
        <v>153</v>
      </c>
      <c r="T546" s="21" t="str">
        <f>'Ingest Template'!T546</f>
        <v/>
      </c>
      <c r="U546" s="21" t="str">
        <f>'Ingest Template'!S546</f>
        <v/>
      </c>
      <c r="V546" s="21" t="str">
        <f>LOWER(SUBSTITUTE(SUBSTITUTE(SUBSTITUTE(SUBSTITUTE(SUBSTITUTE('Ingest Template'!U546,"https:",""),"www.",""),"/",""),"?hl=en",""),"instagram.com",""))</f>
        <v/>
      </c>
      <c r="W546" s="41" t="str">
        <f t="array" ref="W546">IF('Ingest Template'!V546="",(INDEX(DropDown!$L$2:$L$392,MATCH('Ingest Template'!E546,DropDown!$J$2:$J$392,0))&amp;"|"&amp;'Ingest Template'!B546),(INDEX(DropDown!$L$2:$L$392,MATCH('Ingest Template'!E546,DropDown!$J$2:$J$392,0))&amp;"|"&amp;'Ingest Template'!B546)&amp;CHAR(10)&amp;'Ingest Template'!V546)</f>
        <v>#N/A</v>
      </c>
      <c r="X546" s="41" t="str">
        <f>'Ingest Template'!W546</f>
        <v/>
      </c>
      <c r="Y546" s="21" t="str">
        <f>SUBSTITUTE(SUBSTITUTE(SUBSTITUTE('Ingest Template'!X546,"http:",""),"https:",""),"/","")</f>
        <v/>
      </c>
      <c r="Z546" s="21" t="str">
        <f t="array" ref="Z546">IF('Ingest Template'!A546="Standard",(IF(ISBLANK('Ingest Template'!AA546),"", 'Ingest Template'!AA546&amp;"|DAR")),(IF(ISBLANK('Ingest Template'!AA546),"", 'Ingest Template'!AA546&amp;"|Film Ops")))</f>
        <v/>
      </c>
      <c r="AA546" s="21"/>
      <c r="AB546" s="21" t="str">
        <f>'Ingest Template'!M546</f>
        <v/>
      </c>
      <c r="AC546" s="21" t="str">
        <f>'Ingest Template'!Y546</f>
        <v/>
      </c>
      <c r="AD546" s="21" t="str">
        <f>'Ingest Template'!C546</f>
        <v/>
      </c>
      <c r="AE546" s="21" t="str">
        <f>'Ingest Template'!Z546</f>
        <v/>
      </c>
      <c r="AF546" s="29"/>
      <c r="AG546" s="21" t="str">
        <f t="array" ref="AG546">IF('Ingest Template'!A546="Standard",(CONCATENATE(IF(ISBLANK('Ingest Template'!O546),"", 'Ingest Template'!O546&amp;"|DAR"),CHAR(10), IF(ISBLANK('Ingest Template'!P546),"", 'Ingest Template'!P546&amp;"|DAR"),CHAR(10), IF(ISBLANK('Ingest Template'!Q546),"", 'Ingest Template'!Q546&amp;"|DAR"))),(CONCATENATE(IF(ISBLANK('Ingest Template'!O546),"", 'Ingest Template'!O546&amp;"|Operations - Core Title"),CHAR(10), IF(ISBLANK('Ingest Template'!P546),"", 'Ingest Template'!P546&amp;"|Operations - Core Title"),CHAR(10), IF(ISBLANK('Ingest Template'!Q546),"", 'Ingest Template'!Q546&amp;"|Operations - Core Title"))))</f>
        <v>#|Operations - Core Title
#|Operations - Core Title
</v>
      </c>
      <c r="AH546" s="21"/>
      <c r="AI546" s="21"/>
      <c r="AJ546" s="53" t="str">
        <f>if('Ingest Template'!A546="Standard",'Ingest Template'!N546&amp; "|DAR|DAR|2021-01-01",'Ingest Template'!N546&amp; "|Operations - Core Title|Operations - Core Title")</f>
        <v>#N/A</v>
      </c>
      <c r="AK546" s="53" t="str">
        <f>if('Ingest Template'!A546="Standard",'Ingest Template'!R546&amp; "|2021-01-01",'Ingest Template'!R546)</f>
        <v>#N/A</v>
      </c>
      <c r="AL546" s="21"/>
      <c r="AM546" s="21"/>
    </row>
    <row r="547">
      <c r="A547" s="21"/>
      <c r="B547" s="21" t="str">
        <f>'Ingest Template'!B547&amp;IF('Ingest Template'!A547 = "Standard", " - DAR","")</f>
        <v/>
      </c>
      <c r="C547" s="26" t="s">
        <v>109</v>
      </c>
      <c r="D547" s="29" t="str">
        <f t="array" ref="D547">CONCATENATE(INDEX(DropDown!$H$2:$H$10,MATCH(1,COUNTIF('Ingest Template'!F547,"*"&amp;DropDown!$H$2:$H$10&amp;"*"),0)),CHAR(10),'Ingest Template'!G547)</f>
        <v>#N/A</v>
      </c>
      <c r="E547" s="21" t="str">
        <f>CONCATENATE('Ingest Template'!H547,CHAR(10),'Ingest Template'!I547,CHAR(10),'Ingest Template'!J547)</f>
        <v>
</v>
      </c>
      <c r="F547" s="26" t="str">
        <f>'Ingest Template'!H547</f>
        <v/>
      </c>
      <c r="G547" s="21"/>
      <c r="H547" s="29"/>
      <c r="I547" s="21"/>
      <c r="J547" s="29" t="str">
        <f t="array" ref="J547">iF('Ingest Template'!A547="Standard","Pristine Brand",INDEX(DropDown!$M$2:$M$392,MATCH('Ingest Template'!E547,DropDown!$J$2:$J$392,0)))</f>
        <v>#N/A</v>
      </c>
      <c r="K547" s="21" t="str">
        <f>iF('Ingest Template'!A547="Standard",'Ingest Template'!K547&amp;CHAR(10)&amp;'Ingest Template'!L547,"Competitive View")</f>
        <v>Competitive View</v>
      </c>
      <c r="L547" s="29" t="s">
        <v>146</v>
      </c>
      <c r="M547" s="37" t="str">
        <f>'Ingest Template'!D547</f>
        <v/>
      </c>
      <c r="N547" s="21"/>
      <c r="O547" s="21"/>
      <c r="P547" s="21"/>
      <c r="Q547" s="21"/>
      <c r="R547" s="21" t="str">
        <f>'Ingest Template'!E547</f>
        <v/>
      </c>
      <c r="S547" s="29" t="s">
        <v>153</v>
      </c>
      <c r="T547" s="21" t="str">
        <f>'Ingest Template'!T547</f>
        <v/>
      </c>
      <c r="U547" s="21" t="str">
        <f>'Ingest Template'!S547</f>
        <v/>
      </c>
      <c r="V547" s="21" t="str">
        <f>LOWER(SUBSTITUTE(SUBSTITUTE(SUBSTITUTE(SUBSTITUTE(SUBSTITUTE('Ingest Template'!U547,"https:",""),"www.",""),"/",""),"?hl=en",""),"instagram.com",""))</f>
        <v/>
      </c>
      <c r="W547" s="41" t="str">
        <f t="array" ref="W547">IF('Ingest Template'!V547="",(INDEX(DropDown!$L$2:$L$392,MATCH('Ingest Template'!E547,DropDown!$J$2:$J$392,0))&amp;"|"&amp;'Ingest Template'!B547),(INDEX(DropDown!$L$2:$L$392,MATCH('Ingest Template'!E547,DropDown!$J$2:$J$392,0))&amp;"|"&amp;'Ingest Template'!B547)&amp;CHAR(10)&amp;'Ingest Template'!V547)</f>
        <v>#N/A</v>
      </c>
      <c r="X547" s="41" t="str">
        <f>'Ingest Template'!W547</f>
        <v/>
      </c>
      <c r="Y547" s="21" t="str">
        <f>SUBSTITUTE(SUBSTITUTE(SUBSTITUTE('Ingest Template'!X547,"http:",""),"https:",""),"/","")</f>
        <v/>
      </c>
      <c r="Z547" s="21" t="str">
        <f t="array" ref="Z547">IF('Ingest Template'!A547="Standard",(IF(ISBLANK('Ingest Template'!AA547),"", 'Ingest Template'!AA547&amp;"|DAR")),(IF(ISBLANK('Ingest Template'!AA547),"", 'Ingest Template'!AA547&amp;"|Film Ops")))</f>
        <v/>
      </c>
      <c r="AA547" s="21"/>
      <c r="AB547" s="21" t="str">
        <f>'Ingest Template'!M547</f>
        <v/>
      </c>
      <c r="AC547" s="21" t="str">
        <f>'Ingest Template'!Y547</f>
        <v/>
      </c>
      <c r="AD547" s="21" t="str">
        <f>'Ingest Template'!C547</f>
        <v/>
      </c>
      <c r="AE547" s="21" t="str">
        <f>'Ingest Template'!Z547</f>
        <v/>
      </c>
      <c r="AF547" s="29"/>
      <c r="AG547" s="21" t="str">
        <f t="array" ref="AG547">IF('Ingest Template'!A547="Standard",(CONCATENATE(IF(ISBLANK('Ingest Template'!O547),"", 'Ingest Template'!O547&amp;"|DAR"),CHAR(10), IF(ISBLANK('Ingest Template'!P547),"", 'Ingest Template'!P547&amp;"|DAR"),CHAR(10), IF(ISBLANK('Ingest Template'!Q547),"", 'Ingest Template'!Q547&amp;"|DAR"))),(CONCATENATE(IF(ISBLANK('Ingest Template'!O547),"", 'Ingest Template'!O547&amp;"|Operations - Core Title"),CHAR(10), IF(ISBLANK('Ingest Template'!P547),"", 'Ingest Template'!P547&amp;"|Operations - Core Title"),CHAR(10), IF(ISBLANK('Ingest Template'!Q547),"", 'Ingest Template'!Q547&amp;"|Operations - Core Title"))))</f>
        <v>#|Operations - Core Title
#|Operations - Core Title
</v>
      </c>
      <c r="AH547" s="21"/>
      <c r="AI547" s="21"/>
      <c r="AJ547" s="53" t="str">
        <f>if('Ingest Template'!A547="Standard",'Ingest Template'!N547&amp; "|DAR|DAR|2021-01-01",'Ingest Template'!N547&amp; "|Operations - Core Title|Operations - Core Title")</f>
        <v>#N/A</v>
      </c>
      <c r="AK547" s="53" t="str">
        <f>if('Ingest Template'!A547="Standard",'Ingest Template'!R547&amp; "|2021-01-01",'Ingest Template'!R547)</f>
        <v>#N/A</v>
      </c>
      <c r="AL547" s="21"/>
      <c r="AM547" s="21"/>
    </row>
    <row r="548">
      <c r="A548" s="21"/>
      <c r="B548" s="21" t="str">
        <f>'Ingest Template'!B548&amp;IF('Ingest Template'!A548 = "Standard", " - DAR","")</f>
        <v/>
      </c>
      <c r="C548" s="26" t="s">
        <v>109</v>
      </c>
      <c r="D548" s="29" t="str">
        <f t="array" ref="D548">CONCATENATE(INDEX(DropDown!$H$2:$H$10,MATCH(1,COUNTIF('Ingest Template'!F548,"*"&amp;DropDown!$H$2:$H$10&amp;"*"),0)),CHAR(10),'Ingest Template'!G548)</f>
        <v>#N/A</v>
      </c>
      <c r="E548" s="21" t="str">
        <f>CONCATENATE('Ingest Template'!H548,CHAR(10),'Ingest Template'!I548,CHAR(10),'Ingest Template'!J548)</f>
        <v>
</v>
      </c>
      <c r="F548" s="26" t="str">
        <f>'Ingest Template'!H548</f>
        <v/>
      </c>
      <c r="G548" s="21"/>
      <c r="H548" s="29"/>
      <c r="I548" s="21"/>
      <c r="J548" s="29" t="str">
        <f t="array" ref="J548">iF('Ingest Template'!A548="Standard","Pristine Brand",INDEX(DropDown!$M$2:$M$392,MATCH('Ingest Template'!E548,DropDown!$J$2:$J$392,0)))</f>
        <v>#N/A</v>
      </c>
      <c r="K548" s="21" t="str">
        <f>iF('Ingest Template'!A548="Standard",'Ingest Template'!K548&amp;CHAR(10)&amp;'Ingest Template'!L548,"Competitive View")</f>
        <v>Competitive View</v>
      </c>
      <c r="L548" s="29" t="s">
        <v>146</v>
      </c>
      <c r="M548" s="37" t="str">
        <f>'Ingest Template'!D548</f>
        <v/>
      </c>
      <c r="N548" s="21"/>
      <c r="O548" s="21"/>
      <c r="P548" s="21"/>
      <c r="Q548" s="21"/>
      <c r="R548" s="21" t="str">
        <f>'Ingest Template'!E548</f>
        <v/>
      </c>
      <c r="S548" s="29" t="s">
        <v>153</v>
      </c>
      <c r="T548" s="21" t="str">
        <f>'Ingest Template'!T548</f>
        <v/>
      </c>
      <c r="U548" s="21" t="str">
        <f>'Ingest Template'!S548</f>
        <v/>
      </c>
      <c r="V548" s="21" t="str">
        <f>LOWER(SUBSTITUTE(SUBSTITUTE(SUBSTITUTE(SUBSTITUTE(SUBSTITUTE('Ingest Template'!U548,"https:",""),"www.",""),"/",""),"?hl=en",""),"instagram.com",""))</f>
        <v/>
      </c>
      <c r="W548" s="41" t="str">
        <f t="array" ref="W548">IF('Ingest Template'!V548="",(INDEX(DropDown!$L$2:$L$392,MATCH('Ingest Template'!E548,DropDown!$J$2:$J$392,0))&amp;"|"&amp;'Ingest Template'!B548),(INDEX(DropDown!$L$2:$L$392,MATCH('Ingest Template'!E548,DropDown!$J$2:$J$392,0))&amp;"|"&amp;'Ingest Template'!B548)&amp;CHAR(10)&amp;'Ingest Template'!V548)</f>
        <v>#N/A</v>
      </c>
      <c r="X548" s="41" t="str">
        <f>'Ingest Template'!W548</f>
        <v/>
      </c>
      <c r="Y548" s="21" t="str">
        <f>SUBSTITUTE(SUBSTITUTE(SUBSTITUTE('Ingest Template'!X548,"http:",""),"https:",""),"/","")</f>
        <v/>
      </c>
      <c r="Z548" s="21" t="str">
        <f t="array" ref="Z548">IF('Ingest Template'!A548="Standard",(IF(ISBLANK('Ingest Template'!AA548),"", 'Ingest Template'!AA548&amp;"|DAR")),(IF(ISBLANK('Ingest Template'!AA548),"", 'Ingest Template'!AA548&amp;"|Film Ops")))</f>
        <v/>
      </c>
      <c r="AA548" s="21"/>
      <c r="AB548" s="21" t="str">
        <f>'Ingest Template'!M548</f>
        <v/>
      </c>
      <c r="AC548" s="21" t="str">
        <f>'Ingest Template'!Y548</f>
        <v/>
      </c>
      <c r="AD548" s="21" t="str">
        <f>'Ingest Template'!C548</f>
        <v/>
      </c>
      <c r="AE548" s="21" t="str">
        <f>'Ingest Template'!Z548</f>
        <v/>
      </c>
      <c r="AF548" s="29"/>
      <c r="AG548" s="21" t="str">
        <f t="array" ref="AG548">IF('Ingest Template'!A548="Standard",(CONCATENATE(IF(ISBLANK('Ingest Template'!O548),"", 'Ingest Template'!O548&amp;"|DAR"),CHAR(10), IF(ISBLANK('Ingest Template'!P548),"", 'Ingest Template'!P548&amp;"|DAR"),CHAR(10), IF(ISBLANK('Ingest Template'!Q548),"", 'Ingest Template'!Q548&amp;"|DAR"))),(CONCATENATE(IF(ISBLANK('Ingest Template'!O548),"", 'Ingest Template'!O548&amp;"|Operations - Core Title"),CHAR(10), IF(ISBLANK('Ingest Template'!P548),"", 'Ingest Template'!P548&amp;"|Operations - Core Title"),CHAR(10), IF(ISBLANK('Ingest Template'!Q548),"", 'Ingest Template'!Q548&amp;"|Operations - Core Title"))))</f>
        <v>#|Operations - Core Title
#|Operations - Core Title
</v>
      </c>
      <c r="AH548" s="21"/>
      <c r="AI548" s="21"/>
      <c r="AJ548" s="53" t="str">
        <f>if('Ingest Template'!A548="Standard",'Ingest Template'!N548&amp; "|DAR|DAR|2021-01-01",'Ingest Template'!N548&amp; "|Operations - Core Title|Operations - Core Title")</f>
        <v>#N/A</v>
      </c>
      <c r="AK548" s="53" t="str">
        <f>if('Ingest Template'!A548="Standard",'Ingest Template'!R548&amp; "|2021-01-01",'Ingest Template'!R548)</f>
        <v>#N/A</v>
      </c>
      <c r="AL548" s="21"/>
      <c r="AM548" s="21"/>
    </row>
    <row r="549">
      <c r="A549" s="21"/>
      <c r="B549" s="21" t="str">
        <f>'Ingest Template'!B549&amp;IF('Ingest Template'!A549 = "Standard", " - DAR","")</f>
        <v/>
      </c>
      <c r="C549" s="26" t="s">
        <v>109</v>
      </c>
      <c r="D549" s="29" t="str">
        <f t="array" ref="D549">CONCATENATE(INDEX(DropDown!$H$2:$H$10,MATCH(1,COUNTIF('Ingest Template'!F549,"*"&amp;DropDown!$H$2:$H$10&amp;"*"),0)),CHAR(10),'Ingest Template'!G549)</f>
        <v>#N/A</v>
      </c>
      <c r="E549" s="21" t="str">
        <f>CONCATENATE('Ingest Template'!H549,CHAR(10),'Ingest Template'!I549,CHAR(10),'Ingest Template'!J549)</f>
        <v>
</v>
      </c>
      <c r="F549" s="26" t="str">
        <f>'Ingest Template'!H549</f>
        <v/>
      </c>
      <c r="G549" s="21"/>
      <c r="H549" s="29"/>
      <c r="I549" s="21"/>
      <c r="J549" s="29" t="str">
        <f t="array" ref="J549">iF('Ingest Template'!A549="Standard","Pristine Brand",INDEX(DropDown!$M$2:$M$392,MATCH('Ingest Template'!E549,DropDown!$J$2:$J$392,0)))</f>
        <v>#N/A</v>
      </c>
      <c r="K549" s="21" t="str">
        <f>iF('Ingest Template'!A549="Standard",'Ingest Template'!K549&amp;CHAR(10)&amp;'Ingest Template'!L549,"Competitive View")</f>
        <v>Competitive View</v>
      </c>
      <c r="L549" s="29" t="s">
        <v>146</v>
      </c>
      <c r="M549" s="37" t="str">
        <f>'Ingest Template'!D549</f>
        <v/>
      </c>
      <c r="N549" s="21"/>
      <c r="O549" s="21"/>
      <c r="P549" s="21"/>
      <c r="Q549" s="21"/>
      <c r="R549" s="21" t="str">
        <f>'Ingest Template'!E549</f>
        <v/>
      </c>
      <c r="S549" s="29" t="s">
        <v>153</v>
      </c>
      <c r="T549" s="21" t="str">
        <f>'Ingest Template'!T549</f>
        <v/>
      </c>
      <c r="U549" s="21" t="str">
        <f>'Ingest Template'!S549</f>
        <v/>
      </c>
      <c r="V549" s="21" t="str">
        <f>LOWER(SUBSTITUTE(SUBSTITUTE(SUBSTITUTE(SUBSTITUTE(SUBSTITUTE('Ingest Template'!U549,"https:",""),"www.",""),"/",""),"?hl=en",""),"instagram.com",""))</f>
        <v/>
      </c>
      <c r="W549" s="41" t="str">
        <f t="array" ref="W549">IF('Ingest Template'!V549="",(INDEX(DropDown!$L$2:$L$392,MATCH('Ingest Template'!E549,DropDown!$J$2:$J$392,0))&amp;"|"&amp;'Ingest Template'!B549),(INDEX(DropDown!$L$2:$L$392,MATCH('Ingest Template'!E549,DropDown!$J$2:$J$392,0))&amp;"|"&amp;'Ingest Template'!B549)&amp;CHAR(10)&amp;'Ingest Template'!V549)</f>
        <v>#N/A</v>
      </c>
      <c r="X549" s="41" t="str">
        <f>'Ingest Template'!W549</f>
        <v/>
      </c>
      <c r="Y549" s="21" t="str">
        <f>SUBSTITUTE(SUBSTITUTE(SUBSTITUTE('Ingest Template'!X549,"http:",""),"https:",""),"/","")</f>
        <v/>
      </c>
      <c r="Z549" s="21" t="str">
        <f t="array" ref="Z549">IF('Ingest Template'!A549="Standard",(IF(ISBLANK('Ingest Template'!AA549),"", 'Ingest Template'!AA549&amp;"|DAR")),(IF(ISBLANK('Ingest Template'!AA549),"", 'Ingest Template'!AA549&amp;"|Film Ops")))</f>
        <v/>
      </c>
      <c r="AA549" s="21"/>
      <c r="AB549" s="21" t="str">
        <f>'Ingest Template'!M549</f>
        <v/>
      </c>
      <c r="AC549" s="21" t="str">
        <f>'Ingest Template'!Y549</f>
        <v/>
      </c>
      <c r="AD549" s="21" t="str">
        <f>'Ingest Template'!C549</f>
        <v/>
      </c>
      <c r="AE549" s="21" t="str">
        <f>'Ingest Template'!Z549</f>
        <v/>
      </c>
      <c r="AF549" s="29"/>
      <c r="AG549" s="21" t="str">
        <f t="array" ref="AG549">IF('Ingest Template'!A549="Standard",(CONCATENATE(IF(ISBLANK('Ingest Template'!O549),"", 'Ingest Template'!O549&amp;"|DAR"),CHAR(10), IF(ISBLANK('Ingest Template'!P549),"", 'Ingest Template'!P549&amp;"|DAR"),CHAR(10), IF(ISBLANK('Ingest Template'!Q549),"", 'Ingest Template'!Q549&amp;"|DAR"))),(CONCATENATE(IF(ISBLANK('Ingest Template'!O549),"", 'Ingest Template'!O549&amp;"|Operations - Core Title"),CHAR(10), IF(ISBLANK('Ingest Template'!P549),"", 'Ingest Template'!P549&amp;"|Operations - Core Title"),CHAR(10), IF(ISBLANK('Ingest Template'!Q549),"", 'Ingest Template'!Q549&amp;"|Operations - Core Title"))))</f>
        <v>#|Operations - Core Title
#|Operations - Core Title
</v>
      </c>
      <c r="AH549" s="21"/>
      <c r="AI549" s="21"/>
      <c r="AJ549" s="53" t="str">
        <f>if('Ingest Template'!A549="Standard",'Ingest Template'!N549&amp; "|DAR|DAR|2021-01-01",'Ingest Template'!N549&amp; "|Operations - Core Title|Operations - Core Title")</f>
        <v>#N/A</v>
      </c>
      <c r="AK549" s="53" t="str">
        <f>if('Ingest Template'!A549="Standard",'Ingest Template'!R549&amp; "|2021-01-01",'Ingest Template'!R549)</f>
        <v>#N/A</v>
      </c>
      <c r="AL549" s="21"/>
      <c r="AM549" s="21"/>
    </row>
    <row r="550">
      <c r="A550" s="21"/>
      <c r="B550" s="21" t="str">
        <f>'Ingest Template'!B550&amp;IF('Ingest Template'!A550 = "Standard", " - DAR","")</f>
        <v/>
      </c>
      <c r="C550" s="26" t="s">
        <v>109</v>
      </c>
      <c r="D550" s="29" t="str">
        <f t="array" ref="D550">CONCATENATE(INDEX(DropDown!$H$2:$H$10,MATCH(1,COUNTIF('Ingest Template'!F550,"*"&amp;DropDown!$H$2:$H$10&amp;"*"),0)),CHAR(10),'Ingest Template'!G550)</f>
        <v>#N/A</v>
      </c>
      <c r="E550" s="21" t="str">
        <f>CONCATENATE('Ingest Template'!H550,CHAR(10),'Ingest Template'!I550,CHAR(10),'Ingest Template'!J550)</f>
        <v>
</v>
      </c>
      <c r="F550" s="26" t="str">
        <f>'Ingest Template'!H550</f>
        <v/>
      </c>
      <c r="G550" s="21"/>
      <c r="H550" s="29"/>
      <c r="I550" s="21"/>
      <c r="J550" s="29" t="str">
        <f t="array" ref="J550">iF('Ingest Template'!A550="Standard","Pristine Brand",INDEX(DropDown!$M$2:$M$392,MATCH('Ingest Template'!E550,DropDown!$J$2:$J$392,0)))</f>
        <v>#N/A</v>
      </c>
      <c r="K550" s="21" t="str">
        <f>iF('Ingest Template'!A550="Standard",'Ingest Template'!K550&amp;CHAR(10)&amp;'Ingest Template'!L550,"Competitive View")</f>
        <v>Competitive View</v>
      </c>
      <c r="L550" s="29" t="s">
        <v>146</v>
      </c>
      <c r="M550" s="37" t="str">
        <f>'Ingest Template'!D550</f>
        <v/>
      </c>
      <c r="N550" s="21"/>
      <c r="O550" s="21"/>
      <c r="P550" s="21"/>
      <c r="Q550" s="21"/>
      <c r="R550" s="21" t="str">
        <f>'Ingest Template'!E550</f>
        <v/>
      </c>
      <c r="S550" s="29" t="s">
        <v>153</v>
      </c>
      <c r="T550" s="21" t="str">
        <f>'Ingest Template'!T550</f>
        <v/>
      </c>
      <c r="U550" s="21" t="str">
        <f>'Ingest Template'!S550</f>
        <v/>
      </c>
      <c r="V550" s="21" t="str">
        <f>LOWER(SUBSTITUTE(SUBSTITUTE(SUBSTITUTE(SUBSTITUTE(SUBSTITUTE('Ingest Template'!U550,"https:",""),"www.",""),"/",""),"?hl=en",""),"instagram.com",""))</f>
        <v/>
      </c>
      <c r="W550" s="41" t="str">
        <f t="array" ref="W550">IF('Ingest Template'!V550="",(INDEX(DropDown!$L$2:$L$392,MATCH('Ingest Template'!E550,DropDown!$J$2:$J$392,0))&amp;"|"&amp;'Ingest Template'!B550),(INDEX(DropDown!$L$2:$L$392,MATCH('Ingest Template'!E550,DropDown!$J$2:$J$392,0))&amp;"|"&amp;'Ingest Template'!B550)&amp;CHAR(10)&amp;'Ingest Template'!V550)</f>
        <v>#N/A</v>
      </c>
      <c r="X550" s="41" t="str">
        <f>'Ingest Template'!W550</f>
        <v/>
      </c>
      <c r="Y550" s="21" t="str">
        <f>SUBSTITUTE(SUBSTITUTE(SUBSTITUTE('Ingest Template'!X550,"http:",""),"https:",""),"/","")</f>
        <v/>
      </c>
      <c r="Z550" s="21" t="str">
        <f t="array" ref="Z550">IF('Ingest Template'!A550="Standard",(IF(ISBLANK('Ingest Template'!AA550),"", 'Ingest Template'!AA550&amp;"|DAR")),(IF(ISBLANK('Ingest Template'!AA550),"", 'Ingest Template'!AA550&amp;"|Film Ops")))</f>
        <v/>
      </c>
      <c r="AA550" s="21"/>
      <c r="AB550" s="21" t="str">
        <f>'Ingest Template'!M550</f>
        <v/>
      </c>
      <c r="AC550" s="21" t="str">
        <f>'Ingest Template'!Y550</f>
        <v/>
      </c>
      <c r="AD550" s="21" t="str">
        <f>'Ingest Template'!C550</f>
        <v/>
      </c>
      <c r="AE550" s="21" t="str">
        <f>'Ingest Template'!Z550</f>
        <v/>
      </c>
      <c r="AF550" s="29"/>
      <c r="AG550" s="21" t="str">
        <f t="array" ref="AG550">IF('Ingest Template'!A550="Standard",(CONCATENATE(IF(ISBLANK('Ingest Template'!O550),"", 'Ingest Template'!O550&amp;"|DAR"),CHAR(10), IF(ISBLANK('Ingest Template'!P550),"", 'Ingest Template'!P550&amp;"|DAR"),CHAR(10), IF(ISBLANK('Ingest Template'!Q550),"", 'Ingest Template'!Q550&amp;"|DAR"))),(CONCATENATE(IF(ISBLANK('Ingest Template'!O550),"", 'Ingest Template'!O550&amp;"|Operations - Core Title"),CHAR(10), IF(ISBLANK('Ingest Template'!P550),"", 'Ingest Template'!P550&amp;"|Operations - Core Title"),CHAR(10), IF(ISBLANK('Ingest Template'!Q550),"", 'Ingest Template'!Q550&amp;"|Operations - Core Title"))))</f>
        <v>#|Operations - Core Title
#|Operations - Core Title
</v>
      </c>
      <c r="AH550" s="21"/>
      <c r="AI550" s="21"/>
      <c r="AJ550" s="53" t="str">
        <f>if('Ingest Template'!A550="Standard",'Ingest Template'!N550&amp; "|DAR|DAR|2021-01-01",'Ingest Template'!N550&amp; "|Operations - Core Title|Operations - Core Title")</f>
        <v>#N/A</v>
      </c>
      <c r="AK550" s="53" t="str">
        <f>if('Ingest Template'!A550="Standard",'Ingest Template'!R550&amp; "|2021-01-01",'Ingest Template'!R550)</f>
        <v>#N/A</v>
      </c>
      <c r="AL550" s="21"/>
      <c r="AM550" s="21"/>
    </row>
    <row r="551">
      <c r="A551" s="21"/>
      <c r="B551" s="21" t="str">
        <f>'Ingest Template'!B551&amp;IF('Ingest Template'!A551 = "Standard", " - DAR","")</f>
        <v/>
      </c>
      <c r="C551" s="26" t="s">
        <v>109</v>
      </c>
      <c r="D551" s="29" t="str">
        <f t="array" ref="D551">CONCATENATE(INDEX(DropDown!$H$2:$H$10,MATCH(1,COUNTIF('Ingest Template'!F551,"*"&amp;DropDown!$H$2:$H$10&amp;"*"),0)),CHAR(10),'Ingest Template'!G551)</f>
        <v>#N/A</v>
      </c>
      <c r="E551" s="21" t="str">
        <f>CONCATENATE('Ingest Template'!H551,CHAR(10),'Ingest Template'!I551,CHAR(10),'Ingest Template'!J551)</f>
        <v>
</v>
      </c>
      <c r="F551" s="26" t="str">
        <f>'Ingest Template'!H551</f>
        <v/>
      </c>
      <c r="G551" s="21"/>
      <c r="H551" s="29"/>
      <c r="I551" s="21"/>
      <c r="J551" s="29" t="str">
        <f t="array" ref="J551">iF('Ingest Template'!A551="Standard","Pristine Brand",INDEX(DropDown!$M$2:$M$392,MATCH('Ingest Template'!E551,DropDown!$J$2:$J$392,0)))</f>
        <v>#N/A</v>
      </c>
      <c r="K551" s="21" t="str">
        <f>iF('Ingest Template'!A551="Standard",'Ingest Template'!K551&amp;CHAR(10)&amp;'Ingest Template'!L551,"Competitive View")</f>
        <v>Competitive View</v>
      </c>
      <c r="L551" s="29" t="s">
        <v>146</v>
      </c>
      <c r="M551" s="37" t="str">
        <f>'Ingest Template'!D551</f>
        <v/>
      </c>
      <c r="N551" s="21"/>
      <c r="O551" s="21"/>
      <c r="P551" s="21"/>
      <c r="Q551" s="21"/>
      <c r="R551" s="21" t="str">
        <f>'Ingest Template'!E551</f>
        <v/>
      </c>
      <c r="S551" s="29" t="s">
        <v>153</v>
      </c>
      <c r="T551" s="21" t="str">
        <f>'Ingest Template'!T551</f>
        <v/>
      </c>
      <c r="U551" s="21" t="str">
        <f>'Ingest Template'!S551</f>
        <v/>
      </c>
      <c r="V551" s="21" t="str">
        <f>LOWER(SUBSTITUTE(SUBSTITUTE(SUBSTITUTE(SUBSTITUTE(SUBSTITUTE('Ingest Template'!U551,"https:",""),"www.",""),"/",""),"?hl=en",""),"instagram.com",""))</f>
        <v/>
      </c>
      <c r="W551" s="41" t="str">
        <f t="array" ref="W551">IF('Ingest Template'!V551="",(INDEX(DropDown!$L$2:$L$392,MATCH('Ingest Template'!E551,DropDown!$J$2:$J$392,0))&amp;"|"&amp;'Ingest Template'!B551),(INDEX(DropDown!$L$2:$L$392,MATCH('Ingest Template'!E551,DropDown!$J$2:$J$392,0))&amp;"|"&amp;'Ingest Template'!B551)&amp;CHAR(10)&amp;'Ingest Template'!V551)</f>
        <v>#N/A</v>
      </c>
      <c r="X551" s="41" t="str">
        <f>'Ingest Template'!W551</f>
        <v/>
      </c>
      <c r="Y551" s="21" t="str">
        <f>SUBSTITUTE(SUBSTITUTE(SUBSTITUTE('Ingest Template'!X551,"http:",""),"https:",""),"/","")</f>
        <v/>
      </c>
      <c r="Z551" s="21" t="str">
        <f t="array" ref="Z551">IF('Ingest Template'!A551="Standard",(IF(ISBLANK('Ingest Template'!AA551),"", 'Ingest Template'!AA551&amp;"|DAR")),(IF(ISBLANK('Ingest Template'!AA551),"", 'Ingest Template'!AA551&amp;"|Film Ops")))</f>
        <v/>
      </c>
      <c r="AA551" s="21"/>
      <c r="AB551" s="21" t="str">
        <f>'Ingest Template'!M551</f>
        <v/>
      </c>
      <c r="AC551" s="21" t="str">
        <f>'Ingest Template'!Y551</f>
        <v/>
      </c>
      <c r="AD551" s="21" t="str">
        <f>'Ingest Template'!C551</f>
        <v/>
      </c>
      <c r="AE551" s="21" t="str">
        <f>'Ingest Template'!Z551</f>
        <v/>
      </c>
      <c r="AF551" s="29"/>
      <c r="AG551" s="21" t="str">
        <f t="array" ref="AG551">IF('Ingest Template'!A551="Standard",(CONCATENATE(IF(ISBLANK('Ingest Template'!O551),"", 'Ingest Template'!O551&amp;"|DAR"),CHAR(10), IF(ISBLANK('Ingest Template'!P551),"", 'Ingest Template'!P551&amp;"|DAR"),CHAR(10), IF(ISBLANK('Ingest Template'!Q551),"", 'Ingest Template'!Q551&amp;"|DAR"))),(CONCATENATE(IF(ISBLANK('Ingest Template'!O551),"", 'Ingest Template'!O551&amp;"|Operations - Core Title"),CHAR(10), IF(ISBLANK('Ingest Template'!P551),"", 'Ingest Template'!P551&amp;"|Operations - Core Title"),CHAR(10), IF(ISBLANK('Ingest Template'!Q551),"", 'Ingest Template'!Q551&amp;"|Operations - Core Title"))))</f>
        <v>#|Operations - Core Title
#|Operations - Core Title
</v>
      </c>
      <c r="AH551" s="21"/>
      <c r="AI551" s="21"/>
      <c r="AJ551" s="53" t="str">
        <f>if('Ingest Template'!A551="Standard",'Ingest Template'!N551&amp; "|DAR|DAR|2021-01-01",'Ingest Template'!N551&amp; "|Operations - Core Title|Operations - Core Title")</f>
        <v>#N/A</v>
      </c>
      <c r="AK551" s="53" t="str">
        <f>if('Ingest Template'!A551="Standard",'Ingest Template'!R551&amp; "|2021-01-01",'Ingest Template'!R551)</f>
        <v>#N/A</v>
      </c>
      <c r="AL551" s="21"/>
      <c r="AM551" s="21"/>
    </row>
    <row r="552">
      <c r="A552" s="21"/>
      <c r="B552" s="21" t="str">
        <f>'Ingest Template'!B552&amp;IF('Ingest Template'!A552 = "Standard", " - DAR","")</f>
        <v/>
      </c>
      <c r="C552" s="26" t="s">
        <v>109</v>
      </c>
      <c r="D552" s="29" t="str">
        <f t="array" ref="D552">CONCATENATE(INDEX(DropDown!$H$2:$H$10,MATCH(1,COUNTIF('Ingest Template'!F552,"*"&amp;DropDown!$H$2:$H$10&amp;"*"),0)),CHAR(10),'Ingest Template'!G552)</f>
        <v>#N/A</v>
      </c>
      <c r="E552" s="21" t="str">
        <f>CONCATENATE('Ingest Template'!H552,CHAR(10),'Ingest Template'!I552,CHAR(10),'Ingest Template'!J552)</f>
        <v>
</v>
      </c>
      <c r="F552" s="26" t="str">
        <f>'Ingest Template'!H552</f>
        <v/>
      </c>
      <c r="G552" s="21"/>
      <c r="H552" s="29"/>
      <c r="I552" s="21"/>
      <c r="J552" s="29" t="str">
        <f t="array" ref="J552">iF('Ingest Template'!A552="Standard","Pristine Brand",INDEX(DropDown!$M$2:$M$392,MATCH('Ingest Template'!E552,DropDown!$J$2:$J$392,0)))</f>
        <v>#N/A</v>
      </c>
      <c r="K552" s="21" t="str">
        <f>iF('Ingest Template'!A552="Standard",'Ingest Template'!K552&amp;CHAR(10)&amp;'Ingest Template'!L552,"Competitive View")</f>
        <v>Competitive View</v>
      </c>
      <c r="L552" s="29" t="s">
        <v>146</v>
      </c>
      <c r="M552" s="37" t="str">
        <f>'Ingest Template'!D552</f>
        <v/>
      </c>
      <c r="N552" s="21"/>
      <c r="O552" s="21"/>
      <c r="P552" s="21"/>
      <c r="Q552" s="21"/>
      <c r="R552" s="21" t="str">
        <f>'Ingest Template'!E552</f>
        <v/>
      </c>
      <c r="S552" s="29" t="s">
        <v>153</v>
      </c>
      <c r="T552" s="21" t="str">
        <f>'Ingest Template'!T552</f>
        <v/>
      </c>
      <c r="U552" s="21" t="str">
        <f>'Ingest Template'!S552</f>
        <v/>
      </c>
      <c r="V552" s="21" t="str">
        <f>LOWER(SUBSTITUTE(SUBSTITUTE(SUBSTITUTE(SUBSTITUTE(SUBSTITUTE('Ingest Template'!U552,"https:",""),"www.",""),"/",""),"?hl=en",""),"instagram.com",""))</f>
        <v/>
      </c>
      <c r="W552" s="41" t="str">
        <f t="array" ref="W552">IF('Ingest Template'!V552="",(INDEX(DropDown!$L$2:$L$392,MATCH('Ingest Template'!E552,DropDown!$J$2:$J$392,0))&amp;"|"&amp;'Ingest Template'!B552),(INDEX(DropDown!$L$2:$L$392,MATCH('Ingest Template'!E552,DropDown!$J$2:$J$392,0))&amp;"|"&amp;'Ingest Template'!B552)&amp;CHAR(10)&amp;'Ingest Template'!V552)</f>
        <v>#N/A</v>
      </c>
      <c r="X552" s="41" t="str">
        <f>'Ingest Template'!W552</f>
        <v/>
      </c>
      <c r="Y552" s="21" t="str">
        <f>SUBSTITUTE(SUBSTITUTE(SUBSTITUTE('Ingest Template'!X552,"http:",""),"https:",""),"/","")</f>
        <v/>
      </c>
      <c r="Z552" s="21" t="str">
        <f t="array" ref="Z552">IF('Ingest Template'!A552="Standard",(IF(ISBLANK('Ingest Template'!AA552),"", 'Ingest Template'!AA552&amp;"|DAR")),(IF(ISBLANK('Ingest Template'!AA552),"", 'Ingest Template'!AA552&amp;"|Film Ops")))</f>
        <v/>
      </c>
      <c r="AA552" s="21"/>
      <c r="AB552" s="21" t="str">
        <f>'Ingest Template'!M552</f>
        <v/>
      </c>
      <c r="AC552" s="21" t="str">
        <f>'Ingest Template'!Y552</f>
        <v/>
      </c>
      <c r="AD552" s="21" t="str">
        <f>'Ingest Template'!C552</f>
        <v/>
      </c>
      <c r="AE552" s="21" t="str">
        <f>'Ingest Template'!Z552</f>
        <v/>
      </c>
      <c r="AF552" s="29"/>
      <c r="AG552" s="21" t="str">
        <f t="array" ref="AG552">IF('Ingest Template'!A552="Standard",(CONCATENATE(IF(ISBLANK('Ingest Template'!O552),"", 'Ingest Template'!O552&amp;"|DAR"),CHAR(10), IF(ISBLANK('Ingest Template'!P552),"", 'Ingest Template'!P552&amp;"|DAR"),CHAR(10), IF(ISBLANK('Ingest Template'!Q552),"", 'Ingest Template'!Q552&amp;"|DAR"))),(CONCATENATE(IF(ISBLANK('Ingest Template'!O552),"", 'Ingest Template'!O552&amp;"|Operations - Core Title"),CHAR(10), IF(ISBLANK('Ingest Template'!P552),"", 'Ingest Template'!P552&amp;"|Operations - Core Title"),CHAR(10), IF(ISBLANK('Ingest Template'!Q552),"", 'Ingest Template'!Q552&amp;"|Operations - Core Title"))))</f>
        <v>#|Operations - Core Title
#|Operations - Core Title
</v>
      </c>
      <c r="AH552" s="21"/>
      <c r="AI552" s="21"/>
      <c r="AJ552" s="53" t="str">
        <f>if('Ingest Template'!A552="Standard",'Ingest Template'!N552&amp; "|DAR|DAR|2021-01-01",'Ingest Template'!N552&amp; "|Operations - Core Title|Operations - Core Title")</f>
        <v>#N/A</v>
      </c>
      <c r="AK552" s="53" t="str">
        <f>if('Ingest Template'!A552="Standard",'Ingest Template'!R552&amp; "|2021-01-01",'Ingest Template'!R552)</f>
        <v>#N/A</v>
      </c>
      <c r="AL552" s="21"/>
      <c r="AM552" s="21"/>
    </row>
    <row r="553">
      <c r="A553" s="21"/>
      <c r="B553" s="21" t="str">
        <f>'Ingest Template'!B553&amp;IF('Ingest Template'!A553 = "Standard", " - DAR","")</f>
        <v/>
      </c>
      <c r="C553" s="26" t="s">
        <v>109</v>
      </c>
      <c r="D553" s="29" t="str">
        <f t="array" ref="D553">CONCATENATE(INDEX(DropDown!$H$2:$H$10,MATCH(1,COUNTIF('Ingest Template'!F553,"*"&amp;DropDown!$H$2:$H$10&amp;"*"),0)),CHAR(10),'Ingest Template'!G553)</f>
        <v>#N/A</v>
      </c>
      <c r="E553" s="21" t="str">
        <f>CONCATENATE('Ingest Template'!H553,CHAR(10),'Ingest Template'!I553,CHAR(10),'Ingest Template'!J553)</f>
        <v>
</v>
      </c>
      <c r="F553" s="26" t="str">
        <f>'Ingest Template'!H553</f>
        <v/>
      </c>
      <c r="G553" s="21"/>
      <c r="H553" s="29"/>
      <c r="I553" s="21"/>
      <c r="J553" s="29" t="str">
        <f t="array" ref="J553">iF('Ingest Template'!A553="Standard","Pristine Brand",INDEX(DropDown!$M$2:$M$392,MATCH('Ingest Template'!E553,DropDown!$J$2:$J$392,0)))</f>
        <v>#N/A</v>
      </c>
      <c r="K553" s="21" t="str">
        <f>iF('Ingest Template'!A553="Standard",'Ingest Template'!K553&amp;CHAR(10)&amp;'Ingest Template'!L553,"Competitive View")</f>
        <v>Competitive View</v>
      </c>
      <c r="L553" s="29" t="s">
        <v>146</v>
      </c>
      <c r="M553" s="37" t="str">
        <f>'Ingest Template'!D553</f>
        <v/>
      </c>
      <c r="N553" s="21"/>
      <c r="O553" s="21"/>
      <c r="P553" s="21"/>
      <c r="Q553" s="21"/>
      <c r="R553" s="21" t="str">
        <f>'Ingest Template'!E553</f>
        <v/>
      </c>
      <c r="S553" s="29" t="s">
        <v>153</v>
      </c>
      <c r="T553" s="21" t="str">
        <f>'Ingest Template'!T553</f>
        <v/>
      </c>
      <c r="U553" s="21" t="str">
        <f>'Ingest Template'!S553</f>
        <v/>
      </c>
      <c r="V553" s="21" t="str">
        <f>LOWER(SUBSTITUTE(SUBSTITUTE(SUBSTITUTE(SUBSTITUTE(SUBSTITUTE('Ingest Template'!U553,"https:",""),"www.",""),"/",""),"?hl=en",""),"instagram.com",""))</f>
        <v/>
      </c>
      <c r="W553" s="41" t="str">
        <f t="array" ref="W553">IF('Ingest Template'!V553="",(INDEX(DropDown!$L$2:$L$392,MATCH('Ingest Template'!E553,DropDown!$J$2:$J$392,0))&amp;"|"&amp;'Ingest Template'!B553),(INDEX(DropDown!$L$2:$L$392,MATCH('Ingest Template'!E553,DropDown!$J$2:$J$392,0))&amp;"|"&amp;'Ingest Template'!B553)&amp;CHAR(10)&amp;'Ingest Template'!V553)</f>
        <v>#N/A</v>
      </c>
      <c r="X553" s="41" t="str">
        <f>'Ingest Template'!W553</f>
        <v/>
      </c>
      <c r="Y553" s="21" t="str">
        <f>SUBSTITUTE(SUBSTITUTE(SUBSTITUTE('Ingest Template'!X553,"http:",""),"https:",""),"/","")</f>
        <v/>
      </c>
      <c r="Z553" s="21" t="str">
        <f t="array" ref="Z553">IF('Ingest Template'!A553="Standard",(IF(ISBLANK('Ingest Template'!AA553),"", 'Ingest Template'!AA553&amp;"|DAR")),(IF(ISBLANK('Ingest Template'!AA553),"", 'Ingest Template'!AA553&amp;"|Film Ops")))</f>
        <v/>
      </c>
      <c r="AA553" s="21"/>
      <c r="AB553" s="21" t="str">
        <f>'Ingest Template'!M553</f>
        <v/>
      </c>
      <c r="AC553" s="21" t="str">
        <f>'Ingest Template'!Y553</f>
        <v/>
      </c>
      <c r="AD553" s="21" t="str">
        <f>'Ingest Template'!C553</f>
        <v/>
      </c>
      <c r="AE553" s="21" t="str">
        <f>'Ingest Template'!Z553</f>
        <v/>
      </c>
      <c r="AF553" s="29"/>
      <c r="AG553" s="21" t="str">
        <f t="array" ref="AG553">IF('Ingest Template'!A553="Standard",(CONCATENATE(IF(ISBLANK('Ingest Template'!O553),"", 'Ingest Template'!O553&amp;"|DAR"),CHAR(10), IF(ISBLANK('Ingest Template'!P553),"", 'Ingest Template'!P553&amp;"|DAR"),CHAR(10), IF(ISBLANK('Ingest Template'!Q553),"", 'Ingest Template'!Q553&amp;"|DAR"))),(CONCATENATE(IF(ISBLANK('Ingest Template'!O553),"", 'Ingest Template'!O553&amp;"|Operations - Core Title"),CHAR(10), IF(ISBLANK('Ingest Template'!P553),"", 'Ingest Template'!P553&amp;"|Operations - Core Title"),CHAR(10), IF(ISBLANK('Ingest Template'!Q553),"", 'Ingest Template'!Q553&amp;"|Operations - Core Title"))))</f>
        <v>#|Operations - Core Title
#|Operations - Core Title
</v>
      </c>
      <c r="AH553" s="21"/>
      <c r="AI553" s="21"/>
      <c r="AJ553" s="53" t="str">
        <f>if('Ingest Template'!A553="Standard",'Ingest Template'!N553&amp; "|DAR|DAR|2021-01-01",'Ingest Template'!N553&amp; "|Operations - Core Title|Operations - Core Title")</f>
        <v>#N/A</v>
      </c>
      <c r="AK553" s="53" t="str">
        <f>if('Ingest Template'!A553="Standard",'Ingest Template'!R553&amp; "|2021-01-01",'Ingest Template'!R553)</f>
        <v>#N/A</v>
      </c>
      <c r="AL553" s="21"/>
      <c r="AM553" s="21"/>
    </row>
    <row r="554">
      <c r="A554" s="21"/>
      <c r="B554" s="21" t="str">
        <f>'Ingest Template'!B554&amp;IF('Ingest Template'!A554 = "Standard", " - DAR","")</f>
        <v/>
      </c>
      <c r="C554" s="26" t="s">
        <v>109</v>
      </c>
      <c r="D554" s="29" t="str">
        <f t="array" ref="D554">CONCATENATE(INDEX(DropDown!$H$2:$H$10,MATCH(1,COUNTIF('Ingest Template'!F554,"*"&amp;DropDown!$H$2:$H$10&amp;"*"),0)),CHAR(10),'Ingest Template'!G554)</f>
        <v>#N/A</v>
      </c>
      <c r="E554" s="21" t="str">
        <f>CONCATENATE('Ingest Template'!H554,CHAR(10),'Ingest Template'!I554,CHAR(10),'Ingest Template'!J554)</f>
        <v>
</v>
      </c>
      <c r="F554" s="26" t="str">
        <f>'Ingest Template'!H554</f>
        <v/>
      </c>
      <c r="G554" s="21"/>
      <c r="H554" s="29"/>
      <c r="I554" s="21"/>
      <c r="J554" s="29" t="str">
        <f t="array" ref="J554">iF('Ingest Template'!A554="Standard","Pristine Brand",INDEX(DropDown!$M$2:$M$392,MATCH('Ingest Template'!E554,DropDown!$J$2:$J$392,0)))</f>
        <v>#N/A</v>
      </c>
      <c r="K554" s="21" t="str">
        <f>iF('Ingest Template'!A554="Standard",'Ingest Template'!K554&amp;CHAR(10)&amp;'Ingest Template'!L554,"Competitive View")</f>
        <v>Competitive View</v>
      </c>
      <c r="L554" s="29" t="s">
        <v>146</v>
      </c>
      <c r="M554" s="37" t="str">
        <f>'Ingest Template'!D554</f>
        <v/>
      </c>
      <c r="N554" s="21"/>
      <c r="O554" s="21"/>
      <c r="P554" s="21"/>
      <c r="Q554" s="21"/>
      <c r="R554" s="21" t="str">
        <f>'Ingest Template'!E554</f>
        <v/>
      </c>
      <c r="S554" s="29" t="s">
        <v>153</v>
      </c>
      <c r="T554" s="21" t="str">
        <f>'Ingest Template'!T554</f>
        <v/>
      </c>
      <c r="U554" s="21" t="str">
        <f>'Ingest Template'!S554</f>
        <v/>
      </c>
      <c r="V554" s="21" t="str">
        <f>LOWER(SUBSTITUTE(SUBSTITUTE(SUBSTITUTE(SUBSTITUTE(SUBSTITUTE('Ingest Template'!U554,"https:",""),"www.",""),"/",""),"?hl=en",""),"instagram.com",""))</f>
        <v/>
      </c>
      <c r="W554" s="41" t="str">
        <f t="array" ref="W554">IF('Ingest Template'!V554="",(INDEX(DropDown!$L$2:$L$392,MATCH('Ingest Template'!E554,DropDown!$J$2:$J$392,0))&amp;"|"&amp;'Ingest Template'!B554),(INDEX(DropDown!$L$2:$L$392,MATCH('Ingest Template'!E554,DropDown!$J$2:$J$392,0))&amp;"|"&amp;'Ingest Template'!B554)&amp;CHAR(10)&amp;'Ingest Template'!V554)</f>
        <v>#N/A</v>
      </c>
      <c r="X554" s="41" t="str">
        <f>'Ingest Template'!W554</f>
        <v/>
      </c>
      <c r="Y554" s="21" t="str">
        <f>SUBSTITUTE(SUBSTITUTE(SUBSTITUTE('Ingest Template'!X554,"http:",""),"https:",""),"/","")</f>
        <v/>
      </c>
      <c r="Z554" s="21" t="str">
        <f t="array" ref="Z554">IF('Ingest Template'!A554="Standard",(IF(ISBLANK('Ingest Template'!AA554),"", 'Ingest Template'!AA554&amp;"|DAR")),(IF(ISBLANK('Ingest Template'!AA554),"", 'Ingest Template'!AA554&amp;"|Film Ops")))</f>
        <v/>
      </c>
      <c r="AA554" s="21"/>
      <c r="AB554" s="21" t="str">
        <f>'Ingest Template'!M554</f>
        <v/>
      </c>
      <c r="AC554" s="21" t="str">
        <f>'Ingest Template'!Y554</f>
        <v/>
      </c>
      <c r="AD554" s="21" t="str">
        <f>'Ingest Template'!C554</f>
        <v/>
      </c>
      <c r="AE554" s="21" t="str">
        <f>'Ingest Template'!Z554</f>
        <v/>
      </c>
      <c r="AF554" s="29"/>
      <c r="AG554" s="21" t="str">
        <f t="array" ref="AG554">IF('Ingest Template'!A554="Standard",(CONCATENATE(IF(ISBLANK('Ingest Template'!O554),"", 'Ingest Template'!O554&amp;"|DAR"),CHAR(10), IF(ISBLANK('Ingest Template'!P554),"", 'Ingest Template'!P554&amp;"|DAR"),CHAR(10), IF(ISBLANK('Ingest Template'!Q554),"", 'Ingest Template'!Q554&amp;"|DAR"))),(CONCATENATE(IF(ISBLANK('Ingest Template'!O554),"", 'Ingest Template'!O554&amp;"|Operations - Core Title"),CHAR(10), IF(ISBLANK('Ingest Template'!P554),"", 'Ingest Template'!P554&amp;"|Operations - Core Title"),CHAR(10), IF(ISBLANK('Ingest Template'!Q554),"", 'Ingest Template'!Q554&amp;"|Operations - Core Title"))))</f>
        <v>#|Operations - Core Title
#|Operations - Core Title
</v>
      </c>
      <c r="AH554" s="21"/>
      <c r="AI554" s="21"/>
      <c r="AJ554" s="53" t="str">
        <f>if('Ingest Template'!A554="Standard",'Ingest Template'!N554&amp; "|DAR|DAR|2021-01-01",'Ingest Template'!N554&amp; "|Operations - Core Title|Operations - Core Title")</f>
        <v>#N/A</v>
      </c>
      <c r="AK554" s="53" t="str">
        <f>if('Ingest Template'!A554="Standard",'Ingest Template'!R554&amp; "|2021-01-01",'Ingest Template'!R554)</f>
        <v>#N/A</v>
      </c>
      <c r="AL554" s="21"/>
      <c r="AM554" s="21"/>
    </row>
    <row r="555">
      <c r="A555" s="21"/>
      <c r="B555" s="21" t="str">
        <f>'Ingest Template'!B555&amp;IF('Ingest Template'!A555 = "Standard", " - DAR","")</f>
        <v/>
      </c>
      <c r="C555" s="26" t="s">
        <v>109</v>
      </c>
      <c r="D555" s="29" t="str">
        <f t="array" ref="D555">CONCATENATE(INDEX(DropDown!$H$2:$H$10,MATCH(1,COUNTIF('Ingest Template'!F555,"*"&amp;DropDown!$H$2:$H$10&amp;"*"),0)),CHAR(10),'Ingest Template'!G555)</f>
        <v>#N/A</v>
      </c>
      <c r="E555" s="21" t="str">
        <f>CONCATENATE('Ingest Template'!H555,CHAR(10),'Ingest Template'!I555,CHAR(10),'Ingest Template'!J555)</f>
        <v>
</v>
      </c>
      <c r="F555" s="26" t="str">
        <f>'Ingest Template'!H555</f>
        <v/>
      </c>
      <c r="G555" s="21"/>
      <c r="H555" s="29"/>
      <c r="I555" s="21"/>
      <c r="J555" s="29" t="str">
        <f t="array" ref="J555">iF('Ingest Template'!A555="Standard","Pristine Brand",INDEX(DropDown!$M$2:$M$392,MATCH('Ingest Template'!E555,DropDown!$J$2:$J$392,0)))</f>
        <v>#N/A</v>
      </c>
      <c r="K555" s="21" t="str">
        <f>iF('Ingest Template'!A555="Standard",'Ingest Template'!K555&amp;CHAR(10)&amp;'Ingest Template'!L555,"Competitive View")</f>
        <v>Competitive View</v>
      </c>
      <c r="L555" s="29" t="s">
        <v>146</v>
      </c>
      <c r="M555" s="37" t="str">
        <f>'Ingest Template'!D555</f>
        <v/>
      </c>
      <c r="N555" s="21"/>
      <c r="O555" s="21"/>
      <c r="P555" s="21"/>
      <c r="Q555" s="21"/>
      <c r="R555" s="21" t="str">
        <f>'Ingest Template'!E555</f>
        <v/>
      </c>
      <c r="S555" s="29" t="s">
        <v>153</v>
      </c>
      <c r="T555" s="21" t="str">
        <f>'Ingest Template'!T555</f>
        <v/>
      </c>
      <c r="U555" s="21" t="str">
        <f>'Ingest Template'!S555</f>
        <v/>
      </c>
      <c r="V555" s="21" t="str">
        <f>LOWER(SUBSTITUTE(SUBSTITUTE(SUBSTITUTE(SUBSTITUTE(SUBSTITUTE('Ingest Template'!U555,"https:",""),"www.",""),"/",""),"?hl=en",""),"instagram.com",""))</f>
        <v/>
      </c>
      <c r="W555" s="41" t="str">
        <f t="array" ref="W555">IF('Ingest Template'!V555="",(INDEX(DropDown!$L$2:$L$392,MATCH('Ingest Template'!E555,DropDown!$J$2:$J$392,0))&amp;"|"&amp;'Ingest Template'!B555),(INDEX(DropDown!$L$2:$L$392,MATCH('Ingest Template'!E555,DropDown!$J$2:$J$392,0))&amp;"|"&amp;'Ingest Template'!B555)&amp;CHAR(10)&amp;'Ingest Template'!V555)</f>
        <v>#N/A</v>
      </c>
      <c r="X555" s="41" t="str">
        <f>'Ingest Template'!W555</f>
        <v/>
      </c>
      <c r="Y555" s="21" t="str">
        <f>SUBSTITUTE(SUBSTITUTE(SUBSTITUTE('Ingest Template'!X555,"http:",""),"https:",""),"/","")</f>
        <v/>
      </c>
      <c r="Z555" s="21" t="str">
        <f t="array" ref="Z555">IF('Ingest Template'!A555="Standard",(IF(ISBLANK('Ingest Template'!AA555),"", 'Ingest Template'!AA555&amp;"|DAR")),(IF(ISBLANK('Ingest Template'!AA555),"", 'Ingest Template'!AA555&amp;"|Film Ops")))</f>
        <v/>
      </c>
      <c r="AA555" s="21"/>
      <c r="AB555" s="21" t="str">
        <f>'Ingest Template'!M555</f>
        <v/>
      </c>
      <c r="AC555" s="21" t="str">
        <f>'Ingest Template'!Y555</f>
        <v/>
      </c>
      <c r="AD555" s="21" t="str">
        <f>'Ingest Template'!C555</f>
        <v/>
      </c>
      <c r="AE555" s="21" t="str">
        <f>'Ingest Template'!Z555</f>
        <v/>
      </c>
      <c r="AF555" s="29"/>
      <c r="AG555" s="21" t="str">
        <f t="array" ref="AG555">IF('Ingest Template'!A555="Standard",(CONCATENATE(IF(ISBLANK('Ingest Template'!O555),"", 'Ingest Template'!O555&amp;"|DAR"),CHAR(10), IF(ISBLANK('Ingest Template'!P555),"", 'Ingest Template'!P555&amp;"|DAR"),CHAR(10), IF(ISBLANK('Ingest Template'!Q555),"", 'Ingest Template'!Q555&amp;"|DAR"))),(CONCATENATE(IF(ISBLANK('Ingest Template'!O555),"", 'Ingest Template'!O555&amp;"|Operations - Core Title"),CHAR(10), IF(ISBLANK('Ingest Template'!P555),"", 'Ingest Template'!P555&amp;"|Operations - Core Title"),CHAR(10), IF(ISBLANK('Ingest Template'!Q555),"", 'Ingest Template'!Q555&amp;"|Operations - Core Title"))))</f>
        <v>#|Operations - Core Title
#|Operations - Core Title
</v>
      </c>
      <c r="AH555" s="21"/>
      <c r="AI555" s="21"/>
      <c r="AJ555" s="53" t="str">
        <f>if('Ingest Template'!A555="Standard",'Ingest Template'!N555&amp; "|DAR|DAR|2021-01-01",'Ingest Template'!N555&amp; "|Operations - Core Title|Operations - Core Title")</f>
        <v>#N/A</v>
      </c>
      <c r="AK555" s="53" t="str">
        <f>if('Ingest Template'!A555="Standard",'Ingest Template'!R555&amp; "|2021-01-01",'Ingest Template'!R555)</f>
        <v>#N/A</v>
      </c>
      <c r="AL555" s="21"/>
      <c r="AM555" s="21"/>
    </row>
    <row r="556">
      <c r="A556" s="21"/>
      <c r="B556" s="21" t="str">
        <f>'Ingest Template'!B556&amp;IF('Ingest Template'!A556 = "Standard", " - DAR","")</f>
        <v/>
      </c>
      <c r="C556" s="26" t="s">
        <v>109</v>
      </c>
      <c r="D556" s="29" t="str">
        <f t="array" ref="D556">CONCATENATE(INDEX(DropDown!$H$2:$H$10,MATCH(1,COUNTIF('Ingest Template'!F556,"*"&amp;DropDown!$H$2:$H$10&amp;"*"),0)),CHAR(10),'Ingest Template'!G556)</f>
        <v>#N/A</v>
      </c>
      <c r="E556" s="21" t="str">
        <f>CONCATENATE('Ingest Template'!H556,CHAR(10),'Ingest Template'!I556,CHAR(10),'Ingest Template'!J556)</f>
        <v>
</v>
      </c>
      <c r="F556" s="26" t="str">
        <f>'Ingest Template'!H556</f>
        <v/>
      </c>
      <c r="G556" s="21"/>
      <c r="H556" s="29"/>
      <c r="I556" s="21"/>
      <c r="J556" s="29" t="str">
        <f t="array" ref="J556">iF('Ingest Template'!A556="Standard","Pristine Brand",INDEX(DropDown!$M$2:$M$392,MATCH('Ingest Template'!E556,DropDown!$J$2:$J$392,0)))</f>
        <v>#N/A</v>
      </c>
      <c r="K556" s="21" t="str">
        <f>iF('Ingest Template'!A556="Standard",'Ingest Template'!K556&amp;CHAR(10)&amp;'Ingest Template'!L556,"Competitive View")</f>
        <v>Competitive View</v>
      </c>
      <c r="L556" s="29" t="s">
        <v>146</v>
      </c>
      <c r="M556" s="37" t="str">
        <f>'Ingest Template'!D556</f>
        <v/>
      </c>
      <c r="N556" s="21"/>
      <c r="O556" s="21"/>
      <c r="P556" s="21"/>
      <c r="Q556" s="21"/>
      <c r="R556" s="21" t="str">
        <f>'Ingest Template'!E556</f>
        <v/>
      </c>
      <c r="S556" s="29" t="s">
        <v>153</v>
      </c>
      <c r="T556" s="21" t="str">
        <f>'Ingest Template'!T556</f>
        <v/>
      </c>
      <c r="U556" s="21" t="str">
        <f>'Ingest Template'!S556</f>
        <v/>
      </c>
      <c r="V556" s="21" t="str">
        <f>LOWER(SUBSTITUTE(SUBSTITUTE(SUBSTITUTE(SUBSTITUTE(SUBSTITUTE('Ingest Template'!U556,"https:",""),"www.",""),"/",""),"?hl=en",""),"instagram.com",""))</f>
        <v/>
      </c>
      <c r="W556" s="41" t="str">
        <f t="array" ref="W556">IF('Ingest Template'!V556="",(INDEX(DropDown!$L$2:$L$392,MATCH('Ingest Template'!E556,DropDown!$J$2:$J$392,0))&amp;"|"&amp;'Ingest Template'!B556),(INDEX(DropDown!$L$2:$L$392,MATCH('Ingest Template'!E556,DropDown!$J$2:$J$392,0))&amp;"|"&amp;'Ingest Template'!B556)&amp;CHAR(10)&amp;'Ingest Template'!V556)</f>
        <v>#N/A</v>
      </c>
      <c r="X556" s="41" t="str">
        <f>'Ingest Template'!W556</f>
        <v/>
      </c>
      <c r="Y556" s="21" t="str">
        <f>SUBSTITUTE(SUBSTITUTE(SUBSTITUTE('Ingest Template'!X556,"http:",""),"https:",""),"/","")</f>
        <v/>
      </c>
      <c r="Z556" s="21" t="str">
        <f t="array" ref="Z556">IF('Ingest Template'!A556="Standard",(IF(ISBLANK('Ingest Template'!AA556),"", 'Ingest Template'!AA556&amp;"|DAR")),(IF(ISBLANK('Ingest Template'!AA556),"", 'Ingest Template'!AA556&amp;"|Film Ops")))</f>
        <v/>
      </c>
      <c r="AA556" s="21"/>
      <c r="AB556" s="21" t="str">
        <f>'Ingest Template'!M556</f>
        <v/>
      </c>
      <c r="AC556" s="21" t="str">
        <f>'Ingest Template'!Y556</f>
        <v/>
      </c>
      <c r="AD556" s="21" t="str">
        <f>'Ingest Template'!C556</f>
        <v/>
      </c>
      <c r="AE556" s="21" t="str">
        <f>'Ingest Template'!Z556</f>
        <v/>
      </c>
      <c r="AF556" s="29"/>
      <c r="AG556" s="21" t="str">
        <f t="array" ref="AG556">IF('Ingest Template'!A556="Standard",(CONCATENATE(IF(ISBLANK('Ingest Template'!O556),"", 'Ingest Template'!O556&amp;"|DAR"),CHAR(10), IF(ISBLANK('Ingest Template'!P556),"", 'Ingest Template'!P556&amp;"|DAR"),CHAR(10), IF(ISBLANK('Ingest Template'!Q556),"", 'Ingest Template'!Q556&amp;"|DAR"))),(CONCATENATE(IF(ISBLANK('Ingest Template'!O556),"", 'Ingest Template'!O556&amp;"|Operations - Core Title"),CHAR(10), IF(ISBLANK('Ingest Template'!P556),"", 'Ingest Template'!P556&amp;"|Operations - Core Title"),CHAR(10), IF(ISBLANK('Ingest Template'!Q556),"", 'Ingest Template'!Q556&amp;"|Operations - Core Title"))))</f>
        <v>#|Operations - Core Title
#|Operations - Core Title
</v>
      </c>
      <c r="AH556" s="21"/>
      <c r="AI556" s="21"/>
      <c r="AJ556" s="53" t="str">
        <f>if('Ingest Template'!A556="Standard",'Ingest Template'!N556&amp; "|DAR|DAR|2021-01-01",'Ingest Template'!N556&amp; "|Operations - Core Title|Operations - Core Title")</f>
        <v>#N/A</v>
      </c>
      <c r="AK556" s="53" t="str">
        <f>if('Ingest Template'!A556="Standard",'Ingest Template'!R556&amp; "|2021-01-01",'Ingest Template'!R556)</f>
        <v>#N/A</v>
      </c>
      <c r="AL556" s="21"/>
      <c r="AM556" s="21"/>
    </row>
    <row r="557">
      <c r="A557" s="21"/>
      <c r="B557" s="21" t="str">
        <f>'Ingest Template'!B557&amp;IF('Ingest Template'!A557 = "Standard", " - DAR","")</f>
        <v/>
      </c>
      <c r="C557" s="26" t="s">
        <v>109</v>
      </c>
      <c r="D557" s="29" t="str">
        <f t="array" ref="D557">CONCATENATE(INDEX(DropDown!$H$2:$H$10,MATCH(1,COUNTIF('Ingest Template'!F557,"*"&amp;DropDown!$H$2:$H$10&amp;"*"),0)),CHAR(10),'Ingest Template'!G557)</f>
        <v>#N/A</v>
      </c>
      <c r="E557" s="21" t="str">
        <f>CONCATENATE('Ingest Template'!H557,CHAR(10),'Ingest Template'!I557,CHAR(10),'Ingest Template'!J557)</f>
        <v>
</v>
      </c>
      <c r="F557" s="26" t="str">
        <f>'Ingest Template'!H557</f>
        <v/>
      </c>
      <c r="G557" s="21"/>
      <c r="H557" s="29"/>
      <c r="I557" s="21"/>
      <c r="J557" s="29" t="str">
        <f t="array" ref="J557">iF('Ingest Template'!A557="Standard","Pristine Brand",INDEX(DropDown!$M$2:$M$392,MATCH('Ingest Template'!E557,DropDown!$J$2:$J$392,0)))</f>
        <v>#N/A</v>
      </c>
      <c r="K557" s="21" t="str">
        <f>iF('Ingest Template'!A557="Standard",'Ingest Template'!K557&amp;CHAR(10)&amp;'Ingest Template'!L557,"Competitive View")</f>
        <v>Competitive View</v>
      </c>
      <c r="L557" s="29" t="s">
        <v>146</v>
      </c>
      <c r="M557" s="37" t="str">
        <f>'Ingest Template'!D557</f>
        <v/>
      </c>
      <c r="N557" s="21"/>
      <c r="O557" s="21"/>
      <c r="P557" s="21"/>
      <c r="Q557" s="21"/>
      <c r="R557" s="21" t="str">
        <f>'Ingest Template'!E557</f>
        <v/>
      </c>
      <c r="S557" s="29" t="s">
        <v>153</v>
      </c>
      <c r="T557" s="21" t="str">
        <f>'Ingest Template'!T557</f>
        <v/>
      </c>
      <c r="U557" s="21" t="str">
        <f>'Ingest Template'!S557</f>
        <v/>
      </c>
      <c r="V557" s="21" t="str">
        <f>LOWER(SUBSTITUTE(SUBSTITUTE(SUBSTITUTE(SUBSTITUTE(SUBSTITUTE('Ingest Template'!U557,"https:",""),"www.",""),"/",""),"?hl=en",""),"instagram.com",""))</f>
        <v/>
      </c>
      <c r="W557" s="41" t="str">
        <f t="array" ref="W557">IF('Ingest Template'!V557="",(INDEX(DropDown!$L$2:$L$392,MATCH('Ingest Template'!E557,DropDown!$J$2:$J$392,0))&amp;"|"&amp;'Ingest Template'!B557),(INDEX(DropDown!$L$2:$L$392,MATCH('Ingest Template'!E557,DropDown!$J$2:$J$392,0))&amp;"|"&amp;'Ingest Template'!B557)&amp;CHAR(10)&amp;'Ingest Template'!V557)</f>
        <v>#N/A</v>
      </c>
      <c r="X557" s="41" t="str">
        <f>'Ingest Template'!W557</f>
        <v/>
      </c>
      <c r="Y557" s="21" t="str">
        <f>SUBSTITUTE(SUBSTITUTE(SUBSTITUTE('Ingest Template'!X557,"http:",""),"https:",""),"/","")</f>
        <v/>
      </c>
      <c r="Z557" s="21" t="str">
        <f t="array" ref="Z557">IF('Ingest Template'!A557="Standard",(IF(ISBLANK('Ingest Template'!AA557),"", 'Ingest Template'!AA557&amp;"|DAR")),(IF(ISBLANK('Ingest Template'!AA557),"", 'Ingest Template'!AA557&amp;"|Film Ops")))</f>
        <v/>
      </c>
      <c r="AA557" s="21"/>
      <c r="AB557" s="21" t="str">
        <f>'Ingest Template'!M557</f>
        <v/>
      </c>
      <c r="AC557" s="21" t="str">
        <f>'Ingest Template'!Y557</f>
        <v/>
      </c>
      <c r="AD557" s="21" t="str">
        <f>'Ingest Template'!C557</f>
        <v/>
      </c>
      <c r="AE557" s="21" t="str">
        <f>'Ingest Template'!Z557</f>
        <v/>
      </c>
      <c r="AF557" s="29"/>
      <c r="AG557" s="21" t="str">
        <f t="array" ref="AG557">IF('Ingest Template'!A557="Standard",(CONCATENATE(IF(ISBLANK('Ingest Template'!O557),"", 'Ingest Template'!O557&amp;"|DAR"),CHAR(10), IF(ISBLANK('Ingest Template'!P557),"", 'Ingest Template'!P557&amp;"|DAR"),CHAR(10), IF(ISBLANK('Ingest Template'!Q557),"", 'Ingest Template'!Q557&amp;"|DAR"))),(CONCATENATE(IF(ISBLANK('Ingest Template'!O557),"", 'Ingest Template'!O557&amp;"|Operations - Core Title"),CHAR(10), IF(ISBLANK('Ingest Template'!P557),"", 'Ingest Template'!P557&amp;"|Operations - Core Title"),CHAR(10), IF(ISBLANK('Ingest Template'!Q557),"", 'Ingest Template'!Q557&amp;"|Operations - Core Title"))))</f>
        <v>#|Operations - Core Title
#|Operations - Core Title
</v>
      </c>
      <c r="AH557" s="21"/>
      <c r="AI557" s="21"/>
      <c r="AJ557" s="53" t="str">
        <f>if('Ingest Template'!A557="Standard",'Ingest Template'!N557&amp; "|DAR|DAR|2021-01-01",'Ingest Template'!N557&amp; "|Operations - Core Title|Operations - Core Title")</f>
        <v>#N/A</v>
      </c>
      <c r="AK557" s="53" t="str">
        <f>if('Ingest Template'!A557="Standard",'Ingest Template'!R557&amp; "|2021-01-01",'Ingest Template'!R557)</f>
        <v>#N/A</v>
      </c>
      <c r="AL557" s="21"/>
      <c r="AM557" s="21"/>
    </row>
    <row r="558">
      <c r="A558" s="21"/>
      <c r="B558" s="21" t="str">
        <f>'Ingest Template'!B558&amp;IF('Ingest Template'!A558 = "Standard", " - DAR","")</f>
        <v/>
      </c>
      <c r="C558" s="26" t="s">
        <v>109</v>
      </c>
      <c r="D558" s="29" t="str">
        <f t="array" ref="D558">CONCATENATE(INDEX(DropDown!$H$2:$H$10,MATCH(1,COUNTIF('Ingest Template'!F558,"*"&amp;DropDown!$H$2:$H$10&amp;"*"),0)),CHAR(10),'Ingest Template'!G558)</f>
        <v>#N/A</v>
      </c>
      <c r="E558" s="21" t="str">
        <f>CONCATENATE('Ingest Template'!H558,CHAR(10),'Ingest Template'!I558,CHAR(10),'Ingest Template'!J558)</f>
        <v>
</v>
      </c>
      <c r="F558" s="26" t="str">
        <f>'Ingest Template'!H558</f>
        <v/>
      </c>
      <c r="G558" s="21"/>
      <c r="H558" s="29"/>
      <c r="I558" s="21"/>
      <c r="J558" s="29" t="str">
        <f t="array" ref="J558">iF('Ingest Template'!A558="Standard","Pristine Brand",INDEX(DropDown!$M$2:$M$392,MATCH('Ingest Template'!E558,DropDown!$J$2:$J$392,0)))</f>
        <v>#N/A</v>
      </c>
      <c r="K558" s="21" t="str">
        <f>iF('Ingest Template'!A558="Standard",'Ingest Template'!K558&amp;CHAR(10)&amp;'Ingest Template'!L558,"Competitive View")</f>
        <v>Competitive View</v>
      </c>
      <c r="L558" s="29" t="s">
        <v>146</v>
      </c>
      <c r="M558" s="37" t="str">
        <f>'Ingest Template'!D558</f>
        <v/>
      </c>
      <c r="N558" s="21"/>
      <c r="O558" s="21"/>
      <c r="P558" s="21"/>
      <c r="Q558" s="21"/>
      <c r="R558" s="21" t="str">
        <f>'Ingest Template'!E558</f>
        <v/>
      </c>
      <c r="S558" s="29" t="s">
        <v>153</v>
      </c>
      <c r="T558" s="21" t="str">
        <f>'Ingest Template'!T558</f>
        <v/>
      </c>
      <c r="U558" s="21" t="str">
        <f>'Ingest Template'!S558</f>
        <v/>
      </c>
      <c r="V558" s="21" t="str">
        <f>LOWER(SUBSTITUTE(SUBSTITUTE(SUBSTITUTE(SUBSTITUTE(SUBSTITUTE('Ingest Template'!U558,"https:",""),"www.",""),"/",""),"?hl=en",""),"instagram.com",""))</f>
        <v/>
      </c>
      <c r="W558" s="41" t="str">
        <f t="array" ref="W558">IF('Ingest Template'!V558="",(INDEX(DropDown!$L$2:$L$392,MATCH('Ingest Template'!E558,DropDown!$J$2:$J$392,0))&amp;"|"&amp;'Ingest Template'!B558),(INDEX(DropDown!$L$2:$L$392,MATCH('Ingest Template'!E558,DropDown!$J$2:$J$392,0))&amp;"|"&amp;'Ingest Template'!B558)&amp;CHAR(10)&amp;'Ingest Template'!V558)</f>
        <v>#N/A</v>
      </c>
      <c r="X558" s="41" t="str">
        <f>'Ingest Template'!W558</f>
        <v/>
      </c>
      <c r="Y558" s="21" t="str">
        <f>SUBSTITUTE(SUBSTITUTE(SUBSTITUTE('Ingest Template'!X558,"http:",""),"https:",""),"/","")</f>
        <v/>
      </c>
      <c r="Z558" s="21" t="str">
        <f t="array" ref="Z558">IF('Ingest Template'!A558="Standard",(IF(ISBLANK('Ingest Template'!AA558),"", 'Ingest Template'!AA558&amp;"|DAR")),(IF(ISBLANK('Ingest Template'!AA558),"", 'Ingest Template'!AA558&amp;"|Film Ops")))</f>
        <v/>
      </c>
      <c r="AA558" s="21"/>
      <c r="AB558" s="21" t="str">
        <f>'Ingest Template'!M558</f>
        <v/>
      </c>
      <c r="AC558" s="21" t="str">
        <f>'Ingest Template'!Y558</f>
        <v/>
      </c>
      <c r="AD558" s="21" t="str">
        <f>'Ingest Template'!C558</f>
        <v/>
      </c>
      <c r="AE558" s="21" t="str">
        <f>'Ingest Template'!Z558</f>
        <v/>
      </c>
      <c r="AF558" s="29"/>
      <c r="AG558" s="21" t="str">
        <f t="array" ref="AG558">IF('Ingest Template'!A558="Standard",(CONCATENATE(IF(ISBLANK('Ingest Template'!O558),"", 'Ingest Template'!O558&amp;"|DAR"),CHAR(10), IF(ISBLANK('Ingest Template'!P558),"", 'Ingest Template'!P558&amp;"|DAR"),CHAR(10), IF(ISBLANK('Ingest Template'!Q558),"", 'Ingest Template'!Q558&amp;"|DAR"))),(CONCATENATE(IF(ISBLANK('Ingest Template'!O558),"", 'Ingest Template'!O558&amp;"|Operations - Core Title"),CHAR(10), IF(ISBLANK('Ingest Template'!P558),"", 'Ingest Template'!P558&amp;"|Operations - Core Title"),CHAR(10), IF(ISBLANK('Ingest Template'!Q558),"", 'Ingest Template'!Q558&amp;"|Operations - Core Title"))))</f>
        <v>#|Operations - Core Title
#|Operations - Core Title
</v>
      </c>
      <c r="AH558" s="21"/>
      <c r="AI558" s="21"/>
      <c r="AJ558" s="53" t="str">
        <f>if('Ingest Template'!A558="Standard",'Ingest Template'!N558&amp; "|DAR|DAR|2021-01-01",'Ingest Template'!N558&amp; "|Operations - Core Title|Operations - Core Title")</f>
        <v>#N/A</v>
      </c>
      <c r="AK558" s="53" t="str">
        <f>if('Ingest Template'!A558="Standard",'Ingest Template'!R558&amp; "|2021-01-01",'Ingest Template'!R558)</f>
        <v>#N/A</v>
      </c>
      <c r="AL558" s="21"/>
      <c r="AM558" s="21"/>
    </row>
    <row r="559">
      <c r="A559" s="21"/>
      <c r="B559" s="21" t="str">
        <f>'Ingest Template'!B559&amp;IF('Ingest Template'!A559 = "Standard", " - DAR","")</f>
        <v/>
      </c>
      <c r="C559" s="26" t="s">
        <v>109</v>
      </c>
      <c r="D559" s="29" t="str">
        <f t="array" ref="D559">CONCATENATE(INDEX(DropDown!$H$2:$H$10,MATCH(1,COUNTIF('Ingest Template'!F559,"*"&amp;DropDown!$H$2:$H$10&amp;"*"),0)),CHAR(10),'Ingest Template'!G559)</f>
        <v>#N/A</v>
      </c>
      <c r="E559" s="21" t="str">
        <f>CONCATENATE('Ingest Template'!H559,CHAR(10),'Ingest Template'!I559,CHAR(10),'Ingest Template'!J559)</f>
        <v>
</v>
      </c>
      <c r="F559" s="26" t="str">
        <f>'Ingest Template'!H559</f>
        <v/>
      </c>
      <c r="G559" s="21"/>
      <c r="H559" s="29"/>
      <c r="I559" s="21"/>
      <c r="J559" s="29" t="str">
        <f t="array" ref="J559">iF('Ingest Template'!A559="Standard","Pristine Brand",INDEX(DropDown!$M$2:$M$392,MATCH('Ingest Template'!E559,DropDown!$J$2:$J$392,0)))</f>
        <v>#N/A</v>
      </c>
      <c r="K559" s="21" t="str">
        <f>iF('Ingest Template'!A559="Standard",'Ingest Template'!K559&amp;CHAR(10)&amp;'Ingest Template'!L559,"Competitive View")</f>
        <v>Competitive View</v>
      </c>
      <c r="L559" s="29" t="s">
        <v>146</v>
      </c>
      <c r="M559" s="37" t="str">
        <f>'Ingest Template'!D559</f>
        <v/>
      </c>
      <c r="N559" s="21"/>
      <c r="O559" s="21"/>
      <c r="P559" s="21"/>
      <c r="Q559" s="21"/>
      <c r="R559" s="21" t="str">
        <f>'Ingest Template'!E559</f>
        <v/>
      </c>
      <c r="S559" s="29" t="s">
        <v>153</v>
      </c>
      <c r="T559" s="21" t="str">
        <f>'Ingest Template'!T559</f>
        <v/>
      </c>
      <c r="U559" s="21" t="str">
        <f>'Ingest Template'!S559</f>
        <v/>
      </c>
      <c r="V559" s="21" t="str">
        <f>LOWER(SUBSTITUTE(SUBSTITUTE(SUBSTITUTE(SUBSTITUTE(SUBSTITUTE('Ingest Template'!U559,"https:",""),"www.",""),"/",""),"?hl=en",""),"instagram.com",""))</f>
        <v/>
      </c>
      <c r="W559" s="41" t="str">
        <f t="array" ref="W559">IF('Ingest Template'!V559="",(INDEX(DropDown!$L$2:$L$392,MATCH('Ingest Template'!E559,DropDown!$J$2:$J$392,0))&amp;"|"&amp;'Ingest Template'!B559),(INDEX(DropDown!$L$2:$L$392,MATCH('Ingest Template'!E559,DropDown!$J$2:$J$392,0))&amp;"|"&amp;'Ingest Template'!B559)&amp;CHAR(10)&amp;'Ingest Template'!V559)</f>
        <v>#N/A</v>
      </c>
      <c r="X559" s="41" t="str">
        <f>'Ingest Template'!W559</f>
        <v/>
      </c>
      <c r="Y559" s="21" t="str">
        <f>SUBSTITUTE(SUBSTITUTE(SUBSTITUTE('Ingest Template'!X559,"http:",""),"https:",""),"/","")</f>
        <v/>
      </c>
      <c r="Z559" s="21" t="str">
        <f t="array" ref="Z559">IF('Ingest Template'!A559="Standard",(IF(ISBLANK('Ingest Template'!AA559),"", 'Ingest Template'!AA559&amp;"|DAR")),(IF(ISBLANK('Ingest Template'!AA559),"", 'Ingest Template'!AA559&amp;"|Film Ops")))</f>
        <v/>
      </c>
      <c r="AA559" s="21"/>
      <c r="AB559" s="21" t="str">
        <f>'Ingest Template'!M559</f>
        <v/>
      </c>
      <c r="AC559" s="21" t="str">
        <f>'Ingest Template'!Y559</f>
        <v/>
      </c>
      <c r="AD559" s="21" t="str">
        <f>'Ingest Template'!C559</f>
        <v/>
      </c>
      <c r="AE559" s="21" t="str">
        <f>'Ingest Template'!Z559</f>
        <v/>
      </c>
      <c r="AF559" s="29"/>
      <c r="AG559" s="21" t="str">
        <f t="array" ref="AG559">IF('Ingest Template'!A559="Standard",(CONCATENATE(IF(ISBLANK('Ingest Template'!O559),"", 'Ingest Template'!O559&amp;"|DAR"),CHAR(10), IF(ISBLANK('Ingest Template'!P559),"", 'Ingest Template'!P559&amp;"|DAR"),CHAR(10), IF(ISBLANK('Ingest Template'!Q559),"", 'Ingest Template'!Q559&amp;"|DAR"))),(CONCATENATE(IF(ISBLANK('Ingest Template'!O559),"", 'Ingest Template'!O559&amp;"|Operations - Core Title"),CHAR(10), IF(ISBLANK('Ingest Template'!P559),"", 'Ingest Template'!P559&amp;"|Operations - Core Title"),CHAR(10), IF(ISBLANK('Ingest Template'!Q559),"", 'Ingest Template'!Q559&amp;"|Operations - Core Title"))))</f>
        <v>#|Operations - Core Title
#|Operations - Core Title
</v>
      </c>
      <c r="AH559" s="21"/>
      <c r="AI559" s="21"/>
      <c r="AJ559" s="53" t="str">
        <f>if('Ingest Template'!A559="Standard",'Ingest Template'!N559&amp; "|DAR|DAR|2021-01-01",'Ingest Template'!N559&amp; "|Operations - Core Title|Operations - Core Title")</f>
        <v>#N/A</v>
      </c>
      <c r="AK559" s="53" t="str">
        <f>if('Ingest Template'!A559="Standard",'Ingest Template'!R559&amp; "|2021-01-01",'Ingest Template'!R559)</f>
        <v>#N/A</v>
      </c>
      <c r="AL559" s="21"/>
      <c r="AM559" s="21"/>
    </row>
    <row r="560">
      <c r="A560" s="21"/>
      <c r="B560" s="21" t="str">
        <f>'Ingest Template'!B560&amp;IF('Ingest Template'!A560 = "Standard", " - DAR","")</f>
        <v/>
      </c>
      <c r="C560" s="26" t="s">
        <v>109</v>
      </c>
      <c r="D560" s="29" t="str">
        <f t="array" ref="D560">CONCATENATE(INDEX(DropDown!$H$2:$H$10,MATCH(1,COUNTIF('Ingest Template'!F560,"*"&amp;DropDown!$H$2:$H$10&amp;"*"),0)),CHAR(10),'Ingest Template'!G560)</f>
        <v>#N/A</v>
      </c>
      <c r="E560" s="21" t="str">
        <f>CONCATENATE('Ingest Template'!H560,CHAR(10),'Ingest Template'!I560,CHAR(10),'Ingest Template'!J560)</f>
        <v>
</v>
      </c>
      <c r="F560" s="26" t="str">
        <f>'Ingest Template'!H560</f>
        <v/>
      </c>
      <c r="G560" s="21"/>
      <c r="H560" s="29"/>
      <c r="I560" s="21"/>
      <c r="J560" s="29" t="str">
        <f t="array" ref="J560">iF('Ingest Template'!A560="Standard","Pristine Brand",INDEX(DropDown!$M$2:$M$392,MATCH('Ingest Template'!E560,DropDown!$J$2:$J$392,0)))</f>
        <v>#N/A</v>
      </c>
      <c r="K560" s="21" t="str">
        <f>iF('Ingest Template'!A560="Standard",'Ingest Template'!K560&amp;CHAR(10)&amp;'Ingest Template'!L560,"Competitive View")</f>
        <v>Competitive View</v>
      </c>
      <c r="L560" s="29" t="s">
        <v>146</v>
      </c>
      <c r="M560" s="37" t="str">
        <f>'Ingest Template'!D560</f>
        <v/>
      </c>
      <c r="N560" s="21"/>
      <c r="O560" s="21"/>
      <c r="P560" s="21"/>
      <c r="Q560" s="21"/>
      <c r="R560" s="21" t="str">
        <f>'Ingest Template'!E560</f>
        <v/>
      </c>
      <c r="S560" s="29" t="s">
        <v>153</v>
      </c>
      <c r="T560" s="21" t="str">
        <f>'Ingest Template'!T560</f>
        <v/>
      </c>
      <c r="U560" s="21" t="str">
        <f>'Ingest Template'!S560</f>
        <v/>
      </c>
      <c r="V560" s="21" t="str">
        <f>LOWER(SUBSTITUTE(SUBSTITUTE(SUBSTITUTE(SUBSTITUTE(SUBSTITUTE('Ingest Template'!U560,"https:",""),"www.",""),"/",""),"?hl=en",""),"instagram.com",""))</f>
        <v/>
      </c>
      <c r="W560" s="41" t="str">
        <f t="array" ref="W560">IF('Ingest Template'!V560="",(INDEX(DropDown!$L$2:$L$392,MATCH('Ingest Template'!E560,DropDown!$J$2:$J$392,0))&amp;"|"&amp;'Ingest Template'!B560),(INDEX(DropDown!$L$2:$L$392,MATCH('Ingest Template'!E560,DropDown!$J$2:$J$392,0))&amp;"|"&amp;'Ingest Template'!B560)&amp;CHAR(10)&amp;'Ingest Template'!V560)</f>
        <v>#N/A</v>
      </c>
      <c r="X560" s="41" t="str">
        <f>'Ingest Template'!W560</f>
        <v/>
      </c>
      <c r="Y560" s="21" t="str">
        <f>SUBSTITUTE(SUBSTITUTE(SUBSTITUTE('Ingest Template'!X560,"http:",""),"https:",""),"/","")</f>
        <v/>
      </c>
      <c r="Z560" s="21" t="str">
        <f t="array" ref="Z560">IF('Ingest Template'!A560="Standard",(IF(ISBLANK('Ingest Template'!AA560),"", 'Ingest Template'!AA560&amp;"|DAR")),(IF(ISBLANK('Ingest Template'!AA560),"", 'Ingest Template'!AA560&amp;"|Film Ops")))</f>
        <v/>
      </c>
      <c r="AA560" s="21"/>
      <c r="AB560" s="21" t="str">
        <f>'Ingest Template'!M560</f>
        <v/>
      </c>
      <c r="AC560" s="21" t="str">
        <f>'Ingest Template'!Y560</f>
        <v/>
      </c>
      <c r="AD560" s="21" t="str">
        <f>'Ingest Template'!C560</f>
        <v/>
      </c>
      <c r="AE560" s="21" t="str">
        <f>'Ingest Template'!Z560</f>
        <v/>
      </c>
      <c r="AF560" s="29"/>
      <c r="AG560" s="21" t="str">
        <f t="array" ref="AG560">IF('Ingest Template'!A560="Standard",(CONCATENATE(IF(ISBLANK('Ingest Template'!O560),"", 'Ingest Template'!O560&amp;"|DAR"),CHAR(10), IF(ISBLANK('Ingest Template'!P560),"", 'Ingest Template'!P560&amp;"|DAR"),CHAR(10), IF(ISBLANK('Ingest Template'!Q560),"", 'Ingest Template'!Q560&amp;"|DAR"))),(CONCATENATE(IF(ISBLANK('Ingest Template'!O560),"", 'Ingest Template'!O560&amp;"|Operations - Core Title"),CHAR(10), IF(ISBLANK('Ingest Template'!P560),"", 'Ingest Template'!P560&amp;"|Operations - Core Title"),CHAR(10), IF(ISBLANK('Ingest Template'!Q560),"", 'Ingest Template'!Q560&amp;"|Operations - Core Title"))))</f>
        <v>#|Operations - Core Title
#|Operations - Core Title
</v>
      </c>
      <c r="AH560" s="21"/>
      <c r="AI560" s="21"/>
      <c r="AJ560" s="53" t="str">
        <f>if('Ingest Template'!A560="Standard",'Ingest Template'!N560&amp; "|DAR|DAR|2021-01-01",'Ingest Template'!N560&amp; "|Operations - Core Title|Operations - Core Title")</f>
        <v>#N/A</v>
      </c>
      <c r="AK560" s="53" t="str">
        <f>if('Ingest Template'!A560="Standard",'Ingest Template'!R560&amp; "|2021-01-01",'Ingest Template'!R560)</f>
        <v>#N/A</v>
      </c>
      <c r="AL560" s="21"/>
      <c r="AM560" s="21"/>
    </row>
    <row r="561">
      <c r="A561" s="21"/>
      <c r="B561" s="21" t="str">
        <f>'Ingest Template'!B561&amp;IF('Ingest Template'!A561 = "Standard", " - DAR","")</f>
        <v/>
      </c>
      <c r="C561" s="26" t="s">
        <v>109</v>
      </c>
      <c r="D561" s="29" t="str">
        <f t="array" ref="D561">CONCATENATE(INDEX(DropDown!$H$2:$H$10,MATCH(1,COUNTIF('Ingest Template'!F561,"*"&amp;DropDown!$H$2:$H$10&amp;"*"),0)),CHAR(10),'Ingest Template'!G561)</f>
        <v>#N/A</v>
      </c>
      <c r="E561" s="21" t="str">
        <f>CONCATENATE('Ingest Template'!H561,CHAR(10),'Ingest Template'!I561,CHAR(10),'Ingest Template'!J561)</f>
        <v>
</v>
      </c>
      <c r="F561" s="26" t="str">
        <f>'Ingest Template'!H561</f>
        <v/>
      </c>
      <c r="G561" s="21"/>
      <c r="H561" s="29"/>
      <c r="I561" s="21"/>
      <c r="J561" s="29" t="str">
        <f t="array" ref="J561">iF('Ingest Template'!A561="Standard","Pristine Brand",INDEX(DropDown!$M$2:$M$392,MATCH('Ingest Template'!E561,DropDown!$J$2:$J$392,0)))</f>
        <v>#N/A</v>
      </c>
      <c r="K561" s="21" t="str">
        <f>iF('Ingest Template'!A561="Standard",'Ingest Template'!K561&amp;CHAR(10)&amp;'Ingest Template'!L561,"Competitive View")</f>
        <v>Competitive View</v>
      </c>
      <c r="L561" s="29" t="s">
        <v>146</v>
      </c>
      <c r="M561" s="37" t="str">
        <f>'Ingest Template'!D561</f>
        <v/>
      </c>
      <c r="N561" s="21"/>
      <c r="O561" s="21"/>
      <c r="P561" s="21"/>
      <c r="Q561" s="21"/>
      <c r="R561" s="21" t="str">
        <f>'Ingest Template'!E561</f>
        <v/>
      </c>
      <c r="S561" s="29" t="s">
        <v>153</v>
      </c>
      <c r="T561" s="21" t="str">
        <f>'Ingest Template'!T561</f>
        <v/>
      </c>
      <c r="U561" s="21" t="str">
        <f>'Ingest Template'!S561</f>
        <v/>
      </c>
      <c r="V561" s="21" t="str">
        <f>LOWER(SUBSTITUTE(SUBSTITUTE(SUBSTITUTE(SUBSTITUTE(SUBSTITUTE('Ingest Template'!U561,"https:",""),"www.",""),"/",""),"?hl=en",""),"instagram.com",""))</f>
        <v/>
      </c>
      <c r="W561" s="41" t="str">
        <f t="array" ref="W561">IF('Ingest Template'!V561="",(INDEX(DropDown!$L$2:$L$392,MATCH('Ingest Template'!E561,DropDown!$J$2:$J$392,0))&amp;"|"&amp;'Ingest Template'!B561),(INDEX(DropDown!$L$2:$L$392,MATCH('Ingest Template'!E561,DropDown!$J$2:$J$392,0))&amp;"|"&amp;'Ingest Template'!B561)&amp;CHAR(10)&amp;'Ingest Template'!V561)</f>
        <v>#N/A</v>
      </c>
      <c r="X561" s="41" t="str">
        <f>'Ingest Template'!W561</f>
        <v/>
      </c>
      <c r="Y561" s="21" t="str">
        <f>SUBSTITUTE(SUBSTITUTE(SUBSTITUTE('Ingest Template'!X561,"http:",""),"https:",""),"/","")</f>
        <v/>
      </c>
      <c r="Z561" s="21" t="str">
        <f t="array" ref="Z561">IF('Ingest Template'!A561="Standard",(IF(ISBLANK('Ingest Template'!AA561),"", 'Ingest Template'!AA561&amp;"|DAR")),(IF(ISBLANK('Ingest Template'!AA561),"", 'Ingest Template'!AA561&amp;"|Film Ops")))</f>
        <v/>
      </c>
      <c r="AA561" s="21"/>
      <c r="AB561" s="21" t="str">
        <f>'Ingest Template'!M561</f>
        <v/>
      </c>
      <c r="AC561" s="21" t="str">
        <f>'Ingest Template'!Y561</f>
        <v/>
      </c>
      <c r="AD561" s="21" t="str">
        <f>'Ingest Template'!C561</f>
        <v/>
      </c>
      <c r="AE561" s="21" t="str">
        <f>'Ingest Template'!Z561</f>
        <v/>
      </c>
      <c r="AF561" s="29"/>
      <c r="AG561" s="21" t="str">
        <f t="array" ref="AG561">IF('Ingest Template'!A561="Standard",(CONCATENATE(IF(ISBLANK('Ingest Template'!O561),"", 'Ingest Template'!O561&amp;"|DAR"),CHAR(10), IF(ISBLANK('Ingest Template'!P561),"", 'Ingest Template'!P561&amp;"|DAR"),CHAR(10), IF(ISBLANK('Ingest Template'!Q561),"", 'Ingest Template'!Q561&amp;"|DAR"))),(CONCATENATE(IF(ISBLANK('Ingest Template'!O561),"", 'Ingest Template'!O561&amp;"|Operations - Core Title"),CHAR(10), IF(ISBLANK('Ingest Template'!P561),"", 'Ingest Template'!P561&amp;"|Operations - Core Title"),CHAR(10), IF(ISBLANK('Ingest Template'!Q561),"", 'Ingest Template'!Q561&amp;"|Operations - Core Title"))))</f>
        <v>#|Operations - Core Title
#|Operations - Core Title
</v>
      </c>
      <c r="AH561" s="21"/>
      <c r="AI561" s="21"/>
      <c r="AJ561" s="53" t="str">
        <f>if('Ingest Template'!A561="Standard",'Ingest Template'!N561&amp; "|DAR|DAR|2021-01-01",'Ingest Template'!N561&amp; "|Operations - Core Title|Operations - Core Title")</f>
        <v>#N/A</v>
      </c>
      <c r="AK561" s="53" t="str">
        <f>if('Ingest Template'!A561="Standard",'Ingest Template'!R561&amp; "|2021-01-01",'Ingest Template'!R561)</f>
        <v>#N/A</v>
      </c>
      <c r="AL561" s="21"/>
      <c r="AM561" s="21"/>
    </row>
    <row r="562">
      <c r="A562" s="21"/>
      <c r="B562" s="21" t="str">
        <f>'Ingest Template'!B562&amp;IF('Ingest Template'!A562 = "Standard", " - DAR","")</f>
        <v/>
      </c>
      <c r="C562" s="26" t="s">
        <v>109</v>
      </c>
      <c r="D562" s="29" t="str">
        <f t="array" ref="D562">CONCATENATE(INDEX(DropDown!$H$2:$H$10,MATCH(1,COUNTIF('Ingest Template'!F562,"*"&amp;DropDown!$H$2:$H$10&amp;"*"),0)),CHAR(10),'Ingest Template'!G562)</f>
        <v>#N/A</v>
      </c>
      <c r="E562" s="21" t="str">
        <f>CONCATENATE('Ingest Template'!H562,CHAR(10),'Ingest Template'!I562,CHAR(10),'Ingest Template'!J562)</f>
        <v>
</v>
      </c>
      <c r="F562" s="26" t="str">
        <f>'Ingest Template'!H562</f>
        <v/>
      </c>
      <c r="G562" s="21"/>
      <c r="H562" s="29"/>
      <c r="I562" s="21"/>
      <c r="J562" s="29" t="str">
        <f t="array" ref="J562">iF('Ingest Template'!A562="Standard","Pristine Brand",INDEX(DropDown!$M$2:$M$392,MATCH('Ingest Template'!E562,DropDown!$J$2:$J$392,0)))</f>
        <v>#N/A</v>
      </c>
      <c r="K562" s="21" t="str">
        <f>iF('Ingest Template'!A562="Standard",'Ingest Template'!K562&amp;CHAR(10)&amp;'Ingest Template'!L562,"Competitive View")</f>
        <v>Competitive View</v>
      </c>
      <c r="L562" s="29" t="s">
        <v>146</v>
      </c>
      <c r="M562" s="37" t="str">
        <f>'Ingest Template'!D562</f>
        <v/>
      </c>
      <c r="N562" s="21"/>
      <c r="O562" s="21"/>
      <c r="P562" s="21"/>
      <c r="Q562" s="21"/>
      <c r="R562" s="21" t="str">
        <f>'Ingest Template'!E562</f>
        <v/>
      </c>
      <c r="S562" s="29" t="s">
        <v>153</v>
      </c>
      <c r="T562" s="21" t="str">
        <f>'Ingest Template'!T562</f>
        <v/>
      </c>
      <c r="U562" s="21" t="str">
        <f>'Ingest Template'!S562</f>
        <v/>
      </c>
      <c r="V562" s="21" t="str">
        <f>LOWER(SUBSTITUTE(SUBSTITUTE(SUBSTITUTE(SUBSTITUTE(SUBSTITUTE('Ingest Template'!U562,"https:",""),"www.",""),"/",""),"?hl=en",""),"instagram.com",""))</f>
        <v/>
      </c>
      <c r="W562" s="41" t="str">
        <f t="array" ref="W562">IF('Ingest Template'!V562="",(INDEX(DropDown!$L$2:$L$392,MATCH('Ingest Template'!E562,DropDown!$J$2:$J$392,0))&amp;"|"&amp;'Ingest Template'!B562),(INDEX(DropDown!$L$2:$L$392,MATCH('Ingest Template'!E562,DropDown!$J$2:$J$392,0))&amp;"|"&amp;'Ingest Template'!B562)&amp;CHAR(10)&amp;'Ingest Template'!V562)</f>
        <v>#N/A</v>
      </c>
      <c r="X562" s="41" t="str">
        <f>'Ingest Template'!W562</f>
        <v/>
      </c>
      <c r="Y562" s="21" t="str">
        <f>SUBSTITUTE(SUBSTITUTE(SUBSTITUTE('Ingest Template'!X562,"http:",""),"https:",""),"/","")</f>
        <v/>
      </c>
      <c r="Z562" s="21" t="str">
        <f t="array" ref="Z562">IF('Ingest Template'!A562="Standard",(IF(ISBLANK('Ingest Template'!AA562),"", 'Ingest Template'!AA562&amp;"|DAR")),(IF(ISBLANK('Ingest Template'!AA562),"", 'Ingest Template'!AA562&amp;"|Film Ops")))</f>
        <v/>
      </c>
      <c r="AA562" s="21"/>
      <c r="AB562" s="21" t="str">
        <f>'Ingest Template'!M562</f>
        <v/>
      </c>
      <c r="AC562" s="21" t="str">
        <f>'Ingest Template'!Y562</f>
        <v/>
      </c>
      <c r="AD562" s="21" t="str">
        <f>'Ingest Template'!C562</f>
        <v/>
      </c>
      <c r="AE562" s="21" t="str">
        <f>'Ingest Template'!Z562</f>
        <v/>
      </c>
      <c r="AF562" s="29"/>
      <c r="AG562" s="21" t="str">
        <f t="array" ref="AG562">IF('Ingest Template'!A562="Standard",(CONCATENATE(IF(ISBLANK('Ingest Template'!O562),"", 'Ingest Template'!O562&amp;"|DAR"),CHAR(10), IF(ISBLANK('Ingest Template'!P562),"", 'Ingest Template'!P562&amp;"|DAR"),CHAR(10), IF(ISBLANK('Ingest Template'!Q562),"", 'Ingest Template'!Q562&amp;"|DAR"))),(CONCATENATE(IF(ISBLANK('Ingest Template'!O562),"", 'Ingest Template'!O562&amp;"|Operations - Core Title"),CHAR(10), IF(ISBLANK('Ingest Template'!P562),"", 'Ingest Template'!P562&amp;"|Operations - Core Title"),CHAR(10), IF(ISBLANK('Ingest Template'!Q562),"", 'Ingest Template'!Q562&amp;"|Operations - Core Title"))))</f>
        <v>#|Operations - Core Title
#|Operations - Core Title
</v>
      </c>
      <c r="AH562" s="21"/>
      <c r="AI562" s="21"/>
      <c r="AJ562" s="53" t="str">
        <f>if('Ingest Template'!A562="Standard",'Ingest Template'!N562&amp; "|DAR|DAR|2021-01-01",'Ingest Template'!N562&amp; "|Operations - Core Title|Operations - Core Title")</f>
        <v>#N/A</v>
      </c>
      <c r="AK562" s="53" t="str">
        <f>if('Ingest Template'!A562="Standard",'Ingest Template'!R562&amp; "|2021-01-01",'Ingest Template'!R562)</f>
        <v>#N/A</v>
      </c>
      <c r="AL562" s="21"/>
      <c r="AM562" s="21"/>
    </row>
    <row r="563">
      <c r="A563" s="21"/>
      <c r="B563" s="21" t="str">
        <f>'Ingest Template'!B563&amp;IF('Ingest Template'!A563 = "Standard", " - DAR","")</f>
        <v/>
      </c>
      <c r="C563" s="26" t="s">
        <v>109</v>
      </c>
      <c r="D563" s="29" t="str">
        <f t="array" ref="D563">CONCATENATE(INDEX(DropDown!$H$2:$H$10,MATCH(1,COUNTIF('Ingest Template'!F563,"*"&amp;DropDown!$H$2:$H$10&amp;"*"),0)),CHAR(10),'Ingest Template'!G563)</f>
        <v>#N/A</v>
      </c>
      <c r="E563" s="21" t="str">
        <f>CONCATENATE('Ingest Template'!H563,CHAR(10),'Ingest Template'!I563,CHAR(10),'Ingest Template'!J563)</f>
        <v>
</v>
      </c>
      <c r="F563" s="26" t="str">
        <f>'Ingest Template'!H563</f>
        <v/>
      </c>
      <c r="G563" s="21"/>
      <c r="H563" s="29"/>
      <c r="I563" s="21"/>
      <c r="J563" s="29" t="str">
        <f t="array" ref="J563">iF('Ingest Template'!A563="Standard","Pristine Brand",INDEX(DropDown!$M$2:$M$392,MATCH('Ingest Template'!E563,DropDown!$J$2:$J$392,0)))</f>
        <v>#N/A</v>
      </c>
      <c r="K563" s="21" t="str">
        <f>iF('Ingest Template'!A563="Standard",'Ingest Template'!K563&amp;CHAR(10)&amp;'Ingest Template'!L563,"Competitive View")</f>
        <v>Competitive View</v>
      </c>
      <c r="L563" s="29" t="s">
        <v>146</v>
      </c>
      <c r="M563" s="37" t="str">
        <f>'Ingest Template'!D563</f>
        <v/>
      </c>
      <c r="N563" s="21"/>
      <c r="O563" s="21"/>
      <c r="P563" s="21"/>
      <c r="Q563" s="21"/>
      <c r="R563" s="21" t="str">
        <f>'Ingest Template'!E563</f>
        <v/>
      </c>
      <c r="S563" s="29" t="s">
        <v>153</v>
      </c>
      <c r="T563" s="21" t="str">
        <f>'Ingest Template'!T563</f>
        <v/>
      </c>
      <c r="U563" s="21" t="str">
        <f>'Ingest Template'!S563</f>
        <v/>
      </c>
      <c r="V563" s="21" t="str">
        <f>LOWER(SUBSTITUTE(SUBSTITUTE(SUBSTITUTE(SUBSTITUTE(SUBSTITUTE('Ingest Template'!U563,"https:",""),"www.",""),"/",""),"?hl=en",""),"instagram.com",""))</f>
        <v/>
      </c>
      <c r="W563" s="41" t="str">
        <f t="array" ref="W563">IF('Ingest Template'!V563="",(INDEX(DropDown!$L$2:$L$392,MATCH('Ingest Template'!E563,DropDown!$J$2:$J$392,0))&amp;"|"&amp;'Ingest Template'!B563),(INDEX(DropDown!$L$2:$L$392,MATCH('Ingest Template'!E563,DropDown!$J$2:$J$392,0))&amp;"|"&amp;'Ingest Template'!B563)&amp;CHAR(10)&amp;'Ingest Template'!V563)</f>
        <v>#N/A</v>
      </c>
      <c r="X563" s="41" t="str">
        <f>'Ingest Template'!W563</f>
        <v/>
      </c>
      <c r="Y563" s="21" t="str">
        <f>SUBSTITUTE(SUBSTITUTE(SUBSTITUTE('Ingest Template'!X563,"http:",""),"https:",""),"/","")</f>
        <v/>
      </c>
      <c r="Z563" s="21" t="str">
        <f t="array" ref="Z563">IF('Ingest Template'!A563="Standard",(IF(ISBLANK('Ingest Template'!AA563),"", 'Ingest Template'!AA563&amp;"|DAR")),(IF(ISBLANK('Ingest Template'!AA563),"", 'Ingest Template'!AA563&amp;"|Film Ops")))</f>
        <v/>
      </c>
      <c r="AA563" s="21"/>
      <c r="AB563" s="21" t="str">
        <f>'Ingest Template'!M563</f>
        <v/>
      </c>
      <c r="AC563" s="21" t="str">
        <f>'Ingest Template'!Y563</f>
        <v/>
      </c>
      <c r="AD563" s="21" t="str">
        <f>'Ingest Template'!C563</f>
        <v/>
      </c>
      <c r="AE563" s="21" t="str">
        <f>'Ingest Template'!Z563</f>
        <v/>
      </c>
      <c r="AF563" s="29"/>
      <c r="AG563" s="21" t="str">
        <f t="array" ref="AG563">IF('Ingest Template'!A563="Standard",(CONCATENATE(IF(ISBLANK('Ingest Template'!O563),"", 'Ingest Template'!O563&amp;"|DAR"),CHAR(10), IF(ISBLANK('Ingest Template'!P563),"", 'Ingest Template'!P563&amp;"|DAR"),CHAR(10), IF(ISBLANK('Ingest Template'!Q563),"", 'Ingest Template'!Q563&amp;"|DAR"))),(CONCATENATE(IF(ISBLANK('Ingest Template'!O563),"", 'Ingest Template'!O563&amp;"|Operations - Core Title"),CHAR(10), IF(ISBLANK('Ingest Template'!P563),"", 'Ingest Template'!P563&amp;"|Operations - Core Title"),CHAR(10), IF(ISBLANK('Ingest Template'!Q563),"", 'Ingest Template'!Q563&amp;"|Operations - Core Title"))))</f>
        <v>#|Operations - Core Title
#|Operations - Core Title
</v>
      </c>
      <c r="AH563" s="21"/>
      <c r="AI563" s="21"/>
      <c r="AJ563" s="53" t="str">
        <f>if('Ingest Template'!A563="Standard",'Ingest Template'!N563&amp; "|DAR|DAR|2021-01-01",'Ingest Template'!N563&amp; "|Operations - Core Title|Operations - Core Title")</f>
        <v>#N/A</v>
      </c>
      <c r="AK563" s="53" t="str">
        <f>if('Ingest Template'!A563="Standard",'Ingest Template'!R563&amp; "|2021-01-01",'Ingest Template'!R563)</f>
        <v>#N/A</v>
      </c>
      <c r="AL563" s="21"/>
      <c r="AM563" s="21"/>
    </row>
    <row r="564">
      <c r="A564" s="21"/>
      <c r="B564" s="21" t="str">
        <f>'Ingest Template'!B564&amp;IF('Ingest Template'!A564 = "Standard", " - DAR","")</f>
        <v/>
      </c>
      <c r="C564" s="26" t="s">
        <v>109</v>
      </c>
      <c r="D564" s="29" t="str">
        <f t="array" ref="D564">CONCATENATE(INDEX(DropDown!$H$2:$H$10,MATCH(1,COUNTIF('Ingest Template'!F564,"*"&amp;DropDown!$H$2:$H$10&amp;"*"),0)),CHAR(10),'Ingest Template'!G564)</f>
        <v>#N/A</v>
      </c>
      <c r="E564" s="21" t="str">
        <f>CONCATENATE('Ingest Template'!H564,CHAR(10),'Ingest Template'!I564,CHAR(10),'Ingest Template'!J564)</f>
        <v>
</v>
      </c>
      <c r="F564" s="26" t="str">
        <f>'Ingest Template'!H564</f>
        <v/>
      </c>
      <c r="G564" s="21"/>
      <c r="H564" s="29"/>
      <c r="I564" s="21"/>
      <c r="J564" s="29" t="str">
        <f t="array" ref="J564">iF('Ingest Template'!A564="Standard","Pristine Brand",INDEX(DropDown!$M$2:$M$392,MATCH('Ingest Template'!E564,DropDown!$J$2:$J$392,0)))</f>
        <v>#N/A</v>
      </c>
      <c r="K564" s="21" t="str">
        <f>iF('Ingest Template'!A564="Standard",'Ingest Template'!K564&amp;CHAR(10)&amp;'Ingest Template'!L564,"Competitive View")</f>
        <v>Competitive View</v>
      </c>
      <c r="L564" s="29" t="s">
        <v>146</v>
      </c>
      <c r="M564" s="37" t="str">
        <f>'Ingest Template'!D564</f>
        <v/>
      </c>
      <c r="N564" s="21"/>
      <c r="O564" s="21"/>
      <c r="P564" s="21"/>
      <c r="Q564" s="21"/>
      <c r="R564" s="21" t="str">
        <f>'Ingest Template'!E564</f>
        <v/>
      </c>
      <c r="S564" s="29" t="s">
        <v>153</v>
      </c>
      <c r="T564" s="21" t="str">
        <f>'Ingest Template'!T564</f>
        <v/>
      </c>
      <c r="U564" s="21" t="str">
        <f>'Ingest Template'!S564</f>
        <v/>
      </c>
      <c r="V564" s="21" t="str">
        <f>LOWER(SUBSTITUTE(SUBSTITUTE(SUBSTITUTE(SUBSTITUTE(SUBSTITUTE('Ingest Template'!U564,"https:",""),"www.",""),"/",""),"?hl=en",""),"instagram.com",""))</f>
        <v/>
      </c>
      <c r="W564" s="41" t="str">
        <f t="array" ref="W564">IF('Ingest Template'!V564="",(INDEX(DropDown!$L$2:$L$392,MATCH('Ingest Template'!E564,DropDown!$J$2:$J$392,0))&amp;"|"&amp;'Ingest Template'!B564),(INDEX(DropDown!$L$2:$L$392,MATCH('Ingest Template'!E564,DropDown!$J$2:$J$392,0))&amp;"|"&amp;'Ingest Template'!B564)&amp;CHAR(10)&amp;'Ingest Template'!V564)</f>
        <v>#N/A</v>
      </c>
      <c r="X564" s="41" t="str">
        <f>'Ingest Template'!W564</f>
        <v/>
      </c>
      <c r="Y564" s="21" t="str">
        <f>SUBSTITUTE(SUBSTITUTE(SUBSTITUTE('Ingest Template'!X564,"http:",""),"https:",""),"/","")</f>
        <v/>
      </c>
      <c r="Z564" s="21" t="str">
        <f t="array" ref="Z564">IF('Ingest Template'!A564="Standard",(IF(ISBLANK('Ingest Template'!AA564),"", 'Ingest Template'!AA564&amp;"|DAR")),(IF(ISBLANK('Ingest Template'!AA564),"", 'Ingest Template'!AA564&amp;"|Film Ops")))</f>
        <v/>
      </c>
      <c r="AA564" s="21"/>
      <c r="AB564" s="21" t="str">
        <f>'Ingest Template'!M564</f>
        <v/>
      </c>
      <c r="AC564" s="21" t="str">
        <f>'Ingest Template'!Y564</f>
        <v/>
      </c>
      <c r="AD564" s="21" t="str">
        <f>'Ingest Template'!C564</f>
        <v/>
      </c>
      <c r="AE564" s="21" t="str">
        <f>'Ingest Template'!Z564</f>
        <v/>
      </c>
      <c r="AF564" s="29"/>
      <c r="AG564" s="21" t="str">
        <f t="array" ref="AG564">IF('Ingest Template'!A564="Standard",(CONCATENATE(IF(ISBLANK('Ingest Template'!O564),"", 'Ingest Template'!O564&amp;"|DAR"),CHAR(10), IF(ISBLANK('Ingest Template'!P564),"", 'Ingest Template'!P564&amp;"|DAR"),CHAR(10), IF(ISBLANK('Ingest Template'!Q564),"", 'Ingest Template'!Q564&amp;"|DAR"))),(CONCATENATE(IF(ISBLANK('Ingest Template'!O564),"", 'Ingest Template'!O564&amp;"|Operations - Core Title"),CHAR(10), IF(ISBLANK('Ingest Template'!P564),"", 'Ingest Template'!P564&amp;"|Operations - Core Title"),CHAR(10), IF(ISBLANK('Ingest Template'!Q564),"", 'Ingest Template'!Q564&amp;"|Operations - Core Title"))))</f>
        <v>#|Operations - Core Title
#|Operations - Core Title
</v>
      </c>
      <c r="AH564" s="21"/>
      <c r="AI564" s="21"/>
      <c r="AJ564" s="53" t="str">
        <f>if('Ingest Template'!A564="Standard",'Ingest Template'!N564&amp; "|DAR|DAR|2021-01-01",'Ingest Template'!N564&amp; "|Operations - Core Title|Operations - Core Title")</f>
        <v>#N/A</v>
      </c>
      <c r="AK564" s="53" t="str">
        <f>if('Ingest Template'!A564="Standard",'Ingest Template'!R564&amp; "|2021-01-01",'Ingest Template'!R564)</f>
        <v>#N/A</v>
      </c>
      <c r="AL564" s="21"/>
      <c r="AM564" s="21"/>
    </row>
    <row r="565">
      <c r="A565" s="21"/>
      <c r="B565" s="21" t="str">
        <f>'Ingest Template'!B565&amp;IF('Ingest Template'!A565 = "Standard", " - DAR","")</f>
        <v/>
      </c>
      <c r="C565" s="26" t="s">
        <v>109</v>
      </c>
      <c r="D565" s="29" t="str">
        <f t="array" ref="D565">CONCATENATE(INDEX(DropDown!$H$2:$H$10,MATCH(1,COUNTIF('Ingest Template'!F565,"*"&amp;DropDown!$H$2:$H$10&amp;"*"),0)),CHAR(10),'Ingest Template'!G565)</f>
        <v>#N/A</v>
      </c>
      <c r="E565" s="21" t="str">
        <f>CONCATENATE('Ingest Template'!H565,CHAR(10),'Ingest Template'!I565,CHAR(10),'Ingest Template'!J565)</f>
        <v>
</v>
      </c>
      <c r="F565" s="26" t="str">
        <f>'Ingest Template'!H565</f>
        <v/>
      </c>
      <c r="G565" s="21"/>
      <c r="H565" s="29"/>
      <c r="I565" s="21"/>
      <c r="J565" s="29" t="str">
        <f t="array" ref="J565">iF('Ingest Template'!A565="Standard","Pristine Brand",INDEX(DropDown!$M$2:$M$392,MATCH('Ingest Template'!E565,DropDown!$J$2:$J$392,0)))</f>
        <v>#N/A</v>
      </c>
      <c r="K565" s="21" t="str">
        <f>iF('Ingest Template'!A565="Standard",'Ingest Template'!K565&amp;CHAR(10)&amp;'Ingest Template'!L565,"Competitive View")</f>
        <v>Competitive View</v>
      </c>
      <c r="L565" s="29" t="s">
        <v>146</v>
      </c>
      <c r="M565" s="37" t="str">
        <f>'Ingest Template'!D565</f>
        <v/>
      </c>
      <c r="N565" s="21"/>
      <c r="O565" s="21"/>
      <c r="P565" s="21"/>
      <c r="Q565" s="21"/>
      <c r="R565" s="21" t="str">
        <f>'Ingest Template'!E565</f>
        <v/>
      </c>
      <c r="S565" s="29" t="s">
        <v>153</v>
      </c>
      <c r="T565" s="21" t="str">
        <f>'Ingest Template'!T565</f>
        <v/>
      </c>
      <c r="U565" s="21" t="str">
        <f>'Ingest Template'!S565</f>
        <v/>
      </c>
      <c r="V565" s="21" t="str">
        <f>LOWER(SUBSTITUTE(SUBSTITUTE(SUBSTITUTE(SUBSTITUTE(SUBSTITUTE('Ingest Template'!U565,"https:",""),"www.",""),"/",""),"?hl=en",""),"instagram.com",""))</f>
        <v/>
      </c>
      <c r="W565" s="41" t="str">
        <f t="array" ref="W565">IF('Ingest Template'!V565="",(INDEX(DropDown!$L$2:$L$392,MATCH('Ingest Template'!E565,DropDown!$J$2:$J$392,0))&amp;"|"&amp;'Ingest Template'!B565),(INDEX(DropDown!$L$2:$L$392,MATCH('Ingest Template'!E565,DropDown!$J$2:$J$392,0))&amp;"|"&amp;'Ingest Template'!B565)&amp;CHAR(10)&amp;'Ingest Template'!V565)</f>
        <v>#N/A</v>
      </c>
      <c r="X565" s="41" t="str">
        <f>'Ingest Template'!W565</f>
        <v/>
      </c>
      <c r="Y565" s="21" t="str">
        <f>SUBSTITUTE(SUBSTITUTE(SUBSTITUTE('Ingest Template'!X565,"http:",""),"https:",""),"/","")</f>
        <v/>
      </c>
      <c r="Z565" s="21" t="str">
        <f t="array" ref="Z565">IF('Ingest Template'!A565="Standard",(IF(ISBLANK('Ingest Template'!AA565),"", 'Ingest Template'!AA565&amp;"|DAR")),(IF(ISBLANK('Ingest Template'!AA565),"", 'Ingest Template'!AA565&amp;"|Film Ops")))</f>
        <v/>
      </c>
      <c r="AA565" s="21"/>
      <c r="AB565" s="21" t="str">
        <f>'Ingest Template'!M565</f>
        <v/>
      </c>
      <c r="AC565" s="21" t="str">
        <f>'Ingest Template'!Y565</f>
        <v/>
      </c>
      <c r="AD565" s="21" t="str">
        <f>'Ingest Template'!C565</f>
        <v/>
      </c>
      <c r="AE565" s="21" t="str">
        <f>'Ingest Template'!Z565</f>
        <v/>
      </c>
      <c r="AF565" s="29"/>
      <c r="AG565" s="21" t="str">
        <f t="array" ref="AG565">IF('Ingest Template'!A565="Standard",(CONCATENATE(IF(ISBLANK('Ingest Template'!O565),"", 'Ingest Template'!O565&amp;"|DAR"),CHAR(10), IF(ISBLANK('Ingest Template'!P565),"", 'Ingest Template'!P565&amp;"|DAR"),CHAR(10), IF(ISBLANK('Ingest Template'!Q565),"", 'Ingest Template'!Q565&amp;"|DAR"))),(CONCATENATE(IF(ISBLANK('Ingest Template'!O565),"", 'Ingest Template'!O565&amp;"|Operations - Core Title"),CHAR(10), IF(ISBLANK('Ingest Template'!P565),"", 'Ingest Template'!P565&amp;"|Operations - Core Title"),CHAR(10), IF(ISBLANK('Ingest Template'!Q565),"", 'Ingest Template'!Q565&amp;"|Operations - Core Title"))))</f>
        <v>#|Operations - Core Title
#|Operations - Core Title
</v>
      </c>
      <c r="AH565" s="21"/>
      <c r="AI565" s="21"/>
      <c r="AJ565" s="53" t="str">
        <f>if('Ingest Template'!A565="Standard",'Ingest Template'!N565&amp; "|DAR|DAR|2021-01-01",'Ingest Template'!N565&amp; "|Operations - Core Title|Operations - Core Title")</f>
        <v>#N/A</v>
      </c>
      <c r="AK565" s="53" t="str">
        <f>if('Ingest Template'!A565="Standard",'Ingest Template'!R565&amp; "|2021-01-01",'Ingest Template'!R565)</f>
        <v>#N/A</v>
      </c>
      <c r="AL565" s="21"/>
      <c r="AM565" s="21"/>
    </row>
    <row r="566">
      <c r="A566" s="21"/>
      <c r="B566" s="21" t="str">
        <f>'Ingest Template'!B566&amp;IF('Ingest Template'!A566 = "Standard", " - DAR","")</f>
        <v/>
      </c>
      <c r="C566" s="26" t="s">
        <v>109</v>
      </c>
      <c r="D566" s="29" t="str">
        <f t="array" ref="D566">CONCATENATE(INDEX(DropDown!$H$2:$H$10,MATCH(1,COUNTIF('Ingest Template'!F566,"*"&amp;DropDown!$H$2:$H$10&amp;"*"),0)),CHAR(10),'Ingest Template'!G566)</f>
        <v>#N/A</v>
      </c>
      <c r="E566" s="21" t="str">
        <f>CONCATENATE('Ingest Template'!H566,CHAR(10),'Ingest Template'!I566,CHAR(10),'Ingest Template'!J566)</f>
        <v>
</v>
      </c>
      <c r="F566" s="26" t="str">
        <f>'Ingest Template'!H566</f>
        <v/>
      </c>
      <c r="G566" s="21"/>
      <c r="H566" s="29"/>
      <c r="I566" s="21"/>
      <c r="J566" s="29" t="str">
        <f t="array" ref="J566">iF('Ingest Template'!A566="Standard","Pristine Brand",INDEX(DropDown!$M$2:$M$392,MATCH('Ingest Template'!E566,DropDown!$J$2:$J$392,0)))</f>
        <v>#N/A</v>
      </c>
      <c r="K566" s="21" t="str">
        <f>iF('Ingest Template'!A566="Standard",'Ingest Template'!K566&amp;CHAR(10)&amp;'Ingest Template'!L566,"Competitive View")</f>
        <v>Competitive View</v>
      </c>
      <c r="L566" s="29" t="s">
        <v>146</v>
      </c>
      <c r="M566" s="37" t="str">
        <f>'Ingest Template'!D566</f>
        <v/>
      </c>
      <c r="N566" s="21"/>
      <c r="O566" s="21"/>
      <c r="P566" s="21"/>
      <c r="Q566" s="21"/>
      <c r="R566" s="21" t="str">
        <f>'Ingest Template'!E566</f>
        <v/>
      </c>
      <c r="S566" s="29" t="s">
        <v>153</v>
      </c>
      <c r="T566" s="21" t="str">
        <f>'Ingest Template'!T566</f>
        <v/>
      </c>
      <c r="U566" s="21" t="str">
        <f>'Ingest Template'!S566</f>
        <v/>
      </c>
      <c r="V566" s="21" t="str">
        <f>LOWER(SUBSTITUTE(SUBSTITUTE(SUBSTITUTE(SUBSTITUTE(SUBSTITUTE('Ingest Template'!U566,"https:",""),"www.",""),"/",""),"?hl=en",""),"instagram.com",""))</f>
        <v/>
      </c>
      <c r="W566" s="41" t="str">
        <f t="array" ref="W566">IF('Ingest Template'!V566="",(INDEX(DropDown!$L$2:$L$392,MATCH('Ingest Template'!E566,DropDown!$J$2:$J$392,0))&amp;"|"&amp;'Ingest Template'!B566),(INDEX(DropDown!$L$2:$L$392,MATCH('Ingest Template'!E566,DropDown!$J$2:$J$392,0))&amp;"|"&amp;'Ingest Template'!B566)&amp;CHAR(10)&amp;'Ingest Template'!V566)</f>
        <v>#N/A</v>
      </c>
      <c r="X566" s="41" t="str">
        <f>'Ingest Template'!W566</f>
        <v/>
      </c>
      <c r="Y566" s="21" t="str">
        <f>SUBSTITUTE(SUBSTITUTE(SUBSTITUTE('Ingest Template'!X566,"http:",""),"https:",""),"/","")</f>
        <v/>
      </c>
      <c r="Z566" s="21" t="str">
        <f t="array" ref="Z566">IF('Ingest Template'!A566="Standard",(IF(ISBLANK('Ingest Template'!AA566),"", 'Ingest Template'!AA566&amp;"|DAR")),(IF(ISBLANK('Ingest Template'!AA566),"", 'Ingest Template'!AA566&amp;"|Film Ops")))</f>
        <v/>
      </c>
      <c r="AA566" s="21"/>
      <c r="AB566" s="21" t="str">
        <f>'Ingest Template'!M566</f>
        <v/>
      </c>
      <c r="AC566" s="21" t="str">
        <f>'Ingest Template'!Y566</f>
        <v/>
      </c>
      <c r="AD566" s="21" t="str">
        <f>'Ingest Template'!C566</f>
        <v/>
      </c>
      <c r="AE566" s="21" t="str">
        <f>'Ingest Template'!Z566</f>
        <v/>
      </c>
      <c r="AF566" s="29"/>
      <c r="AG566" s="21" t="str">
        <f t="array" ref="AG566">IF('Ingest Template'!A566="Standard",(CONCATENATE(IF(ISBLANK('Ingest Template'!O566),"", 'Ingest Template'!O566&amp;"|DAR"),CHAR(10), IF(ISBLANK('Ingest Template'!P566),"", 'Ingest Template'!P566&amp;"|DAR"),CHAR(10), IF(ISBLANK('Ingest Template'!Q566),"", 'Ingest Template'!Q566&amp;"|DAR"))),(CONCATENATE(IF(ISBLANK('Ingest Template'!O566),"", 'Ingest Template'!O566&amp;"|Operations - Core Title"),CHAR(10), IF(ISBLANK('Ingest Template'!P566),"", 'Ingest Template'!P566&amp;"|Operations - Core Title"),CHAR(10), IF(ISBLANK('Ingest Template'!Q566),"", 'Ingest Template'!Q566&amp;"|Operations - Core Title"))))</f>
        <v>#|Operations - Core Title
#|Operations - Core Title
</v>
      </c>
      <c r="AH566" s="21"/>
      <c r="AI566" s="21"/>
      <c r="AJ566" s="53" t="str">
        <f>if('Ingest Template'!A566="Standard",'Ingest Template'!N566&amp; "|DAR|DAR|2021-01-01",'Ingest Template'!N566&amp; "|Operations - Core Title|Operations - Core Title")</f>
        <v>#N/A</v>
      </c>
      <c r="AK566" s="53" t="str">
        <f>if('Ingest Template'!A566="Standard",'Ingest Template'!R566&amp; "|2021-01-01",'Ingest Template'!R566)</f>
        <v>#N/A</v>
      </c>
      <c r="AL566" s="21"/>
      <c r="AM566" s="21"/>
    </row>
    <row r="567">
      <c r="A567" s="21"/>
      <c r="B567" s="21" t="str">
        <f>'Ingest Template'!B567&amp;IF('Ingest Template'!A567 = "Standard", " - DAR","")</f>
        <v/>
      </c>
      <c r="C567" s="26" t="s">
        <v>109</v>
      </c>
      <c r="D567" s="29" t="str">
        <f t="array" ref="D567">CONCATENATE(INDEX(DropDown!$H$2:$H$10,MATCH(1,COUNTIF('Ingest Template'!F567,"*"&amp;DropDown!$H$2:$H$10&amp;"*"),0)),CHAR(10),'Ingest Template'!G567)</f>
        <v>#N/A</v>
      </c>
      <c r="E567" s="21" t="str">
        <f>CONCATENATE('Ingest Template'!H567,CHAR(10),'Ingest Template'!I567,CHAR(10),'Ingest Template'!J567)</f>
        <v>
</v>
      </c>
      <c r="F567" s="26" t="str">
        <f>'Ingest Template'!H567</f>
        <v/>
      </c>
      <c r="G567" s="21"/>
      <c r="H567" s="29"/>
      <c r="I567" s="21"/>
      <c r="J567" s="29" t="str">
        <f t="array" ref="J567">iF('Ingest Template'!A567="Standard","Pristine Brand",INDEX(DropDown!$M$2:$M$392,MATCH('Ingest Template'!E567,DropDown!$J$2:$J$392,0)))</f>
        <v>#N/A</v>
      </c>
      <c r="K567" s="21" t="str">
        <f>iF('Ingest Template'!A567="Standard",'Ingest Template'!K567&amp;CHAR(10)&amp;'Ingest Template'!L567,"Competitive View")</f>
        <v>Competitive View</v>
      </c>
      <c r="L567" s="29" t="s">
        <v>146</v>
      </c>
      <c r="M567" s="37" t="str">
        <f>'Ingest Template'!D567</f>
        <v/>
      </c>
      <c r="N567" s="21"/>
      <c r="O567" s="21"/>
      <c r="P567" s="21"/>
      <c r="Q567" s="21"/>
      <c r="R567" s="21" t="str">
        <f>'Ingest Template'!E567</f>
        <v/>
      </c>
      <c r="S567" s="29" t="s">
        <v>153</v>
      </c>
      <c r="T567" s="21" t="str">
        <f>'Ingest Template'!T567</f>
        <v/>
      </c>
      <c r="U567" s="21" t="str">
        <f>'Ingest Template'!S567</f>
        <v/>
      </c>
      <c r="V567" s="21" t="str">
        <f>LOWER(SUBSTITUTE(SUBSTITUTE(SUBSTITUTE(SUBSTITUTE(SUBSTITUTE('Ingest Template'!U567,"https:",""),"www.",""),"/",""),"?hl=en",""),"instagram.com",""))</f>
        <v/>
      </c>
      <c r="W567" s="41" t="str">
        <f t="array" ref="W567">IF('Ingest Template'!V567="",(INDEX(DropDown!$L$2:$L$392,MATCH('Ingest Template'!E567,DropDown!$J$2:$J$392,0))&amp;"|"&amp;'Ingest Template'!B567),(INDEX(DropDown!$L$2:$L$392,MATCH('Ingest Template'!E567,DropDown!$J$2:$J$392,0))&amp;"|"&amp;'Ingest Template'!B567)&amp;CHAR(10)&amp;'Ingest Template'!V567)</f>
        <v>#N/A</v>
      </c>
      <c r="X567" s="41" t="str">
        <f>'Ingest Template'!W567</f>
        <v/>
      </c>
      <c r="Y567" s="21" t="str">
        <f>SUBSTITUTE(SUBSTITUTE(SUBSTITUTE('Ingest Template'!X567,"http:",""),"https:",""),"/","")</f>
        <v/>
      </c>
      <c r="Z567" s="21" t="str">
        <f t="array" ref="Z567">IF('Ingest Template'!A567="Standard",(IF(ISBLANK('Ingest Template'!AA567),"", 'Ingest Template'!AA567&amp;"|DAR")),(IF(ISBLANK('Ingest Template'!AA567),"", 'Ingest Template'!AA567&amp;"|Film Ops")))</f>
        <v/>
      </c>
      <c r="AA567" s="21"/>
      <c r="AB567" s="21" t="str">
        <f>'Ingest Template'!M567</f>
        <v/>
      </c>
      <c r="AC567" s="21" t="str">
        <f>'Ingest Template'!Y567</f>
        <v/>
      </c>
      <c r="AD567" s="21" t="str">
        <f>'Ingest Template'!C567</f>
        <v/>
      </c>
      <c r="AE567" s="21" t="str">
        <f>'Ingest Template'!Z567</f>
        <v/>
      </c>
      <c r="AF567" s="29"/>
      <c r="AG567" s="21" t="str">
        <f t="array" ref="AG567">IF('Ingest Template'!A567="Standard",(CONCATENATE(IF(ISBLANK('Ingest Template'!O567),"", 'Ingest Template'!O567&amp;"|DAR"),CHAR(10), IF(ISBLANK('Ingest Template'!P567),"", 'Ingest Template'!P567&amp;"|DAR"),CHAR(10), IF(ISBLANK('Ingest Template'!Q567),"", 'Ingest Template'!Q567&amp;"|DAR"))),(CONCATENATE(IF(ISBLANK('Ingest Template'!O567),"", 'Ingest Template'!O567&amp;"|Operations - Core Title"),CHAR(10), IF(ISBLANK('Ingest Template'!P567),"", 'Ingest Template'!P567&amp;"|Operations - Core Title"),CHAR(10), IF(ISBLANK('Ingest Template'!Q567),"", 'Ingest Template'!Q567&amp;"|Operations - Core Title"))))</f>
        <v>#|Operations - Core Title
#|Operations - Core Title
</v>
      </c>
      <c r="AH567" s="21"/>
      <c r="AI567" s="21"/>
      <c r="AJ567" s="53" t="str">
        <f>if('Ingest Template'!A567="Standard",'Ingest Template'!N567&amp; "|DAR|DAR|2021-01-01",'Ingest Template'!N567&amp; "|Operations - Core Title|Operations - Core Title")</f>
        <v>#N/A</v>
      </c>
      <c r="AK567" s="53" t="str">
        <f>if('Ingest Template'!A567="Standard",'Ingest Template'!R567&amp; "|2021-01-01",'Ingest Template'!R567)</f>
        <v>#N/A</v>
      </c>
      <c r="AL567" s="21"/>
      <c r="AM567" s="21"/>
    </row>
    <row r="568">
      <c r="A568" s="21"/>
      <c r="B568" s="21" t="str">
        <f>'Ingest Template'!B568&amp;IF('Ingest Template'!A568 = "Standard", " - DAR","")</f>
        <v/>
      </c>
      <c r="C568" s="26" t="s">
        <v>109</v>
      </c>
      <c r="D568" s="29" t="str">
        <f t="array" ref="D568">CONCATENATE(INDEX(DropDown!$H$2:$H$10,MATCH(1,COUNTIF('Ingest Template'!F568,"*"&amp;DropDown!$H$2:$H$10&amp;"*"),0)),CHAR(10),'Ingest Template'!G568)</f>
        <v>#N/A</v>
      </c>
      <c r="E568" s="21" t="str">
        <f>CONCATENATE('Ingest Template'!H568,CHAR(10),'Ingest Template'!I568,CHAR(10),'Ingest Template'!J568)</f>
        <v>
</v>
      </c>
      <c r="F568" s="26" t="str">
        <f>'Ingest Template'!H568</f>
        <v/>
      </c>
      <c r="G568" s="21"/>
      <c r="H568" s="29"/>
      <c r="I568" s="21"/>
      <c r="J568" s="29" t="str">
        <f t="array" ref="J568">iF('Ingest Template'!A568="Standard","Pristine Brand",INDEX(DropDown!$M$2:$M$392,MATCH('Ingest Template'!E568,DropDown!$J$2:$J$392,0)))</f>
        <v>#N/A</v>
      </c>
      <c r="K568" s="21" t="str">
        <f>iF('Ingest Template'!A568="Standard",'Ingest Template'!K568&amp;CHAR(10)&amp;'Ingest Template'!L568,"Competitive View")</f>
        <v>Competitive View</v>
      </c>
      <c r="L568" s="29" t="s">
        <v>146</v>
      </c>
      <c r="M568" s="37" t="str">
        <f>'Ingest Template'!D568</f>
        <v/>
      </c>
      <c r="N568" s="21"/>
      <c r="O568" s="21"/>
      <c r="P568" s="21"/>
      <c r="Q568" s="21"/>
      <c r="R568" s="21" t="str">
        <f>'Ingest Template'!E568</f>
        <v/>
      </c>
      <c r="S568" s="29" t="s">
        <v>153</v>
      </c>
      <c r="T568" s="21" t="str">
        <f>'Ingest Template'!T568</f>
        <v/>
      </c>
      <c r="U568" s="21" t="str">
        <f>'Ingest Template'!S568</f>
        <v/>
      </c>
      <c r="V568" s="21" t="str">
        <f>LOWER(SUBSTITUTE(SUBSTITUTE(SUBSTITUTE(SUBSTITUTE(SUBSTITUTE('Ingest Template'!U568,"https:",""),"www.",""),"/",""),"?hl=en",""),"instagram.com",""))</f>
        <v/>
      </c>
      <c r="W568" s="41" t="str">
        <f t="array" ref="W568">IF('Ingest Template'!V568="",(INDEX(DropDown!$L$2:$L$392,MATCH('Ingest Template'!E568,DropDown!$J$2:$J$392,0))&amp;"|"&amp;'Ingest Template'!B568),(INDEX(DropDown!$L$2:$L$392,MATCH('Ingest Template'!E568,DropDown!$J$2:$J$392,0))&amp;"|"&amp;'Ingest Template'!B568)&amp;CHAR(10)&amp;'Ingest Template'!V568)</f>
        <v>#N/A</v>
      </c>
      <c r="X568" s="41" t="str">
        <f>'Ingest Template'!W568</f>
        <v/>
      </c>
      <c r="Y568" s="21" t="str">
        <f>SUBSTITUTE(SUBSTITUTE(SUBSTITUTE('Ingest Template'!X568,"http:",""),"https:",""),"/","")</f>
        <v/>
      </c>
      <c r="Z568" s="21" t="str">
        <f t="array" ref="Z568">IF('Ingest Template'!A568="Standard",(IF(ISBLANK('Ingest Template'!AA568),"", 'Ingest Template'!AA568&amp;"|DAR")),(IF(ISBLANK('Ingest Template'!AA568),"", 'Ingest Template'!AA568&amp;"|Film Ops")))</f>
        <v/>
      </c>
      <c r="AA568" s="21"/>
      <c r="AB568" s="21" t="str">
        <f>'Ingest Template'!M568</f>
        <v/>
      </c>
      <c r="AC568" s="21" t="str">
        <f>'Ingest Template'!Y568</f>
        <v/>
      </c>
      <c r="AD568" s="21" t="str">
        <f>'Ingest Template'!C568</f>
        <v/>
      </c>
      <c r="AE568" s="21" t="str">
        <f>'Ingest Template'!Z568</f>
        <v/>
      </c>
      <c r="AF568" s="29"/>
      <c r="AG568" s="21" t="str">
        <f t="array" ref="AG568">IF('Ingest Template'!A568="Standard",(CONCATENATE(IF(ISBLANK('Ingest Template'!O568),"", 'Ingest Template'!O568&amp;"|DAR"),CHAR(10), IF(ISBLANK('Ingest Template'!P568),"", 'Ingest Template'!P568&amp;"|DAR"),CHAR(10), IF(ISBLANK('Ingest Template'!Q568),"", 'Ingest Template'!Q568&amp;"|DAR"))),(CONCATENATE(IF(ISBLANK('Ingest Template'!O568),"", 'Ingest Template'!O568&amp;"|Operations - Core Title"),CHAR(10), IF(ISBLANK('Ingest Template'!P568),"", 'Ingest Template'!P568&amp;"|Operations - Core Title"),CHAR(10), IF(ISBLANK('Ingest Template'!Q568),"", 'Ingest Template'!Q568&amp;"|Operations - Core Title"))))</f>
        <v>#|Operations - Core Title
#|Operations - Core Title
</v>
      </c>
      <c r="AH568" s="21"/>
      <c r="AI568" s="21"/>
      <c r="AJ568" s="53" t="str">
        <f>if('Ingest Template'!A568="Standard",'Ingest Template'!N568&amp; "|DAR|DAR|2021-01-01",'Ingest Template'!N568&amp; "|Operations - Core Title|Operations - Core Title")</f>
        <v>#N/A</v>
      </c>
      <c r="AK568" s="53" t="str">
        <f>if('Ingest Template'!A568="Standard",'Ingest Template'!R568&amp; "|2021-01-01",'Ingest Template'!R568)</f>
        <v>#N/A</v>
      </c>
      <c r="AL568" s="21"/>
      <c r="AM568" s="21"/>
    </row>
    <row r="569">
      <c r="A569" s="21"/>
      <c r="B569" s="21" t="str">
        <f>'Ingest Template'!B569&amp;IF('Ingest Template'!A569 = "Standard", " - DAR","")</f>
        <v/>
      </c>
      <c r="C569" s="26" t="s">
        <v>109</v>
      </c>
      <c r="D569" s="29" t="str">
        <f t="array" ref="D569">CONCATENATE(INDEX(DropDown!$H$2:$H$10,MATCH(1,COUNTIF('Ingest Template'!F569,"*"&amp;DropDown!$H$2:$H$10&amp;"*"),0)),CHAR(10),'Ingest Template'!G569)</f>
        <v>#N/A</v>
      </c>
      <c r="E569" s="21" t="str">
        <f>CONCATENATE('Ingest Template'!H569,CHAR(10),'Ingest Template'!I569,CHAR(10),'Ingest Template'!J569)</f>
        <v>
</v>
      </c>
      <c r="F569" s="26" t="str">
        <f>'Ingest Template'!H569</f>
        <v/>
      </c>
      <c r="G569" s="21"/>
      <c r="H569" s="29"/>
      <c r="I569" s="21"/>
      <c r="J569" s="29" t="str">
        <f t="array" ref="J569">iF('Ingest Template'!A569="Standard","Pristine Brand",INDEX(DropDown!$M$2:$M$392,MATCH('Ingest Template'!E569,DropDown!$J$2:$J$392,0)))</f>
        <v>#N/A</v>
      </c>
      <c r="K569" s="21" t="str">
        <f>iF('Ingest Template'!A569="Standard",'Ingest Template'!K569&amp;CHAR(10)&amp;'Ingest Template'!L569,"Competitive View")</f>
        <v>Competitive View</v>
      </c>
      <c r="L569" s="29" t="s">
        <v>146</v>
      </c>
      <c r="M569" s="37" t="str">
        <f>'Ingest Template'!D569</f>
        <v/>
      </c>
      <c r="N569" s="21"/>
      <c r="O569" s="21"/>
      <c r="P569" s="21"/>
      <c r="Q569" s="21"/>
      <c r="R569" s="21" t="str">
        <f>'Ingest Template'!E569</f>
        <v/>
      </c>
      <c r="S569" s="29" t="s">
        <v>153</v>
      </c>
      <c r="T569" s="21" t="str">
        <f>'Ingest Template'!T569</f>
        <v/>
      </c>
      <c r="U569" s="21" t="str">
        <f>'Ingest Template'!S569</f>
        <v/>
      </c>
      <c r="V569" s="21" t="str">
        <f>LOWER(SUBSTITUTE(SUBSTITUTE(SUBSTITUTE(SUBSTITUTE(SUBSTITUTE('Ingest Template'!U569,"https:",""),"www.",""),"/",""),"?hl=en",""),"instagram.com",""))</f>
        <v/>
      </c>
      <c r="W569" s="41" t="str">
        <f t="array" ref="W569">IF('Ingest Template'!V569="",(INDEX(DropDown!$L$2:$L$392,MATCH('Ingest Template'!E569,DropDown!$J$2:$J$392,0))&amp;"|"&amp;'Ingest Template'!B569),(INDEX(DropDown!$L$2:$L$392,MATCH('Ingest Template'!E569,DropDown!$J$2:$J$392,0))&amp;"|"&amp;'Ingest Template'!B569)&amp;CHAR(10)&amp;'Ingest Template'!V569)</f>
        <v>#N/A</v>
      </c>
      <c r="X569" s="41" t="str">
        <f>'Ingest Template'!W569</f>
        <v/>
      </c>
      <c r="Y569" s="21" t="str">
        <f>SUBSTITUTE(SUBSTITUTE(SUBSTITUTE('Ingest Template'!X569,"http:",""),"https:",""),"/","")</f>
        <v/>
      </c>
      <c r="Z569" s="21" t="str">
        <f t="array" ref="Z569">IF('Ingest Template'!A569="Standard",(IF(ISBLANK('Ingest Template'!AA569),"", 'Ingest Template'!AA569&amp;"|DAR")),(IF(ISBLANK('Ingest Template'!AA569),"", 'Ingest Template'!AA569&amp;"|Film Ops")))</f>
        <v/>
      </c>
      <c r="AA569" s="21"/>
      <c r="AB569" s="21" t="str">
        <f>'Ingest Template'!M569</f>
        <v/>
      </c>
      <c r="AC569" s="21" t="str">
        <f>'Ingest Template'!Y569</f>
        <v/>
      </c>
      <c r="AD569" s="21" t="str">
        <f>'Ingest Template'!C569</f>
        <v/>
      </c>
      <c r="AE569" s="21" t="str">
        <f>'Ingest Template'!Z569</f>
        <v/>
      </c>
      <c r="AF569" s="29"/>
      <c r="AG569" s="21" t="str">
        <f t="array" ref="AG569">IF('Ingest Template'!A569="Standard",(CONCATENATE(IF(ISBLANK('Ingest Template'!O569),"", 'Ingest Template'!O569&amp;"|DAR"),CHAR(10), IF(ISBLANK('Ingest Template'!P569),"", 'Ingest Template'!P569&amp;"|DAR"),CHAR(10), IF(ISBLANK('Ingest Template'!Q569),"", 'Ingest Template'!Q569&amp;"|DAR"))),(CONCATENATE(IF(ISBLANK('Ingest Template'!O569),"", 'Ingest Template'!O569&amp;"|Operations - Core Title"),CHAR(10), IF(ISBLANK('Ingest Template'!P569),"", 'Ingest Template'!P569&amp;"|Operations - Core Title"),CHAR(10), IF(ISBLANK('Ingest Template'!Q569),"", 'Ingest Template'!Q569&amp;"|Operations - Core Title"))))</f>
        <v>#|Operations - Core Title
#|Operations - Core Title
</v>
      </c>
      <c r="AH569" s="21"/>
      <c r="AI569" s="21"/>
      <c r="AJ569" s="53" t="str">
        <f>if('Ingest Template'!A569="Standard",'Ingest Template'!N569&amp; "|DAR|DAR|2021-01-01",'Ingest Template'!N569&amp; "|Operations - Core Title|Operations - Core Title")</f>
        <v>#N/A</v>
      </c>
      <c r="AK569" s="53" t="str">
        <f>if('Ingest Template'!A569="Standard",'Ingest Template'!R569&amp; "|2021-01-01",'Ingest Template'!R569)</f>
        <v>#N/A</v>
      </c>
      <c r="AL569" s="21"/>
      <c r="AM569" s="21"/>
    </row>
    <row r="570">
      <c r="A570" s="21"/>
      <c r="B570" s="21" t="str">
        <f>'Ingest Template'!B570&amp;IF('Ingest Template'!A570 = "Standard", " - DAR","")</f>
        <v/>
      </c>
      <c r="C570" s="26" t="s">
        <v>109</v>
      </c>
      <c r="D570" s="29" t="str">
        <f t="array" ref="D570">CONCATENATE(INDEX(DropDown!$H$2:$H$10,MATCH(1,COUNTIF('Ingest Template'!F570,"*"&amp;DropDown!$H$2:$H$10&amp;"*"),0)),CHAR(10),'Ingest Template'!G570)</f>
        <v>#N/A</v>
      </c>
      <c r="E570" s="21" t="str">
        <f>CONCATENATE('Ingest Template'!H570,CHAR(10),'Ingest Template'!I570,CHAR(10),'Ingest Template'!J570)</f>
        <v>
</v>
      </c>
      <c r="F570" s="26" t="str">
        <f>'Ingest Template'!H570</f>
        <v/>
      </c>
      <c r="G570" s="21"/>
      <c r="H570" s="29"/>
      <c r="I570" s="21"/>
      <c r="J570" s="29" t="str">
        <f t="array" ref="J570">iF('Ingest Template'!A570="Standard","Pristine Brand",INDEX(DropDown!$M$2:$M$392,MATCH('Ingest Template'!E570,DropDown!$J$2:$J$392,0)))</f>
        <v>#N/A</v>
      </c>
      <c r="K570" s="21" t="str">
        <f>iF('Ingest Template'!A570="Standard",'Ingest Template'!K570&amp;CHAR(10)&amp;'Ingest Template'!L570,"Competitive View")</f>
        <v>Competitive View</v>
      </c>
      <c r="L570" s="29" t="s">
        <v>146</v>
      </c>
      <c r="M570" s="37" t="str">
        <f>'Ingest Template'!D570</f>
        <v/>
      </c>
      <c r="N570" s="21"/>
      <c r="O570" s="21"/>
      <c r="P570" s="21"/>
      <c r="Q570" s="21"/>
      <c r="R570" s="21" t="str">
        <f>'Ingest Template'!E570</f>
        <v/>
      </c>
      <c r="S570" s="29" t="s">
        <v>153</v>
      </c>
      <c r="T570" s="21" t="str">
        <f>'Ingest Template'!T570</f>
        <v/>
      </c>
      <c r="U570" s="21" t="str">
        <f>'Ingest Template'!S570</f>
        <v/>
      </c>
      <c r="V570" s="21" t="str">
        <f>LOWER(SUBSTITUTE(SUBSTITUTE(SUBSTITUTE(SUBSTITUTE(SUBSTITUTE('Ingest Template'!U570,"https:",""),"www.",""),"/",""),"?hl=en",""),"instagram.com",""))</f>
        <v/>
      </c>
      <c r="W570" s="41" t="str">
        <f t="array" ref="W570">IF('Ingest Template'!V570="",(INDEX(DropDown!$L$2:$L$392,MATCH('Ingest Template'!E570,DropDown!$J$2:$J$392,0))&amp;"|"&amp;'Ingest Template'!B570),(INDEX(DropDown!$L$2:$L$392,MATCH('Ingest Template'!E570,DropDown!$J$2:$J$392,0))&amp;"|"&amp;'Ingest Template'!B570)&amp;CHAR(10)&amp;'Ingest Template'!V570)</f>
        <v>#N/A</v>
      </c>
      <c r="X570" s="41" t="str">
        <f>'Ingest Template'!W570</f>
        <v/>
      </c>
      <c r="Y570" s="21" t="str">
        <f>SUBSTITUTE(SUBSTITUTE(SUBSTITUTE('Ingest Template'!X570,"http:",""),"https:",""),"/","")</f>
        <v/>
      </c>
      <c r="Z570" s="21" t="str">
        <f t="array" ref="Z570">IF('Ingest Template'!A570="Standard",(IF(ISBLANK('Ingest Template'!AA570),"", 'Ingest Template'!AA570&amp;"|DAR")),(IF(ISBLANK('Ingest Template'!AA570),"", 'Ingest Template'!AA570&amp;"|Film Ops")))</f>
        <v/>
      </c>
      <c r="AA570" s="21"/>
      <c r="AB570" s="21" t="str">
        <f>'Ingest Template'!M570</f>
        <v/>
      </c>
      <c r="AC570" s="21" t="str">
        <f>'Ingest Template'!Y570</f>
        <v/>
      </c>
      <c r="AD570" s="21" t="str">
        <f>'Ingest Template'!C570</f>
        <v/>
      </c>
      <c r="AE570" s="21" t="str">
        <f>'Ingest Template'!Z570</f>
        <v/>
      </c>
      <c r="AF570" s="29"/>
      <c r="AG570" s="21" t="str">
        <f t="array" ref="AG570">IF('Ingest Template'!A570="Standard",(CONCATENATE(IF(ISBLANK('Ingest Template'!O570),"", 'Ingest Template'!O570&amp;"|DAR"),CHAR(10), IF(ISBLANK('Ingest Template'!P570),"", 'Ingest Template'!P570&amp;"|DAR"),CHAR(10), IF(ISBLANK('Ingest Template'!Q570),"", 'Ingest Template'!Q570&amp;"|DAR"))),(CONCATENATE(IF(ISBLANK('Ingest Template'!O570),"", 'Ingest Template'!O570&amp;"|Operations - Core Title"),CHAR(10), IF(ISBLANK('Ingest Template'!P570),"", 'Ingest Template'!P570&amp;"|Operations - Core Title"),CHAR(10), IF(ISBLANK('Ingest Template'!Q570),"", 'Ingest Template'!Q570&amp;"|Operations - Core Title"))))</f>
        <v>#|Operations - Core Title
#|Operations - Core Title
</v>
      </c>
      <c r="AH570" s="21"/>
      <c r="AI570" s="21"/>
      <c r="AJ570" s="53" t="str">
        <f>if('Ingest Template'!A570="Standard",'Ingest Template'!N570&amp; "|DAR|DAR|2021-01-01",'Ingest Template'!N570&amp; "|Operations - Core Title|Operations - Core Title")</f>
        <v>#N/A</v>
      </c>
      <c r="AK570" s="53" t="str">
        <f>if('Ingest Template'!A570="Standard",'Ingest Template'!R570&amp; "|2021-01-01",'Ingest Template'!R570)</f>
        <v>#N/A</v>
      </c>
      <c r="AL570" s="21"/>
      <c r="AM570" s="21"/>
    </row>
    <row r="571">
      <c r="A571" s="21"/>
      <c r="B571" s="21" t="str">
        <f>'Ingest Template'!B571&amp;IF('Ingest Template'!A571 = "Standard", " - DAR","")</f>
        <v/>
      </c>
      <c r="C571" s="26" t="s">
        <v>109</v>
      </c>
      <c r="D571" s="29" t="str">
        <f t="array" ref="D571">CONCATENATE(INDEX(DropDown!$H$2:$H$10,MATCH(1,COUNTIF('Ingest Template'!F571,"*"&amp;DropDown!$H$2:$H$10&amp;"*"),0)),CHAR(10),'Ingest Template'!G571)</f>
        <v>#N/A</v>
      </c>
      <c r="E571" s="21" t="str">
        <f>CONCATENATE('Ingest Template'!H571,CHAR(10),'Ingest Template'!I571,CHAR(10),'Ingest Template'!J571)</f>
        <v>
</v>
      </c>
      <c r="F571" s="26" t="str">
        <f>'Ingest Template'!H571</f>
        <v/>
      </c>
      <c r="G571" s="21"/>
      <c r="H571" s="29"/>
      <c r="I571" s="21"/>
      <c r="J571" s="29" t="str">
        <f t="array" ref="J571">iF('Ingest Template'!A571="Standard","Pristine Brand",INDEX(DropDown!$M$2:$M$392,MATCH('Ingest Template'!E571,DropDown!$J$2:$J$392,0)))</f>
        <v>#N/A</v>
      </c>
      <c r="K571" s="21" t="str">
        <f>iF('Ingest Template'!A571="Standard",'Ingest Template'!K571&amp;CHAR(10)&amp;'Ingest Template'!L571,"Competitive View")</f>
        <v>Competitive View</v>
      </c>
      <c r="L571" s="29" t="s">
        <v>146</v>
      </c>
      <c r="M571" s="37" t="str">
        <f>'Ingest Template'!D571</f>
        <v/>
      </c>
      <c r="N571" s="21"/>
      <c r="O571" s="21"/>
      <c r="P571" s="21"/>
      <c r="Q571" s="21"/>
      <c r="R571" s="21" t="str">
        <f>'Ingest Template'!E571</f>
        <v/>
      </c>
      <c r="S571" s="29" t="s">
        <v>153</v>
      </c>
      <c r="T571" s="21" t="str">
        <f>'Ingest Template'!T571</f>
        <v/>
      </c>
      <c r="U571" s="21" t="str">
        <f>'Ingest Template'!S571</f>
        <v/>
      </c>
      <c r="V571" s="21" t="str">
        <f>LOWER(SUBSTITUTE(SUBSTITUTE(SUBSTITUTE(SUBSTITUTE(SUBSTITUTE('Ingest Template'!U571,"https:",""),"www.",""),"/",""),"?hl=en",""),"instagram.com",""))</f>
        <v/>
      </c>
      <c r="W571" s="41" t="str">
        <f t="array" ref="W571">IF('Ingest Template'!V571="",(INDEX(DropDown!$L$2:$L$392,MATCH('Ingest Template'!E571,DropDown!$J$2:$J$392,0))&amp;"|"&amp;'Ingest Template'!B571),(INDEX(DropDown!$L$2:$L$392,MATCH('Ingest Template'!E571,DropDown!$J$2:$J$392,0))&amp;"|"&amp;'Ingest Template'!B571)&amp;CHAR(10)&amp;'Ingest Template'!V571)</f>
        <v>#N/A</v>
      </c>
      <c r="X571" s="41" t="str">
        <f>'Ingest Template'!W571</f>
        <v/>
      </c>
      <c r="Y571" s="21" t="str">
        <f>SUBSTITUTE(SUBSTITUTE(SUBSTITUTE('Ingest Template'!X571,"http:",""),"https:",""),"/","")</f>
        <v/>
      </c>
      <c r="Z571" s="21" t="str">
        <f t="array" ref="Z571">IF('Ingest Template'!A571="Standard",(IF(ISBLANK('Ingest Template'!AA571),"", 'Ingest Template'!AA571&amp;"|DAR")),(IF(ISBLANK('Ingest Template'!AA571),"", 'Ingest Template'!AA571&amp;"|Film Ops")))</f>
        <v/>
      </c>
      <c r="AA571" s="21"/>
      <c r="AB571" s="21" t="str">
        <f>'Ingest Template'!M571</f>
        <v/>
      </c>
      <c r="AC571" s="21" t="str">
        <f>'Ingest Template'!Y571</f>
        <v/>
      </c>
      <c r="AD571" s="21" t="str">
        <f>'Ingest Template'!C571</f>
        <v/>
      </c>
      <c r="AE571" s="21" t="str">
        <f>'Ingest Template'!Z571</f>
        <v/>
      </c>
      <c r="AF571" s="29"/>
      <c r="AG571" s="21" t="str">
        <f t="array" ref="AG571">IF('Ingest Template'!A571="Standard",(CONCATENATE(IF(ISBLANK('Ingest Template'!O571),"", 'Ingest Template'!O571&amp;"|DAR"),CHAR(10), IF(ISBLANK('Ingest Template'!P571),"", 'Ingest Template'!P571&amp;"|DAR"),CHAR(10), IF(ISBLANK('Ingest Template'!Q571),"", 'Ingest Template'!Q571&amp;"|DAR"))),(CONCATENATE(IF(ISBLANK('Ingest Template'!O571),"", 'Ingest Template'!O571&amp;"|Operations - Core Title"),CHAR(10), IF(ISBLANK('Ingest Template'!P571),"", 'Ingest Template'!P571&amp;"|Operations - Core Title"),CHAR(10), IF(ISBLANK('Ingest Template'!Q571),"", 'Ingest Template'!Q571&amp;"|Operations - Core Title"))))</f>
        <v>#|Operations - Core Title
#|Operations - Core Title
</v>
      </c>
      <c r="AH571" s="21"/>
      <c r="AI571" s="21"/>
      <c r="AJ571" s="53" t="str">
        <f>if('Ingest Template'!A571="Standard",'Ingest Template'!N571&amp; "|DAR|DAR|2021-01-01",'Ingest Template'!N571&amp; "|Operations - Core Title|Operations - Core Title")</f>
        <v>#N/A</v>
      </c>
      <c r="AK571" s="53" t="str">
        <f>if('Ingest Template'!A571="Standard",'Ingest Template'!R571&amp; "|2021-01-01",'Ingest Template'!R571)</f>
        <v>#N/A</v>
      </c>
      <c r="AL571" s="21"/>
      <c r="AM571" s="21"/>
    </row>
    <row r="572">
      <c r="A572" s="21"/>
      <c r="B572" s="21" t="str">
        <f>'Ingest Template'!B572&amp;IF('Ingest Template'!A572 = "Standard", " - DAR","")</f>
        <v/>
      </c>
      <c r="C572" s="26" t="s">
        <v>109</v>
      </c>
      <c r="D572" s="29" t="str">
        <f t="array" ref="D572">CONCATENATE(INDEX(DropDown!$H$2:$H$10,MATCH(1,COUNTIF('Ingest Template'!F572,"*"&amp;DropDown!$H$2:$H$10&amp;"*"),0)),CHAR(10),'Ingest Template'!G572)</f>
        <v>#N/A</v>
      </c>
      <c r="E572" s="21" t="str">
        <f>CONCATENATE('Ingest Template'!H572,CHAR(10),'Ingest Template'!I572,CHAR(10),'Ingest Template'!J572)</f>
        <v>
</v>
      </c>
      <c r="F572" s="26" t="str">
        <f>'Ingest Template'!H572</f>
        <v/>
      </c>
      <c r="G572" s="21"/>
      <c r="H572" s="29"/>
      <c r="I572" s="21"/>
      <c r="J572" s="29" t="str">
        <f t="array" ref="J572">iF('Ingest Template'!A572="Standard","Pristine Brand",INDEX(DropDown!$M$2:$M$392,MATCH('Ingest Template'!E572,DropDown!$J$2:$J$392,0)))</f>
        <v>#N/A</v>
      </c>
      <c r="K572" s="21" t="str">
        <f>iF('Ingest Template'!A572="Standard",'Ingest Template'!K572&amp;CHAR(10)&amp;'Ingest Template'!L572,"Competitive View")</f>
        <v>Competitive View</v>
      </c>
      <c r="L572" s="29" t="s">
        <v>146</v>
      </c>
      <c r="M572" s="37" t="str">
        <f>'Ingest Template'!D572</f>
        <v/>
      </c>
      <c r="N572" s="21"/>
      <c r="O572" s="21"/>
      <c r="P572" s="21"/>
      <c r="Q572" s="21"/>
      <c r="R572" s="21" t="str">
        <f>'Ingest Template'!E572</f>
        <v/>
      </c>
      <c r="S572" s="29" t="s">
        <v>153</v>
      </c>
      <c r="T572" s="21" t="str">
        <f>'Ingest Template'!T572</f>
        <v/>
      </c>
      <c r="U572" s="21" t="str">
        <f>'Ingest Template'!S572</f>
        <v/>
      </c>
      <c r="V572" s="21" t="str">
        <f>LOWER(SUBSTITUTE(SUBSTITUTE(SUBSTITUTE(SUBSTITUTE(SUBSTITUTE('Ingest Template'!U572,"https:",""),"www.",""),"/",""),"?hl=en",""),"instagram.com",""))</f>
        <v/>
      </c>
      <c r="W572" s="41" t="str">
        <f t="array" ref="W572">IF('Ingest Template'!V572="",(INDEX(DropDown!$L$2:$L$392,MATCH('Ingest Template'!E572,DropDown!$J$2:$J$392,0))&amp;"|"&amp;'Ingest Template'!B572),(INDEX(DropDown!$L$2:$L$392,MATCH('Ingest Template'!E572,DropDown!$J$2:$J$392,0))&amp;"|"&amp;'Ingest Template'!B572)&amp;CHAR(10)&amp;'Ingest Template'!V572)</f>
        <v>#N/A</v>
      </c>
      <c r="X572" s="41" t="str">
        <f>'Ingest Template'!W572</f>
        <v/>
      </c>
      <c r="Y572" s="21" t="str">
        <f>SUBSTITUTE(SUBSTITUTE(SUBSTITUTE('Ingest Template'!X572,"http:",""),"https:",""),"/","")</f>
        <v/>
      </c>
      <c r="Z572" s="21" t="str">
        <f t="array" ref="Z572">IF('Ingest Template'!A572="Standard",(IF(ISBLANK('Ingest Template'!AA572),"", 'Ingest Template'!AA572&amp;"|DAR")),(IF(ISBLANK('Ingest Template'!AA572),"", 'Ingest Template'!AA572&amp;"|Film Ops")))</f>
        <v/>
      </c>
      <c r="AA572" s="21"/>
      <c r="AB572" s="21" t="str">
        <f>'Ingest Template'!M572</f>
        <v/>
      </c>
      <c r="AC572" s="21" t="str">
        <f>'Ingest Template'!Y572</f>
        <v/>
      </c>
      <c r="AD572" s="21" t="str">
        <f>'Ingest Template'!C572</f>
        <v/>
      </c>
      <c r="AE572" s="21" t="str">
        <f>'Ingest Template'!Z572</f>
        <v/>
      </c>
      <c r="AF572" s="29"/>
      <c r="AG572" s="21" t="str">
        <f t="array" ref="AG572">IF('Ingest Template'!A572="Standard",(CONCATENATE(IF(ISBLANK('Ingest Template'!O572),"", 'Ingest Template'!O572&amp;"|DAR"),CHAR(10), IF(ISBLANK('Ingest Template'!P572),"", 'Ingest Template'!P572&amp;"|DAR"),CHAR(10), IF(ISBLANK('Ingest Template'!Q572),"", 'Ingest Template'!Q572&amp;"|DAR"))),(CONCATENATE(IF(ISBLANK('Ingest Template'!O572),"", 'Ingest Template'!O572&amp;"|Operations - Core Title"),CHAR(10), IF(ISBLANK('Ingest Template'!P572),"", 'Ingest Template'!P572&amp;"|Operations - Core Title"),CHAR(10), IF(ISBLANK('Ingest Template'!Q572),"", 'Ingest Template'!Q572&amp;"|Operations - Core Title"))))</f>
        <v>#|Operations - Core Title
#|Operations - Core Title
</v>
      </c>
      <c r="AH572" s="21"/>
      <c r="AI572" s="21"/>
      <c r="AJ572" s="53" t="str">
        <f>if('Ingest Template'!A572="Standard",'Ingest Template'!N572&amp; "|DAR|DAR|2021-01-01",'Ingest Template'!N572&amp; "|Operations - Core Title|Operations - Core Title")</f>
        <v>#N/A</v>
      </c>
      <c r="AK572" s="53" t="str">
        <f>if('Ingest Template'!A572="Standard",'Ingest Template'!R572&amp; "|2021-01-01",'Ingest Template'!R572)</f>
        <v>#N/A</v>
      </c>
      <c r="AL572" s="21"/>
      <c r="AM572" s="21"/>
    </row>
    <row r="573">
      <c r="A573" s="21"/>
      <c r="B573" s="21" t="str">
        <f>'Ingest Template'!B573&amp;IF('Ingest Template'!A573 = "Standard", " - DAR","")</f>
        <v/>
      </c>
      <c r="C573" s="26" t="s">
        <v>109</v>
      </c>
      <c r="D573" s="29" t="str">
        <f t="array" ref="D573">CONCATENATE(INDEX(DropDown!$H$2:$H$10,MATCH(1,COUNTIF('Ingest Template'!F573,"*"&amp;DropDown!$H$2:$H$10&amp;"*"),0)),CHAR(10),'Ingest Template'!G573)</f>
        <v>#N/A</v>
      </c>
      <c r="E573" s="21" t="str">
        <f>CONCATENATE('Ingest Template'!H573,CHAR(10),'Ingest Template'!I573,CHAR(10),'Ingest Template'!J573)</f>
        <v>
</v>
      </c>
      <c r="F573" s="26" t="str">
        <f>'Ingest Template'!H573</f>
        <v/>
      </c>
      <c r="G573" s="21"/>
      <c r="H573" s="29"/>
      <c r="I573" s="21"/>
      <c r="J573" s="29" t="str">
        <f t="array" ref="J573">iF('Ingest Template'!A573="Standard","Pristine Brand",INDEX(DropDown!$M$2:$M$392,MATCH('Ingest Template'!E573,DropDown!$J$2:$J$392,0)))</f>
        <v>#N/A</v>
      </c>
      <c r="K573" s="21" t="str">
        <f>iF('Ingest Template'!A573="Standard",'Ingest Template'!K573&amp;CHAR(10)&amp;'Ingest Template'!L573,"Competitive View")</f>
        <v>Competitive View</v>
      </c>
      <c r="L573" s="29" t="s">
        <v>146</v>
      </c>
      <c r="M573" s="37" t="str">
        <f>'Ingest Template'!D573</f>
        <v/>
      </c>
      <c r="N573" s="21"/>
      <c r="O573" s="21"/>
      <c r="P573" s="21"/>
      <c r="Q573" s="21"/>
      <c r="R573" s="21" t="str">
        <f>'Ingest Template'!E573</f>
        <v/>
      </c>
      <c r="S573" s="29" t="s">
        <v>153</v>
      </c>
      <c r="T573" s="21" t="str">
        <f>'Ingest Template'!T573</f>
        <v/>
      </c>
      <c r="U573" s="21" t="str">
        <f>'Ingest Template'!S573</f>
        <v/>
      </c>
      <c r="V573" s="21" t="str">
        <f>LOWER(SUBSTITUTE(SUBSTITUTE(SUBSTITUTE(SUBSTITUTE(SUBSTITUTE('Ingest Template'!U573,"https:",""),"www.",""),"/",""),"?hl=en",""),"instagram.com",""))</f>
        <v/>
      </c>
      <c r="W573" s="41" t="str">
        <f t="array" ref="W573">IF('Ingest Template'!V573="",(INDEX(DropDown!$L$2:$L$392,MATCH('Ingest Template'!E573,DropDown!$J$2:$J$392,0))&amp;"|"&amp;'Ingest Template'!B573),(INDEX(DropDown!$L$2:$L$392,MATCH('Ingest Template'!E573,DropDown!$J$2:$J$392,0))&amp;"|"&amp;'Ingest Template'!B573)&amp;CHAR(10)&amp;'Ingest Template'!V573)</f>
        <v>#N/A</v>
      </c>
      <c r="X573" s="41" t="str">
        <f>'Ingest Template'!W573</f>
        <v/>
      </c>
      <c r="Y573" s="21" t="str">
        <f>SUBSTITUTE(SUBSTITUTE(SUBSTITUTE('Ingest Template'!X573,"http:",""),"https:",""),"/","")</f>
        <v/>
      </c>
      <c r="Z573" s="21" t="str">
        <f t="array" ref="Z573">IF('Ingest Template'!A573="Standard",(IF(ISBLANK('Ingest Template'!AA573),"", 'Ingest Template'!AA573&amp;"|DAR")),(IF(ISBLANK('Ingest Template'!AA573),"", 'Ingest Template'!AA573&amp;"|Film Ops")))</f>
        <v/>
      </c>
      <c r="AA573" s="21"/>
      <c r="AB573" s="21" t="str">
        <f>'Ingest Template'!M573</f>
        <v/>
      </c>
      <c r="AC573" s="21" t="str">
        <f>'Ingest Template'!Y573</f>
        <v/>
      </c>
      <c r="AD573" s="21" t="str">
        <f>'Ingest Template'!C573</f>
        <v/>
      </c>
      <c r="AE573" s="21" t="str">
        <f>'Ingest Template'!Z573</f>
        <v/>
      </c>
      <c r="AF573" s="29"/>
      <c r="AG573" s="21" t="str">
        <f t="array" ref="AG573">IF('Ingest Template'!A573="Standard",(CONCATENATE(IF(ISBLANK('Ingest Template'!O573),"", 'Ingest Template'!O573&amp;"|DAR"),CHAR(10), IF(ISBLANK('Ingest Template'!P573),"", 'Ingest Template'!P573&amp;"|DAR"),CHAR(10), IF(ISBLANK('Ingest Template'!Q573),"", 'Ingest Template'!Q573&amp;"|DAR"))),(CONCATENATE(IF(ISBLANK('Ingest Template'!O573),"", 'Ingest Template'!O573&amp;"|Operations - Core Title"),CHAR(10), IF(ISBLANK('Ingest Template'!P573),"", 'Ingest Template'!P573&amp;"|Operations - Core Title"),CHAR(10), IF(ISBLANK('Ingest Template'!Q573),"", 'Ingest Template'!Q573&amp;"|Operations - Core Title"))))</f>
        <v>#|Operations - Core Title
#|Operations - Core Title
</v>
      </c>
      <c r="AH573" s="21"/>
      <c r="AI573" s="21"/>
      <c r="AJ573" s="53" t="str">
        <f>if('Ingest Template'!A573="Standard",'Ingest Template'!N573&amp; "|DAR|DAR|2021-01-01",'Ingest Template'!N573&amp; "|Operations - Core Title|Operations - Core Title")</f>
        <v>#N/A</v>
      </c>
      <c r="AK573" s="53" t="str">
        <f>if('Ingest Template'!A573="Standard",'Ingest Template'!R573&amp; "|2021-01-01",'Ingest Template'!R573)</f>
        <v>#N/A</v>
      </c>
      <c r="AL573" s="21"/>
      <c r="AM573" s="21"/>
    </row>
    <row r="574">
      <c r="A574" s="21"/>
      <c r="B574" s="21" t="str">
        <f>'Ingest Template'!B574&amp;IF('Ingest Template'!A574 = "Standard", " - DAR","")</f>
        <v/>
      </c>
      <c r="C574" s="26" t="s">
        <v>109</v>
      </c>
      <c r="D574" s="29" t="str">
        <f t="array" ref="D574">CONCATENATE(INDEX(DropDown!$H$2:$H$10,MATCH(1,COUNTIF('Ingest Template'!F574,"*"&amp;DropDown!$H$2:$H$10&amp;"*"),0)),CHAR(10),'Ingest Template'!G574)</f>
        <v>#N/A</v>
      </c>
      <c r="E574" s="21" t="str">
        <f>CONCATENATE('Ingest Template'!H574,CHAR(10),'Ingest Template'!I574,CHAR(10),'Ingest Template'!J574)</f>
        <v>
</v>
      </c>
      <c r="F574" s="26" t="str">
        <f>'Ingest Template'!H574</f>
        <v/>
      </c>
      <c r="G574" s="21"/>
      <c r="H574" s="29"/>
      <c r="I574" s="21"/>
      <c r="J574" s="29" t="str">
        <f t="array" ref="J574">iF('Ingest Template'!A574="Standard","Pristine Brand",INDEX(DropDown!$M$2:$M$392,MATCH('Ingest Template'!E574,DropDown!$J$2:$J$392,0)))</f>
        <v>#N/A</v>
      </c>
      <c r="K574" s="21" t="str">
        <f>iF('Ingest Template'!A574="Standard",'Ingest Template'!K574&amp;CHAR(10)&amp;'Ingest Template'!L574,"Competitive View")</f>
        <v>Competitive View</v>
      </c>
      <c r="L574" s="29" t="s">
        <v>146</v>
      </c>
      <c r="M574" s="37" t="str">
        <f>'Ingest Template'!D574</f>
        <v/>
      </c>
      <c r="N574" s="21"/>
      <c r="O574" s="21"/>
      <c r="P574" s="21"/>
      <c r="Q574" s="21"/>
      <c r="R574" s="21" t="str">
        <f>'Ingest Template'!E574</f>
        <v/>
      </c>
      <c r="S574" s="29" t="s">
        <v>153</v>
      </c>
      <c r="T574" s="21" t="str">
        <f>'Ingest Template'!T574</f>
        <v/>
      </c>
      <c r="U574" s="21" t="str">
        <f>'Ingest Template'!S574</f>
        <v/>
      </c>
      <c r="V574" s="21" t="str">
        <f>LOWER(SUBSTITUTE(SUBSTITUTE(SUBSTITUTE(SUBSTITUTE(SUBSTITUTE('Ingest Template'!U574,"https:",""),"www.",""),"/",""),"?hl=en",""),"instagram.com",""))</f>
        <v/>
      </c>
      <c r="W574" s="41" t="str">
        <f t="array" ref="W574">IF('Ingest Template'!V574="",(INDEX(DropDown!$L$2:$L$392,MATCH('Ingest Template'!E574,DropDown!$J$2:$J$392,0))&amp;"|"&amp;'Ingest Template'!B574),(INDEX(DropDown!$L$2:$L$392,MATCH('Ingest Template'!E574,DropDown!$J$2:$J$392,0))&amp;"|"&amp;'Ingest Template'!B574)&amp;CHAR(10)&amp;'Ingest Template'!V574)</f>
        <v>#N/A</v>
      </c>
      <c r="X574" s="41" t="str">
        <f>'Ingest Template'!W574</f>
        <v/>
      </c>
      <c r="Y574" s="21" t="str">
        <f>SUBSTITUTE(SUBSTITUTE(SUBSTITUTE('Ingest Template'!X574,"http:",""),"https:",""),"/","")</f>
        <v/>
      </c>
      <c r="Z574" s="21" t="str">
        <f t="array" ref="Z574">IF('Ingest Template'!A574="Standard",(IF(ISBLANK('Ingest Template'!AA574),"", 'Ingest Template'!AA574&amp;"|DAR")),(IF(ISBLANK('Ingest Template'!AA574),"", 'Ingest Template'!AA574&amp;"|Film Ops")))</f>
        <v/>
      </c>
      <c r="AA574" s="21"/>
      <c r="AB574" s="21" t="str">
        <f>'Ingest Template'!M574</f>
        <v/>
      </c>
      <c r="AC574" s="21" t="str">
        <f>'Ingest Template'!Y574</f>
        <v/>
      </c>
      <c r="AD574" s="21" t="str">
        <f>'Ingest Template'!C574</f>
        <v/>
      </c>
      <c r="AE574" s="21" t="str">
        <f>'Ingest Template'!Z574</f>
        <v/>
      </c>
      <c r="AF574" s="29"/>
      <c r="AG574" s="21" t="str">
        <f t="array" ref="AG574">IF('Ingest Template'!A574="Standard",(CONCATENATE(IF(ISBLANK('Ingest Template'!O574),"", 'Ingest Template'!O574&amp;"|DAR"),CHAR(10), IF(ISBLANK('Ingest Template'!P574),"", 'Ingest Template'!P574&amp;"|DAR"),CHAR(10), IF(ISBLANK('Ingest Template'!Q574),"", 'Ingest Template'!Q574&amp;"|DAR"))),(CONCATENATE(IF(ISBLANK('Ingest Template'!O574),"", 'Ingest Template'!O574&amp;"|Operations - Core Title"),CHAR(10), IF(ISBLANK('Ingest Template'!P574),"", 'Ingest Template'!P574&amp;"|Operations - Core Title"),CHAR(10), IF(ISBLANK('Ingest Template'!Q574),"", 'Ingest Template'!Q574&amp;"|Operations - Core Title"))))</f>
        <v>#|Operations - Core Title
#|Operations - Core Title
</v>
      </c>
      <c r="AH574" s="21"/>
      <c r="AI574" s="21"/>
      <c r="AJ574" s="53" t="str">
        <f>if('Ingest Template'!A574="Standard",'Ingest Template'!N574&amp; "|DAR|DAR|2021-01-01",'Ingest Template'!N574&amp; "|Operations - Core Title|Operations - Core Title")</f>
        <v>#N/A</v>
      </c>
      <c r="AK574" s="53" t="str">
        <f>if('Ingest Template'!A574="Standard",'Ingest Template'!R574&amp; "|2021-01-01",'Ingest Template'!R574)</f>
        <v>#N/A</v>
      </c>
      <c r="AL574" s="21"/>
      <c r="AM574" s="21"/>
    </row>
    <row r="575">
      <c r="A575" s="21"/>
      <c r="B575" s="21" t="str">
        <f>'Ingest Template'!B575&amp;IF('Ingest Template'!A575 = "Standard", " - DAR","")</f>
        <v/>
      </c>
      <c r="C575" s="26" t="s">
        <v>109</v>
      </c>
      <c r="D575" s="29" t="str">
        <f t="array" ref="D575">CONCATENATE(INDEX(DropDown!$H$2:$H$10,MATCH(1,COUNTIF('Ingest Template'!F575,"*"&amp;DropDown!$H$2:$H$10&amp;"*"),0)),CHAR(10),'Ingest Template'!G575)</f>
        <v>#N/A</v>
      </c>
      <c r="E575" s="21" t="str">
        <f>CONCATENATE('Ingest Template'!H575,CHAR(10),'Ingest Template'!I575,CHAR(10),'Ingest Template'!J575)</f>
        <v>
</v>
      </c>
      <c r="F575" s="26" t="str">
        <f>'Ingest Template'!H575</f>
        <v/>
      </c>
      <c r="G575" s="21"/>
      <c r="H575" s="29"/>
      <c r="I575" s="21"/>
      <c r="J575" s="29" t="str">
        <f t="array" ref="J575">iF('Ingest Template'!A575="Standard","Pristine Brand",INDEX(DropDown!$M$2:$M$392,MATCH('Ingest Template'!E575,DropDown!$J$2:$J$392,0)))</f>
        <v>#N/A</v>
      </c>
      <c r="K575" s="21" t="str">
        <f>iF('Ingest Template'!A575="Standard",'Ingest Template'!K575&amp;CHAR(10)&amp;'Ingest Template'!L575,"Competitive View")</f>
        <v>Competitive View</v>
      </c>
      <c r="L575" s="29" t="s">
        <v>146</v>
      </c>
      <c r="M575" s="37" t="str">
        <f>'Ingest Template'!D575</f>
        <v/>
      </c>
      <c r="N575" s="21"/>
      <c r="O575" s="21"/>
      <c r="P575" s="21"/>
      <c r="Q575" s="21"/>
      <c r="R575" s="21" t="str">
        <f>'Ingest Template'!E575</f>
        <v/>
      </c>
      <c r="S575" s="29" t="s">
        <v>153</v>
      </c>
      <c r="T575" s="21" t="str">
        <f>'Ingest Template'!T575</f>
        <v/>
      </c>
      <c r="U575" s="21" t="str">
        <f>'Ingest Template'!S575</f>
        <v/>
      </c>
      <c r="V575" s="21" t="str">
        <f>LOWER(SUBSTITUTE(SUBSTITUTE(SUBSTITUTE(SUBSTITUTE(SUBSTITUTE('Ingest Template'!U575,"https:",""),"www.",""),"/",""),"?hl=en",""),"instagram.com",""))</f>
        <v/>
      </c>
      <c r="W575" s="41" t="str">
        <f t="array" ref="W575">IF('Ingest Template'!V575="",(INDEX(DropDown!$L$2:$L$392,MATCH('Ingest Template'!E575,DropDown!$J$2:$J$392,0))&amp;"|"&amp;'Ingest Template'!B575),(INDEX(DropDown!$L$2:$L$392,MATCH('Ingest Template'!E575,DropDown!$J$2:$J$392,0))&amp;"|"&amp;'Ingest Template'!B575)&amp;CHAR(10)&amp;'Ingest Template'!V575)</f>
        <v>#N/A</v>
      </c>
      <c r="X575" s="41" t="str">
        <f>'Ingest Template'!W575</f>
        <v/>
      </c>
      <c r="Y575" s="21" t="str">
        <f>SUBSTITUTE(SUBSTITUTE(SUBSTITUTE('Ingest Template'!X575,"http:",""),"https:",""),"/","")</f>
        <v/>
      </c>
      <c r="Z575" s="21" t="str">
        <f t="array" ref="Z575">IF('Ingest Template'!A575="Standard",(IF(ISBLANK('Ingest Template'!AA575),"", 'Ingest Template'!AA575&amp;"|DAR")),(IF(ISBLANK('Ingest Template'!AA575),"", 'Ingest Template'!AA575&amp;"|Film Ops")))</f>
        <v/>
      </c>
      <c r="AA575" s="21"/>
      <c r="AB575" s="21" t="str">
        <f>'Ingest Template'!M575</f>
        <v/>
      </c>
      <c r="AC575" s="21" t="str">
        <f>'Ingest Template'!Y575</f>
        <v/>
      </c>
      <c r="AD575" s="21" t="str">
        <f>'Ingest Template'!C575</f>
        <v/>
      </c>
      <c r="AE575" s="21" t="str">
        <f>'Ingest Template'!Z575</f>
        <v/>
      </c>
      <c r="AF575" s="29"/>
      <c r="AG575" s="21" t="str">
        <f t="array" ref="AG575">IF('Ingest Template'!A575="Standard",(CONCATENATE(IF(ISBLANK('Ingest Template'!O575),"", 'Ingest Template'!O575&amp;"|DAR"),CHAR(10), IF(ISBLANK('Ingest Template'!P575),"", 'Ingest Template'!P575&amp;"|DAR"),CHAR(10), IF(ISBLANK('Ingest Template'!Q575),"", 'Ingest Template'!Q575&amp;"|DAR"))),(CONCATENATE(IF(ISBLANK('Ingest Template'!O575),"", 'Ingest Template'!O575&amp;"|Operations - Core Title"),CHAR(10), IF(ISBLANK('Ingest Template'!P575),"", 'Ingest Template'!P575&amp;"|Operations - Core Title"),CHAR(10), IF(ISBLANK('Ingest Template'!Q575),"", 'Ingest Template'!Q575&amp;"|Operations - Core Title"))))</f>
        <v>#|Operations - Core Title
#|Operations - Core Title
</v>
      </c>
      <c r="AH575" s="21"/>
      <c r="AI575" s="21"/>
      <c r="AJ575" s="53" t="str">
        <f>if('Ingest Template'!A575="Standard",'Ingest Template'!N575&amp; "|DAR|DAR|2021-01-01",'Ingest Template'!N575&amp; "|Operations - Core Title|Operations - Core Title")</f>
        <v>#N/A</v>
      </c>
      <c r="AK575" s="53" t="str">
        <f>if('Ingest Template'!A575="Standard",'Ingest Template'!R575&amp; "|2021-01-01",'Ingest Template'!R575)</f>
        <v>#N/A</v>
      </c>
      <c r="AL575" s="21"/>
      <c r="AM575" s="21"/>
    </row>
    <row r="576">
      <c r="A576" s="21"/>
      <c r="B576" s="21" t="str">
        <f>'Ingest Template'!B576&amp;IF('Ingest Template'!A576 = "Standard", " - DAR","")</f>
        <v/>
      </c>
      <c r="C576" s="26" t="s">
        <v>109</v>
      </c>
      <c r="D576" s="29" t="str">
        <f t="array" ref="D576">CONCATENATE(INDEX(DropDown!$H$2:$H$10,MATCH(1,COUNTIF('Ingest Template'!F576,"*"&amp;DropDown!$H$2:$H$10&amp;"*"),0)),CHAR(10),'Ingest Template'!G576)</f>
        <v>#N/A</v>
      </c>
      <c r="E576" s="21" t="str">
        <f>CONCATENATE('Ingest Template'!H576,CHAR(10),'Ingest Template'!I576,CHAR(10),'Ingest Template'!J576)</f>
        <v>
</v>
      </c>
      <c r="F576" s="26" t="str">
        <f>'Ingest Template'!H576</f>
        <v/>
      </c>
      <c r="G576" s="21"/>
      <c r="H576" s="29"/>
      <c r="I576" s="21"/>
      <c r="J576" s="29" t="str">
        <f t="array" ref="J576">iF('Ingest Template'!A576="Standard","Pristine Brand",INDEX(DropDown!$M$2:$M$392,MATCH('Ingest Template'!E576,DropDown!$J$2:$J$392,0)))</f>
        <v>#N/A</v>
      </c>
      <c r="K576" s="21" t="str">
        <f>iF('Ingest Template'!A576="Standard",'Ingest Template'!K576&amp;CHAR(10)&amp;'Ingest Template'!L576,"Competitive View")</f>
        <v>Competitive View</v>
      </c>
      <c r="L576" s="29" t="s">
        <v>146</v>
      </c>
      <c r="M576" s="37" t="str">
        <f>'Ingest Template'!D576</f>
        <v/>
      </c>
      <c r="N576" s="21"/>
      <c r="O576" s="21"/>
      <c r="P576" s="21"/>
      <c r="Q576" s="21"/>
      <c r="R576" s="21" t="str">
        <f>'Ingest Template'!E576</f>
        <v/>
      </c>
      <c r="S576" s="29" t="s">
        <v>153</v>
      </c>
      <c r="T576" s="21" t="str">
        <f>'Ingest Template'!T576</f>
        <v/>
      </c>
      <c r="U576" s="21" t="str">
        <f>'Ingest Template'!S576</f>
        <v/>
      </c>
      <c r="V576" s="21" t="str">
        <f>LOWER(SUBSTITUTE(SUBSTITUTE(SUBSTITUTE(SUBSTITUTE(SUBSTITUTE('Ingest Template'!U576,"https:",""),"www.",""),"/",""),"?hl=en",""),"instagram.com",""))</f>
        <v/>
      </c>
      <c r="W576" s="41" t="str">
        <f t="array" ref="W576">IF('Ingest Template'!V576="",(INDEX(DropDown!$L$2:$L$392,MATCH('Ingest Template'!E576,DropDown!$J$2:$J$392,0))&amp;"|"&amp;'Ingest Template'!B576),(INDEX(DropDown!$L$2:$L$392,MATCH('Ingest Template'!E576,DropDown!$J$2:$J$392,0))&amp;"|"&amp;'Ingest Template'!B576)&amp;CHAR(10)&amp;'Ingest Template'!V576)</f>
        <v>#N/A</v>
      </c>
      <c r="X576" s="41" t="str">
        <f>'Ingest Template'!W576</f>
        <v/>
      </c>
      <c r="Y576" s="21" t="str">
        <f>SUBSTITUTE(SUBSTITUTE(SUBSTITUTE('Ingest Template'!X576,"http:",""),"https:",""),"/","")</f>
        <v/>
      </c>
      <c r="Z576" s="21" t="str">
        <f t="array" ref="Z576">IF('Ingest Template'!A576="Standard",(IF(ISBLANK('Ingest Template'!AA576),"", 'Ingest Template'!AA576&amp;"|DAR")),(IF(ISBLANK('Ingest Template'!AA576),"", 'Ingest Template'!AA576&amp;"|Film Ops")))</f>
        <v/>
      </c>
      <c r="AA576" s="21"/>
      <c r="AB576" s="21" t="str">
        <f>'Ingest Template'!M576</f>
        <v/>
      </c>
      <c r="AC576" s="21" t="str">
        <f>'Ingest Template'!Y576</f>
        <v/>
      </c>
      <c r="AD576" s="21" t="str">
        <f>'Ingest Template'!C576</f>
        <v/>
      </c>
      <c r="AE576" s="21" t="str">
        <f>'Ingest Template'!Z576</f>
        <v/>
      </c>
      <c r="AF576" s="29"/>
      <c r="AG576" s="21" t="str">
        <f t="array" ref="AG576">IF('Ingest Template'!A576="Standard",(CONCATENATE(IF(ISBLANK('Ingest Template'!O576),"", 'Ingest Template'!O576&amp;"|DAR"),CHAR(10), IF(ISBLANK('Ingest Template'!P576),"", 'Ingest Template'!P576&amp;"|DAR"),CHAR(10), IF(ISBLANK('Ingest Template'!Q576),"", 'Ingest Template'!Q576&amp;"|DAR"))),(CONCATENATE(IF(ISBLANK('Ingest Template'!O576),"", 'Ingest Template'!O576&amp;"|Operations - Core Title"),CHAR(10), IF(ISBLANK('Ingest Template'!P576),"", 'Ingest Template'!P576&amp;"|Operations - Core Title"),CHAR(10), IF(ISBLANK('Ingest Template'!Q576),"", 'Ingest Template'!Q576&amp;"|Operations - Core Title"))))</f>
        <v>#|Operations - Core Title
#|Operations - Core Title
</v>
      </c>
      <c r="AH576" s="21"/>
      <c r="AI576" s="21"/>
      <c r="AJ576" s="53" t="str">
        <f>if('Ingest Template'!A576="Standard",'Ingest Template'!N576&amp; "|DAR|DAR|2021-01-01",'Ingest Template'!N576&amp; "|Operations - Core Title|Operations - Core Title")</f>
        <v>#N/A</v>
      </c>
      <c r="AK576" s="53" t="str">
        <f>if('Ingest Template'!A576="Standard",'Ingest Template'!R576&amp; "|2021-01-01",'Ingest Template'!R576)</f>
        <v>#N/A</v>
      </c>
      <c r="AL576" s="21"/>
      <c r="AM576" s="21"/>
    </row>
    <row r="577">
      <c r="A577" s="21"/>
      <c r="B577" s="21" t="str">
        <f>'Ingest Template'!B577&amp;IF('Ingest Template'!A577 = "Standard", " - DAR","")</f>
        <v/>
      </c>
      <c r="C577" s="26" t="s">
        <v>109</v>
      </c>
      <c r="D577" s="29" t="str">
        <f t="array" ref="D577">CONCATENATE(INDEX(DropDown!$H$2:$H$10,MATCH(1,COUNTIF('Ingest Template'!F577,"*"&amp;DropDown!$H$2:$H$10&amp;"*"),0)),CHAR(10),'Ingest Template'!G577)</f>
        <v>#N/A</v>
      </c>
      <c r="E577" s="21" t="str">
        <f>CONCATENATE('Ingest Template'!H577,CHAR(10),'Ingest Template'!I577,CHAR(10),'Ingest Template'!J577)</f>
        <v>
</v>
      </c>
      <c r="F577" s="26" t="str">
        <f>'Ingest Template'!H577</f>
        <v/>
      </c>
      <c r="G577" s="21"/>
      <c r="H577" s="29"/>
      <c r="I577" s="21"/>
      <c r="J577" s="29" t="str">
        <f t="array" ref="J577">iF('Ingest Template'!A577="Standard","Pristine Brand",INDEX(DropDown!$M$2:$M$392,MATCH('Ingest Template'!E577,DropDown!$J$2:$J$392,0)))</f>
        <v>#N/A</v>
      </c>
      <c r="K577" s="21" t="str">
        <f>iF('Ingest Template'!A577="Standard",'Ingest Template'!K577&amp;CHAR(10)&amp;'Ingest Template'!L577,"Competitive View")</f>
        <v>Competitive View</v>
      </c>
      <c r="L577" s="29" t="s">
        <v>146</v>
      </c>
      <c r="M577" s="37" t="str">
        <f>'Ingest Template'!D577</f>
        <v/>
      </c>
      <c r="N577" s="21"/>
      <c r="O577" s="21"/>
      <c r="P577" s="21"/>
      <c r="Q577" s="21"/>
      <c r="R577" s="21" t="str">
        <f>'Ingest Template'!E577</f>
        <v/>
      </c>
      <c r="S577" s="29" t="s">
        <v>153</v>
      </c>
      <c r="T577" s="21" t="str">
        <f>'Ingest Template'!T577</f>
        <v/>
      </c>
      <c r="U577" s="21" t="str">
        <f>'Ingest Template'!S577</f>
        <v/>
      </c>
      <c r="V577" s="21" t="str">
        <f>LOWER(SUBSTITUTE(SUBSTITUTE(SUBSTITUTE(SUBSTITUTE(SUBSTITUTE('Ingest Template'!U577,"https:",""),"www.",""),"/",""),"?hl=en",""),"instagram.com",""))</f>
        <v/>
      </c>
      <c r="W577" s="41" t="str">
        <f t="array" ref="W577">IF('Ingest Template'!V577="",(INDEX(DropDown!$L$2:$L$392,MATCH('Ingest Template'!E577,DropDown!$J$2:$J$392,0))&amp;"|"&amp;'Ingest Template'!B577),(INDEX(DropDown!$L$2:$L$392,MATCH('Ingest Template'!E577,DropDown!$J$2:$J$392,0))&amp;"|"&amp;'Ingest Template'!B577)&amp;CHAR(10)&amp;'Ingest Template'!V577)</f>
        <v>#N/A</v>
      </c>
      <c r="X577" s="41" t="str">
        <f>'Ingest Template'!W577</f>
        <v/>
      </c>
      <c r="Y577" s="21" t="str">
        <f>SUBSTITUTE(SUBSTITUTE(SUBSTITUTE('Ingest Template'!X577,"http:",""),"https:",""),"/","")</f>
        <v/>
      </c>
      <c r="Z577" s="21" t="str">
        <f t="array" ref="Z577">IF('Ingest Template'!A577="Standard",(IF(ISBLANK('Ingest Template'!AA577),"", 'Ingest Template'!AA577&amp;"|DAR")),(IF(ISBLANK('Ingest Template'!AA577),"", 'Ingest Template'!AA577&amp;"|Film Ops")))</f>
        <v/>
      </c>
      <c r="AA577" s="21"/>
      <c r="AB577" s="21" t="str">
        <f>'Ingest Template'!M577</f>
        <v/>
      </c>
      <c r="AC577" s="21" t="str">
        <f>'Ingest Template'!Y577</f>
        <v/>
      </c>
      <c r="AD577" s="21" t="str">
        <f>'Ingest Template'!C577</f>
        <v/>
      </c>
      <c r="AE577" s="21" t="str">
        <f>'Ingest Template'!Z577</f>
        <v/>
      </c>
      <c r="AF577" s="29"/>
      <c r="AG577" s="21" t="str">
        <f t="array" ref="AG577">IF('Ingest Template'!A577="Standard",(CONCATENATE(IF(ISBLANK('Ingest Template'!O577),"", 'Ingest Template'!O577&amp;"|DAR"),CHAR(10), IF(ISBLANK('Ingest Template'!P577),"", 'Ingest Template'!P577&amp;"|DAR"),CHAR(10), IF(ISBLANK('Ingest Template'!Q577),"", 'Ingest Template'!Q577&amp;"|DAR"))),(CONCATENATE(IF(ISBLANK('Ingest Template'!O577),"", 'Ingest Template'!O577&amp;"|Operations - Core Title"),CHAR(10), IF(ISBLANK('Ingest Template'!P577),"", 'Ingest Template'!P577&amp;"|Operations - Core Title"),CHAR(10), IF(ISBLANK('Ingest Template'!Q577),"", 'Ingest Template'!Q577&amp;"|Operations - Core Title"))))</f>
        <v>#|Operations - Core Title
#|Operations - Core Title
</v>
      </c>
      <c r="AH577" s="21"/>
      <c r="AI577" s="21"/>
      <c r="AJ577" s="53" t="str">
        <f>if('Ingest Template'!A577="Standard",'Ingest Template'!N577&amp; "|DAR|DAR|2021-01-01",'Ingest Template'!N577&amp; "|Operations - Core Title|Operations - Core Title")</f>
        <v>#N/A</v>
      </c>
      <c r="AK577" s="53" t="str">
        <f>if('Ingest Template'!A577="Standard",'Ingest Template'!R577&amp; "|2021-01-01",'Ingest Template'!R577)</f>
        <v>#N/A</v>
      </c>
      <c r="AL577" s="21"/>
      <c r="AM577" s="21"/>
    </row>
    <row r="578">
      <c r="A578" s="21"/>
      <c r="B578" s="21" t="str">
        <f>'Ingest Template'!B578&amp;IF('Ingest Template'!A578 = "Standard", " - DAR","")</f>
        <v/>
      </c>
      <c r="C578" s="26" t="s">
        <v>109</v>
      </c>
      <c r="D578" s="29" t="str">
        <f t="array" ref="D578">CONCATENATE(INDEX(DropDown!$H$2:$H$10,MATCH(1,COUNTIF('Ingest Template'!F578,"*"&amp;DropDown!$H$2:$H$10&amp;"*"),0)),CHAR(10),'Ingest Template'!G578)</f>
        <v>#N/A</v>
      </c>
      <c r="E578" s="21" t="str">
        <f>CONCATENATE('Ingest Template'!H578,CHAR(10),'Ingest Template'!I578,CHAR(10),'Ingest Template'!J578)</f>
        <v>
</v>
      </c>
      <c r="F578" s="26" t="str">
        <f>'Ingest Template'!H578</f>
        <v/>
      </c>
      <c r="G578" s="21"/>
      <c r="H578" s="29"/>
      <c r="I578" s="21"/>
      <c r="J578" s="29" t="str">
        <f t="array" ref="J578">iF('Ingest Template'!A578="Standard","Pristine Brand",INDEX(DropDown!$M$2:$M$392,MATCH('Ingest Template'!E578,DropDown!$J$2:$J$392,0)))</f>
        <v>#N/A</v>
      </c>
      <c r="K578" s="21" t="str">
        <f>iF('Ingest Template'!A578="Standard",'Ingest Template'!K578&amp;CHAR(10)&amp;'Ingest Template'!L578,"Competitive View")</f>
        <v>Competitive View</v>
      </c>
      <c r="L578" s="29" t="s">
        <v>146</v>
      </c>
      <c r="M578" s="37" t="str">
        <f>'Ingest Template'!D578</f>
        <v/>
      </c>
      <c r="N578" s="21"/>
      <c r="O578" s="21"/>
      <c r="P578" s="21"/>
      <c r="Q578" s="21"/>
      <c r="R578" s="21" t="str">
        <f>'Ingest Template'!E578</f>
        <v/>
      </c>
      <c r="S578" s="29" t="s">
        <v>153</v>
      </c>
      <c r="T578" s="21" t="str">
        <f>'Ingest Template'!T578</f>
        <v/>
      </c>
      <c r="U578" s="21" t="str">
        <f>'Ingest Template'!S578</f>
        <v/>
      </c>
      <c r="V578" s="21" t="str">
        <f>LOWER(SUBSTITUTE(SUBSTITUTE(SUBSTITUTE(SUBSTITUTE(SUBSTITUTE('Ingest Template'!U578,"https:",""),"www.",""),"/",""),"?hl=en",""),"instagram.com",""))</f>
        <v/>
      </c>
      <c r="W578" s="41" t="str">
        <f t="array" ref="W578">IF('Ingest Template'!V578="",(INDEX(DropDown!$L$2:$L$392,MATCH('Ingest Template'!E578,DropDown!$J$2:$J$392,0))&amp;"|"&amp;'Ingest Template'!B578),(INDEX(DropDown!$L$2:$L$392,MATCH('Ingest Template'!E578,DropDown!$J$2:$J$392,0))&amp;"|"&amp;'Ingest Template'!B578)&amp;CHAR(10)&amp;'Ingest Template'!V578)</f>
        <v>#N/A</v>
      </c>
      <c r="X578" s="41" t="str">
        <f>'Ingest Template'!W578</f>
        <v/>
      </c>
      <c r="Y578" s="21" t="str">
        <f>SUBSTITUTE(SUBSTITUTE(SUBSTITUTE('Ingest Template'!X578,"http:",""),"https:",""),"/","")</f>
        <v/>
      </c>
      <c r="Z578" s="21" t="str">
        <f t="array" ref="Z578">IF('Ingest Template'!A578="Standard",(IF(ISBLANK('Ingest Template'!AA578),"", 'Ingest Template'!AA578&amp;"|DAR")),(IF(ISBLANK('Ingest Template'!AA578),"", 'Ingest Template'!AA578&amp;"|Film Ops")))</f>
        <v/>
      </c>
      <c r="AA578" s="21"/>
      <c r="AB578" s="21" t="str">
        <f>'Ingest Template'!M578</f>
        <v/>
      </c>
      <c r="AC578" s="21" t="str">
        <f>'Ingest Template'!Y578</f>
        <v/>
      </c>
      <c r="AD578" s="21" t="str">
        <f>'Ingest Template'!C578</f>
        <v/>
      </c>
      <c r="AE578" s="21" t="str">
        <f>'Ingest Template'!Z578</f>
        <v/>
      </c>
      <c r="AF578" s="29"/>
      <c r="AG578" s="21" t="str">
        <f t="array" ref="AG578">IF('Ingest Template'!A578="Standard",(CONCATENATE(IF(ISBLANK('Ingest Template'!O578),"", 'Ingest Template'!O578&amp;"|DAR"),CHAR(10), IF(ISBLANK('Ingest Template'!P578),"", 'Ingest Template'!P578&amp;"|DAR"),CHAR(10), IF(ISBLANK('Ingest Template'!Q578),"", 'Ingest Template'!Q578&amp;"|DAR"))),(CONCATENATE(IF(ISBLANK('Ingest Template'!O578),"", 'Ingest Template'!O578&amp;"|Operations - Core Title"),CHAR(10), IF(ISBLANK('Ingest Template'!P578),"", 'Ingest Template'!P578&amp;"|Operations - Core Title"),CHAR(10), IF(ISBLANK('Ingest Template'!Q578),"", 'Ingest Template'!Q578&amp;"|Operations - Core Title"))))</f>
        <v>#|Operations - Core Title
#|Operations - Core Title
</v>
      </c>
      <c r="AH578" s="21"/>
      <c r="AI578" s="21"/>
      <c r="AJ578" s="53" t="str">
        <f>if('Ingest Template'!A578="Standard",'Ingest Template'!N578&amp; "|DAR|DAR|2021-01-01",'Ingest Template'!N578&amp; "|Operations - Core Title|Operations - Core Title")</f>
        <v>#N/A</v>
      </c>
      <c r="AK578" s="53" t="str">
        <f>if('Ingest Template'!A578="Standard",'Ingest Template'!R578&amp; "|2021-01-01",'Ingest Template'!R578)</f>
        <v>#N/A</v>
      </c>
      <c r="AL578" s="21"/>
      <c r="AM578" s="21"/>
    </row>
    <row r="579">
      <c r="A579" s="21"/>
      <c r="B579" s="21" t="str">
        <f>'Ingest Template'!B579&amp;IF('Ingest Template'!A579 = "Standard", " - DAR","")</f>
        <v/>
      </c>
      <c r="C579" s="26" t="s">
        <v>109</v>
      </c>
      <c r="D579" s="29" t="str">
        <f t="array" ref="D579">CONCATENATE(INDEX(DropDown!$H$2:$H$10,MATCH(1,COUNTIF('Ingest Template'!F579,"*"&amp;DropDown!$H$2:$H$10&amp;"*"),0)),CHAR(10),'Ingest Template'!G579)</f>
        <v>#N/A</v>
      </c>
      <c r="E579" s="21" t="str">
        <f>CONCATENATE('Ingest Template'!H579,CHAR(10),'Ingest Template'!I579,CHAR(10),'Ingest Template'!J579)</f>
        <v>
</v>
      </c>
      <c r="F579" s="26" t="str">
        <f>'Ingest Template'!H579</f>
        <v/>
      </c>
      <c r="G579" s="21"/>
      <c r="H579" s="29"/>
      <c r="I579" s="21"/>
      <c r="J579" s="29" t="str">
        <f t="array" ref="J579">iF('Ingest Template'!A579="Standard","Pristine Brand",INDEX(DropDown!$M$2:$M$392,MATCH('Ingest Template'!E579,DropDown!$J$2:$J$392,0)))</f>
        <v>#N/A</v>
      </c>
      <c r="K579" s="21" t="str">
        <f>iF('Ingest Template'!A579="Standard",'Ingest Template'!K579&amp;CHAR(10)&amp;'Ingest Template'!L579,"Competitive View")</f>
        <v>Competitive View</v>
      </c>
      <c r="L579" s="29" t="s">
        <v>146</v>
      </c>
      <c r="M579" s="37" t="str">
        <f>'Ingest Template'!D579</f>
        <v/>
      </c>
      <c r="N579" s="21"/>
      <c r="O579" s="21"/>
      <c r="P579" s="21"/>
      <c r="Q579" s="21"/>
      <c r="R579" s="21" t="str">
        <f>'Ingest Template'!E579</f>
        <v/>
      </c>
      <c r="S579" s="29" t="s">
        <v>153</v>
      </c>
      <c r="T579" s="21" t="str">
        <f>'Ingest Template'!T579</f>
        <v/>
      </c>
      <c r="U579" s="21" t="str">
        <f>'Ingest Template'!S579</f>
        <v/>
      </c>
      <c r="V579" s="21" t="str">
        <f>LOWER(SUBSTITUTE(SUBSTITUTE(SUBSTITUTE(SUBSTITUTE(SUBSTITUTE('Ingest Template'!U579,"https:",""),"www.",""),"/",""),"?hl=en",""),"instagram.com",""))</f>
        <v/>
      </c>
      <c r="W579" s="41" t="str">
        <f t="array" ref="W579">IF('Ingest Template'!V579="",(INDEX(DropDown!$L$2:$L$392,MATCH('Ingest Template'!E579,DropDown!$J$2:$J$392,0))&amp;"|"&amp;'Ingest Template'!B579),(INDEX(DropDown!$L$2:$L$392,MATCH('Ingest Template'!E579,DropDown!$J$2:$J$392,0))&amp;"|"&amp;'Ingest Template'!B579)&amp;CHAR(10)&amp;'Ingest Template'!V579)</f>
        <v>#N/A</v>
      </c>
      <c r="X579" s="41" t="str">
        <f>'Ingest Template'!W579</f>
        <v/>
      </c>
      <c r="Y579" s="21" t="str">
        <f>SUBSTITUTE(SUBSTITUTE(SUBSTITUTE('Ingest Template'!X579,"http:",""),"https:",""),"/","")</f>
        <v/>
      </c>
      <c r="Z579" s="21" t="str">
        <f t="array" ref="Z579">IF('Ingest Template'!A579="Standard",(IF(ISBLANK('Ingest Template'!AA579),"", 'Ingest Template'!AA579&amp;"|DAR")),(IF(ISBLANK('Ingest Template'!AA579),"", 'Ingest Template'!AA579&amp;"|Film Ops")))</f>
        <v/>
      </c>
      <c r="AA579" s="21"/>
      <c r="AB579" s="21" t="str">
        <f>'Ingest Template'!M579</f>
        <v/>
      </c>
      <c r="AC579" s="21" t="str">
        <f>'Ingest Template'!Y579</f>
        <v/>
      </c>
      <c r="AD579" s="21" t="str">
        <f>'Ingest Template'!C579</f>
        <v/>
      </c>
      <c r="AE579" s="21" t="str">
        <f>'Ingest Template'!Z579</f>
        <v/>
      </c>
      <c r="AF579" s="29"/>
      <c r="AG579" s="21" t="str">
        <f t="array" ref="AG579">IF('Ingest Template'!A579="Standard",(CONCATENATE(IF(ISBLANK('Ingest Template'!O579),"", 'Ingest Template'!O579&amp;"|DAR"),CHAR(10), IF(ISBLANK('Ingest Template'!P579),"", 'Ingest Template'!P579&amp;"|DAR"),CHAR(10), IF(ISBLANK('Ingest Template'!Q579),"", 'Ingest Template'!Q579&amp;"|DAR"))),(CONCATENATE(IF(ISBLANK('Ingest Template'!O579),"", 'Ingest Template'!O579&amp;"|Operations - Core Title"),CHAR(10), IF(ISBLANK('Ingest Template'!P579),"", 'Ingest Template'!P579&amp;"|Operations - Core Title"),CHAR(10), IF(ISBLANK('Ingest Template'!Q579),"", 'Ingest Template'!Q579&amp;"|Operations - Core Title"))))</f>
        <v>#|Operations - Core Title
#|Operations - Core Title
</v>
      </c>
      <c r="AH579" s="21"/>
      <c r="AI579" s="21"/>
      <c r="AJ579" s="53" t="str">
        <f>if('Ingest Template'!A579="Standard",'Ingest Template'!N579&amp; "|DAR|DAR|2021-01-01",'Ingest Template'!N579&amp; "|Operations - Core Title|Operations - Core Title")</f>
        <v>#N/A</v>
      </c>
      <c r="AK579" s="53" t="str">
        <f>if('Ingest Template'!A579="Standard",'Ingest Template'!R579&amp; "|2021-01-01",'Ingest Template'!R579)</f>
        <v>#N/A</v>
      </c>
      <c r="AL579" s="21"/>
      <c r="AM579" s="21"/>
    </row>
    <row r="580">
      <c r="A580" s="21"/>
      <c r="B580" s="21" t="str">
        <f>'Ingest Template'!B580&amp;IF('Ingest Template'!A580 = "Standard", " - DAR","")</f>
        <v/>
      </c>
      <c r="C580" s="26" t="s">
        <v>109</v>
      </c>
      <c r="D580" s="29" t="str">
        <f t="array" ref="D580">CONCATENATE(INDEX(DropDown!$H$2:$H$10,MATCH(1,COUNTIF('Ingest Template'!F580,"*"&amp;DropDown!$H$2:$H$10&amp;"*"),0)),CHAR(10),'Ingest Template'!G580)</f>
        <v>#N/A</v>
      </c>
      <c r="E580" s="21" t="str">
        <f>CONCATENATE('Ingest Template'!H580,CHAR(10),'Ingest Template'!I580,CHAR(10),'Ingest Template'!J580)</f>
        <v>
</v>
      </c>
      <c r="F580" s="26" t="str">
        <f>'Ingest Template'!H580</f>
        <v/>
      </c>
      <c r="G580" s="21"/>
      <c r="H580" s="29"/>
      <c r="I580" s="21"/>
      <c r="J580" s="29" t="str">
        <f t="array" ref="J580">iF('Ingest Template'!A580="Standard","Pristine Brand",INDEX(DropDown!$M$2:$M$392,MATCH('Ingest Template'!E580,DropDown!$J$2:$J$392,0)))</f>
        <v>#N/A</v>
      </c>
      <c r="K580" s="21" t="str">
        <f>iF('Ingest Template'!A580="Standard",'Ingest Template'!K580&amp;CHAR(10)&amp;'Ingest Template'!L580,"Competitive View")</f>
        <v>Competitive View</v>
      </c>
      <c r="L580" s="29" t="s">
        <v>146</v>
      </c>
      <c r="M580" s="37" t="str">
        <f>'Ingest Template'!D580</f>
        <v/>
      </c>
      <c r="N580" s="21"/>
      <c r="O580" s="21"/>
      <c r="P580" s="21"/>
      <c r="Q580" s="21"/>
      <c r="R580" s="21" t="str">
        <f>'Ingest Template'!E580</f>
        <v/>
      </c>
      <c r="S580" s="29" t="s">
        <v>153</v>
      </c>
      <c r="T580" s="21" t="str">
        <f>'Ingest Template'!T580</f>
        <v/>
      </c>
      <c r="U580" s="21" t="str">
        <f>'Ingest Template'!S580</f>
        <v/>
      </c>
      <c r="V580" s="21" t="str">
        <f>LOWER(SUBSTITUTE(SUBSTITUTE(SUBSTITUTE(SUBSTITUTE(SUBSTITUTE('Ingest Template'!U580,"https:",""),"www.",""),"/",""),"?hl=en",""),"instagram.com",""))</f>
        <v/>
      </c>
      <c r="W580" s="41" t="str">
        <f t="array" ref="W580">IF('Ingest Template'!V580="",(INDEX(DropDown!$L$2:$L$392,MATCH('Ingest Template'!E580,DropDown!$J$2:$J$392,0))&amp;"|"&amp;'Ingest Template'!B580),(INDEX(DropDown!$L$2:$L$392,MATCH('Ingest Template'!E580,DropDown!$J$2:$J$392,0))&amp;"|"&amp;'Ingest Template'!B580)&amp;CHAR(10)&amp;'Ingest Template'!V580)</f>
        <v>#N/A</v>
      </c>
      <c r="X580" s="41" t="str">
        <f>'Ingest Template'!W580</f>
        <v/>
      </c>
      <c r="Y580" s="21" t="str">
        <f>SUBSTITUTE(SUBSTITUTE(SUBSTITUTE('Ingest Template'!X580,"http:",""),"https:",""),"/","")</f>
        <v/>
      </c>
      <c r="Z580" s="21" t="str">
        <f t="array" ref="Z580">IF('Ingest Template'!A580="Standard",(IF(ISBLANK('Ingest Template'!AA580),"", 'Ingest Template'!AA580&amp;"|DAR")),(IF(ISBLANK('Ingest Template'!AA580),"", 'Ingest Template'!AA580&amp;"|Film Ops")))</f>
        <v/>
      </c>
      <c r="AA580" s="21"/>
      <c r="AB580" s="21" t="str">
        <f>'Ingest Template'!M580</f>
        <v/>
      </c>
      <c r="AC580" s="21" t="str">
        <f>'Ingest Template'!Y580</f>
        <v/>
      </c>
      <c r="AD580" s="21" t="str">
        <f>'Ingest Template'!C580</f>
        <v/>
      </c>
      <c r="AE580" s="21" t="str">
        <f>'Ingest Template'!Z580</f>
        <v/>
      </c>
      <c r="AF580" s="29"/>
      <c r="AG580" s="21" t="str">
        <f t="array" ref="AG580">IF('Ingest Template'!A580="Standard",(CONCATENATE(IF(ISBLANK('Ingest Template'!O580),"", 'Ingest Template'!O580&amp;"|DAR"),CHAR(10), IF(ISBLANK('Ingest Template'!P580),"", 'Ingest Template'!P580&amp;"|DAR"),CHAR(10), IF(ISBLANK('Ingest Template'!Q580),"", 'Ingest Template'!Q580&amp;"|DAR"))),(CONCATENATE(IF(ISBLANK('Ingest Template'!O580),"", 'Ingest Template'!O580&amp;"|Operations - Core Title"),CHAR(10), IF(ISBLANK('Ingest Template'!P580),"", 'Ingest Template'!P580&amp;"|Operations - Core Title"),CHAR(10), IF(ISBLANK('Ingest Template'!Q580),"", 'Ingest Template'!Q580&amp;"|Operations - Core Title"))))</f>
        <v>#|Operations - Core Title
#|Operations - Core Title
</v>
      </c>
      <c r="AH580" s="21"/>
      <c r="AI580" s="21"/>
      <c r="AJ580" s="53" t="str">
        <f>if('Ingest Template'!A580="Standard",'Ingest Template'!N580&amp; "|DAR|DAR|2021-01-01",'Ingest Template'!N580&amp; "|Operations - Core Title|Operations - Core Title")</f>
        <v>#N/A</v>
      </c>
      <c r="AK580" s="53" t="str">
        <f>if('Ingest Template'!A580="Standard",'Ingest Template'!R580&amp; "|2021-01-01",'Ingest Template'!R580)</f>
        <v>#N/A</v>
      </c>
      <c r="AL580" s="21"/>
      <c r="AM580" s="21"/>
    </row>
    <row r="581">
      <c r="A581" s="21"/>
      <c r="B581" s="21" t="str">
        <f>'Ingest Template'!B581&amp;IF('Ingest Template'!A581 = "Standard", " - DAR","")</f>
        <v/>
      </c>
      <c r="C581" s="26" t="s">
        <v>109</v>
      </c>
      <c r="D581" s="29" t="str">
        <f t="array" ref="D581">CONCATENATE(INDEX(DropDown!$H$2:$H$10,MATCH(1,COUNTIF('Ingest Template'!F581,"*"&amp;DropDown!$H$2:$H$10&amp;"*"),0)),CHAR(10),'Ingest Template'!G581)</f>
        <v>#N/A</v>
      </c>
      <c r="E581" s="21" t="str">
        <f>CONCATENATE('Ingest Template'!H581,CHAR(10),'Ingest Template'!I581,CHAR(10),'Ingest Template'!J581)</f>
        <v>
</v>
      </c>
      <c r="F581" s="26" t="str">
        <f>'Ingest Template'!H581</f>
        <v/>
      </c>
      <c r="G581" s="21"/>
      <c r="H581" s="29"/>
      <c r="I581" s="21"/>
      <c r="J581" s="29" t="str">
        <f t="array" ref="J581">iF('Ingest Template'!A581="Standard","Pristine Brand",INDEX(DropDown!$M$2:$M$392,MATCH('Ingest Template'!E581,DropDown!$J$2:$J$392,0)))</f>
        <v>#N/A</v>
      </c>
      <c r="K581" s="21" t="str">
        <f>iF('Ingest Template'!A581="Standard",'Ingest Template'!K581&amp;CHAR(10)&amp;'Ingest Template'!L581,"Competitive View")</f>
        <v>Competitive View</v>
      </c>
      <c r="L581" s="29" t="s">
        <v>146</v>
      </c>
      <c r="M581" s="37" t="str">
        <f>'Ingest Template'!D581</f>
        <v/>
      </c>
      <c r="N581" s="21"/>
      <c r="O581" s="21"/>
      <c r="P581" s="21"/>
      <c r="Q581" s="21"/>
      <c r="R581" s="21" t="str">
        <f>'Ingest Template'!E581</f>
        <v/>
      </c>
      <c r="S581" s="29" t="s">
        <v>153</v>
      </c>
      <c r="T581" s="21" t="str">
        <f>'Ingest Template'!T581</f>
        <v/>
      </c>
      <c r="U581" s="21" t="str">
        <f>'Ingest Template'!S581</f>
        <v/>
      </c>
      <c r="V581" s="21" t="str">
        <f>LOWER(SUBSTITUTE(SUBSTITUTE(SUBSTITUTE(SUBSTITUTE(SUBSTITUTE('Ingest Template'!U581,"https:",""),"www.",""),"/",""),"?hl=en",""),"instagram.com",""))</f>
        <v/>
      </c>
      <c r="W581" s="41" t="str">
        <f t="array" ref="W581">IF('Ingest Template'!V581="",(INDEX(DropDown!$L$2:$L$392,MATCH('Ingest Template'!E581,DropDown!$J$2:$J$392,0))&amp;"|"&amp;'Ingest Template'!B581),(INDEX(DropDown!$L$2:$L$392,MATCH('Ingest Template'!E581,DropDown!$J$2:$J$392,0))&amp;"|"&amp;'Ingest Template'!B581)&amp;CHAR(10)&amp;'Ingest Template'!V581)</f>
        <v>#N/A</v>
      </c>
      <c r="X581" s="41" t="str">
        <f>'Ingest Template'!W581</f>
        <v/>
      </c>
      <c r="Y581" s="21" t="str">
        <f>SUBSTITUTE(SUBSTITUTE(SUBSTITUTE('Ingest Template'!X581,"http:",""),"https:",""),"/","")</f>
        <v/>
      </c>
      <c r="Z581" s="21" t="str">
        <f t="array" ref="Z581">IF('Ingest Template'!A581="Standard",(IF(ISBLANK('Ingest Template'!AA581),"", 'Ingest Template'!AA581&amp;"|DAR")),(IF(ISBLANK('Ingest Template'!AA581),"", 'Ingest Template'!AA581&amp;"|Film Ops")))</f>
        <v/>
      </c>
      <c r="AA581" s="21"/>
      <c r="AB581" s="21" t="str">
        <f>'Ingest Template'!M581</f>
        <v/>
      </c>
      <c r="AC581" s="21" t="str">
        <f>'Ingest Template'!Y581</f>
        <v/>
      </c>
      <c r="AD581" s="21" t="str">
        <f>'Ingest Template'!C581</f>
        <v/>
      </c>
      <c r="AE581" s="21" t="str">
        <f>'Ingest Template'!Z581</f>
        <v/>
      </c>
      <c r="AF581" s="29"/>
      <c r="AG581" s="21" t="str">
        <f t="array" ref="AG581">IF('Ingest Template'!A581="Standard",(CONCATENATE(IF(ISBLANK('Ingest Template'!O581),"", 'Ingest Template'!O581&amp;"|DAR"),CHAR(10), IF(ISBLANK('Ingest Template'!P581),"", 'Ingest Template'!P581&amp;"|DAR"),CHAR(10), IF(ISBLANK('Ingest Template'!Q581),"", 'Ingest Template'!Q581&amp;"|DAR"))),(CONCATENATE(IF(ISBLANK('Ingest Template'!O581),"", 'Ingest Template'!O581&amp;"|Operations - Core Title"),CHAR(10), IF(ISBLANK('Ingest Template'!P581),"", 'Ingest Template'!P581&amp;"|Operations - Core Title"),CHAR(10), IF(ISBLANK('Ingest Template'!Q581),"", 'Ingest Template'!Q581&amp;"|Operations - Core Title"))))</f>
        <v>#|Operations - Core Title
#|Operations - Core Title
</v>
      </c>
      <c r="AH581" s="21"/>
      <c r="AI581" s="21"/>
      <c r="AJ581" s="53" t="str">
        <f>if('Ingest Template'!A581="Standard",'Ingest Template'!N581&amp; "|DAR|DAR|2021-01-01",'Ingest Template'!N581&amp; "|Operations - Core Title|Operations - Core Title")</f>
        <v>#N/A</v>
      </c>
      <c r="AK581" s="53" t="str">
        <f>if('Ingest Template'!A581="Standard",'Ingest Template'!R581&amp; "|2021-01-01",'Ingest Template'!R581)</f>
        <v>#N/A</v>
      </c>
      <c r="AL581" s="21"/>
      <c r="AM581" s="21"/>
    </row>
    <row r="582">
      <c r="A582" s="21"/>
      <c r="B582" s="21" t="str">
        <f>'Ingest Template'!B582&amp;IF('Ingest Template'!A582 = "Standard", " - DAR","")</f>
        <v/>
      </c>
      <c r="C582" s="26" t="s">
        <v>109</v>
      </c>
      <c r="D582" s="29" t="str">
        <f t="array" ref="D582">CONCATENATE(INDEX(DropDown!$H$2:$H$10,MATCH(1,COUNTIF('Ingest Template'!F582,"*"&amp;DropDown!$H$2:$H$10&amp;"*"),0)),CHAR(10),'Ingest Template'!G582)</f>
        <v>#N/A</v>
      </c>
      <c r="E582" s="21" t="str">
        <f>CONCATENATE('Ingest Template'!H582,CHAR(10),'Ingest Template'!I582,CHAR(10),'Ingest Template'!J582)</f>
        <v>
</v>
      </c>
      <c r="F582" s="26" t="str">
        <f>'Ingest Template'!H582</f>
        <v/>
      </c>
      <c r="G582" s="21"/>
      <c r="H582" s="29"/>
      <c r="I582" s="21"/>
      <c r="J582" s="29" t="str">
        <f t="array" ref="J582">iF('Ingest Template'!A582="Standard","Pristine Brand",INDEX(DropDown!$M$2:$M$392,MATCH('Ingest Template'!E582,DropDown!$J$2:$J$392,0)))</f>
        <v>#N/A</v>
      </c>
      <c r="K582" s="21" t="str">
        <f>iF('Ingest Template'!A582="Standard",'Ingest Template'!K582&amp;CHAR(10)&amp;'Ingest Template'!L582,"Competitive View")</f>
        <v>Competitive View</v>
      </c>
      <c r="L582" s="29" t="s">
        <v>146</v>
      </c>
      <c r="M582" s="37" t="str">
        <f>'Ingest Template'!D582</f>
        <v/>
      </c>
      <c r="N582" s="21"/>
      <c r="O582" s="21"/>
      <c r="P582" s="21"/>
      <c r="Q582" s="21"/>
      <c r="R582" s="21" t="str">
        <f>'Ingest Template'!E582</f>
        <v/>
      </c>
      <c r="S582" s="29" t="s">
        <v>153</v>
      </c>
      <c r="T582" s="21" t="str">
        <f>'Ingest Template'!T582</f>
        <v/>
      </c>
      <c r="U582" s="21" t="str">
        <f>'Ingest Template'!S582</f>
        <v/>
      </c>
      <c r="V582" s="21" t="str">
        <f>LOWER(SUBSTITUTE(SUBSTITUTE(SUBSTITUTE(SUBSTITUTE(SUBSTITUTE('Ingest Template'!U582,"https:",""),"www.",""),"/",""),"?hl=en",""),"instagram.com",""))</f>
        <v/>
      </c>
      <c r="W582" s="41" t="str">
        <f t="array" ref="W582">IF('Ingest Template'!V582="",(INDEX(DropDown!$L$2:$L$392,MATCH('Ingest Template'!E582,DropDown!$J$2:$J$392,0))&amp;"|"&amp;'Ingest Template'!B582),(INDEX(DropDown!$L$2:$L$392,MATCH('Ingest Template'!E582,DropDown!$J$2:$J$392,0))&amp;"|"&amp;'Ingest Template'!B582)&amp;CHAR(10)&amp;'Ingest Template'!V582)</f>
        <v>#N/A</v>
      </c>
      <c r="X582" s="41" t="str">
        <f>'Ingest Template'!W582</f>
        <v/>
      </c>
      <c r="Y582" s="21" t="str">
        <f>SUBSTITUTE(SUBSTITUTE(SUBSTITUTE('Ingest Template'!X582,"http:",""),"https:",""),"/","")</f>
        <v/>
      </c>
      <c r="Z582" s="21" t="str">
        <f t="array" ref="Z582">IF('Ingest Template'!A582="Standard",(IF(ISBLANK('Ingest Template'!AA582),"", 'Ingest Template'!AA582&amp;"|DAR")),(IF(ISBLANK('Ingest Template'!AA582),"", 'Ingest Template'!AA582&amp;"|Film Ops")))</f>
        <v/>
      </c>
      <c r="AA582" s="21"/>
      <c r="AB582" s="21" t="str">
        <f>'Ingest Template'!M582</f>
        <v/>
      </c>
      <c r="AC582" s="21" t="str">
        <f>'Ingest Template'!Y582</f>
        <v/>
      </c>
      <c r="AD582" s="21" t="str">
        <f>'Ingest Template'!C582</f>
        <v/>
      </c>
      <c r="AE582" s="21" t="str">
        <f>'Ingest Template'!Z582</f>
        <v/>
      </c>
      <c r="AF582" s="29"/>
      <c r="AG582" s="21" t="str">
        <f t="array" ref="AG582">IF('Ingest Template'!A582="Standard",(CONCATENATE(IF(ISBLANK('Ingest Template'!O582),"", 'Ingest Template'!O582&amp;"|DAR"),CHAR(10), IF(ISBLANK('Ingest Template'!P582),"", 'Ingest Template'!P582&amp;"|DAR"),CHAR(10), IF(ISBLANK('Ingest Template'!Q582),"", 'Ingest Template'!Q582&amp;"|DAR"))),(CONCATENATE(IF(ISBLANK('Ingest Template'!O582),"", 'Ingest Template'!O582&amp;"|Operations - Core Title"),CHAR(10), IF(ISBLANK('Ingest Template'!P582),"", 'Ingest Template'!P582&amp;"|Operations - Core Title"),CHAR(10), IF(ISBLANK('Ingest Template'!Q582),"", 'Ingest Template'!Q582&amp;"|Operations - Core Title"))))</f>
        <v>#|Operations - Core Title
#|Operations - Core Title
</v>
      </c>
      <c r="AH582" s="21"/>
      <c r="AI582" s="21"/>
      <c r="AJ582" s="53" t="str">
        <f>if('Ingest Template'!A582="Standard",'Ingest Template'!N582&amp; "|DAR|DAR|2021-01-01",'Ingest Template'!N582&amp; "|Operations - Core Title|Operations - Core Title")</f>
        <v>#N/A</v>
      </c>
      <c r="AK582" s="53" t="str">
        <f>if('Ingest Template'!A582="Standard",'Ingest Template'!R582&amp; "|2021-01-01",'Ingest Template'!R582)</f>
        <v>#N/A</v>
      </c>
      <c r="AL582" s="21"/>
      <c r="AM582" s="21"/>
    </row>
    <row r="583">
      <c r="A583" s="21"/>
      <c r="B583" s="21" t="str">
        <f>'Ingest Template'!B583&amp;IF('Ingest Template'!A583 = "Standard", " - DAR","")</f>
        <v/>
      </c>
      <c r="C583" s="26" t="s">
        <v>109</v>
      </c>
      <c r="D583" s="29" t="str">
        <f t="array" ref="D583">CONCATENATE(INDEX(DropDown!$H$2:$H$10,MATCH(1,COUNTIF('Ingest Template'!F583,"*"&amp;DropDown!$H$2:$H$10&amp;"*"),0)),CHAR(10),'Ingest Template'!G583)</f>
        <v>#N/A</v>
      </c>
      <c r="E583" s="21" t="str">
        <f>CONCATENATE('Ingest Template'!H583,CHAR(10),'Ingest Template'!I583,CHAR(10),'Ingest Template'!J583)</f>
        <v>
</v>
      </c>
      <c r="F583" s="26" t="str">
        <f>'Ingest Template'!H583</f>
        <v/>
      </c>
      <c r="G583" s="21"/>
      <c r="H583" s="29"/>
      <c r="I583" s="21"/>
      <c r="J583" s="29" t="str">
        <f t="array" ref="J583">iF('Ingest Template'!A583="Standard","Pristine Brand",INDEX(DropDown!$M$2:$M$392,MATCH('Ingest Template'!E583,DropDown!$J$2:$J$392,0)))</f>
        <v>#N/A</v>
      </c>
      <c r="K583" s="21" t="str">
        <f>iF('Ingest Template'!A583="Standard",'Ingest Template'!K583&amp;CHAR(10)&amp;'Ingest Template'!L583,"Competitive View")</f>
        <v>Competitive View</v>
      </c>
      <c r="L583" s="29" t="s">
        <v>146</v>
      </c>
      <c r="M583" s="37" t="str">
        <f>'Ingest Template'!D583</f>
        <v/>
      </c>
      <c r="N583" s="21"/>
      <c r="O583" s="21"/>
      <c r="P583" s="21"/>
      <c r="Q583" s="21"/>
      <c r="R583" s="21" t="str">
        <f>'Ingest Template'!E583</f>
        <v/>
      </c>
      <c r="S583" s="29" t="s">
        <v>153</v>
      </c>
      <c r="T583" s="21" t="str">
        <f>'Ingest Template'!T583</f>
        <v/>
      </c>
      <c r="U583" s="21" t="str">
        <f>'Ingest Template'!S583</f>
        <v/>
      </c>
      <c r="V583" s="21" t="str">
        <f>LOWER(SUBSTITUTE(SUBSTITUTE(SUBSTITUTE(SUBSTITUTE(SUBSTITUTE('Ingest Template'!U583,"https:",""),"www.",""),"/",""),"?hl=en",""),"instagram.com",""))</f>
        <v/>
      </c>
      <c r="W583" s="41" t="str">
        <f t="array" ref="W583">IF('Ingest Template'!V583="",(INDEX(DropDown!$L$2:$L$392,MATCH('Ingest Template'!E583,DropDown!$J$2:$J$392,0))&amp;"|"&amp;'Ingest Template'!B583),(INDEX(DropDown!$L$2:$L$392,MATCH('Ingest Template'!E583,DropDown!$J$2:$J$392,0))&amp;"|"&amp;'Ingest Template'!B583)&amp;CHAR(10)&amp;'Ingest Template'!V583)</f>
        <v>#N/A</v>
      </c>
      <c r="X583" s="41" t="str">
        <f>'Ingest Template'!W583</f>
        <v/>
      </c>
      <c r="Y583" s="21" t="str">
        <f>SUBSTITUTE(SUBSTITUTE(SUBSTITUTE('Ingest Template'!X583,"http:",""),"https:",""),"/","")</f>
        <v/>
      </c>
      <c r="Z583" s="21" t="str">
        <f t="array" ref="Z583">IF('Ingest Template'!A583="Standard",(IF(ISBLANK('Ingest Template'!AA583),"", 'Ingest Template'!AA583&amp;"|DAR")),(IF(ISBLANK('Ingest Template'!AA583),"", 'Ingest Template'!AA583&amp;"|Film Ops")))</f>
        <v/>
      </c>
      <c r="AA583" s="21"/>
      <c r="AB583" s="21" t="str">
        <f>'Ingest Template'!M583</f>
        <v/>
      </c>
      <c r="AC583" s="21" t="str">
        <f>'Ingest Template'!Y583</f>
        <v/>
      </c>
      <c r="AD583" s="21" t="str">
        <f>'Ingest Template'!C583</f>
        <v/>
      </c>
      <c r="AE583" s="21" t="str">
        <f>'Ingest Template'!Z583</f>
        <v/>
      </c>
      <c r="AF583" s="29"/>
      <c r="AG583" s="21" t="str">
        <f t="array" ref="AG583">IF('Ingest Template'!A583="Standard",(CONCATENATE(IF(ISBLANK('Ingest Template'!O583),"", 'Ingest Template'!O583&amp;"|DAR"),CHAR(10), IF(ISBLANK('Ingest Template'!P583),"", 'Ingest Template'!P583&amp;"|DAR"),CHAR(10), IF(ISBLANK('Ingest Template'!Q583),"", 'Ingest Template'!Q583&amp;"|DAR"))),(CONCATENATE(IF(ISBLANK('Ingest Template'!O583),"", 'Ingest Template'!O583&amp;"|Operations - Core Title"),CHAR(10), IF(ISBLANK('Ingest Template'!P583),"", 'Ingest Template'!P583&amp;"|Operations - Core Title"),CHAR(10), IF(ISBLANK('Ingest Template'!Q583),"", 'Ingest Template'!Q583&amp;"|Operations - Core Title"))))</f>
        <v>#|Operations - Core Title
#|Operations - Core Title
</v>
      </c>
      <c r="AH583" s="21"/>
      <c r="AI583" s="21"/>
      <c r="AJ583" s="53" t="str">
        <f>if('Ingest Template'!A583="Standard",'Ingest Template'!N583&amp; "|DAR|DAR|2021-01-01",'Ingest Template'!N583&amp; "|Operations - Core Title|Operations - Core Title")</f>
        <v>#N/A</v>
      </c>
      <c r="AK583" s="53" t="str">
        <f>if('Ingest Template'!A583="Standard",'Ingest Template'!R583&amp; "|2021-01-01",'Ingest Template'!R583)</f>
        <v>#N/A</v>
      </c>
      <c r="AL583" s="21"/>
      <c r="AM583" s="21"/>
    </row>
    <row r="584">
      <c r="A584" s="21"/>
      <c r="B584" s="21" t="str">
        <f>'Ingest Template'!B584&amp;IF('Ingest Template'!A584 = "Standard", " - DAR","")</f>
        <v/>
      </c>
      <c r="C584" s="26" t="s">
        <v>109</v>
      </c>
      <c r="D584" s="29" t="str">
        <f t="array" ref="D584">CONCATENATE(INDEX(DropDown!$H$2:$H$10,MATCH(1,COUNTIF('Ingest Template'!F584,"*"&amp;DropDown!$H$2:$H$10&amp;"*"),0)),CHAR(10),'Ingest Template'!G584)</f>
        <v>#N/A</v>
      </c>
      <c r="E584" s="21" t="str">
        <f>CONCATENATE('Ingest Template'!H584,CHAR(10),'Ingest Template'!I584,CHAR(10),'Ingest Template'!J584)</f>
        <v>
</v>
      </c>
      <c r="F584" s="26" t="str">
        <f>'Ingest Template'!H584</f>
        <v/>
      </c>
      <c r="G584" s="21"/>
      <c r="H584" s="29"/>
      <c r="I584" s="21"/>
      <c r="J584" s="29" t="str">
        <f t="array" ref="J584">iF('Ingest Template'!A584="Standard","Pristine Brand",INDEX(DropDown!$M$2:$M$392,MATCH('Ingest Template'!E584,DropDown!$J$2:$J$392,0)))</f>
        <v>#N/A</v>
      </c>
      <c r="K584" s="21" t="str">
        <f>iF('Ingest Template'!A584="Standard",'Ingest Template'!K584&amp;CHAR(10)&amp;'Ingest Template'!L584,"Competitive View")</f>
        <v>Competitive View</v>
      </c>
      <c r="L584" s="29" t="s">
        <v>146</v>
      </c>
      <c r="M584" s="37" t="str">
        <f>'Ingest Template'!D584</f>
        <v/>
      </c>
      <c r="N584" s="21"/>
      <c r="O584" s="21"/>
      <c r="P584" s="21"/>
      <c r="Q584" s="21"/>
      <c r="R584" s="21" t="str">
        <f>'Ingest Template'!E584</f>
        <v/>
      </c>
      <c r="S584" s="29" t="s">
        <v>153</v>
      </c>
      <c r="T584" s="21" t="str">
        <f>'Ingest Template'!T584</f>
        <v/>
      </c>
      <c r="U584" s="21" t="str">
        <f>'Ingest Template'!S584</f>
        <v/>
      </c>
      <c r="V584" s="21" t="str">
        <f>LOWER(SUBSTITUTE(SUBSTITUTE(SUBSTITUTE(SUBSTITUTE(SUBSTITUTE('Ingest Template'!U584,"https:",""),"www.",""),"/",""),"?hl=en",""),"instagram.com",""))</f>
        <v/>
      </c>
      <c r="W584" s="41" t="str">
        <f t="array" ref="W584">IF('Ingest Template'!V584="",(INDEX(DropDown!$L$2:$L$392,MATCH('Ingest Template'!E584,DropDown!$J$2:$J$392,0))&amp;"|"&amp;'Ingest Template'!B584),(INDEX(DropDown!$L$2:$L$392,MATCH('Ingest Template'!E584,DropDown!$J$2:$J$392,0))&amp;"|"&amp;'Ingest Template'!B584)&amp;CHAR(10)&amp;'Ingest Template'!V584)</f>
        <v>#N/A</v>
      </c>
      <c r="X584" s="41" t="str">
        <f>'Ingest Template'!W584</f>
        <v/>
      </c>
      <c r="Y584" s="21" t="str">
        <f>SUBSTITUTE(SUBSTITUTE(SUBSTITUTE('Ingest Template'!X584,"http:",""),"https:",""),"/","")</f>
        <v/>
      </c>
      <c r="Z584" s="21" t="str">
        <f t="array" ref="Z584">IF('Ingest Template'!A584="Standard",(IF(ISBLANK('Ingest Template'!AA584),"", 'Ingest Template'!AA584&amp;"|DAR")),(IF(ISBLANK('Ingest Template'!AA584),"", 'Ingest Template'!AA584&amp;"|Film Ops")))</f>
        <v/>
      </c>
      <c r="AA584" s="21"/>
      <c r="AB584" s="21" t="str">
        <f>'Ingest Template'!M584</f>
        <v/>
      </c>
      <c r="AC584" s="21" t="str">
        <f>'Ingest Template'!Y584</f>
        <v/>
      </c>
      <c r="AD584" s="21" t="str">
        <f>'Ingest Template'!C584</f>
        <v/>
      </c>
      <c r="AE584" s="21" t="str">
        <f>'Ingest Template'!Z584</f>
        <v/>
      </c>
      <c r="AF584" s="29"/>
      <c r="AG584" s="21" t="str">
        <f t="array" ref="AG584">IF('Ingest Template'!A584="Standard",(CONCATENATE(IF(ISBLANK('Ingest Template'!O584),"", 'Ingest Template'!O584&amp;"|DAR"),CHAR(10), IF(ISBLANK('Ingest Template'!P584),"", 'Ingest Template'!P584&amp;"|DAR"),CHAR(10), IF(ISBLANK('Ingest Template'!Q584),"", 'Ingest Template'!Q584&amp;"|DAR"))),(CONCATENATE(IF(ISBLANK('Ingest Template'!O584),"", 'Ingest Template'!O584&amp;"|Operations - Core Title"),CHAR(10), IF(ISBLANK('Ingest Template'!P584),"", 'Ingest Template'!P584&amp;"|Operations - Core Title"),CHAR(10), IF(ISBLANK('Ingest Template'!Q584),"", 'Ingest Template'!Q584&amp;"|Operations - Core Title"))))</f>
        <v>#|Operations - Core Title
#|Operations - Core Title
</v>
      </c>
      <c r="AH584" s="21"/>
      <c r="AI584" s="21"/>
      <c r="AJ584" s="53" t="str">
        <f>if('Ingest Template'!A584="Standard",'Ingest Template'!N584&amp; "|DAR|DAR|2021-01-01",'Ingest Template'!N584&amp; "|Operations - Core Title|Operations - Core Title")</f>
        <v>#N/A</v>
      </c>
      <c r="AK584" s="53" t="str">
        <f>if('Ingest Template'!A584="Standard",'Ingest Template'!R584&amp; "|2021-01-01",'Ingest Template'!R584)</f>
        <v>#N/A</v>
      </c>
      <c r="AL584" s="21"/>
      <c r="AM584" s="21"/>
    </row>
    <row r="585">
      <c r="A585" s="21"/>
      <c r="B585" s="21" t="str">
        <f>'Ingest Template'!B585&amp;IF('Ingest Template'!A585 = "Standard", " - DAR","")</f>
        <v/>
      </c>
      <c r="C585" s="26" t="s">
        <v>109</v>
      </c>
      <c r="D585" s="29" t="str">
        <f t="array" ref="D585">CONCATENATE(INDEX(DropDown!$H$2:$H$10,MATCH(1,COUNTIF('Ingest Template'!F585,"*"&amp;DropDown!$H$2:$H$10&amp;"*"),0)),CHAR(10),'Ingest Template'!G585)</f>
        <v>#N/A</v>
      </c>
      <c r="E585" s="21" t="str">
        <f>CONCATENATE('Ingest Template'!H585,CHAR(10),'Ingest Template'!I585,CHAR(10),'Ingest Template'!J585)</f>
        <v>
</v>
      </c>
      <c r="F585" s="26" t="str">
        <f>'Ingest Template'!H585</f>
        <v/>
      </c>
      <c r="G585" s="21"/>
      <c r="H585" s="29"/>
      <c r="I585" s="21"/>
      <c r="J585" s="29" t="str">
        <f t="array" ref="J585">iF('Ingest Template'!A585="Standard","Pristine Brand",INDEX(DropDown!$M$2:$M$392,MATCH('Ingest Template'!E585,DropDown!$J$2:$J$392,0)))</f>
        <v>#N/A</v>
      </c>
      <c r="K585" s="21" t="str">
        <f>iF('Ingest Template'!A585="Standard",'Ingest Template'!K585&amp;CHAR(10)&amp;'Ingest Template'!L585,"Competitive View")</f>
        <v>Competitive View</v>
      </c>
      <c r="L585" s="29" t="s">
        <v>146</v>
      </c>
      <c r="M585" s="37" t="str">
        <f>'Ingest Template'!D585</f>
        <v/>
      </c>
      <c r="N585" s="21"/>
      <c r="O585" s="21"/>
      <c r="P585" s="21"/>
      <c r="Q585" s="21"/>
      <c r="R585" s="21" t="str">
        <f>'Ingest Template'!E585</f>
        <v/>
      </c>
      <c r="S585" s="29" t="s">
        <v>153</v>
      </c>
      <c r="T585" s="21" t="str">
        <f>'Ingest Template'!T585</f>
        <v/>
      </c>
      <c r="U585" s="21" t="str">
        <f>'Ingest Template'!S585</f>
        <v/>
      </c>
      <c r="V585" s="21" t="str">
        <f>LOWER(SUBSTITUTE(SUBSTITUTE(SUBSTITUTE(SUBSTITUTE(SUBSTITUTE('Ingest Template'!U585,"https:",""),"www.",""),"/",""),"?hl=en",""),"instagram.com",""))</f>
        <v/>
      </c>
      <c r="W585" s="41" t="str">
        <f t="array" ref="W585">IF('Ingest Template'!V585="",(INDEX(DropDown!$L$2:$L$392,MATCH('Ingest Template'!E585,DropDown!$J$2:$J$392,0))&amp;"|"&amp;'Ingest Template'!B585),(INDEX(DropDown!$L$2:$L$392,MATCH('Ingest Template'!E585,DropDown!$J$2:$J$392,0))&amp;"|"&amp;'Ingest Template'!B585)&amp;CHAR(10)&amp;'Ingest Template'!V585)</f>
        <v>#N/A</v>
      </c>
      <c r="X585" s="41" t="str">
        <f>'Ingest Template'!W585</f>
        <v/>
      </c>
      <c r="Y585" s="21" t="str">
        <f>SUBSTITUTE(SUBSTITUTE(SUBSTITUTE('Ingest Template'!X585,"http:",""),"https:",""),"/","")</f>
        <v/>
      </c>
      <c r="Z585" s="21" t="str">
        <f t="array" ref="Z585">IF('Ingest Template'!A585="Standard",(IF(ISBLANK('Ingest Template'!AA585),"", 'Ingest Template'!AA585&amp;"|DAR")),(IF(ISBLANK('Ingest Template'!AA585),"", 'Ingest Template'!AA585&amp;"|Film Ops")))</f>
        <v/>
      </c>
      <c r="AA585" s="21"/>
      <c r="AB585" s="21" t="str">
        <f>'Ingest Template'!M585</f>
        <v/>
      </c>
      <c r="AC585" s="21" t="str">
        <f>'Ingest Template'!Y585</f>
        <v/>
      </c>
      <c r="AD585" s="21" t="str">
        <f>'Ingest Template'!C585</f>
        <v/>
      </c>
      <c r="AE585" s="21" t="str">
        <f>'Ingest Template'!Z585</f>
        <v/>
      </c>
      <c r="AF585" s="29"/>
      <c r="AG585" s="21" t="str">
        <f t="array" ref="AG585">IF('Ingest Template'!A585="Standard",(CONCATENATE(IF(ISBLANK('Ingest Template'!O585),"", 'Ingest Template'!O585&amp;"|DAR"),CHAR(10), IF(ISBLANK('Ingest Template'!P585),"", 'Ingest Template'!P585&amp;"|DAR"),CHAR(10), IF(ISBLANK('Ingest Template'!Q585),"", 'Ingest Template'!Q585&amp;"|DAR"))),(CONCATENATE(IF(ISBLANK('Ingest Template'!O585),"", 'Ingest Template'!O585&amp;"|Operations - Core Title"),CHAR(10), IF(ISBLANK('Ingest Template'!P585),"", 'Ingest Template'!P585&amp;"|Operations - Core Title"),CHAR(10), IF(ISBLANK('Ingest Template'!Q585),"", 'Ingest Template'!Q585&amp;"|Operations - Core Title"))))</f>
        <v>#|Operations - Core Title
#|Operations - Core Title
</v>
      </c>
      <c r="AH585" s="21"/>
      <c r="AI585" s="21"/>
      <c r="AJ585" s="53" t="str">
        <f>if('Ingest Template'!A585="Standard",'Ingest Template'!N585&amp; "|DAR|DAR|2021-01-01",'Ingest Template'!N585&amp; "|Operations - Core Title|Operations - Core Title")</f>
        <v>#N/A</v>
      </c>
      <c r="AK585" s="53" t="str">
        <f>if('Ingest Template'!A585="Standard",'Ingest Template'!R585&amp; "|2021-01-01",'Ingest Template'!R585)</f>
        <v>#N/A</v>
      </c>
      <c r="AL585" s="21"/>
      <c r="AM585" s="21"/>
    </row>
    <row r="586">
      <c r="A586" s="21"/>
      <c r="B586" s="21" t="str">
        <f>'Ingest Template'!B586&amp;IF('Ingest Template'!A586 = "Standard", " - DAR","")</f>
        <v/>
      </c>
      <c r="C586" s="26" t="s">
        <v>109</v>
      </c>
      <c r="D586" s="29" t="str">
        <f t="array" ref="D586">CONCATENATE(INDEX(DropDown!$H$2:$H$10,MATCH(1,COUNTIF('Ingest Template'!F586,"*"&amp;DropDown!$H$2:$H$10&amp;"*"),0)),CHAR(10),'Ingest Template'!G586)</f>
        <v>#N/A</v>
      </c>
      <c r="E586" s="21" t="str">
        <f>CONCATENATE('Ingest Template'!H586,CHAR(10),'Ingest Template'!I586,CHAR(10),'Ingest Template'!J586)</f>
        <v>
</v>
      </c>
      <c r="F586" s="26" t="str">
        <f>'Ingest Template'!H586</f>
        <v/>
      </c>
      <c r="G586" s="21"/>
      <c r="H586" s="29"/>
      <c r="I586" s="21"/>
      <c r="J586" s="29" t="str">
        <f t="array" ref="J586">iF('Ingest Template'!A586="Standard","Pristine Brand",INDEX(DropDown!$M$2:$M$392,MATCH('Ingest Template'!E586,DropDown!$J$2:$J$392,0)))</f>
        <v>#N/A</v>
      </c>
      <c r="K586" s="21" t="str">
        <f>iF('Ingest Template'!A586="Standard",'Ingest Template'!K586&amp;CHAR(10)&amp;'Ingest Template'!L586,"Competitive View")</f>
        <v>Competitive View</v>
      </c>
      <c r="L586" s="29" t="s">
        <v>146</v>
      </c>
      <c r="M586" s="37" t="str">
        <f>'Ingest Template'!D586</f>
        <v/>
      </c>
      <c r="N586" s="21"/>
      <c r="O586" s="21"/>
      <c r="P586" s="21"/>
      <c r="Q586" s="21"/>
      <c r="R586" s="21" t="str">
        <f>'Ingest Template'!E586</f>
        <v/>
      </c>
      <c r="S586" s="29" t="s">
        <v>153</v>
      </c>
      <c r="T586" s="21" t="str">
        <f>'Ingest Template'!T586</f>
        <v/>
      </c>
      <c r="U586" s="21" t="str">
        <f>'Ingest Template'!S586</f>
        <v/>
      </c>
      <c r="V586" s="21" t="str">
        <f>LOWER(SUBSTITUTE(SUBSTITUTE(SUBSTITUTE(SUBSTITUTE(SUBSTITUTE('Ingest Template'!U586,"https:",""),"www.",""),"/",""),"?hl=en",""),"instagram.com",""))</f>
        <v/>
      </c>
      <c r="W586" s="41" t="str">
        <f t="array" ref="W586">IF('Ingest Template'!V586="",(INDEX(DropDown!$L$2:$L$392,MATCH('Ingest Template'!E586,DropDown!$J$2:$J$392,0))&amp;"|"&amp;'Ingest Template'!B586),(INDEX(DropDown!$L$2:$L$392,MATCH('Ingest Template'!E586,DropDown!$J$2:$J$392,0))&amp;"|"&amp;'Ingest Template'!B586)&amp;CHAR(10)&amp;'Ingest Template'!V586)</f>
        <v>#N/A</v>
      </c>
      <c r="X586" s="41" t="str">
        <f>'Ingest Template'!W586</f>
        <v/>
      </c>
      <c r="Y586" s="21" t="str">
        <f>SUBSTITUTE(SUBSTITUTE(SUBSTITUTE('Ingest Template'!X586,"http:",""),"https:",""),"/","")</f>
        <v/>
      </c>
      <c r="Z586" s="21" t="str">
        <f t="array" ref="Z586">IF('Ingest Template'!A586="Standard",(IF(ISBLANK('Ingest Template'!AA586),"", 'Ingest Template'!AA586&amp;"|DAR")),(IF(ISBLANK('Ingest Template'!AA586),"", 'Ingest Template'!AA586&amp;"|Film Ops")))</f>
        <v/>
      </c>
      <c r="AA586" s="21"/>
      <c r="AB586" s="21" t="str">
        <f>'Ingest Template'!M586</f>
        <v/>
      </c>
      <c r="AC586" s="21" t="str">
        <f>'Ingest Template'!Y586</f>
        <v/>
      </c>
      <c r="AD586" s="21" t="str">
        <f>'Ingest Template'!C586</f>
        <v/>
      </c>
      <c r="AE586" s="21" t="str">
        <f>'Ingest Template'!Z586</f>
        <v/>
      </c>
      <c r="AF586" s="29"/>
      <c r="AG586" s="21" t="str">
        <f t="array" ref="AG586">IF('Ingest Template'!A586="Standard",(CONCATENATE(IF(ISBLANK('Ingest Template'!O586),"", 'Ingest Template'!O586&amp;"|DAR"),CHAR(10), IF(ISBLANK('Ingest Template'!P586),"", 'Ingest Template'!P586&amp;"|DAR"),CHAR(10), IF(ISBLANK('Ingest Template'!Q586),"", 'Ingest Template'!Q586&amp;"|DAR"))),(CONCATENATE(IF(ISBLANK('Ingest Template'!O586),"", 'Ingest Template'!O586&amp;"|Operations - Core Title"),CHAR(10), IF(ISBLANK('Ingest Template'!P586),"", 'Ingest Template'!P586&amp;"|Operations - Core Title"),CHAR(10), IF(ISBLANK('Ingest Template'!Q586),"", 'Ingest Template'!Q586&amp;"|Operations - Core Title"))))</f>
        <v>#|Operations - Core Title
#|Operations - Core Title
</v>
      </c>
      <c r="AH586" s="21"/>
      <c r="AI586" s="21"/>
      <c r="AJ586" s="53" t="str">
        <f>if('Ingest Template'!A586="Standard",'Ingest Template'!N586&amp; "|DAR|DAR|2021-01-01",'Ingest Template'!N586&amp; "|Operations - Core Title|Operations - Core Title")</f>
        <v>#N/A</v>
      </c>
      <c r="AK586" s="53" t="str">
        <f>if('Ingest Template'!A586="Standard",'Ingest Template'!R586&amp; "|2021-01-01",'Ingest Template'!R586)</f>
        <v>#N/A</v>
      </c>
      <c r="AL586" s="21"/>
      <c r="AM586" s="21"/>
    </row>
    <row r="587">
      <c r="A587" s="21"/>
      <c r="B587" s="21" t="str">
        <f>'Ingest Template'!B587&amp;IF('Ingest Template'!A587 = "Standard", " - DAR","")</f>
        <v/>
      </c>
      <c r="C587" s="26" t="s">
        <v>109</v>
      </c>
      <c r="D587" s="29" t="str">
        <f t="array" ref="D587">CONCATENATE(INDEX(DropDown!$H$2:$H$10,MATCH(1,COUNTIF('Ingest Template'!F587,"*"&amp;DropDown!$H$2:$H$10&amp;"*"),0)),CHAR(10),'Ingest Template'!G587)</f>
        <v>#N/A</v>
      </c>
      <c r="E587" s="21" t="str">
        <f>CONCATENATE('Ingest Template'!H587,CHAR(10),'Ingest Template'!I587,CHAR(10),'Ingest Template'!J587)</f>
        <v>
</v>
      </c>
      <c r="F587" s="26" t="str">
        <f>'Ingest Template'!H587</f>
        <v/>
      </c>
      <c r="G587" s="21"/>
      <c r="H587" s="29"/>
      <c r="I587" s="21"/>
      <c r="J587" s="29" t="str">
        <f t="array" ref="J587">iF('Ingest Template'!A587="Standard","Pristine Brand",INDEX(DropDown!$M$2:$M$392,MATCH('Ingest Template'!E587,DropDown!$J$2:$J$392,0)))</f>
        <v>#N/A</v>
      </c>
      <c r="K587" s="21" t="str">
        <f>iF('Ingest Template'!A587="Standard",'Ingest Template'!K587&amp;CHAR(10)&amp;'Ingest Template'!L587,"Competitive View")</f>
        <v>Competitive View</v>
      </c>
      <c r="L587" s="29" t="s">
        <v>146</v>
      </c>
      <c r="M587" s="37" t="str">
        <f>'Ingest Template'!D587</f>
        <v/>
      </c>
      <c r="N587" s="21"/>
      <c r="O587" s="21"/>
      <c r="P587" s="21"/>
      <c r="Q587" s="21"/>
      <c r="R587" s="21" t="str">
        <f>'Ingest Template'!E587</f>
        <v/>
      </c>
      <c r="S587" s="29" t="s">
        <v>153</v>
      </c>
      <c r="T587" s="21" t="str">
        <f>'Ingest Template'!T587</f>
        <v/>
      </c>
      <c r="U587" s="21" t="str">
        <f>'Ingest Template'!S587</f>
        <v/>
      </c>
      <c r="V587" s="21" t="str">
        <f>LOWER(SUBSTITUTE(SUBSTITUTE(SUBSTITUTE(SUBSTITUTE(SUBSTITUTE('Ingest Template'!U587,"https:",""),"www.",""),"/",""),"?hl=en",""),"instagram.com",""))</f>
        <v/>
      </c>
      <c r="W587" s="41" t="str">
        <f t="array" ref="W587">IF('Ingest Template'!V587="",(INDEX(DropDown!$L$2:$L$392,MATCH('Ingest Template'!E587,DropDown!$J$2:$J$392,0))&amp;"|"&amp;'Ingest Template'!B587),(INDEX(DropDown!$L$2:$L$392,MATCH('Ingest Template'!E587,DropDown!$J$2:$J$392,0))&amp;"|"&amp;'Ingest Template'!B587)&amp;CHAR(10)&amp;'Ingest Template'!V587)</f>
        <v>#N/A</v>
      </c>
      <c r="X587" s="41" t="str">
        <f>'Ingest Template'!W587</f>
        <v/>
      </c>
      <c r="Y587" s="21" t="str">
        <f>SUBSTITUTE(SUBSTITUTE(SUBSTITUTE('Ingest Template'!X587,"http:",""),"https:",""),"/","")</f>
        <v/>
      </c>
      <c r="Z587" s="21" t="str">
        <f t="array" ref="Z587">IF('Ingest Template'!A587="Standard",(IF(ISBLANK('Ingest Template'!AA587),"", 'Ingest Template'!AA587&amp;"|DAR")),(IF(ISBLANK('Ingest Template'!AA587),"", 'Ingest Template'!AA587&amp;"|Film Ops")))</f>
        <v/>
      </c>
      <c r="AA587" s="21"/>
      <c r="AB587" s="21" t="str">
        <f>'Ingest Template'!M587</f>
        <v/>
      </c>
      <c r="AC587" s="21" t="str">
        <f>'Ingest Template'!Y587</f>
        <v/>
      </c>
      <c r="AD587" s="21" t="str">
        <f>'Ingest Template'!C587</f>
        <v/>
      </c>
      <c r="AE587" s="21" t="str">
        <f>'Ingest Template'!Z587</f>
        <v/>
      </c>
      <c r="AF587" s="29"/>
      <c r="AG587" s="21" t="str">
        <f t="array" ref="AG587">IF('Ingest Template'!A587="Standard",(CONCATENATE(IF(ISBLANK('Ingest Template'!O587),"", 'Ingest Template'!O587&amp;"|DAR"),CHAR(10), IF(ISBLANK('Ingest Template'!P587),"", 'Ingest Template'!P587&amp;"|DAR"),CHAR(10), IF(ISBLANK('Ingest Template'!Q587),"", 'Ingest Template'!Q587&amp;"|DAR"))),(CONCATENATE(IF(ISBLANK('Ingest Template'!O587),"", 'Ingest Template'!O587&amp;"|Operations - Core Title"),CHAR(10), IF(ISBLANK('Ingest Template'!P587),"", 'Ingest Template'!P587&amp;"|Operations - Core Title"),CHAR(10), IF(ISBLANK('Ingest Template'!Q587),"", 'Ingest Template'!Q587&amp;"|Operations - Core Title"))))</f>
        <v>#|Operations - Core Title
#|Operations - Core Title
</v>
      </c>
      <c r="AH587" s="21"/>
      <c r="AI587" s="21"/>
      <c r="AJ587" s="53" t="str">
        <f>if('Ingest Template'!A587="Standard",'Ingest Template'!N587&amp; "|DAR|DAR|2021-01-01",'Ingest Template'!N587&amp; "|Operations - Core Title|Operations - Core Title")</f>
        <v>#N/A</v>
      </c>
      <c r="AK587" s="53" t="str">
        <f>if('Ingest Template'!A587="Standard",'Ingest Template'!R587&amp; "|2021-01-01",'Ingest Template'!R587)</f>
        <v>#N/A</v>
      </c>
      <c r="AL587" s="21"/>
      <c r="AM587" s="21"/>
    </row>
    <row r="588">
      <c r="A588" s="21"/>
      <c r="B588" s="21" t="str">
        <f>'Ingest Template'!B588&amp;IF('Ingest Template'!A588 = "Standard", " - DAR","")</f>
        <v/>
      </c>
      <c r="C588" s="26" t="s">
        <v>109</v>
      </c>
      <c r="D588" s="29" t="str">
        <f t="array" ref="D588">CONCATENATE(INDEX(DropDown!$H$2:$H$10,MATCH(1,COUNTIF('Ingest Template'!F588,"*"&amp;DropDown!$H$2:$H$10&amp;"*"),0)),CHAR(10),'Ingest Template'!G588)</f>
        <v>#N/A</v>
      </c>
      <c r="E588" s="21" t="str">
        <f>CONCATENATE('Ingest Template'!H588,CHAR(10),'Ingest Template'!I588,CHAR(10),'Ingest Template'!J588)</f>
        <v>
</v>
      </c>
      <c r="F588" s="26" t="str">
        <f>'Ingest Template'!H588</f>
        <v/>
      </c>
      <c r="G588" s="21"/>
      <c r="H588" s="29"/>
      <c r="I588" s="21"/>
      <c r="J588" s="29" t="str">
        <f t="array" ref="J588">iF('Ingest Template'!A588="Standard","Pristine Brand",INDEX(DropDown!$M$2:$M$392,MATCH('Ingest Template'!E588,DropDown!$J$2:$J$392,0)))</f>
        <v>#N/A</v>
      </c>
      <c r="K588" s="21" t="str">
        <f>iF('Ingest Template'!A588="Standard",'Ingest Template'!K588&amp;CHAR(10)&amp;'Ingest Template'!L588,"Competitive View")</f>
        <v>Competitive View</v>
      </c>
      <c r="L588" s="29" t="s">
        <v>146</v>
      </c>
      <c r="M588" s="37" t="str">
        <f>'Ingest Template'!D588</f>
        <v/>
      </c>
      <c r="N588" s="21"/>
      <c r="O588" s="21"/>
      <c r="P588" s="21"/>
      <c r="Q588" s="21"/>
      <c r="R588" s="21" t="str">
        <f>'Ingest Template'!E588</f>
        <v/>
      </c>
      <c r="S588" s="29" t="s">
        <v>153</v>
      </c>
      <c r="T588" s="21" t="str">
        <f>'Ingest Template'!T588</f>
        <v/>
      </c>
      <c r="U588" s="21" t="str">
        <f>'Ingest Template'!S588</f>
        <v/>
      </c>
      <c r="V588" s="21" t="str">
        <f>LOWER(SUBSTITUTE(SUBSTITUTE(SUBSTITUTE(SUBSTITUTE(SUBSTITUTE('Ingest Template'!U588,"https:",""),"www.",""),"/",""),"?hl=en",""),"instagram.com",""))</f>
        <v/>
      </c>
      <c r="W588" s="41" t="str">
        <f t="array" ref="W588">IF('Ingest Template'!V588="",(INDEX(DropDown!$L$2:$L$392,MATCH('Ingest Template'!E588,DropDown!$J$2:$J$392,0))&amp;"|"&amp;'Ingest Template'!B588),(INDEX(DropDown!$L$2:$L$392,MATCH('Ingest Template'!E588,DropDown!$J$2:$J$392,0))&amp;"|"&amp;'Ingest Template'!B588)&amp;CHAR(10)&amp;'Ingest Template'!V588)</f>
        <v>#N/A</v>
      </c>
      <c r="X588" s="41" t="str">
        <f>'Ingest Template'!W588</f>
        <v/>
      </c>
      <c r="Y588" s="21" t="str">
        <f>SUBSTITUTE(SUBSTITUTE(SUBSTITUTE('Ingest Template'!X588,"http:",""),"https:",""),"/","")</f>
        <v/>
      </c>
      <c r="Z588" s="21" t="str">
        <f t="array" ref="Z588">IF('Ingest Template'!A588="Standard",(IF(ISBLANK('Ingest Template'!AA588),"", 'Ingest Template'!AA588&amp;"|DAR")),(IF(ISBLANK('Ingest Template'!AA588),"", 'Ingest Template'!AA588&amp;"|Film Ops")))</f>
        <v/>
      </c>
      <c r="AA588" s="21"/>
      <c r="AB588" s="21" t="str">
        <f>'Ingest Template'!M588</f>
        <v/>
      </c>
      <c r="AC588" s="21" t="str">
        <f>'Ingest Template'!Y588</f>
        <v/>
      </c>
      <c r="AD588" s="21" t="str">
        <f>'Ingest Template'!C588</f>
        <v/>
      </c>
      <c r="AE588" s="21" t="str">
        <f>'Ingest Template'!Z588</f>
        <v/>
      </c>
      <c r="AF588" s="29"/>
      <c r="AG588" s="21" t="str">
        <f t="array" ref="AG588">IF('Ingest Template'!A588="Standard",(CONCATENATE(IF(ISBLANK('Ingest Template'!O588),"", 'Ingest Template'!O588&amp;"|DAR"),CHAR(10), IF(ISBLANK('Ingest Template'!P588),"", 'Ingest Template'!P588&amp;"|DAR"),CHAR(10), IF(ISBLANK('Ingest Template'!Q588),"", 'Ingest Template'!Q588&amp;"|DAR"))),(CONCATENATE(IF(ISBLANK('Ingest Template'!O588),"", 'Ingest Template'!O588&amp;"|Operations - Core Title"),CHAR(10), IF(ISBLANK('Ingest Template'!P588),"", 'Ingest Template'!P588&amp;"|Operations - Core Title"),CHAR(10), IF(ISBLANK('Ingest Template'!Q588),"", 'Ingest Template'!Q588&amp;"|Operations - Core Title"))))</f>
        <v>#|Operations - Core Title
#|Operations - Core Title
</v>
      </c>
      <c r="AH588" s="21"/>
      <c r="AI588" s="21"/>
      <c r="AJ588" s="53" t="str">
        <f>if('Ingest Template'!A588="Standard",'Ingest Template'!N588&amp; "|DAR|DAR|2021-01-01",'Ingest Template'!N588&amp; "|Operations - Core Title|Operations - Core Title")</f>
        <v>#N/A</v>
      </c>
      <c r="AK588" s="53" t="str">
        <f>if('Ingest Template'!A588="Standard",'Ingest Template'!R588&amp; "|2021-01-01",'Ingest Template'!R588)</f>
        <v>#N/A</v>
      </c>
      <c r="AL588" s="21"/>
      <c r="AM588" s="21"/>
    </row>
    <row r="589">
      <c r="A589" s="21"/>
      <c r="B589" s="21" t="str">
        <f>'Ingest Template'!B589&amp;IF('Ingest Template'!A589 = "Standard", " - DAR","")</f>
        <v/>
      </c>
      <c r="C589" s="26" t="s">
        <v>109</v>
      </c>
      <c r="D589" s="29" t="str">
        <f t="array" ref="D589">CONCATENATE(INDEX(DropDown!$H$2:$H$10,MATCH(1,COUNTIF('Ingest Template'!F589,"*"&amp;DropDown!$H$2:$H$10&amp;"*"),0)),CHAR(10),'Ingest Template'!G589)</f>
        <v>#N/A</v>
      </c>
      <c r="E589" s="21" t="str">
        <f>CONCATENATE('Ingest Template'!H589,CHAR(10),'Ingest Template'!I589,CHAR(10),'Ingest Template'!J589)</f>
        <v>
</v>
      </c>
      <c r="F589" s="26" t="str">
        <f>'Ingest Template'!H589</f>
        <v/>
      </c>
      <c r="G589" s="21"/>
      <c r="H589" s="29"/>
      <c r="I589" s="21"/>
      <c r="J589" s="29" t="str">
        <f t="array" ref="J589">iF('Ingest Template'!A589="Standard","Pristine Brand",INDEX(DropDown!$M$2:$M$392,MATCH('Ingest Template'!E589,DropDown!$J$2:$J$392,0)))</f>
        <v>#N/A</v>
      </c>
      <c r="K589" s="21" t="str">
        <f>iF('Ingest Template'!A589="Standard",'Ingest Template'!K589&amp;CHAR(10)&amp;'Ingest Template'!L589,"Competitive View")</f>
        <v>Competitive View</v>
      </c>
      <c r="L589" s="29" t="s">
        <v>146</v>
      </c>
      <c r="M589" s="37" t="str">
        <f>'Ingest Template'!D589</f>
        <v/>
      </c>
      <c r="N589" s="21"/>
      <c r="O589" s="21"/>
      <c r="P589" s="21"/>
      <c r="Q589" s="21"/>
      <c r="R589" s="21" t="str">
        <f>'Ingest Template'!E589</f>
        <v/>
      </c>
      <c r="S589" s="29" t="s">
        <v>153</v>
      </c>
      <c r="T589" s="21" t="str">
        <f>'Ingest Template'!T589</f>
        <v/>
      </c>
      <c r="U589" s="21" t="str">
        <f>'Ingest Template'!S589</f>
        <v/>
      </c>
      <c r="V589" s="21" t="str">
        <f>LOWER(SUBSTITUTE(SUBSTITUTE(SUBSTITUTE(SUBSTITUTE(SUBSTITUTE('Ingest Template'!U589,"https:",""),"www.",""),"/",""),"?hl=en",""),"instagram.com",""))</f>
        <v/>
      </c>
      <c r="W589" s="41" t="str">
        <f t="array" ref="W589">IF('Ingest Template'!V589="",(INDEX(DropDown!$L$2:$L$392,MATCH('Ingest Template'!E589,DropDown!$J$2:$J$392,0))&amp;"|"&amp;'Ingest Template'!B589),(INDEX(DropDown!$L$2:$L$392,MATCH('Ingest Template'!E589,DropDown!$J$2:$J$392,0))&amp;"|"&amp;'Ingest Template'!B589)&amp;CHAR(10)&amp;'Ingest Template'!V589)</f>
        <v>#N/A</v>
      </c>
      <c r="X589" s="41" t="str">
        <f>'Ingest Template'!W589</f>
        <v/>
      </c>
      <c r="Y589" s="21" t="str">
        <f>SUBSTITUTE(SUBSTITUTE(SUBSTITUTE('Ingest Template'!X589,"http:",""),"https:",""),"/","")</f>
        <v/>
      </c>
      <c r="Z589" s="21" t="str">
        <f t="array" ref="Z589">IF('Ingest Template'!A589="Standard",(IF(ISBLANK('Ingest Template'!AA589),"", 'Ingest Template'!AA589&amp;"|DAR")),(IF(ISBLANK('Ingest Template'!AA589),"", 'Ingest Template'!AA589&amp;"|Film Ops")))</f>
        <v/>
      </c>
      <c r="AA589" s="21"/>
      <c r="AB589" s="21" t="str">
        <f>'Ingest Template'!M589</f>
        <v/>
      </c>
      <c r="AC589" s="21" t="str">
        <f>'Ingest Template'!Y589</f>
        <v/>
      </c>
      <c r="AD589" s="21" t="str">
        <f>'Ingest Template'!C589</f>
        <v/>
      </c>
      <c r="AE589" s="21" t="str">
        <f>'Ingest Template'!Z589</f>
        <v/>
      </c>
      <c r="AF589" s="29"/>
      <c r="AG589" s="21" t="str">
        <f t="array" ref="AG589">IF('Ingest Template'!A589="Standard",(CONCATENATE(IF(ISBLANK('Ingest Template'!O589),"", 'Ingest Template'!O589&amp;"|DAR"),CHAR(10), IF(ISBLANK('Ingest Template'!P589),"", 'Ingest Template'!P589&amp;"|DAR"),CHAR(10), IF(ISBLANK('Ingest Template'!Q589),"", 'Ingest Template'!Q589&amp;"|DAR"))),(CONCATENATE(IF(ISBLANK('Ingest Template'!O589),"", 'Ingest Template'!O589&amp;"|Operations - Core Title"),CHAR(10), IF(ISBLANK('Ingest Template'!P589),"", 'Ingest Template'!P589&amp;"|Operations - Core Title"),CHAR(10), IF(ISBLANK('Ingest Template'!Q589),"", 'Ingest Template'!Q589&amp;"|Operations - Core Title"))))</f>
        <v>#|Operations - Core Title
#|Operations - Core Title
</v>
      </c>
      <c r="AH589" s="21"/>
      <c r="AI589" s="21"/>
      <c r="AJ589" s="53" t="str">
        <f>if('Ingest Template'!A589="Standard",'Ingest Template'!N589&amp; "|DAR|DAR|2021-01-01",'Ingest Template'!N589&amp; "|Operations - Core Title|Operations - Core Title")</f>
        <v>#N/A</v>
      </c>
      <c r="AK589" s="53" t="str">
        <f>if('Ingest Template'!A589="Standard",'Ingest Template'!R589&amp; "|2021-01-01",'Ingest Template'!R589)</f>
        <v>#N/A</v>
      </c>
      <c r="AL589" s="21"/>
      <c r="AM589" s="21"/>
    </row>
    <row r="590">
      <c r="A590" s="21"/>
      <c r="B590" s="21" t="str">
        <f>'Ingest Template'!B590&amp;IF('Ingest Template'!A590 = "Standard", " - DAR","")</f>
        <v/>
      </c>
      <c r="C590" s="26" t="s">
        <v>109</v>
      </c>
      <c r="D590" s="29" t="str">
        <f t="array" ref="D590">CONCATENATE(INDEX(DropDown!$H$2:$H$10,MATCH(1,COUNTIF('Ingest Template'!F590,"*"&amp;DropDown!$H$2:$H$10&amp;"*"),0)),CHAR(10),'Ingest Template'!G590)</f>
        <v>#N/A</v>
      </c>
      <c r="E590" s="21" t="str">
        <f>CONCATENATE('Ingest Template'!H590,CHAR(10),'Ingest Template'!I590,CHAR(10),'Ingest Template'!J590)</f>
        <v>
</v>
      </c>
      <c r="F590" s="26" t="str">
        <f>'Ingest Template'!H590</f>
        <v/>
      </c>
      <c r="G590" s="21"/>
      <c r="H590" s="29"/>
      <c r="I590" s="21"/>
      <c r="J590" s="29" t="str">
        <f t="array" ref="J590">iF('Ingest Template'!A590="Standard","Pristine Brand",INDEX(DropDown!$M$2:$M$392,MATCH('Ingest Template'!E590,DropDown!$J$2:$J$392,0)))</f>
        <v>#N/A</v>
      </c>
      <c r="K590" s="21" t="str">
        <f>iF('Ingest Template'!A590="Standard",'Ingest Template'!K590&amp;CHAR(10)&amp;'Ingest Template'!L590,"Competitive View")</f>
        <v>Competitive View</v>
      </c>
      <c r="L590" s="29" t="s">
        <v>146</v>
      </c>
      <c r="M590" s="37" t="str">
        <f>'Ingest Template'!D590</f>
        <v/>
      </c>
      <c r="N590" s="21"/>
      <c r="O590" s="21"/>
      <c r="P590" s="21"/>
      <c r="Q590" s="21"/>
      <c r="R590" s="21" t="str">
        <f>'Ingest Template'!E590</f>
        <v/>
      </c>
      <c r="S590" s="29" t="s">
        <v>153</v>
      </c>
      <c r="T590" s="21" t="str">
        <f>'Ingest Template'!T590</f>
        <v/>
      </c>
      <c r="U590" s="21" t="str">
        <f>'Ingest Template'!S590</f>
        <v/>
      </c>
      <c r="V590" s="21" t="str">
        <f>LOWER(SUBSTITUTE(SUBSTITUTE(SUBSTITUTE(SUBSTITUTE(SUBSTITUTE('Ingest Template'!U590,"https:",""),"www.",""),"/",""),"?hl=en",""),"instagram.com",""))</f>
        <v/>
      </c>
      <c r="W590" s="41" t="str">
        <f t="array" ref="W590">IF('Ingest Template'!V590="",(INDEX(DropDown!$L$2:$L$392,MATCH('Ingest Template'!E590,DropDown!$J$2:$J$392,0))&amp;"|"&amp;'Ingest Template'!B590),(INDEX(DropDown!$L$2:$L$392,MATCH('Ingest Template'!E590,DropDown!$J$2:$J$392,0))&amp;"|"&amp;'Ingest Template'!B590)&amp;CHAR(10)&amp;'Ingest Template'!V590)</f>
        <v>#N/A</v>
      </c>
      <c r="X590" s="41" t="str">
        <f>'Ingest Template'!W590</f>
        <v/>
      </c>
      <c r="Y590" s="21" t="str">
        <f>SUBSTITUTE(SUBSTITUTE(SUBSTITUTE('Ingest Template'!X590,"http:",""),"https:",""),"/","")</f>
        <v/>
      </c>
      <c r="Z590" s="21" t="str">
        <f t="array" ref="Z590">IF('Ingest Template'!A590="Standard",(IF(ISBLANK('Ingest Template'!AA590),"", 'Ingest Template'!AA590&amp;"|DAR")),(IF(ISBLANK('Ingest Template'!AA590),"", 'Ingest Template'!AA590&amp;"|Film Ops")))</f>
        <v/>
      </c>
      <c r="AA590" s="21"/>
      <c r="AB590" s="21" t="str">
        <f>'Ingest Template'!M590</f>
        <v/>
      </c>
      <c r="AC590" s="21" t="str">
        <f>'Ingest Template'!Y590</f>
        <v/>
      </c>
      <c r="AD590" s="21" t="str">
        <f>'Ingest Template'!C590</f>
        <v/>
      </c>
      <c r="AE590" s="21" t="str">
        <f>'Ingest Template'!Z590</f>
        <v/>
      </c>
      <c r="AF590" s="29"/>
      <c r="AG590" s="21" t="str">
        <f t="array" ref="AG590">IF('Ingest Template'!A590="Standard",(CONCATENATE(IF(ISBLANK('Ingest Template'!O590),"", 'Ingest Template'!O590&amp;"|DAR"),CHAR(10), IF(ISBLANK('Ingest Template'!P590),"", 'Ingest Template'!P590&amp;"|DAR"),CHAR(10), IF(ISBLANK('Ingest Template'!Q590),"", 'Ingest Template'!Q590&amp;"|DAR"))),(CONCATENATE(IF(ISBLANK('Ingest Template'!O590),"", 'Ingest Template'!O590&amp;"|Operations - Core Title"),CHAR(10), IF(ISBLANK('Ingest Template'!P590),"", 'Ingest Template'!P590&amp;"|Operations - Core Title"),CHAR(10), IF(ISBLANK('Ingest Template'!Q590),"", 'Ingest Template'!Q590&amp;"|Operations - Core Title"))))</f>
        <v>#|Operations - Core Title
#|Operations - Core Title
</v>
      </c>
      <c r="AH590" s="21"/>
      <c r="AI590" s="21"/>
      <c r="AJ590" s="53" t="str">
        <f>if('Ingest Template'!A590="Standard",'Ingest Template'!N590&amp; "|DAR|DAR|2021-01-01",'Ingest Template'!N590&amp; "|Operations - Core Title|Operations - Core Title")</f>
        <v>#N/A</v>
      </c>
      <c r="AK590" s="53" t="str">
        <f>if('Ingest Template'!A590="Standard",'Ingest Template'!R590&amp; "|2021-01-01",'Ingest Template'!R590)</f>
        <v>#N/A</v>
      </c>
      <c r="AL590" s="21"/>
      <c r="AM590" s="21"/>
    </row>
    <row r="591">
      <c r="A591" s="21"/>
      <c r="B591" s="21" t="str">
        <f>'Ingest Template'!B591&amp;IF('Ingest Template'!A591 = "Standard", " - DAR","")</f>
        <v/>
      </c>
      <c r="C591" s="26" t="s">
        <v>109</v>
      </c>
      <c r="D591" s="29" t="str">
        <f t="array" ref="D591">CONCATENATE(INDEX(DropDown!$H$2:$H$10,MATCH(1,COUNTIF('Ingest Template'!F591,"*"&amp;DropDown!$H$2:$H$10&amp;"*"),0)),CHAR(10),'Ingest Template'!G591)</f>
        <v>#N/A</v>
      </c>
      <c r="E591" s="21" t="str">
        <f>CONCATENATE('Ingest Template'!H591,CHAR(10),'Ingest Template'!I591,CHAR(10),'Ingest Template'!J591)</f>
        <v>
</v>
      </c>
      <c r="F591" s="26" t="str">
        <f>'Ingest Template'!H591</f>
        <v/>
      </c>
      <c r="G591" s="21"/>
      <c r="H591" s="29"/>
      <c r="I591" s="21"/>
      <c r="J591" s="29" t="str">
        <f t="array" ref="J591">iF('Ingest Template'!A591="Standard","Pristine Brand",INDEX(DropDown!$M$2:$M$392,MATCH('Ingest Template'!E591,DropDown!$J$2:$J$392,0)))</f>
        <v>#N/A</v>
      </c>
      <c r="K591" s="21" t="str">
        <f>iF('Ingest Template'!A591="Standard",'Ingest Template'!K591&amp;CHAR(10)&amp;'Ingest Template'!L591,"Competitive View")</f>
        <v>Competitive View</v>
      </c>
      <c r="L591" s="29" t="s">
        <v>146</v>
      </c>
      <c r="M591" s="37" t="str">
        <f>'Ingest Template'!D591</f>
        <v/>
      </c>
      <c r="N591" s="21"/>
      <c r="O591" s="21"/>
      <c r="P591" s="21"/>
      <c r="Q591" s="21"/>
      <c r="R591" s="21" t="str">
        <f>'Ingest Template'!E591</f>
        <v/>
      </c>
      <c r="S591" s="29" t="s">
        <v>153</v>
      </c>
      <c r="T591" s="21" t="str">
        <f>'Ingest Template'!T591</f>
        <v/>
      </c>
      <c r="U591" s="21" t="str">
        <f>'Ingest Template'!S591</f>
        <v/>
      </c>
      <c r="V591" s="21" t="str">
        <f>LOWER(SUBSTITUTE(SUBSTITUTE(SUBSTITUTE(SUBSTITUTE(SUBSTITUTE('Ingest Template'!U591,"https:",""),"www.",""),"/",""),"?hl=en",""),"instagram.com",""))</f>
        <v/>
      </c>
      <c r="W591" s="41" t="str">
        <f t="array" ref="W591">IF('Ingest Template'!V591="",(INDEX(DropDown!$L$2:$L$392,MATCH('Ingest Template'!E591,DropDown!$J$2:$J$392,0))&amp;"|"&amp;'Ingest Template'!B591),(INDEX(DropDown!$L$2:$L$392,MATCH('Ingest Template'!E591,DropDown!$J$2:$J$392,0))&amp;"|"&amp;'Ingest Template'!B591)&amp;CHAR(10)&amp;'Ingest Template'!V591)</f>
        <v>#N/A</v>
      </c>
      <c r="X591" s="41" t="str">
        <f>'Ingest Template'!W591</f>
        <v/>
      </c>
      <c r="Y591" s="21" t="str">
        <f>SUBSTITUTE(SUBSTITUTE(SUBSTITUTE('Ingest Template'!X591,"http:",""),"https:",""),"/","")</f>
        <v/>
      </c>
      <c r="Z591" s="21" t="str">
        <f t="array" ref="Z591">IF('Ingest Template'!A591="Standard",(IF(ISBLANK('Ingest Template'!AA591),"", 'Ingest Template'!AA591&amp;"|DAR")),(IF(ISBLANK('Ingest Template'!AA591),"", 'Ingest Template'!AA591&amp;"|Film Ops")))</f>
        <v/>
      </c>
      <c r="AA591" s="21"/>
      <c r="AB591" s="21" t="str">
        <f>'Ingest Template'!M591</f>
        <v/>
      </c>
      <c r="AC591" s="21" t="str">
        <f>'Ingest Template'!Y591</f>
        <v/>
      </c>
      <c r="AD591" s="21" t="str">
        <f>'Ingest Template'!C591</f>
        <v/>
      </c>
      <c r="AE591" s="21" t="str">
        <f>'Ingest Template'!Z591</f>
        <v/>
      </c>
      <c r="AF591" s="29"/>
      <c r="AG591" s="21" t="str">
        <f t="array" ref="AG591">IF('Ingest Template'!A591="Standard",(CONCATENATE(IF(ISBLANK('Ingest Template'!O591),"", 'Ingest Template'!O591&amp;"|DAR"),CHAR(10), IF(ISBLANK('Ingest Template'!P591),"", 'Ingest Template'!P591&amp;"|DAR"),CHAR(10), IF(ISBLANK('Ingest Template'!Q591),"", 'Ingest Template'!Q591&amp;"|DAR"))),(CONCATENATE(IF(ISBLANK('Ingest Template'!O591),"", 'Ingest Template'!O591&amp;"|Operations - Core Title"),CHAR(10), IF(ISBLANK('Ingest Template'!P591),"", 'Ingest Template'!P591&amp;"|Operations - Core Title"),CHAR(10), IF(ISBLANK('Ingest Template'!Q591),"", 'Ingest Template'!Q591&amp;"|Operations - Core Title"))))</f>
        <v>#|Operations - Core Title
#|Operations - Core Title
</v>
      </c>
      <c r="AH591" s="21"/>
      <c r="AI591" s="21"/>
      <c r="AJ591" s="53" t="str">
        <f>if('Ingest Template'!A591="Standard",'Ingest Template'!N591&amp; "|DAR|DAR|2021-01-01",'Ingest Template'!N591&amp; "|Operations - Core Title|Operations - Core Title")</f>
        <v>#N/A</v>
      </c>
      <c r="AK591" s="53" t="str">
        <f>if('Ingest Template'!A591="Standard",'Ingest Template'!R591&amp; "|2021-01-01",'Ingest Template'!R591)</f>
        <v>#N/A</v>
      </c>
      <c r="AL591" s="21"/>
      <c r="AM591" s="21"/>
    </row>
    <row r="592">
      <c r="A592" s="21"/>
      <c r="B592" s="21" t="str">
        <f>'Ingest Template'!B592&amp;IF('Ingest Template'!A592 = "Standard", " - DAR","")</f>
        <v/>
      </c>
      <c r="C592" s="26" t="s">
        <v>109</v>
      </c>
      <c r="D592" s="29" t="str">
        <f t="array" ref="D592">CONCATENATE(INDEX(DropDown!$H$2:$H$10,MATCH(1,COUNTIF('Ingest Template'!F592,"*"&amp;DropDown!$H$2:$H$10&amp;"*"),0)),CHAR(10),'Ingest Template'!G592)</f>
        <v>#N/A</v>
      </c>
      <c r="E592" s="21" t="str">
        <f>CONCATENATE('Ingest Template'!H592,CHAR(10),'Ingest Template'!I592,CHAR(10),'Ingest Template'!J592)</f>
        <v>
</v>
      </c>
      <c r="F592" s="26" t="str">
        <f>'Ingest Template'!H592</f>
        <v/>
      </c>
      <c r="G592" s="21"/>
      <c r="H592" s="29"/>
      <c r="I592" s="21"/>
      <c r="J592" s="29" t="str">
        <f t="array" ref="J592">iF('Ingest Template'!A592="Standard","Pristine Brand",INDEX(DropDown!$M$2:$M$392,MATCH('Ingest Template'!E592,DropDown!$J$2:$J$392,0)))</f>
        <v>#N/A</v>
      </c>
      <c r="K592" s="21" t="str">
        <f>iF('Ingest Template'!A592="Standard",'Ingest Template'!K592&amp;CHAR(10)&amp;'Ingest Template'!L592,"Competitive View")</f>
        <v>Competitive View</v>
      </c>
      <c r="L592" s="29" t="s">
        <v>146</v>
      </c>
      <c r="M592" s="37" t="str">
        <f>'Ingest Template'!D592</f>
        <v/>
      </c>
      <c r="N592" s="21"/>
      <c r="O592" s="21"/>
      <c r="P592" s="21"/>
      <c r="Q592" s="21"/>
      <c r="R592" s="21" t="str">
        <f>'Ingest Template'!E592</f>
        <v/>
      </c>
      <c r="S592" s="29" t="s">
        <v>153</v>
      </c>
      <c r="T592" s="21" t="str">
        <f>'Ingest Template'!T592</f>
        <v/>
      </c>
      <c r="U592" s="21" t="str">
        <f>'Ingest Template'!S592</f>
        <v/>
      </c>
      <c r="V592" s="21" t="str">
        <f>LOWER(SUBSTITUTE(SUBSTITUTE(SUBSTITUTE(SUBSTITUTE(SUBSTITUTE('Ingest Template'!U592,"https:",""),"www.",""),"/",""),"?hl=en",""),"instagram.com",""))</f>
        <v/>
      </c>
      <c r="W592" s="41" t="str">
        <f t="array" ref="W592">IF('Ingest Template'!V592="",(INDEX(DropDown!$L$2:$L$392,MATCH('Ingest Template'!E592,DropDown!$J$2:$J$392,0))&amp;"|"&amp;'Ingest Template'!B592),(INDEX(DropDown!$L$2:$L$392,MATCH('Ingest Template'!E592,DropDown!$J$2:$J$392,0))&amp;"|"&amp;'Ingest Template'!B592)&amp;CHAR(10)&amp;'Ingest Template'!V592)</f>
        <v>#N/A</v>
      </c>
      <c r="X592" s="41" t="str">
        <f>'Ingest Template'!W592</f>
        <v/>
      </c>
      <c r="Y592" s="21" t="str">
        <f>SUBSTITUTE(SUBSTITUTE(SUBSTITUTE('Ingest Template'!X592,"http:",""),"https:",""),"/","")</f>
        <v/>
      </c>
      <c r="Z592" s="21" t="str">
        <f t="array" ref="Z592">IF('Ingest Template'!A592="Standard",(IF(ISBLANK('Ingest Template'!AA592),"", 'Ingest Template'!AA592&amp;"|DAR")),(IF(ISBLANK('Ingest Template'!AA592),"", 'Ingest Template'!AA592&amp;"|Film Ops")))</f>
        <v/>
      </c>
      <c r="AA592" s="21"/>
      <c r="AB592" s="21" t="str">
        <f>'Ingest Template'!M592</f>
        <v/>
      </c>
      <c r="AC592" s="21" t="str">
        <f>'Ingest Template'!Y592</f>
        <v/>
      </c>
      <c r="AD592" s="21" t="str">
        <f>'Ingest Template'!C592</f>
        <v/>
      </c>
      <c r="AE592" s="21" t="str">
        <f>'Ingest Template'!Z592</f>
        <v/>
      </c>
      <c r="AF592" s="29"/>
      <c r="AG592" s="21" t="str">
        <f t="array" ref="AG592">IF('Ingest Template'!A592="Standard",(CONCATENATE(IF(ISBLANK('Ingest Template'!O592),"", 'Ingest Template'!O592&amp;"|DAR"),CHAR(10), IF(ISBLANK('Ingest Template'!P592),"", 'Ingest Template'!P592&amp;"|DAR"),CHAR(10), IF(ISBLANK('Ingest Template'!Q592),"", 'Ingest Template'!Q592&amp;"|DAR"))),(CONCATENATE(IF(ISBLANK('Ingest Template'!O592),"", 'Ingest Template'!O592&amp;"|Operations - Core Title"),CHAR(10), IF(ISBLANK('Ingest Template'!P592),"", 'Ingest Template'!P592&amp;"|Operations - Core Title"),CHAR(10), IF(ISBLANK('Ingest Template'!Q592),"", 'Ingest Template'!Q592&amp;"|Operations - Core Title"))))</f>
        <v>#|Operations - Core Title
#|Operations - Core Title
</v>
      </c>
      <c r="AH592" s="21"/>
      <c r="AI592" s="21"/>
      <c r="AJ592" s="53" t="str">
        <f>if('Ingest Template'!A592="Standard",'Ingest Template'!N592&amp; "|DAR|DAR|2021-01-01",'Ingest Template'!N592&amp; "|Operations - Core Title|Operations - Core Title")</f>
        <v>#N/A</v>
      </c>
      <c r="AK592" s="53" t="str">
        <f>if('Ingest Template'!A592="Standard",'Ingest Template'!R592&amp; "|2021-01-01",'Ingest Template'!R592)</f>
        <v>#N/A</v>
      </c>
      <c r="AL592" s="21"/>
      <c r="AM592" s="21"/>
    </row>
    <row r="593">
      <c r="A593" s="21"/>
      <c r="B593" s="21" t="str">
        <f>'Ingest Template'!B593&amp;IF('Ingest Template'!A593 = "Standard", " - DAR","")</f>
        <v/>
      </c>
      <c r="C593" s="26" t="s">
        <v>109</v>
      </c>
      <c r="D593" s="29" t="str">
        <f t="array" ref="D593">CONCATENATE(INDEX(DropDown!$H$2:$H$10,MATCH(1,COUNTIF('Ingest Template'!F593,"*"&amp;DropDown!$H$2:$H$10&amp;"*"),0)),CHAR(10),'Ingest Template'!G593)</f>
        <v>#N/A</v>
      </c>
      <c r="E593" s="21" t="str">
        <f>CONCATENATE('Ingest Template'!H593,CHAR(10),'Ingest Template'!I593,CHAR(10),'Ingest Template'!J593)</f>
        <v>
</v>
      </c>
      <c r="F593" s="26" t="str">
        <f>'Ingest Template'!H593</f>
        <v/>
      </c>
      <c r="G593" s="21"/>
      <c r="H593" s="29"/>
      <c r="I593" s="21"/>
      <c r="J593" s="29" t="str">
        <f t="array" ref="J593">iF('Ingest Template'!A593="Standard","Pristine Brand",INDEX(DropDown!$M$2:$M$392,MATCH('Ingest Template'!E593,DropDown!$J$2:$J$392,0)))</f>
        <v>#N/A</v>
      </c>
      <c r="K593" s="21" t="str">
        <f>iF('Ingest Template'!A593="Standard",'Ingest Template'!K593&amp;CHAR(10)&amp;'Ingest Template'!L593,"Competitive View")</f>
        <v>Competitive View</v>
      </c>
      <c r="L593" s="29" t="s">
        <v>146</v>
      </c>
      <c r="M593" s="37" t="str">
        <f>'Ingest Template'!D593</f>
        <v/>
      </c>
      <c r="N593" s="21"/>
      <c r="O593" s="21"/>
      <c r="P593" s="21"/>
      <c r="Q593" s="21"/>
      <c r="R593" s="21" t="str">
        <f>'Ingest Template'!E593</f>
        <v/>
      </c>
      <c r="S593" s="29" t="s">
        <v>153</v>
      </c>
      <c r="T593" s="21" t="str">
        <f>'Ingest Template'!T593</f>
        <v/>
      </c>
      <c r="U593" s="21" t="str">
        <f>'Ingest Template'!S593</f>
        <v/>
      </c>
      <c r="V593" s="21" t="str">
        <f>LOWER(SUBSTITUTE(SUBSTITUTE(SUBSTITUTE(SUBSTITUTE(SUBSTITUTE('Ingest Template'!U593,"https:",""),"www.",""),"/",""),"?hl=en",""),"instagram.com",""))</f>
        <v/>
      </c>
      <c r="W593" s="41" t="str">
        <f t="array" ref="W593">IF('Ingest Template'!V593="",(INDEX(DropDown!$L$2:$L$392,MATCH('Ingest Template'!E593,DropDown!$J$2:$J$392,0))&amp;"|"&amp;'Ingest Template'!B593),(INDEX(DropDown!$L$2:$L$392,MATCH('Ingest Template'!E593,DropDown!$J$2:$J$392,0))&amp;"|"&amp;'Ingest Template'!B593)&amp;CHAR(10)&amp;'Ingest Template'!V593)</f>
        <v>#N/A</v>
      </c>
      <c r="X593" s="41" t="str">
        <f>'Ingest Template'!W593</f>
        <v/>
      </c>
      <c r="Y593" s="21" t="str">
        <f>SUBSTITUTE(SUBSTITUTE(SUBSTITUTE('Ingest Template'!X593,"http:",""),"https:",""),"/","")</f>
        <v/>
      </c>
      <c r="Z593" s="21" t="str">
        <f t="array" ref="Z593">IF('Ingest Template'!A593="Standard",(IF(ISBLANK('Ingest Template'!AA593),"", 'Ingest Template'!AA593&amp;"|DAR")),(IF(ISBLANK('Ingest Template'!AA593),"", 'Ingest Template'!AA593&amp;"|Film Ops")))</f>
        <v/>
      </c>
      <c r="AA593" s="21"/>
      <c r="AB593" s="21" t="str">
        <f>'Ingest Template'!M593</f>
        <v/>
      </c>
      <c r="AC593" s="21" t="str">
        <f>'Ingest Template'!Y593</f>
        <v/>
      </c>
      <c r="AD593" s="21" t="str">
        <f>'Ingest Template'!C593</f>
        <v/>
      </c>
      <c r="AE593" s="21" t="str">
        <f>'Ingest Template'!Z593</f>
        <v/>
      </c>
      <c r="AF593" s="29"/>
      <c r="AG593" s="21" t="str">
        <f t="array" ref="AG593">IF('Ingest Template'!A593="Standard",(CONCATENATE(IF(ISBLANK('Ingest Template'!O593),"", 'Ingest Template'!O593&amp;"|DAR"),CHAR(10), IF(ISBLANK('Ingest Template'!P593),"", 'Ingest Template'!P593&amp;"|DAR"),CHAR(10), IF(ISBLANK('Ingest Template'!Q593),"", 'Ingest Template'!Q593&amp;"|DAR"))),(CONCATENATE(IF(ISBLANK('Ingest Template'!O593),"", 'Ingest Template'!O593&amp;"|Operations - Core Title"),CHAR(10), IF(ISBLANK('Ingest Template'!P593),"", 'Ingest Template'!P593&amp;"|Operations - Core Title"),CHAR(10), IF(ISBLANK('Ingest Template'!Q593),"", 'Ingest Template'!Q593&amp;"|Operations - Core Title"))))</f>
        <v>#|Operations - Core Title
#|Operations - Core Title
</v>
      </c>
      <c r="AH593" s="21"/>
      <c r="AI593" s="21"/>
      <c r="AJ593" s="53" t="str">
        <f>if('Ingest Template'!A593="Standard",'Ingest Template'!N593&amp; "|DAR|DAR|2021-01-01",'Ingest Template'!N593&amp; "|Operations - Core Title|Operations - Core Title")</f>
        <v>#N/A</v>
      </c>
      <c r="AK593" s="53" t="str">
        <f>if('Ingest Template'!A593="Standard",'Ingest Template'!R593&amp; "|2021-01-01",'Ingest Template'!R593)</f>
        <v>#N/A</v>
      </c>
      <c r="AL593" s="21"/>
      <c r="AM593" s="21"/>
    </row>
    <row r="594">
      <c r="A594" s="21"/>
      <c r="B594" s="21" t="str">
        <f>'Ingest Template'!B594&amp;IF('Ingest Template'!A594 = "Standard", " - DAR","")</f>
        <v/>
      </c>
      <c r="C594" s="26" t="s">
        <v>109</v>
      </c>
      <c r="D594" s="29" t="str">
        <f t="array" ref="D594">CONCATENATE(INDEX(DropDown!$H$2:$H$10,MATCH(1,COUNTIF('Ingest Template'!F594,"*"&amp;DropDown!$H$2:$H$10&amp;"*"),0)),CHAR(10),'Ingest Template'!G594)</f>
        <v>#N/A</v>
      </c>
      <c r="E594" s="21" t="str">
        <f>CONCATENATE('Ingest Template'!H594,CHAR(10),'Ingest Template'!I594,CHAR(10),'Ingest Template'!J594)</f>
        <v>
</v>
      </c>
      <c r="F594" s="26" t="str">
        <f>'Ingest Template'!H594</f>
        <v/>
      </c>
      <c r="G594" s="21"/>
      <c r="H594" s="29"/>
      <c r="I594" s="21"/>
      <c r="J594" s="29" t="str">
        <f t="array" ref="J594">iF('Ingest Template'!A594="Standard","Pristine Brand",INDEX(DropDown!$M$2:$M$392,MATCH('Ingest Template'!E594,DropDown!$J$2:$J$392,0)))</f>
        <v>#N/A</v>
      </c>
      <c r="K594" s="21" t="str">
        <f>iF('Ingest Template'!A594="Standard",'Ingest Template'!K594&amp;CHAR(10)&amp;'Ingest Template'!L594,"Competitive View")</f>
        <v>Competitive View</v>
      </c>
      <c r="L594" s="29" t="s">
        <v>146</v>
      </c>
      <c r="M594" s="37" t="str">
        <f>'Ingest Template'!D594</f>
        <v/>
      </c>
      <c r="N594" s="21"/>
      <c r="O594" s="21"/>
      <c r="P594" s="21"/>
      <c r="Q594" s="21"/>
      <c r="R594" s="21" t="str">
        <f>'Ingest Template'!E594</f>
        <v/>
      </c>
      <c r="S594" s="29" t="s">
        <v>153</v>
      </c>
      <c r="T594" s="21" t="str">
        <f>'Ingest Template'!T594</f>
        <v/>
      </c>
      <c r="U594" s="21" t="str">
        <f>'Ingest Template'!S594</f>
        <v/>
      </c>
      <c r="V594" s="21" t="str">
        <f>LOWER(SUBSTITUTE(SUBSTITUTE(SUBSTITUTE(SUBSTITUTE(SUBSTITUTE('Ingest Template'!U594,"https:",""),"www.",""),"/",""),"?hl=en",""),"instagram.com",""))</f>
        <v/>
      </c>
      <c r="W594" s="41" t="str">
        <f t="array" ref="W594">IF('Ingest Template'!V594="",(INDEX(DropDown!$L$2:$L$392,MATCH('Ingest Template'!E594,DropDown!$J$2:$J$392,0))&amp;"|"&amp;'Ingest Template'!B594),(INDEX(DropDown!$L$2:$L$392,MATCH('Ingest Template'!E594,DropDown!$J$2:$J$392,0))&amp;"|"&amp;'Ingest Template'!B594)&amp;CHAR(10)&amp;'Ingest Template'!V594)</f>
        <v>#N/A</v>
      </c>
      <c r="X594" s="41" t="str">
        <f>'Ingest Template'!W594</f>
        <v/>
      </c>
      <c r="Y594" s="21" t="str">
        <f>SUBSTITUTE(SUBSTITUTE(SUBSTITUTE('Ingest Template'!X594,"http:",""),"https:",""),"/","")</f>
        <v/>
      </c>
      <c r="Z594" s="21" t="str">
        <f t="array" ref="Z594">IF('Ingest Template'!A594="Standard",(IF(ISBLANK('Ingest Template'!AA594),"", 'Ingest Template'!AA594&amp;"|DAR")),(IF(ISBLANK('Ingest Template'!AA594),"", 'Ingest Template'!AA594&amp;"|Film Ops")))</f>
        <v/>
      </c>
      <c r="AA594" s="21"/>
      <c r="AB594" s="21" t="str">
        <f>'Ingest Template'!M594</f>
        <v/>
      </c>
      <c r="AC594" s="21" t="str">
        <f>'Ingest Template'!Y594</f>
        <v/>
      </c>
      <c r="AD594" s="21" t="str">
        <f>'Ingest Template'!C594</f>
        <v/>
      </c>
      <c r="AE594" s="21" t="str">
        <f>'Ingest Template'!Z594</f>
        <v/>
      </c>
      <c r="AF594" s="29"/>
      <c r="AG594" s="21" t="str">
        <f t="array" ref="AG594">IF('Ingest Template'!A594="Standard",(CONCATENATE(IF(ISBLANK('Ingest Template'!O594),"", 'Ingest Template'!O594&amp;"|DAR"),CHAR(10), IF(ISBLANK('Ingest Template'!P594),"", 'Ingest Template'!P594&amp;"|DAR"),CHAR(10), IF(ISBLANK('Ingest Template'!Q594),"", 'Ingest Template'!Q594&amp;"|DAR"))),(CONCATENATE(IF(ISBLANK('Ingest Template'!O594),"", 'Ingest Template'!O594&amp;"|Operations - Core Title"),CHAR(10), IF(ISBLANK('Ingest Template'!P594),"", 'Ingest Template'!P594&amp;"|Operations - Core Title"),CHAR(10), IF(ISBLANK('Ingest Template'!Q594),"", 'Ingest Template'!Q594&amp;"|Operations - Core Title"))))</f>
        <v>#|Operations - Core Title
#|Operations - Core Title
</v>
      </c>
      <c r="AH594" s="21"/>
      <c r="AI594" s="21"/>
      <c r="AJ594" s="53" t="str">
        <f>if('Ingest Template'!A594="Standard",'Ingest Template'!N594&amp; "|DAR|DAR|2021-01-01",'Ingest Template'!N594&amp; "|Operations - Core Title|Operations - Core Title")</f>
        <v>#N/A</v>
      </c>
      <c r="AK594" s="53" t="str">
        <f>if('Ingest Template'!A594="Standard",'Ingest Template'!R594&amp; "|2021-01-01",'Ingest Template'!R594)</f>
        <v>#N/A</v>
      </c>
      <c r="AL594" s="21"/>
      <c r="AM594" s="21"/>
    </row>
    <row r="595">
      <c r="A595" s="21"/>
      <c r="B595" s="21" t="str">
        <f>'Ingest Template'!B595&amp;IF('Ingest Template'!A595 = "Standard", " - DAR","")</f>
        <v/>
      </c>
      <c r="C595" s="26" t="s">
        <v>109</v>
      </c>
      <c r="D595" s="29" t="str">
        <f t="array" ref="D595">CONCATENATE(INDEX(DropDown!$H$2:$H$10,MATCH(1,COUNTIF('Ingest Template'!F595,"*"&amp;DropDown!$H$2:$H$10&amp;"*"),0)),CHAR(10),'Ingest Template'!G595)</f>
        <v>#N/A</v>
      </c>
      <c r="E595" s="21" t="str">
        <f>CONCATENATE('Ingest Template'!H595,CHAR(10),'Ingest Template'!I595,CHAR(10),'Ingest Template'!J595)</f>
        <v>
</v>
      </c>
      <c r="F595" s="26" t="str">
        <f>'Ingest Template'!H595</f>
        <v/>
      </c>
      <c r="G595" s="21"/>
      <c r="H595" s="29"/>
      <c r="I595" s="21"/>
      <c r="J595" s="29" t="str">
        <f t="array" ref="J595">iF('Ingest Template'!A595="Standard","Pristine Brand",INDEX(DropDown!$M$2:$M$392,MATCH('Ingest Template'!E595,DropDown!$J$2:$J$392,0)))</f>
        <v>#N/A</v>
      </c>
      <c r="K595" s="21" t="str">
        <f>iF('Ingest Template'!A595="Standard",'Ingest Template'!K595&amp;CHAR(10)&amp;'Ingest Template'!L595,"Competitive View")</f>
        <v>Competitive View</v>
      </c>
      <c r="L595" s="29" t="s">
        <v>146</v>
      </c>
      <c r="M595" s="37" t="str">
        <f>'Ingest Template'!D595</f>
        <v/>
      </c>
      <c r="N595" s="21"/>
      <c r="O595" s="21"/>
      <c r="P595" s="21"/>
      <c r="Q595" s="21"/>
      <c r="R595" s="21" t="str">
        <f>'Ingest Template'!E595</f>
        <v/>
      </c>
      <c r="S595" s="29" t="s">
        <v>153</v>
      </c>
      <c r="T595" s="21" t="str">
        <f>'Ingest Template'!T595</f>
        <v/>
      </c>
      <c r="U595" s="21" t="str">
        <f>'Ingest Template'!S595</f>
        <v/>
      </c>
      <c r="V595" s="21" t="str">
        <f>LOWER(SUBSTITUTE(SUBSTITUTE(SUBSTITUTE(SUBSTITUTE(SUBSTITUTE('Ingest Template'!U595,"https:",""),"www.",""),"/",""),"?hl=en",""),"instagram.com",""))</f>
        <v/>
      </c>
      <c r="W595" s="41" t="str">
        <f t="array" ref="W595">IF('Ingest Template'!V595="",(INDEX(DropDown!$L$2:$L$392,MATCH('Ingest Template'!E595,DropDown!$J$2:$J$392,0))&amp;"|"&amp;'Ingest Template'!B595),(INDEX(DropDown!$L$2:$L$392,MATCH('Ingest Template'!E595,DropDown!$J$2:$J$392,0))&amp;"|"&amp;'Ingest Template'!B595)&amp;CHAR(10)&amp;'Ingest Template'!V595)</f>
        <v>#N/A</v>
      </c>
      <c r="X595" s="41" t="str">
        <f>'Ingest Template'!W595</f>
        <v/>
      </c>
      <c r="Y595" s="21" t="str">
        <f>SUBSTITUTE(SUBSTITUTE(SUBSTITUTE('Ingest Template'!X595,"http:",""),"https:",""),"/","")</f>
        <v/>
      </c>
      <c r="Z595" s="21" t="str">
        <f t="array" ref="Z595">IF('Ingest Template'!A595="Standard",(IF(ISBLANK('Ingest Template'!AA595),"", 'Ingest Template'!AA595&amp;"|DAR")),(IF(ISBLANK('Ingest Template'!AA595),"", 'Ingest Template'!AA595&amp;"|Film Ops")))</f>
        <v/>
      </c>
      <c r="AA595" s="21"/>
      <c r="AB595" s="21" t="str">
        <f>'Ingest Template'!M595</f>
        <v/>
      </c>
      <c r="AC595" s="21" t="str">
        <f>'Ingest Template'!Y595</f>
        <v/>
      </c>
      <c r="AD595" s="21" t="str">
        <f>'Ingest Template'!C595</f>
        <v/>
      </c>
      <c r="AE595" s="21" t="str">
        <f>'Ingest Template'!Z595</f>
        <v/>
      </c>
      <c r="AF595" s="29"/>
      <c r="AG595" s="21" t="str">
        <f t="array" ref="AG595">IF('Ingest Template'!A595="Standard",(CONCATENATE(IF(ISBLANK('Ingest Template'!O595),"", 'Ingest Template'!O595&amp;"|DAR"),CHAR(10), IF(ISBLANK('Ingest Template'!P595),"", 'Ingest Template'!P595&amp;"|DAR"),CHAR(10), IF(ISBLANK('Ingest Template'!Q595),"", 'Ingest Template'!Q595&amp;"|DAR"))),(CONCATENATE(IF(ISBLANK('Ingest Template'!O595),"", 'Ingest Template'!O595&amp;"|Operations - Core Title"),CHAR(10), IF(ISBLANK('Ingest Template'!P595),"", 'Ingest Template'!P595&amp;"|Operations - Core Title"),CHAR(10), IF(ISBLANK('Ingest Template'!Q595),"", 'Ingest Template'!Q595&amp;"|Operations - Core Title"))))</f>
        <v>#|Operations - Core Title
#|Operations - Core Title
</v>
      </c>
      <c r="AH595" s="21"/>
      <c r="AI595" s="21"/>
      <c r="AJ595" s="53" t="str">
        <f>if('Ingest Template'!A595="Standard",'Ingest Template'!N595&amp; "|DAR|DAR|2021-01-01",'Ingest Template'!N595&amp; "|Operations - Core Title|Operations - Core Title")</f>
        <v>#N/A</v>
      </c>
      <c r="AK595" s="53" t="str">
        <f>if('Ingest Template'!A595="Standard",'Ingest Template'!R595&amp; "|2021-01-01",'Ingest Template'!R595)</f>
        <v>#N/A</v>
      </c>
      <c r="AL595" s="21"/>
      <c r="AM595" s="21"/>
    </row>
    <row r="596">
      <c r="A596" s="21"/>
      <c r="B596" s="21" t="str">
        <f>'Ingest Template'!B596&amp;IF('Ingest Template'!A596 = "Standard", " - DAR","")</f>
        <v/>
      </c>
      <c r="C596" s="26" t="s">
        <v>109</v>
      </c>
      <c r="D596" s="29" t="str">
        <f t="array" ref="D596">CONCATENATE(INDEX(DropDown!$H$2:$H$10,MATCH(1,COUNTIF('Ingest Template'!F596,"*"&amp;DropDown!$H$2:$H$10&amp;"*"),0)),CHAR(10),'Ingest Template'!G596)</f>
        <v>#N/A</v>
      </c>
      <c r="E596" s="21" t="str">
        <f>CONCATENATE('Ingest Template'!H596,CHAR(10),'Ingest Template'!I596,CHAR(10),'Ingest Template'!J596)</f>
        <v>
</v>
      </c>
      <c r="F596" s="26" t="str">
        <f>'Ingest Template'!H596</f>
        <v/>
      </c>
      <c r="G596" s="21"/>
      <c r="H596" s="29"/>
      <c r="I596" s="21"/>
      <c r="J596" s="29" t="str">
        <f t="array" ref="J596">iF('Ingest Template'!A596="Standard","Pristine Brand",INDEX(DropDown!$M$2:$M$392,MATCH('Ingest Template'!E596,DropDown!$J$2:$J$392,0)))</f>
        <v>#N/A</v>
      </c>
      <c r="K596" s="21" t="str">
        <f>iF('Ingest Template'!A596="Standard",'Ingest Template'!K596&amp;CHAR(10)&amp;'Ingest Template'!L596,"Competitive View")</f>
        <v>Competitive View</v>
      </c>
      <c r="L596" s="29" t="s">
        <v>146</v>
      </c>
      <c r="M596" s="37" t="str">
        <f>'Ingest Template'!D596</f>
        <v/>
      </c>
      <c r="N596" s="21"/>
      <c r="O596" s="21"/>
      <c r="P596" s="21"/>
      <c r="Q596" s="21"/>
      <c r="R596" s="21" t="str">
        <f>'Ingest Template'!E596</f>
        <v/>
      </c>
      <c r="S596" s="29" t="s">
        <v>153</v>
      </c>
      <c r="T596" s="21" t="str">
        <f>'Ingest Template'!T596</f>
        <v/>
      </c>
      <c r="U596" s="21" t="str">
        <f>'Ingest Template'!S596</f>
        <v/>
      </c>
      <c r="V596" s="21" t="str">
        <f>LOWER(SUBSTITUTE(SUBSTITUTE(SUBSTITUTE(SUBSTITUTE(SUBSTITUTE('Ingest Template'!U596,"https:",""),"www.",""),"/",""),"?hl=en",""),"instagram.com",""))</f>
        <v/>
      </c>
      <c r="W596" s="41" t="str">
        <f t="array" ref="W596">IF('Ingest Template'!V596="",(INDEX(DropDown!$L$2:$L$392,MATCH('Ingest Template'!E596,DropDown!$J$2:$J$392,0))&amp;"|"&amp;'Ingest Template'!B596),(INDEX(DropDown!$L$2:$L$392,MATCH('Ingest Template'!E596,DropDown!$J$2:$J$392,0))&amp;"|"&amp;'Ingest Template'!B596)&amp;CHAR(10)&amp;'Ingest Template'!V596)</f>
        <v>#N/A</v>
      </c>
      <c r="X596" s="41" t="str">
        <f>'Ingest Template'!W596</f>
        <v/>
      </c>
      <c r="Y596" s="21" t="str">
        <f>SUBSTITUTE(SUBSTITUTE(SUBSTITUTE('Ingest Template'!X596,"http:",""),"https:",""),"/","")</f>
        <v/>
      </c>
      <c r="Z596" s="21" t="str">
        <f t="array" ref="Z596">IF('Ingest Template'!A596="Standard",(IF(ISBLANK('Ingest Template'!AA596),"", 'Ingest Template'!AA596&amp;"|DAR")),(IF(ISBLANK('Ingest Template'!AA596),"", 'Ingest Template'!AA596&amp;"|Film Ops")))</f>
        <v/>
      </c>
      <c r="AA596" s="21"/>
      <c r="AB596" s="21" t="str">
        <f>'Ingest Template'!M596</f>
        <v/>
      </c>
      <c r="AC596" s="21" t="str">
        <f>'Ingest Template'!Y596</f>
        <v/>
      </c>
      <c r="AD596" s="21" t="str">
        <f>'Ingest Template'!C596</f>
        <v/>
      </c>
      <c r="AE596" s="21" t="str">
        <f>'Ingest Template'!Z596</f>
        <v/>
      </c>
      <c r="AF596" s="29"/>
      <c r="AG596" s="21" t="str">
        <f t="array" ref="AG596">IF('Ingest Template'!A596="Standard",(CONCATENATE(IF(ISBLANK('Ingest Template'!O596),"", 'Ingest Template'!O596&amp;"|DAR"),CHAR(10), IF(ISBLANK('Ingest Template'!P596),"", 'Ingest Template'!P596&amp;"|DAR"),CHAR(10), IF(ISBLANK('Ingest Template'!Q596),"", 'Ingest Template'!Q596&amp;"|DAR"))),(CONCATENATE(IF(ISBLANK('Ingest Template'!O596),"", 'Ingest Template'!O596&amp;"|Operations - Core Title"),CHAR(10), IF(ISBLANK('Ingest Template'!P596),"", 'Ingest Template'!P596&amp;"|Operations - Core Title"),CHAR(10), IF(ISBLANK('Ingest Template'!Q596),"", 'Ingest Template'!Q596&amp;"|Operations - Core Title"))))</f>
        <v>#|Operations - Core Title
#|Operations - Core Title
</v>
      </c>
      <c r="AH596" s="21"/>
      <c r="AI596" s="21"/>
      <c r="AJ596" s="53" t="str">
        <f>if('Ingest Template'!A596="Standard",'Ingest Template'!N596&amp; "|DAR|DAR|2021-01-01",'Ingest Template'!N596&amp; "|Operations - Core Title|Operations - Core Title")</f>
        <v>#N/A</v>
      </c>
      <c r="AK596" s="53" t="str">
        <f>if('Ingest Template'!A596="Standard",'Ingest Template'!R596&amp; "|2021-01-01",'Ingest Template'!R596)</f>
        <v>#N/A</v>
      </c>
      <c r="AL596" s="21"/>
      <c r="AM596" s="21"/>
    </row>
    <row r="597">
      <c r="A597" s="21"/>
      <c r="B597" s="21" t="str">
        <f>'Ingest Template'!B597&amp;IF('Ingest Template'!A597 = "Standard", " - DAR","")</f>
        <v/>
      </c>
      <c r="C597" s="26" t="s">
        <v>109</v>
      </c>
      <c r="D597" s="29" t="str">
        <f t="array" ref="D597">CONCATENATE(INDEX(DropDown!$H$2:$H$10,MATCH(1,COUNTIF('Ingest Template'!F597,"*"&amp;DropDown!$H$2:$H$10&amp;"*"),0)),CHAR(10),'Ingest Template'!G597)</f>
        <v>#N/A</v>
      </c>
      <c r="E597" s="21" t="str">
        <f>CONCATENATE('Ingest Template'!H597,CHAR(10),'Ingest Template'!I597,CHAR(10),'Ingest Template'!J597)</f>
        <v>
</v>
      </c>
      <c r="F597" s="26" t="str">
        <f>'Ingest Template'!H597</f>
        <v/>
      </c>
      <c r="G597" s="21"/>
      <c r="H597" s="29"/>
      <c r="I597" s="21"/>
      <c r="J597" s="29" t="str">
        <f t="array" ref="J597">iF('Ingest Template'!A597="Standard","Pristine Brand",INDEX(DropDown!$M$2:$M$392,MATCH('Ingest Template'!E597,DropDown!$J$2:$J$392,0)))</f>
        <v>#N/A</v>
      </c>
      <c r="K597" s="21" t="str">
        <f>iF('Ingest Template'!A597="Standard",'Ingest Template'!K597&amp;CHAR(10)&amp;'Ingest Template'!L597,"Competitive View")</f>
        <v>Competitive View</v>
      </c>
      <c r="L597" s="29" t="s">
        <v>146</v>
      </c>
      <c r="M597" s="37" t="str">
        <f>'Ingest Template'!D597</f>
        <v/>
      </c>
      <c r="N597" s="21"/>
      <c r="O597" s="21"/>
      <c r="P597" s="21"/>
      <c r="Q597" s="21"/>
      <c r="R597" s="21" t="str">
        <f>'Ingest Template'!E597</f>
        <v/>
      </c>
      <c r="S597" s="29" t="s">
        <v>153</v>
      </c>
      <c r="T597" s="21" t="str">
        <f>'Ingest Template'!T597</f>
        <v/>
      </c>
      <c r="U597" s="21" t="str">
        <f>'Ingest Template'!S597</f>
        <v/>
      </c>
      <c r="V597" s="21" t="str">
        <f>LOWER(SUBSTITUTE(SUBSTITUTE(SUBSTITUTE(SUBSTITUTE(SUBSTITUTE('Ingest Template'!U597,"https:",""),"www.",""),"/",""),"?hl=en",""),"instagram.com",""))</f>
        <v/>
      </c>
      <c r="W597" s="41" t="str">
        <f t="array" ref="W597">IF('Ingest Template'!V597="",(INDEX(DropDown!$L$2:$L$392,MATCH('Ingest Template'!E597,DropDown!$J$2:$J$392,0))&amp;"|"&amp;'Ingest Template'!B597),(INDEX(DropDown!$L$2:$L$392,MATCH('Ingest Template'!E597,DropDown!$J$2:$J$392,0))&amp;"|"&amp;'Ingest Template'!B597)&amp;CHAR(10)&amp;'Ingest Template'!V597)</f>
        <v>#N/A</v>
      </c>
      <c r="X597" s="41" t="str">
        <f>'Ingest Template'!W597</f>
        <v/>
      </c>
      <c r="Y597" s="21" t="str">
        <f>SUBSTITUTE(SUBSTITUTE(SUBSTITUTE('Ingest Template'!X597,"http:",""),"https:",""),"/","")</f>
        <v/>
      </c>
      <c r="Z597" s="21" t="str">
        <f t="array" ref="Z597">IF('Ingest Template'!A597="Standard",(IF(ISBLANK('Ingest Template'!AA597),"", 'Ingest Template'!AA597&amp;"|DAR")),(IF(ISBLANK('Ingest Template'!AA597),"", 'Ingest Template'!AA597&amp;"|Film Ops")))</f>
        <v/>
      </c>
      <c r="AA597" s="21"/>
      <c r="AB597" s="21" t="str">
        <f>'Ingest Template'!M597</f>
        <v/>
      </c>
      <c r="AC597" s="21" t="str">
        <f>'Ingest Template'!Y597</f>
        <v/>
      </c>
      <c r="AD597" s="21" t="str">
        <f>'Ingest Template'!C597</f>
        <v/>
      </c>
      <c r="AE597" s="21" t="str">
        <f>'Ingest Template'!Z597</f>
        <v/>
      </c>
      <c r="AF597" s="29"/>
      <c r="AG597" s="21" t="str">
        <f t="array" ref="AG597">IF('Ingest Template'!A597="Standard",(CONCATENATE(IF(ISBLANK('Ingest Template'!O597),"", 'Ingest Template'!O597&amp;"|DAR"),CHAR(10), IF(ISBLANK('Ingest Template'!P597),"", 'Ingest Template'!P597&amp;"|DAR"),CHAR(10), IF(ISBLANK('Ingest Template'!Q597),"", 'Ingest Template'!Q597&amp;"|DAR"))),(CONCATENATE(IF(ISBLANK('Ingest Template'!O597),"", 'Ingest Template'!O597&amp;"|Operations - Core Title"),CHAR(10), IF(ISBLANK('Ingest Template'!P597),"", 'Ingest Template'!P597&amp;"|Operations - Core Title"),CHAR(10), IF(ISBLANK('Ingest Template'!Q597),"", 'Ingest Template'!Q597&amp;"|Operations - Core Title"))))</f>
        <v>#|Operations - Core Title
#|Operations - Core Title
</v>
      </c>
      <c r="AH597" s="21"/>
      <c r="AI597" s="21"/>
      <c r="AJ597" s="53" t="str">
        <f>if('Ingest Template'!A597="Standard",'Ingest Template'!N597&amp; "|DAR|DAR|2021-01-01",'Ingest Template'!N597&amp; "|Operations - Core Title|Operations - Core Title")</f>
        <v>#N/A</v>
      </c>
      <c r="AK597" s="53" t="str">
        <f>if('Ingest Template'!A597="Standard",'Ingest Template'!R597&amp; "|2021-01-01",'Ingest Template'!R597)</f>
        <v>#N/A</v>
      </c>
      <c r="AL597" s="21"/>
      <c r="AM597" s="21"/>
    </row>
    <row r="598">
      <c r="A598" s="21"/>
      <c r="B598" s="21" t="str">
        <f>'Ingest Template'!B598&amp;IF('Ingest Template'!A598 = "Standard", " - DAR","")</f>
        <v/>
      </c>
      <c r="C598" s="26" t="s">
        <v>109</v>
      </c>
      <c r="D598" s="29" t="str">
        <f t="array" ref="D598">CONCATENATE(INDEX(DropDown!$H$2:$H$10,MATCH(1,COUNTIF('Ingest Template'!F598,"*"&amp;DropDown!$H$2:$H$10&amp;"*"),0)),CHAR(10),'Ingest Template'!G598)</f>
        <v>#N/A</v>
      </c>
      <c r="E598" s="21" t="str">
        <f>CONCATENATE('Ingest Template'!H598,CHAR(10),'Ingest Template'!I598,CHAR(10),'Ingest Template'!J598)</f>
        <v>
</v>
      </c>
      <c r="F598" s="26" t="str">
        <f>'Ingest Template'!H598</f>
        <v/>
      </c>
      <c r="G598" s="21"/>
      <c r="H598" s="29"/>
      <c r="I598" s="21"/>
      <c r="J598" s="29" t="str">
        <f t="array" ref="J598">iF('Ingest Template'!A598="Standard","Pristine Brand",INDEX(DropDown!$M$2:$M$392,MATCH('Ingest Template'!E598,DropDown!$J$2:$J$392,0)))</f>
        <v>#N/A</v>
      </c>
      <c r="K598" s="21" t="str">
        <f>iF('Ingest Template'!A598="Standard",'Ingest Template'!K598&amp;CHAR(10)&amp;'Ingest Template'!L598,"Competitive View")</f>
        <v>Competitive View</v>
      </c>
      <c r="L598" s="29" t="s">
        <v>146</v>
      </c>
      <c r="M598" s="37" t="str">
        <f>'Ingest Template'!D598</f>
        <v/>
      </c>
      <c r="N598" s="21"/>
      <c r="O598" s="21"/>
      <c r="P598" s="21"/>
      <c r="Q598" s="21"/>
      <c r="R598" s="21" t="str">
        <f>'Ingest Template'!E598</f>
        <v/>
      </c>
      <c r="S598" s="29" t="s">
        <v>153</v>
      </c>
      <c r="T598" s="21" t="str">
        <f>'Ingest Template'!T598</f>
        <v/>
      </c>
      <c r="U598" s="21" t="str">
        <f>'Ingest Template'!S598</f>
        <v/>
      </c>
      <c r="V598" s="21" t="str">
        <f>LOWER(SUBSTITUTE(SUBSTITUTE(SUBSTITUTE(SUBSTITUTE(SUBSTITUTE('Ingest Template'!U598,"https:",""),"www.",""),"/",""),"?hl=en",""),"instagram.com",""))</f>
        <v/>
      </c>
      <c r="W598" s="41" t="str">
        <f t="array" ref="W598">IF('Ingest Template'!V598="",(INDEX(DropDown!$L$2:$L$392,MATCH('Ingest Template'!E598,DropDown!$J$2:$J$392,0))&amp;"|"&amp;'Ingest Template'!B598),(INDEX(DropDown!$L$2:$L$392,MATCH('Ingest Template'!E598,DropDown!$J$2:$J$392,0))&amp;"|"&amp;'Ingest Template'!B598)&amp;CHAR(10)&amp;'Ingest Template'!V598)</f>
        <v>#N/A</v>
      </c>
      <c r="X598" s="41" t="str">
        <f>'Ingest Template'!W598</f>
        <v/>
      </c>
      <c r="Y598" s="21" t="str">
        <f>SUBSTITUTE(SUBSTITUTE(SUBSTITUTE('Ingest Template'!X598,"http:",""),"https:",""),"/","")</f>
        <v/>
      </c>
      <c r="Z598" s="21" t="str">
        <f t="array" ref="Z598">IF('Ingest Template'!A598="Standard",(IF(ISBLANK('Ingest Template'!AA598),"", 'Ingest Template'!AA598&amp;"|DAR")),(IF(ISBLANK('Ingest Template'!AA598),"", 'Ingest Template'!AA598&amp;"|Film Ops")))</f>
        <v/>
      </c>
      <c r="AA598" s="21"/>
      <c r="AB598" s="21" t="str">
        <f>'Ingest Template'!M598</f>
        <v/>
      </c>
      <c r="AC598" s="21" t="str">
        <f>'Ingest Template'!Y598</f>
        <v/>
      </c>
      <c r="AD598" s="21" t="str">
        <f>'Ingest Template'!C598</f>
        <v/>
      </c>
      <c r="AE598" s="21" t="str">
        <f>'Ingest Template'!Z598</f>
        <v/>
      </c>
      <c r="AF598" s="29"/>
      <c r="AG598" s="21" t="str">
        <f t="array" ref="AG598">IF('Ingest Template'!A598="Standard",(CONCATENATE(IF(ISBLANK('Ingest Template'!O598),"", 'Ingest Template'!O598&amp;"|DAR"),CHAR(10), IF(ISBLANK('Ingest Template'!P598),"", 'Ingest Template'!P598&amp;"|DAR"),CHAR(10), IF(ISBLANK('Ingest Template'!Q598),"", 'Ingest Template'!Q598&amp;"|DAR"))),(CONCATENATE(IF(ISBLANK('Ingest Template'!O598),"", 'Ingest Template'!O598&amp;"|Operations - Core Title"),CHAR(10), IF(ISBLANK('Ingest Template'!P598),"", 'Ingest Template'!P598&amp;"|Operations - Core Title"),CHAR(10), IF(ISBLANK('Ingest Template'!Q598),"", 'Ingest Template'!Q598&amp;"|Operations - Core Title"))))</f>
        <v>#|Operations - Core Title
#|Operations - Core Title
</v>
      </c>
      <c r="AH598" s="21"/>
      <c r="AI598" s="21"/>
      <c r="AJ598" s="53" t="str">
        <f>if('Ingest Template'!A598="Standard",'Ingest Template'!N598&amp; "|DAR|DAR|2021-01-01",'Ingest Template'!N598&amp; "|Operations - Core Title|Operations - Core Title")</f>
        <v>#N/A</v>
      </c>
      <c r="AK598" s="53" t="str">
        <f>if('Ingest Template'!A598="Standard",'Ingest Template'!R598&amp; "|2021-01-01",'Ingest Template'!R598)</f>
        <v>#N/A</v>
      </c>
      <c r="AL598" s="21"/>
      <c r="AM598" s="21"/>
    </row>
    <row r="599">
      <c r="A599" s="21"/>
      <c r="B599" s="21" t="str">
        <f>'Ingest Template'!B599&amp;IF('Ingest Template'!A599 = "Standard", " - DAR","")</f>
        <v/>
      </c>
      <c r="C599" s="26" t="s">
        <v>109</v>
      </c>
      <c r="D599" s="29" t="str">
        <f t="array" ref="D599">CONCATENATE(INDEX(DropDown!$H$2:$H$10,MATCH(1,COUNTIF('Ingest Template'!F599,"*"&amp;DropDown!$H$2:$H$10&amp;"*"),0)),CHAR(10),'Ingest Template'!G599)</f>
        <v>#N/A</v>
      </c>
      <c r="E599" s="21" t="str">
        <f>CONCATENATE('Ingest Template'!H599,CHAR(10),'Ingest Template'!I599,CHAR(10),'Ingest Template'!J599)</f>
        <v>
</v>
      </c>
      <c r="F599" s="26" t="str">
        <f>'Ingest Template'!H599</f>
        <v/>
      </c>
      <c r="G599" s="21"/>
      <c r="H599" s="29"/>
      <c r="I599" s="21"/>
      <c r="J599" s="29" t="str">
        <f t="array" ref="J599">iF('Ingest Template'!A599="Standard","Pristine Brand",INDEX(DropDown!$M$2:$M$392,MATCH('Ingest Template'!E599,DropDown!$J$2:$J$392,0)))</f>
        <v>#N/A</v>
      </c>
      <c r="K599" s="21" t="str">
        <f>iF('Ingest Template'!A599="Standard",'Ingest Template'!K599&amp;CHAR(10)&amp;'Ingest Template'!L599,"Competitive View")</f>
        <v>Competitive View</v>
      </c>
      <c r="L599" s="29" t="s">
        <v>146</v>
      </c>
      <c r="M599" s="37" t="str">
        <f>'Ingest Template'!D599</f>
        <v/>
      </c>
      <c r="N599" s="21"/>
      <c r="O599" s="21"/>
      <c r="P599" s="21"/>
      <c r="Q599" s="21"/>
      <c r="R599" s="21" t="str">
        <f>'Ingest Template'!E599</f>
        <v/>
      </c>
      <c r="S599" s="29" t="s">
        <v>153</v>
      </c>
      <c r="T599" s="21" t="str">
        <f>'Ingest Template'!T599</f>
        <v/>
      </c>
      <c r="U599" s="21" t="str">
        <f>'Ingest Template'!S599</f>
        <v/>
      </c>
      <c r="V599" s="21" t="str">
        <f>LOWER(SUBSTITUTE(SUBSTITUTE(SUBSTITUTE(SUBSTITUTE(SUBSTITUTE('Ingest Template'!U599,"https:",""),"www.",""),"/",""),"?hl=en",""),"instagram.com",""))</f>
        <v/>
      </c>
      <c r="W599" s="41" t="str">
        <f t="array" ref="W599">IF('Ingest Template'!V599="",(INDEX(DropDown!$L$2:$L$392,MATCH('Ingest Template'!E599,DropDown!$J$2:$J$392,0))&amp;"|"&amp;'Ingest Template'!B599),(INDEX(DropDown!$L$2:$L$392,MATCH('Ingest Template'!E599,DropDown!$J$2:$J$392,0))&amp;"|"&amp;'Ingest Template'!B599)&amp;CHAR(10)&amp;'Ingest Template'!V599)</f>
        <v>#N/A</v>
      </c>
      <c r="X599" s="41" t="str">
        <f>'Ingest Template'!W599</f>
        <v/>
      </c>
      <c r="Y599" s="21" t="str">
        <f>SUBSTITUTE(SUBSTITUTE(SUBSTITUTE('Ingest Template'!X599,"http:",""),"https:",""),"/","")</f>
        <v/>
      </c>
      <c r="Z599" s="21" t="str">
        <f t="array" ref="Z599">IF('Ingest Template'!A599="Standard",(IF(ISBLANK('Ingest Template'!AA599),"", 'Ingest Template'!AA599&amp;"|DAR")),(IF(ISBLANK('Ingest Template'!AA599),"", 'Ingest Template'!AA599&amp;"|Film Ops")))</f>
        <v/>
      </c>
      <c r="AA599" s="21"/>
      <c r="AB599" s="21" t="str">
        <f>'Ingest Template'!M599</f>
        <v/>
      </c>
      <c r="AC599" s="21" t="str">
        <f>'Ingest Template'!Y599</f>
        <v/>
      </c>
      <c r="AD599" s="21" t="str">
        <f>'Ingest Template'!C599</f>
        <v/>
      </c>
      <c r="AE599" s="21" t="str">
        <f>'Ingest Template'!Z599</f>
        <v/>
      </c>
      <c r="AF599" s="29"/>
      <c r="AG599" s="21" t="str">
        <f t="array" ref="AG599">IF('Ingest Template'!A599="Standard",(CONCATENATE(IF(ISBLANK('Ingest Template'!O599),"", 'Ingest Template'!O599&amp;"|DAR"),CHAR(10), IF(ISBLANK('Ingest Template'!P599),"", 'Ingest Template'!P599&amp;"|DAR"),CHAR(10), IF(ISBLANK('Ingest Template'!Q599),"", 'Ingest Template'!Q599&amp;"|DAR"))),(CONCATENATE(IF(ISBLANK('Ingest Template'!O599),"", 'Ingest Template'!O599&amp;"|Operations - Core Title"),CHAR(10), IF(ISBLANK('Ingest Template'!P599),"", 'Ingest Template'!P599&amp;"|Operations - Core Title"),CHAR(10), IF(ISBLANK('Ingest Template'!Q599),"", 'Ingest Template'!Q599&amp;"|Operations - Core Title"))))</f>
        <v>#|Operations - Core Title
#|Operations - Core Title
</v>
      </c>
      <c r="AH599" s="21"/>
      <c r="AI599" s="21"/>
      <c r="AJ599" s="53" t="str">
        <f>if('Ingest Template'!A599="Standard",'Ingest Template'!N599&amp; "|DAR|DAR|2021-01-01",'Ingest Template'!N599&amp; "|Operations - Core Title|Operations - Core Title")</f>
        <v>#N/A</v>
      </c>
      <c r="AK599" s="53" t="str">
        <f>if('Ingest Template'!A599="Standard",'Ingest Template'!R599&amp; "|2021-01-01",'Ingest Template'!R599)</f>
        <v>#N/A</v>
      </c>
      <c r="AL599" s="21"/>
      <c r="AM599" s="21"/>
    </row>
    <row r="600">
      <c r="A600" s="21"/>
      <c r="B600" s="21" t="str">
        <f>'Ingest Template'!B600&amp;IF('Ingest Template'!A600 = "Standard", " - DAR","")</f>
        <v/>
      </c>
      <c r="C600" s="26" t="s">
        <v>109</v>
      </c>
      <c r="D600" s="29" t="str">
        <f t="array" ref="D600">CONCATENATE(INDEX(DropDown!$H$2:$H$10,MATCH(1,COUNTIF('Ingest Template'!F600,"*"&amp;DropDown!$H$2:$H$10&amp;"*"),0)),CHAR(10),'Ingest Template'!G600)</f>
        <v>#N/A</v>
      </c>
      <c r="E600" s="21" t="str">
        <f>CONCATENATE('Ingest Template'!H600,CHAR(10),'Ingest Template'!I600,CHAR(10),'Ingest Template'!J600)</f>
        <v>
</v>
      </c>
      <c r="F600" s="26" t="str">
        <f>'Ingest Template'!H600</f>
        <v/>
      </c>
      <c r="G600" s="21"/>
      <c r="H600" s="29"/>
      <c r="I600" s="21"/>
      <c r="J600" s="29" t="str">
        <f t="array" ref="J600">iF('Ingest Template'!A600="Standard","Pristine Brand",INDEX(DropDown!$M$2:$M$392,MATCH('Ingest Template'!E600,DropDown!$J$2:$J$392,0)))</f>
        <v>#N/A</v>
      </c>
      <c r="K600" s="21" t="str">
        <f>iF('Ingest Template'!A600="Standard",'Ingest Template'!K600&amp;CHAR(10)&amp;'Ingest Template'!L600,"Competitive View")</f>
        <v>Competitive View</v>
      </c>
      <c r="L600" s="29" t="s">
        <v>146</v>
      </c>
      <c r="M600" s="37" t="str">
        <f>'Ingest Template'!D600</f>
        <v/>
      </c>
      <c r="N600" s="21"/>
      <c r="O600" s="21"/>
      <c r="P600" s="21"/>
      <c r="Q600" s="21"/>
      <c r="R600" s="21" t="str">
        <f>'Ingest Template'!E600</f>
        <v/>
      </c>
      <c r="S600" s="29" t="s">
        <v>153</v>
      </c>
      <c r="T600" s="21" t="str">
        <f>'Ingest Template'!T600</f>
        <v/>
      </c>
      <c r="U600" s="21" t="str">
        <f>'Ingest Template'!S600</f>
        <v/>
      </c>
      <c r="V600" s="21" t="str">
        <f>LOWER(SUBSTITUTE(SUBSTITUTE(SUBSTITUTE(SUBSTITUTE(SUBSTITUTE('Ingest Template'!U600,"https:",""),"www.",""),"/",""),"?hl=en",""),"instagram.com",""))</f>
        <v/>
      </c>
      <c r="W600" s="41" t="str">
        <f t="array" ref="W600">IF('Ingest Template'!V600="",(INDEX(DropDown!$L$2:$L$392,MATCH('Ingest Template'!E600,DropDown!$J$2:$J$392,0))&amp;"|"&amp;'Ingest Template'!B600),(INDEX(DropDown!$L$2:$L$392,MATCH('Ingest Template'!E600,DropDown!$J$2:$J$392,0))&amp;"|"&amp;'Ingest Template'!B600)&amp;CHAR(10)&amp;'Ingest Template'!V600)</f>
        <v>#N/A</v>
      </c>
      <c r="X600" s="41" t="str">
        <f>'Ingest Template'!W600</f>
        <v/>
      </c>
      <c r="Y600" s="21" t="str">
        <f>SUBSTITUTE(SUBSTITUTE(SUBSTITUTE('Ingest Template'!X600,"http:",""),"https:",""),"/","")</f>
        <v/>
      </c>
      <c r="Z600" s="21" t="str">
        <f t="array" ref="Z600">IF('Ingest Template'!A600="Standard",(IF(ISBLANK('Ingest Template'!AA600),"", 'Ingest Template'!AA600&amp;"|DAR")),(IF(ISBLANK('Ingest Template'!AA600),"", 'Ingest Template'!AA600&amp;"|Film Ops")))</f>
        <v/>
      </c>
      <c r="AA600" s="21"/>
      <c r="AB600" s="21" t="str">
        <f>'Ingest Template'!M600</f>
        <v/>
      </c>
      <c r="AC600" s="21" t="str">
        <f>'Ingest Template'!Y600</f>
        <v/>
      </c>
      <c r="AD600" s="21" t="str">
        <f>'Ingest Template'!C600</f>
        <v/>
      </c>
      <c r="AE600" s="21" t="str">
        <f>'Ingest Template'!Z600</f>
        <v/>
      </c>
      <c r="AF600" s="29"/>
      <c r="AG600" s="21" t="str">
        <f t="array" ref="AG600">IF('Ingest Template'!A600="Standard",(CONCATENATE(IF(ISBLANK('Ingest Template'!O600),"", 'Ingest Template'!O600&amp;"|DAR"),CHAR(10), IF(ISBLANK('Ingest Template'!P600),"", 'Ingest Template'!P600&amp;"|DAR"),CHAR(10), IF(ISBLANK('Ingest Template'!Q600),"", 'Ingest Template'!Q600&amp;"|DAR"))),(CONCATENATE(IF(ISBLANK('Ingest Template'!O600),"", 'Ingest Template'!O600&amp;"|Operations - Core Title"),CHAR(10), IF(ISBLANK('Ingest Template'!P600),"", 'Ingest Template'!P600&amp;"|Operations - Core Title"),CHAR(10), IF(ISBLANK('Ingest Template'!Q600),"", 'Ingest Template'!Q600&amp;"|Operations - Core Title"))))</f>
        <v>#|Operations - Core Title
#|Operations - Core Title
</v>
      </c>
      <c r="AH600" s="21"/>
      <c r="AI600" s="21"/>
      <c r="AJ600" s="53" t="str">
        <f>if('Ingest Template'!A600="Standard",'Ingest Template'!N600&amp; "|DAR|DAR|2021-01-01",'Ingest Template'!N600&amp; "|Operations - Core Title|Operations - Core Title")</f>
        <v>#N/A</v>
      </c>
      <c r="AK600" s="53" t="str">
        <f>if('Ingest Template'!A600="Standard",'Ingest Template'!R600&amp; "|2021-01-01",'Ingest Template'!R600)</f>
        <v>#N/A</v>
      </c>
      <c r="AL600" s="21"/>
      <c r="AM600" s="21"/>
    </row>
    <row r="601">
      <c r="A601" s="21"/>
      <c r="B601" s="21" t="str">
        <f>'Ingest Template'!B601&amp;IF('Ingest Template'!A601 = "Standard", " - DAR","")</f>
        <v/>
      </c>
      <c r="C601" s="26" t="s">
        <v>109</v>
      </c>
      <c r="D601" s="29" t="str">
        <f t="array" ref="D601">CONCATENATE(INDEX(DropDown!$H$2:$H$10,MATCH(1,COUNTIF('Ingest Template'!F601,"*"&amp;DropDown!$H$2:$H$10&amp;"*"),0)),CHAR(10),'Ingest Template'!G601)</f>
        <v>#N/A</v>
      </c>
      <c r="E601" s="21" t="str">
        <f>CONCATENATE('Ingest Template'!H601,CHAR(10),'Ingest Template'!I601,CHAR(10),'Ingest Template'!J601)</f>
        <v>
</v>
      </c>
      <c r="F601" s="26" t="str">
        <f>'Ingest Template'!H601</f>
        <v/>
      </c>
      <c r="G601" s="21"/>
      <c r="H601" s="29"/>
      <c r="I601" s="21"/>
      <c r="J601" s="29" t="str">
        <f t="array" ref="J601">iF('Ingest Template'!A601="Standard","Pristine Brand",INDEX(DropDown!$M$2:$M$392,MATCH('Ingest Template'!E601,DropDown!$J$2:$J$392,0)))</f>
        <v>#N/A</v>
      </c>
      <c r="K601" s="21" t="str">
        <f>iF('Ingest Template'!A601="Standard",'Ingest Template'!K601&amp;CHAR(10)&amp;'Ingest Template'!L601,"Competitive View")</f>
        <v>Competitive View</v>
      </c>
      <c r="L601" s="29" t="s">
        <v>146</v>
      </c>
      <c r="M601" s="37" t="str">
        <f>'Ingest Template'!D601</f>
        <v/>
      </c>
      <c r="N601" s="21"/>
      <c r="O601" s="21"/>
      <c r="P601" s="21"/>
      <c r="Q601" s="21"/>
      <c r="R601" s="21" t="str">
        <f>'Ingest Template'!E601</f>
        <v/>
      </c>
      <c r="S601" s="29" t="s">
        <v>153</v>
      </c>
      <c r="T601" s="21" t="str">
        <f>'Ingest Template'!T601</f>
        <v/>
      </c>
      <c r="U601" s="21" t="str">
        <f>'Ingest Template'!S601</f>
        <v/>
      </c>
      <c r="V601" s="21" t="str">
        <f>LOWER(SUBSTITUTE(SUBSTITUTE(SUBSTITUTE(SUBSTITUTE(SUBSTITUTE('Ingest Template'!U601,"https:",""),"www.",""),"/",""),"?hl=en",""),"instagram.com",""))</f>
        <v/>
      </c>
      <c r="W601" s="41" t="str">
        <f t="array" ref="W601">IF('Ingest Template'!V601="",(INDEX(DropDown!$L$2:$L$392,MATCH('Ingest Template'!E601,DropDown!$J$2:$J$392,0))&amp;"|"&amp;'Ingest Template'!B601),(INDEX(DropDown!$L$2:$L$392,MATCH('Ingest Template'!E601,DropDown!$J$2:$J$392,0))&amp;"|"&amp;'Ingest Template'!B601)&amp;CHAR(10)&amp;'Ingest Template'!V601)</f>
        <v>#N/A</v>
      </c>
      <c r="X601" s="41" t="str">
        <f>'Ingest Template'!W601</f>
        <v/>
      </c>
      <c r="Y601" s="21" t="str">
        <f>SUBSTITUTE(SUBSTITUTE(SUBSTITUTE('Ingest Template'!X601,"http:",""),"https:",""),"/","")</f>
        <v/>
      </c>
      <c r="Z601" s="21" t="str">
        <f t="array" ref="Z601">IF('Ingest Template'!A601="Standard",(IF(ISBLANK('Ingest Template'!AA601),"", 'Ingest Template'!AA601&amp;"|DAR")),(IF(ISBLANK('Ingest Template'!AA601),"", 'Ingest Template'!AA601&amp;"|Film Ops")))</f>
        <v/>
      </c>
      <c r="AA601" s="21"/>
      <c r="AB601" s="21" t="str">
        <f>'Ingest Template'!M601</f>
        <v/>
      </c>
      <c r="AC601" s="21" t="str">
        <f>'Ingest Template'!Y601</f>
        <v/>
      </c>
      <c r="AD601" s="21" t="str">
        <f>'Ingest Template'!C601</f>
        <v/>
      </c>
      <c r="AE601" s="21" t="str">
        <f>'Ingest Template'!Z601</f>
        <v/>
      </c>
      <c r="AF601" s="29"/>
      <c r="AG601" s="21" t="str">
        <f t="array" ref="AG601">IF('Ingest Template'!A601="Standard",(CONCATENATE(IF(ISBLANK('Ingest Template'!O601),"", 'Ingest Template'!O601&amp;"|DAR"),CHAR(10), IF(ISBLANK('Ingest Template'!P601),"", 'Ingest Template'!P601&amp;"|DAR"),CHAR(10), IF(ISBLANK('Ingest Template'!Q601),"", 'Ingest Template'!Q601&amp;"|DAR"))),(CONCATENATE(IF(ISBLANK('Ingest Template'!O601),"", 'Ingest Template'!O601&amp;"|Operations - Core Title"),CHAR(10), IF(ISBLANK('Ingest Template'!P601),"", 'Ingest Template'!P601&amp;"|Operations - Core Title"),CHAR(10), IF(ISBLANK('Ingest Template'!Q601),"", 'Ingest Template'!Q601&amp;"|Operations - Core Title"))))</f>
        <v>#|Operations - Core Title
#|Operations - Core Title
</v>
      </c>
      <c r="AH601" s="21"/>
      <c r="AI601" s="21"/>
      <c r="AJ601" s="53" t="str">
        <f>if('Ingest Template'!A601="Standard",'Ingest Template'!N601&amp; "|DAR|DAR|2021-01-01",'Ingest Template'!N601&amp; "|Operations - Core Title|Operations - Core Title")</f>
        <v>#N/A</v>
      </c>
      <c r="AK601" s="53" t="str">
        <f>if('Ingest Template'!A601="Standard",'Ingest Template'!R601&amp; "|2021-01-01",'Ingest Template'!R601)</f>
        <v>#N/A</v>
      </c>
      <c r="AL601" s="21"/>
      <c r="AM601" s="21"/>
    </row>
    <row r="602">
      <c r="A602" s="21"/>
      <c r="B602" s="21" t="str">
        <f>'Ingest Template'!B602&amp;IF('Ingest Template'!A602 = "Standard", " - DAR","")</f>
        <v/>
      </c>
      <c r="C602" s="26" t="s">
        <v>109</v>
      </c>
      <c r="D602" s="29" t="str">
        <f t="array" ref="D602">CONCATENATE(INDEX(DropDown!$H$2:$H$10,MATCH(1,COUNTIF('Ingest Template'!F602,"*"&amp;DropDown!$H$2:$H$10&amp;"*"),0)),CHAR(10),'Ingest Template'!G602)</f>
        <v>#N/A</v>
      </c>
      <c r="E602" s="21" t="str">
        <f>CONCATENATE('Ingest Template'!H602,CHAR(10),'Ingest Template'!I602,CHAR(10),'Ingest Template'!J602)</f>
        <v>
</v>
      </c>
      <c r="F602" s="26" t="str">
        <f>'Ingest Template'!H602</f>
        <v/>
      </c>
      <c r="G602" s="21"/>
      <c r="H602" s="29"/>
      <c r="I602" s="21"/>
      <c r="J602" s="29" t="str">
        <f t="array" ref="J602">iF('Ingest Template'!A602="Standard","Pristine Brand",INDEX(DropDown!$M$2:$M$392,MATCH('Ingest Template'!E602,DropDown!$J$2:$J$392,0)))</f>
        <v>#N/A</v>
      </c>
      <c r="K602" s="21" t="str">
        <f>iF('Ingest Template'!A602="Standard",'Ingest Template'!K602&amp;CHAR(10)&amp;'Ingest Template'!L602,"Competitive View")</f>
        <v>Competitive View</v>
      </c>
      <c r="L602" s="29" t="s">
        <v>146</v>
      </c>
      <c r="M602" s="37" t="str">
        <f>'Ingest Template'!D602</f>
        <v/>
      </c>
      <c r="N602" s="21"/>
      <c r="O602" s="21"/>
      <c r="P602" s="21"/>
      <c r="Q602" s="21"/>
      <c r="R602" s="21" t="str">
        <f>'Ingest Template'!E602</f>
        <v/>
      </c>
      <c r="S602" s="29" t="s">
        <v>153</v>
      </c>
      <c r="T602" s="21" t="str">
        <f>'Ingest Template'!T602</f>
        <v/>
      </c>
      <c r="U602" s="21" t="str">
        <f>'Ingest Template'!S602</f>
        <v/>
      </c>
      <c r="V602" s="21" t="str">
        <f>LOWER(SUBSTITUTE(SUBSTITUTE(SUBSTITUTE(SUBSTITUTE(SUBSTITUTE('Ingest Template'!U602,"https:",""),"www.",""),"/",""),"?hl=en",""),"instagram.com",""))</f>
        <v/>
      </c>
      <c r="W602" s="41" t="str">
        <f t="array" ref="W602">IF('Ingest Template'!V602="",(INDEX(DropDown!$L$2:$L$392,MATCH('Ingest Template'!E602,DropDown!$J$2:$J$392,0))&amp;"|"&amp;'Ingest Template'!B602),(INDEX(DropDown!$L$2:$L$392,MATCH('Ingest Template'!E602,DropDown!$J$2:$J$392,0))&amp;"|"&amp;'Ingest Template'!B602)&amp;CHAR(10)&amp;'Ingest Template'!V602)</f>
        <v>#N/A</v>
      </c>
      <c r="X602" s="41" t="str">
        <f>'Ingest Template'!W602</f>
        <v/>
      </c>
      <c r="Y602" s="21" t="str">
        <f>SUBSTITUTE(SUBSTITUTE(SUBSTITUTE('Ingest Template'!X602,"http:",""),"https:",""),"/","")</f>
        <v/>
      </c>
      <c r="Z602" s="21" t="str">
        <f t="array" ref="Z602">IF('Ingest Template'!A602="Standard",(IF(ISBLANK('Ingest Template'!AA602),"", 'Ingest Template'!AA602&amp;"|DAR")),(IF(ISBLANK('Ingest Template'!AA602),"", 'Ingest Template'!AA602&amp;"|Film Ops")))</f>
        <v/>
      </c>
      <c r="AA602" s="21"/>
      <c r="AB602" s="21" t="str">
        <f>'Ingest Template'!M602</f>
        <v/>
      </c>
      <c r="AC602" s="21" t="str">
        <f>'Ingest Template'!Y602</f>
        <v/>
      </c>
      <c r="AD602" s="21" t="str">
        <f>'Ingest Template'!C602</f>
        <v/>
      </c>
      <c r="AE602" s="21" t="str">
        <f>'Ingest Template'!Z602</f>
        <v/>
      </c>
      <c r="AF602" s="29"/>
      <c r="AG602" s="21" t="str">
        <f t="array" ref="AG602">IF('Ingest Template'!A602="Standard",(CONCATENATE(IF(ISBLANK('Ingest Template'!O602),"", 'Ingest Template'!O602&amp;"|DAR"),CHAR(10), IF(ISBLANK('Ingest Template'!P602),"", 'Ingest Template'!P602&amp;"|DAR"),CHAR(10), IF(ISBLANK('Ingest Template'!Q602),"", 'Ingest Template'!Q602&amp;"|DAR"))),(CONCATENATE(IF(ISBLANK('Ingest Template'!O602),"", 'Ingest Template'!O602&amp;"|Operations - Core Title"),CHAR(10), IF(ISBLANK('Ingest Template'!P602),"", 'Ingest Template'!P602&amp;"|Operations - Core Title"),CHAR(10), IF(ISBLANK('Ingest Template'!Q602),"", 'Ingest Template'!Q602&amp;"|Operations - Core Title"))))</f>
        <v>#|Operations - Core Title
#|Operations - Core Title
</v>
      </c>
      <c r="AH602" s="21"/>
      <c r="AI602" s="21"/>
      <c r="AJ602" s="53" t="str">
        <f>if('Ingest Template'!A602="Standard",'Ingest Template'!N602&amp; "|DAR|DAR|2021-01-01",'Ingest Template'!N602&amp; "|Operations - Core Title|Operations - Core Title")</f>
        <v>#N/A</v>
      </c>
      <c r="AK602" s="53" t="str">
        <f>if('Ingest Template'!A602="Standard",'Ingest Template'!R602&amp; "|2021-01-01",'Ingest Template'!R602)</f>
        <v>#N/A</v>
      </c>
      <c r="AL602" s="21"/>
      <c r="AM602" s="21"/>
    </row>
    <row r="603">
      <c r="A603" s="21"/>
      <c r="B603" s="21" t="str">
        <f>'Ingest Template'!B603&amp;IF('Ingest Template'!A603 = "Standard", " - DAR","")</f>
        <v/>
      </c>
      <c r="C603" s="26" t="s">
        <v>109</v>
      </c>
      <c r="D603" s="29" t="str">
        <f t="array" ref="D603">CONCATENATE(INDEX(DropDown!$H$2:$H$10,MATCH(1,COUNTIF('Ingest Template'!F603,"*"&amp;DropDown!$H$2:$H$10&amp;"*"),0)),CHAR(10),'Ingest Template'!G603)</f>
        <v>#N/A</v>
      </c>
      <c r="E603" s="21" t="str">
        <f>CONCATENATE('Ingest Template'!H603,CHAR(10),'Ingest Template'!I603,CHAR(10),'Ingest Template'!J603)</f>
        <v>
</v>
      </c>
      <c r="F603" s="26" t="str">
        <f>'Ingest Template'!H603</f>
        <v/>
      </c>
      <c r="G603" s="21"/>
      <c r="H603" s="29"/>
      <c r="I603" s="21"/>
      <c r="J603" s="29" t="str">
        <f t="array" ref="J603">iF('Ingest Template'!A603="Standard","Pristine Brand",INDEX(DropDown!$M$2:$M$392,MATCH('Ingest Template'!E603,DropDown!$J$2:$J$392,0)))</f>
        <v>#N/A</v>
      </c>
      <c r="K603" s="21" t="str">
        <f>iF('Ingest Template'!A603="Standard",'Ingest Template'!K603&amp;CHAR(10)&amp;'Ingest Template'!L603,"Competitive View")</f>
        <v>Competitive View</v>
      </c>
      <c r="L603" s="29" t="s">
        <v>146</v>
      </c>
      <c r="M603" s="37" t="str">
        <f>'Ingest Template'!D603</f>
        <v/>
      </c>
      <c r="N603" s="21"/>
      <c r="O603" s="21"/>
      <c r="P603" s="21"/>
      <c r="Q603" s="21"/>
      <c r="R603" s="21" t="str">
        <f>'Ingest Template'!E603</f>
        <v/>
      </c>
      <c r="S603" s="29" t="s">
        <v>153</v>
      </c>
      <c r="T603" s="21" t="str">
        <f>'Ingest Template'!T603</f>
        <v/>
      </c>
      <c r="U603" s="21" t="str">
        <f>'Ingest Template'!S603</f>
        <v/>
      </c>
      <c r="V603" s="21" t="str">
        <f>LOWER(SUBSTITUTE(SUBSTITUTE(SUBSTITUTE(SUBSTITUTE(SUBSTITUTE('Ingest Template'!U603,"https:",""),"www.",""),"/",""),"?hl=en",""),"instagram.com",""))</f>
        <v/>
      </c>
      <c r="W603" s="41" t="str">
        <f t="array" ref="W603">IF('Ingest Template'!V603="",(INDEX(DropDown!$L$2:$L$392,MATCH('Ingest Template'!E603,DropDown!$J$2:$J$392,0))&amp;"|"&amp;'Ingest Template'!B603),(INDEX(DropDown!$L$2:$L$392,MATCH('Ingest Template'!E603,DropDown!$J$2:$J$392,0))&amp;"|"&amp;'Ingest Template'!B603)&amp;CHAR(10)&amp;'Ingest Template'!V603)</f>
        <v>#N/A</v>
      </c>
      <c r="X603" s="41" t="str">
        <f>'Ingest Template'!W603</f>
        <v/>
      </c>
      <c r="Y603" s="21" t="str">
        <f>SUBSTITUTE(SUBSTITUTE(SUBSTITUTE('Ingest Template'!X603,"http:",""),"https:",""),"/","")</f>
        <v/>
      </c>
      <c r="Z603" s="21" t="str">
        <f t="array" ref="Z603">IF('Ingest Template'!A603="Standard",(IF(ISBLANK('Ingest Template'!AA603),"", 'Ingest Template'!AA603&amp;"|DAR")),(IF(ISBLANK('Ingest Template'!AA603),"", 'Ingest Template'!AA603&amp;"|Film Ops")))</f>
        <v/>
      </c>
      <c r="AA603" s="21"/>
      <c r="AB603" s="21" t="str">
        <f>'Ingest Template'!M603</f>
        <v/>
      </c>
      <c r="AC603" s="21" t="str">
        <f>'Ingest Template'!Y603</f>
        <v/>
      </c>
      <c r="AD603" s="21" t="str">
        <f>'Ingest Template'!C603</f>
        <v/>
      </c>
      <c r="AE603" s="21" t="str">
        <f>'Ingest Template'!Z603</f>
        <v/>
      </c>
      <c r="AF603" s="29"/>
      <c r="AG603" s="21" t="str">
        <f t="array" ref="AG603">IF('Ingest Template'!A603="Standard",(CONCATENATE(IF(ISBLANK('Ingest Template'!O603),"", 'Ingest Template'!O603&amp;"|DAR"),CHAR(10), IF(ISBLANK('Ingest Template'!P603),"", 'Ingest Template'!P603&amp;"|DAR"),CHAR(10), IF(ISBLANK('Ingest Template'!Q603),"", 'Ingest Template'!Q603&amp;"|DAR"))),(CONCATENATE(IF(ISBLANK('Ingest Template'!O603),"", 'Ingest Template'!O603&amp;"|Operations - Core Title"),CHAR(10), IF(ISBLANK('Ingest Template'!P603),"", 'Ingest Template'!P603&amp;"|Operations - Core Title"),CHAR(10), IF(ISBLANK('Ingest Template'!Q603),"", 'Ingest Template'!Q603&amp;"|Operations - Core Title"))))</f>
        <v>#|Operations - Core Title
#|Operations - Core Title
</v>
      </c>
      <c r="AH603" s="21"/>
      <c r="AI603" s="21"/>
      <c r="AJ603" s="53" t="str">
        <f>if('Ingest Template'!A603="Standard",'Ingest Template'!N603&amp; "|DAR|DAR|2021-01-01",'Ingest Template'!N603&amp; "|Operations - Core Title|Operations - Core Title")</f>
        <v>#N/A</v>
      </c>
      <c r="AK603" s="53" t="str">
        <f>if('Ingest Template'!A603="Standard",'Ingest Template'!R603&amp; "|2021-01-01",'Ingest Template'!R603)</f>
        <v>#N/A</v>
      </c>
      <c r="AL603" s="21"/>
      <c r="AM603" s="21"/>
    </row>
    <row r="604">
      <c r="A604" s="21"/>
      <c r="B604" s="21" t="str">
        <f>'Ingest Template'!B604&amp;IF('Ingest Template'!A604 = "Standard", " - DAR","")</f>
        <v/>
      </c>
      <c r="C604" s="26" t="s">
        <v>109</v>
      </c>
      <c r="D604" s="29" t="str">
        <f t="array" ref="D604">CONCATENATE(INDEX(DropDown!$H$2:$H$10,MATCH(1,COUNTIF('Ingest Template'!F604,"*"&amp;DropDown!$H$2:$H$10&amp;"*"),0)),CHAR(10),'Ingest Template'!G604)</f>
        <v>#N/A</v>
      </c>
      <c r="E604" s="21" t="str">
        <f>CONCATENATE('Ingest Template'!H604,CHAR(10),'Ingest Template'!I604,CHAR(10),'Ingest Template'!J604)</f>
        <v>
</v>
      </c>
      <c r="F604" s="26" t="str">
        <f>'Ingest Template'!H604</f>
        <v/>
      </c>
      <c r="G604" s="21"/>
      <c r="H604" s="29"/>
      <c r="I604" s="21"/>
      <c r="J604" s="29" t="str">
        <f t="array" ref="J604">iF('Ingest Template'!A604="Standard","Pristine Brand",INDEX(DropDown!$M$2:$M$392,MATCH('Ingest Template'!E604,DropDown!$J$2:$J$392,0)))</f>
        <v>#N/A</v>
      </c>
      <c r="K604" s="21" t="str">
        <f>iF('Ingest Template'!A604="Standard",'Ingest Template'!K604&amp;CHAR(10)&amp;'Ingest Template'!L604,"Competitive View")</f>
        <v>Competitive View</v>
      </c>
      <c r="L604" s="29" t="s">
        <v>146</v>
      </c>
      <c r="M604" s="37" t="str">
        <f>'Ingest Template'!D604</f>
        <v/>
      </c>
      <c r="N604" s="21"/>
      <c r="O604" s="21"/>
      <c r="P604" s="21"/>
      <c r="Q604" s="21"/>
      <c r="R604" s="21" t="str">
        <f>'Ingest Template'!E604</f>
        <v/>
      </c>
      <c r="S604" s="29" t="s">
        <v>153</v>
      </c>
      <c r="T604" s="21" t="str">
        <f>'Ingest Template'!T604</f>
        <v/>
      </c>
      <c r="U604" s="21" t="str">
        <f>'Ingest Template'!S604</f>
        <v/>
      </c>
      <c r="V604" s="21" t="str">
        <f>LOWER(SUBSTITUTE(SUBSTITUTE(SUBSTITUTE(SUBSTITUTE(SUBSTITUTE('Ingest Template'!U604,"https:",""),"www.",""),"/",""),"?hl=en",""),"instagram.com",""))</f>
        <v/>
      </c>
      <c r="W604" s="41" t="str">
        <f t="array" ref="W604">IF('Ingest Template'!V604="",(INDEX(DropDown!$L$2:$L$392,MATCH('Ingest Template'!E604,DropDown!$J$2:$J$392,0))&amp;"|"&amp;'Ingest Template'!B604),(INDEX(DropDown!$L$2:$L$392,MATCH('Ingest Template'!E604,DropDown!$J$2:$J$392,0))&amp;"|"&amp;'Ingest Template'!B604)&amp;CHAR(10)&amp;'Ingest Template'!V604)</f>
        <v>#N/A</v>
      </c>
      <c r="X604" s="41" t="str">
        <f>'Ingest Template'!W604</f>
        <v/>
      </c>
      <c r="Y604" s="21" t="str">
        <f>SUBSTITUTE(SUBSTITUTE(SUBSTITUTE('Ingest Template'!X604,"http:",""),"https:",""),"/","")</f>
        <v/>
      </c>
      <c r="Z604" s="21" t="str">
        <f t="array" ref="Z604">IF('Ingest Template'!A604="Standard",(IF(ISBLANK('Ingest Template'!AA604),"", 'Ingest Template'!AA604&amp;"|DAR")),(IF(ISBLANK('Ingest Template'!AA604),"", 'Ingest Template'!AA604&amp;"|Film Ops")))</f>
        <v/>
      </c>
      <c r="AA604" s="21"/>
      <c r="AB604" s="21" t="str">
        <f>'Ingest Template'!M604</f>
        <v/>
      </c>
      <c r="AC604" s="21" t="str">
        <f>'Ingest Template'!Y604</f>
        <v/>
      </c>
      <c r="AD604" s="21" t="str">
        <f>'Ingest Template'!C604</f>
        <v/>
      </c>
      <c r="AE604" s="21" t="str">
        <f>'Ingest Template'!Z604</f>
        <v/>
      </c>
      <c r="AF604" s="29"/>
      <c r="AG604" s="21" t="str">
        <f t="array" ref="AG604">IF('Ingest Template'!A604="Standard",(CONCATENATE(IF(ISBLANK('Ingest Template'!O604),"", 'Ingest Template'!O604&amp;"|DAR"),CHAR(10), IF(ISBLANK('Ingest Template'!P604),"", 'Ingest Template'!P604&amp;"|DAR"),CHAR(10), IF(ISBLANK('Ingest Template'!Q604),"", 'Ingest Template'!Q604&amp;"|DAR"))),(CONCATENATE(IF(ISBLANK('Ingest Template'!O604),"", 'Ingest Template'!O604&amp;"|Operations - Core Title"),CHAR(10), IF(ISBLANK('Ingest Template'!P604),"", 'Ingest Template'!P604&amp;"|Operations - Core Title"),CHAR(10), IF(ISBLANK('Ingest Template'!Q604),"", 'Ingest Template'!Q604&amp;"|Operations - Core Title"))))</f>
        <v>#|Operations - Core Title
#|Operations - Core Title
</v>
      </c>
      <c r="AH604" s="21"/>
      <c r="AI604" s="21"/>
      <c r="AJ604" s="53" t="str">
        <f>if('Ingest Template'!A604="Standard",'Ingest Template'!N604&amp; "|DAR|DAR|2021-01-01",'Ingest Template'!N604&amp; "|Operations - Core Title|Operations - Core Title")</f>
        <v>#N/A</v>
      </c>
      <c r="AK604" s="53" t="str">
        <f>if('Ingest Template'!A604="Standard",'Ingest Template'!R604&amp; "|2021-01-01",'Ingest Template'!R604)</f>
        <v>#N/A</v>
      </c>
      <c r="AL604" s="21"/>
      <c r="AM604" s="21"/>
    </row>
    <row r="605">
      <c r="A605" s="21"/>
      <c r="B605" s="21" t="str">
        <f>'Ingest Template'!B605&amp;IF('Ingest Template'!A605 = "Standard", " - DAR","")</f>
        <v/>
      </c>
      <c r="C605" s="26" t="s">
        <v>109</v>
      </c>
      <c r="D605" s="29" t="str">
        <f t="array" ref="D605">CONCATENATE(INDEX(DropDown!$H$2:$H$10,MATCH(1,COUNTIF('Ingest Template'!F605,"*"&amp;DropDown!$H$2:$H$10&amp;"*"),0)),CHAR(10),'Ingest Template'!G605)</f>
        <v>#N/A</v>
      </c>
      <c r="E605" s="21" t="str">
        <f>CONCATENATE('Ingest Template'!H605,CHAR(10),'Ingest Template'!I605,CHAR(10),'Ingest Template'!J605)</f>
        <v>
</v>
      </c>
      <c r="F605" s="26" t="str">
        <f>'Ingest Template'!H605</f>
        <v/>
      </c>
      <c r="G605" s="21"/>
      <c r="H605" s="29"/>
      <c r="I605" s="21"/>
      <c r="J605" s="29" t="str">
        <f t="array" ref="J605">iF('Ingest Template'!A605="Standard","Pristine Brand",INDEX(DropDown!$M$2:$M$392,MATCH('Ingest Template'!E605,DropDown!$J$2:$J$392,0)))</f>
        <v>#N/A</v>
      </c>
      <c r="K605" s="21" t="str">
        <f>iF('Ingest Template'!A605="Standard",'Ingest Template'!K605&amp;CHAR(10)&amp;'Ingest Template'!L605,"Competitive View")</f>
        <v>Competitive View</v>
      </c>
      <c r="L605" s="29" t="s">
        <v>146</v>
      </c>
      <c r="M605" s="37" t="str">
        <f>'Ingest Template'!D605</f>
        <v/>
      </c>
      <c r="N605" s="21"/>
      <c r="O605" s="21"/>
      <c r="P605" s="21"/>
      <c r="Q605" s="21"/>
      <c r="R605" s="21" t="str">
        <f>'Ingest Template'!E605</f>
        <v/>
      </c>
      <c r="S605" s="29" t="s">
        <v>153</v>
      </c>
      <c r="T605" s="21" t="str">
        <f>'Ingest Template'!T605</f>
        <v/>
      </c>
      <c r="U605" s="21" t="str">
        <f>'Ingest Template'!S605</f>
        <v/>
      </c>
      <c r="V605" s="21" t="str">
        <f>LOWER(SUBSTITUTE(SUBSTITUTE(SUBSTITUTE(SUBSTITUTE(SUBSTITUTE('Ingest Template'!U605,"https:",""),"www.",""),"/",""),"?hl=en",""),"instagram.com",""))</f>
        <v/>
      </c>
      <c r="W605" s="41" t="str">
        <f t="array" ref="W605">IF('Ingest Template'!V605="",(INDEX(DropDown!$L$2:$L$392,MATCH('Ingest Template'!E605,DropDown!$J$2:$J$392,0))&amp;"|"&amp;'Ingest Template'!B605),(INDEX(DropDown!$L$2:$L$392,MATCH('Ingest Template'!E605,DropDown!$J$2:$J$392,0))&amp;"|"&amp;'Ingest Template'!B605)&amp;CHAR(10)&amp;'Ingest Template'!V605)</f>
        <v>#N/A</v>
      </c>
      <c r="X605" s="41" t="str">
        <f>'Ingest Template'!W605</f>
        <v/>
      </c>
      <c r="Y605" s="21" t="str">
        <f>SUBSTITUTE(SUBSTITUTE(SUBSTITUTE('Ingest Template'!X605,"http:",""),"https:",""),"/","")</f>
        <v/>
      </c>
      <c r="Z605" s="21" t="str">
        <f t="array" ref="Z605">IF('Ingest Template'!A605="Standard",(IF(ISBLANK('Ingest Template'!AA605),"", 'Ingest Template'!AA605&amp;"|DAR")),(IF(ISBLANK('Ingest Template'!AA605),"", 'Ingest Template'!AA605&amp;"|Film Ops")))</f>
        <v/>
      </c>
      <c r="AA605" s="21"/>
      <c r="AB605" s="21" t="str">
        <f>'Ingest Template'!M605</f>
        <v/>
      </c>
      <c r="AC605" s="21" t="str">
        <f>'Ingest Template'!Y605</f>
        <v/>
      </c>
      <c r="AD605" s="21" t="str">
        <f>'Ingest Template'!C605</f>
        <v/>
      </c>
      <c r="AE605" s="21" t="str">
        <f>'Ingest Template'!Z605</f>
        <v/>
      </c>
      <c r="AF605" s="29"/>
      <c r="AG605" s="21" t="str">
        <f t="array" ref="AG605">IF('Ingest Template'!A605="Standard",(CONCATENATE(IF(ISBLANK('Ingest Template'!O605),"", 'Ingest Template'!O605&amp;"|DAR"),CHAR(10), IF(ISBLANK('Ingest Template'!P605),"", 'Ingest Template'!P605&amp;"|DAR"),CHAR(10), IF(ISBLANK('Ingest Template'!Q605),"", 'Ingest Template'!Q605&amp;"|DAR"))),(CONCATENATE(IF(ISBLANK('Ingest Template'!O605),"", 'Ingest Template'!O605&amp;"|Operations - Core Title"),CHAR(10), IF(ISBLANK('Ingest Template'!P605),"", 'Ingest Template'!P605&amp;"|Operations - Core Title"),CHAR(10), IF(ISBLANK('Ingest Template'!Q605),"", 'Ingest Template'!Q605&amp;"|Operations - Core Title"))))</f>
        <v>#|Operations - Core Title
#|Operations - Core Title
</v>
      </c>
      <c r="AH605" s="21"/>
      <c r="AI605" s="21"/>
      <c r="AJ605" s="53" t="str">
        <f>if('Ingest Template'!A605="Standard",'Ingest Template'!N605&amp; "|DAR|DAR|2021-01-01",'Ingest Template'!N605&amp; "|Operations - Core Title|Operations - Core Title")</f>
        <v>#N/A</v>
      </c>
      <c r="AK605" s="53" t="str">
        <f>if('Ingest Template'!A605="Standard",'Ingest Template'!R605&amp; "|2021-01-01",'Ingest Template'!R605)</f>
        <v>#N/A</v>
      </c>
      <c r="AL605" s="21"/>
      <c r="AM605" s="21"/>
    </row>
    <row r="606">
      <c r="A606" s="21"/>
      <c r="B606" s="21" t="str">
        <f>'Ingest Template'!B606&amp;IF('Ingest Template'!A606 = "Standard", " - DAR","")</f>
        <v/>
      </c>
      <c r="C606" s="26" t="s">
        <v>109</v>
      </c>
      <c r="D606" s="29" t="str">
        <f t="array" ref="D606">CONCATENATE(INDEX(DropDown!$H$2:$H$10,MATCH(1,COUNTIF('Ingest Template'!F606,"*"&amp;DropDown!$H$2:$H$10&amp;"*"),0)),CHAR(10),'Ingest Template'!G606)</f>
        <v>#N/A</v>
      </c>
      <c r="E606" s="21" t="str">
        <f>CONCATENATE('Ingest Template'!H606,CHAR(10),'Ingest Template'!I606,CHAR(10),'Ingest Template'!J606)</f>
        <v>
</v>
      </c>
      <c r="F606" s="26" t="str">
        <f>'Ingest Template'!H606</f>
        <v/>
      </c>
      <c r="G606" s="21"/>
      <c r="H606" s="29"/>
      <c r="I606" s="21"/>
      <c r="J606" s="29" t="str">
        <f t="array" ref="J606">iF('Ingest Template'!A606="Standard","Pristine Brand",INDEX(DropDown!$M$2:$M$392,MATCH('Ingest Template'!E606,DropDown!$J$2:$J$392,0)))</f>
        <v>#N/A</v>
      </c>
      <c r="K606" s="21" t="str">
        <f>iF('Ingest Template'!A606="Standard",'Ingest Template'!K606&amp;CHAR(10)&amp;'Ingest Template'!L606,"Competitive View")</f>
        <v>Competitive View</v>
      </c>
      <c r="L606" s="29" t="s">
        <v>146</v>
      </c>
      <c r="M606" s="37" t="str">
        <f>'Ingest Template'!D606</f>
        <v/>
      </c>
      <c r="N606" s="21"/>
      <c r="O606" s="21"/>
      <c r="P606" s="21"/>
      <c r="Q606" s="21"/>
      <c r="R606" s="21" t="str">
        <f>'Ingest Template'!E606</f>
        <v/>
      </c>
      <c r="S606" s="29" t="s">
        <v>153</v>
      </c>
      <c r="T606" s="21" t="str">
        <f>'Ingest Template'!T606</f>
        <v/>
      </c>
      <c r="U606" s="21" t="str">
        <f>'Ingest Template'!S606</f>
        <v/>
      </c>
      <c r="V606" s="21" t="str">
        <f>LOWER(SUBSTITUTE(SUBSTITUTE(SUBSTITUTE(SUBSTITUTE(SUBSTITUTE('Ingest Template'!U606,"https:",""),"www.",""),"/",""),"?hl=en",""),"instagram.com",""))</f>
        <v/>
      </c>
      <c r="W606" s="41" t="str">
        <f t="array" ref="W606">IF('Ingest Template'!V606="",(INDEX(DropDown!$L$2:$L$392,MATCH('Ingest Template'!E606,DropDown!$J$2:$J$392,0))&amp;"|"&amp;'Ingest Template'!B606),(INDEX(DropDown!$L$2:$L$392,MATCH('Ingest Template'!E606,DropDown!$J$2:$J$392,0))&amp;"|"&amp;'Ingest Template'!B606)&amp;CHAR(10)&amp;'Ingest Template'!V606)</f>
        <v>#N/A</v>
      </c>
      <c r="X606" s="41" t="str">
        <f>'Ingest Template'!W606</f>
        <v/>
      </c>
      <c r="Y606" s="21" t="str">
        <f>SUBSTITUTE(SUBSTITUTE(SUBSTITUTE('Ingest Template'!X606,"http:",""),"https:",""),"/","")</f>
        <v/>
      </c>
      <c r="Z606" s="21" t="str">
        <f t="array" ref="Z606">IF('Ingest Template'!A606="Standard",(IF(ISBLANK('Ingest Template'!AA606),"", 'Ingest Template'!AA606&amp;"|DAR")),(IF(ISBLANK('Ingest Template'!AA606),"", 'Ingest Template'!AA606&amp;"|Film Ops")))</f>
        <v/>
      </c>
      <c r="AA606" s="21"/>
      <c r="AB606" s="21" t="str">
        <f>'Ingest Template'!M606</f>
        <v/>
      </c>
      <c r="AC606" s="21" t="str">
        <f>'Ingest Template'!Y606</f>
        <v/>
      </c>
      <c r="AD606" s="21" t="str">
        <f>'Ingest Template'!C606</f>
        <v/>
      </c>
      <c r="AE606" s="21" t="str">
        <f>'Ingest Template'!Z606</f>
        <v/>
      </c>
      <c r="AF606" s="29"/>
      <c r="AG606" s="21" t="str">
        <f t="array" ref="AG606">IF('Ingest Template'!A606="Standard",(CONCATENATE(IF(ISBLANK('Ingest Template'!O606),"", 'Ingest Template'!O606&amp;"|DAR"),CHAR(10), IF(ISBLANK('Ingest Template'!P606),"", 'Ingest Template'!P606&amp;"|DAR"),CHAR(10), IF(ISBLANK('Ingest Template'!Q606),"", 'Ingest Template'!Q606&amp;"|DAR"))),(CONCATENATE(IF(ISBLANK('Ingest Template'!O606),"", 'Ingest Template'!O606&amp;"|Operations - Core Title"),CHAR(10), IF(ISBLANK('Ingest Template'!P606),"", 'Ingest Template'!P606&amp;"|Operations - Core Title"),CHAR(10), IF(ISBLANK('Ingest Template'!Q606),"", 'Ingest Template'!Q606&amp;"|Operations - Core Title"))))</f>
        <v>#|Operations - Core Title
#|Operations - Core Title
</v>
      </c>
      <c r="AH606" s="21"/>
      <c r="AI606" s="21"/>
      <c r="AJ606" s="53" t="str">
        <f>if('Ingest Template'!A606="Standard",'Ingest Template'!N606&amp; "|DAR|DAR|2021-01-01",'Ingest Template'!N606&amp; "|Operations - Core Title|Operations - Core Title")</f>
        <v>#N/A</v>
      </c>
      <c r="AK606" s="53" t="str">
        <f>if('Ingest Template'!A606="Standard",'Ingest Template'!R606&amp; "|2021-01-01",'Ingest Template'!R606)</f>
        <v>#N/A</v>
      </c>
      <c r="AL606" s="21"/>
      <c r="AM606" s="21"/>
    </row>
    <row r="607">
      <c r="A607" s="21"/>
      <c r="B607" s="21" t="str">
        <f>'Ingest Template'!B607&amp;IF('Ingest Template'!A607 = "Standard", " - DAR","")</f>
        <v/>
      </c>
      <c r="C607" s="26" t="s">
        <v>109</v>
      </c>
      <c r="D607" s="29" t="str">
        <f t="array" ref="D607">CONCATENATE(INDEX(DropDown!$H$2:$H$10,MATCH(1,COUNTIF('Ingest Template'!F607,"*"&amp;DropDown!$H$2:$H$10&amp;"*"),0)),CHAR(10),'Ingest Template'!G607)</f>
        <v>#N/A</v>
      </c>
      <c r="E607" s="21" t="str">
        <f>CONCATENATE('Ingest Template'!H607,CHAR(10),'Ingest Template'!I607,CHAR(10),'Ingest Template'!J607)</f>
        <v>
</v>
      </c>
      <c r="F607" s="26" t="str">
        <f>'Ingest Template'!H607</f>
        <v/>
      </c>
      <c r="G607" s="21"/>
      <c r="H607" s="29"/>
      <c r="I607" s="21"/>
      <c r="J607" s="29" t="str">
        <f t="array" ref="J607">iF('Ingest Template'!A607="Standard","Pristine Brand",INDEX(DropDown!$M$2:$M$392,MATCH('Ingest Template'!E607,DropDown!$J$2:$J$392,0)))</f>
        <v>#N/A</v>
      </c>
      <c r="K607" s="21" t="str">
        <f>iF('Ingest Template'!A607="Standard",'Ingest Template'!K607&amp;CHAR(10)&amp;'Ingest Template'!L607,"Competitive View")</f>
        <v>Competitive View</v>
      </c>
      <c r="L607" s="29" t="s">
        <v>146</v>
      </c>
      <c r="M607" s="37" t="str">
        <f>'Ingest Template'!D607</f>
        <v/>
      </c>
      <c r="N607" s="21"/>
      <c r="O607" s="21"/>
      <c r="P607" s="21"/>
      <c r="Q607" s="21"/>
      <c r="R607" s="21" t="str">
        <f>'Ingest Template'!E607</f>
        <v/>
      </c>
      <c r="S607" s="29" t="s">
        <v>153</v>
      </c>
      <c r="T607" s="21" t="str">
        <f>'Ingest Template'!T607</f>
        <v/>
      </c>
      <c r="U607" s="21" t="str">
        <f>'Ingest Template'!S607</f>
        <v/>
      </c>
      <c r="V607" s="21" t="str">
        <f>LOWER(SUBSTITUTE(SUBSTITUTE(SUBSTITUTE(SUBSTITUTE(SUBSTITUTE('Ingest Template'!U607,"https:",""),"www.",""),"/",""),"?hl=en",""),"instagram.com",""))</f>
        <v/>
      </c>
      <c r="W607" s="41" t="str">
        <f t="array" ref="W607">IF('Ingest Template'!V607="",(INDEX(DropDown!$L$2:$L$392,MATCH('Ingest Template'!E607,DropDown!$J$2:$J$392,0))&amp;"|"&amp;'Ingest Template'!B607),(INDEX(DropDown!$L$2:$L$392,MATCH('Ingest Template'!E607,DropDown!$J$2:$J$392,0))&amp;"|"&amp;'Ingest Template'!B607)&amp;CHAR(10)&amp;'Ingest Template'!V607)</f>
        <v>#N/A</v>
      </c>
      <c r="X607" s="41" t="str">
        <f>'Ingest Template'!W607</f>
        <v/>
      </c>
      <c r="Y607" s="21" t="str">
        <f>SUBSTITUTE(SUBSTITUTE(SUBSTITUTE('Ingest Template'!X607,"http:",""),"https:",""),"/","")</f>
        <v/>
      </c>
      <c r="Z607" s="21" t="str">
        <f t="array" ref="Z607">IF('Ingest Template'!A607="Standard",(IF(ISBLANK('Ingest Template'!AA607),"", 'Ingest Template'!AA607&amp;"|DAR")),(IF(ISBLANK('Ingest Template'!AA607),"", 'Ingest Template'!AA607&amp;"|Film Ops")))</f>
        <v/>
      </c>
      <c r="AA607" s="21"/>
      <c r="AB607" s="21" t="str">
        <f>'Ingest Template'!M607</f>
        <v/>
      </c>
      <c r="AC607" s="21" t="str">
        <f>'Ingest Template'!Y607</f>
        <v/>
      </c>
      <c r="AD607" s="21" t="str">
        <f>'Ingest Template'!C607</f>
        <v/>
      </c>
      <c r="AE607" s="21" t="str">
        <f>'Ingest Template'!Z607</f>
        <v/>
      </c>
      <c r="AF607" s="29"/>
      <c r="AG607" s="21" t="str">
        <f t="array" ref="AG607">IF('Ingest Template'!A607="Standard",(CONCATENATE(IF(ISBLANK('Ingest Template'!O607),"", 'Ingest Template'!O607&amp;"|DAR"),CHAR(10), IF(ISBLANK('Ingest Template'!P607),"", 'Ingest Template'!P607&amp;"|DAR"),CHAR(10), IF(ISBLANK('Ingest Template'!Q607),"", 'Ingest Template'!Q607&amp;"|DAR"))),(CONCATENATE(IF(ISBLANK('Ingest Template'!O607),"", 'Ingest Template'!O607&amp;"|Operations - Core Title"),CHAR(10), IF(ISBLANK('Ingest Template'!P607),"", 'Ingest Template'!P607&amp;"|Operations - Core Title"),CHAR(10), IF(ISBLANK('Ingest Template'!Q607),"", 'Ingest Template'!Q607&amp;"|Operations - Core Title"))))</f>
        <v>#|Operations - Core Title
#|Operations - Core Title
</v>
      </c>
      <c r="AH607" s="21"/>
      <c r="AI607" s="21"/>
      <c r="AJ607" s="53" t="str">
        <f>if('Ingest Template'!A607="Standard",'Ingest Template'!N607&amp; "|DAR|DAR|2021-01-01",'Ingest Template'!N607&amp; "|Operations - Core Title|Operations - Core Title")</f>
        <v>#N/A</v>
      </c>
      <c r="AK607" s="53" t="str">
        <f>if('Ingest Template'!A607="Standard",'Ingest Template'!R607&amp; "|2021-01-01",'Ingest Template'!R607)</f>
        <v>#N/A</v>
      </c>
      <c r="AL607" s="21"/>
      <c r="AM607" s="21"/>
    </row>
    <row r="608">
      <c r="A608" s="21"/>
      <c r="B608" s="21" t="str">
        <f>'Ingest Template'!B608&amp;IF('Ingest Template'!A608 = "Standard", " - DAR","")</f>
        <v/>
      </c>
      <c r="C608" s="26" t="s">
        <v>109</v>
      </c>
      <c r="D608" s="29" t="str">
        <f t="array" ref="D608">CONCATENATE(INDEX(DropDown!$H$2:$H$10,MATCH(1,COUNTIF('Ingest Template'!F608,"*"&amp;DropDown!$H$2:$H$10&amp;"*"),0)),CHAR(10),'Ingest Template'!G608)</f>
        <v>#N/A</v>
      </c>
      <c r="E608" s="21" t="str">
        <f>CONCATENATE('Ingest Template'!H608,CHAR(10),'Ingest Template'!I608,CHAR(10),'Ingest Template'!J608)</f>
        <v>
</v>
      </c>
      <c r="F608" s="26" t="str">
        <f>'Ingest Template'!H608</f>
        <v/>
      </c>
      <c r="G608" s="21"/>
      <c r="H608" s="29"/>
      <c r="I608" s="21"/>
      <c r="J608" s="29" t="str">
        <f t="array" ref="J608">iF('Ingest Template'!A608="Standard","Pristine Brand",INDEX(DropDown!$M$2:$M$392,MATCH('Ingest Template'!E608,DropDown!$J$2:$J$392,0)))</f>
        <v>#N/A</v>
      </c>
      <c r="K608" s="21" t="str">
        <f>iF('Ingest Template'!A608="Standard",'Ingest Template'!K608&amp;CHAR(10)&amp;'Ingest Template'!L608,"Competitive View")</f>
        <v>Competitive View</v>
      </c>
      <c r="L608" s="29" t="s">
        <v>146</v>
      </c>
      <c r="M608" s="37" t="str">
        <f>'Ingest Template'!D608</f>
        <v/>
      </c>
      <c r="N608" s="21"/>
      <c r="O608" s="21"/>
      <c r="P608" s="21"/>
      <c r="Q608" s="21"/>
      <c r="R608" s="21" t="str">
        <f>'Ingest Template'!E608</f>
        <v/>
      </c>
      <c r="S608" s="29" t="s">
        <v>153</v>
      </c>
      <c r="T608" s="21" t="str">
        <f>'Ingest Template'!T608</f>
        <v/>
      </c>
      <c r="U608" s="21" t="str">
        <f>'Ingest Template'!S608</f>
        <v/>
      </c>
      <c r="V608" s="21" t="str">
        <f>LOWER(SUBSTITUTE(SUBSTITUTE(SUBSTITUTE(SUBSTITUTE(SUBSTITUTE('Ingest Template'!U608,"https:",""),"www.",""),"/",""),"?hl=en",""),"instagram.com",""))</f>
        <v/>
      </c>
      <c r="W608" s="41" t="str">
        <f t="array" ref="W608">IF('Ingest Template'!V608="",(INDEX(DropDown!$L$2:$L$392,MATCH('Ingest Template'!E608,DropDown!$J$2:$J$392,0))&amp;"|"&amp;'Ingest Template'!B608),(INDEX(DropDown!$L$2:$L$392,MATCH('Ingest Template'!E608,DropDown!$J$2:$J$392,0))&amp;"|"&amp;'Ingest Template'!B608)&amp;CHAR(10)&amp;'Ingest Template'!V608)</f>
        <v>#N/A</v>
      </c>
      <c r="X608" s="41" t="str">
        <f>'Ingest Template'!W608</f>
        <v/>
      </c>
      <c r="Y608" s="21" t="str">
        <f>SUBSTITUTE(SUBSTITUTE(SUBSTITUTE('Ingest Template'!X608,"http:",""),"https:",""),"/","")</f>
        <v/>
      </c>
      <c r="Z608" s="21" t="str">
        <f t="array" ref="Z608">IF('Ingest Template'!A608="Standard",(IF(ISBLANK('Ingest Template'!AA608),"", 'Ingest Template'!AA608&amp;"|DAR")),(IF(ISBLANK('Ingest Template'!AA608),"", 'Ingest Template'!AA608&amp;"|Film Ops")))</f>
        <v/>
      </c>
      <c r="AA608" s="21"/>
      <c r="AB608" s="21" t="str">
        <f>'Ingest Template'!M608</f>
        <v/>
      </c>
      <c r="AC608" s="21" t="str">
        <f>'Ingest Template'!Y608</f>
        <v/>
      </c>
      <c r="AD608" s="21" t="str">
        <f>'Ingest Template'!C608</f>
        <v/>
      </c>
      <c r="AE608" s="21" t="str">
        <f>'Ingest Template'!Z608</f>
        <v/>
      </c>
      <c r="AF608" s="29"/>
      <c r="AG608" s="21" t="str">
        <f t="array" ref="AG608">IF('Ingest Template'!A608="Standard",(CONCATENATE(IF(ISBLANK('Ingest Template'!O608),"", 'Ingest Template'!O608&amp;"|DAR"),CHAR(10), IF(ISBLANK('Ingest Template'!P608),"", 'Ingest Template'!P608&amp;"|DAR"),CHAR(10), IF(ISBLANK('Ingest Template'!Q608),"", 'Ingest Template'!Q608&amp;"|DAR"))),(CONCATENATE(IF(ISBLANK('Ingest Template'!O608),"", 'Ingest Template'!O608&amp;"|Operations - Core Title"),CHAR(10), IF(ISBLANK('Ingest Template'!P608),"", 'Ingest Template'!P608&amp;"|Operations - Core Title"),CHAR(10), IF(ISBLANK('Ingest Template'!Q608),"", 'Ingest Template'!Q608&amp;"|Operations - Core Title"))))</f>
        <v>#|Operations - Core Title
#|Operations - Core Title
</v>
      </c>
      <c r="AH608" s="21"/>
      <c r="AI608" s="21"/>
      <c r="AJ608" s="53" t="str">
        <f>if('Ingest Template'!A608="Standard",'Ingest Template'!N608&amp; "|DAR|DAR|2021-01-01",'Ingest Template'!N608&amp; "|Operations - Core Title|Operations - Core Title")</f>
        <v>#N/A</v>
      </c>
      <c r="AK608" s="53" t="str">
        <f>if('Ingest Template'!A608="Standard",'Ingest Template'!R608&amp; "|2021-01-01",'Ingest Template'!R608)</f>
        <v>#N/A</v>
      </c>
      <c r="AL608" s="21"/>
      <c r="AM608" s="21"/>
    </row>
    <row r="609">
      <c r="A609" s="21"/>
      <c r="B609" s="21" t="str">
        <f>'Ingest Template'!B609&amp;IF('Ingest Template'!A609 = "Standard", " - DAR","")</f>
        <v/>
      </c>
      <c r="C609" s="26" t="s">
        <v>109</v>
      </c>
      <c r="D609" s="29" t="str">
        <f t="array" ref="D609">CONCATENATE(INDEX(DropDown!$H$2:$H$10,MATCH(1,COUNTIF('Ingest Template'!F609,"*"&amp;DropDown!$H$2:$H$10&amp;"*"),0)),CHAR(10),'Ingest Template'!G609)</f>
        <v>#N/A</v>
      </c>
      <c r="E609" s="21" t="str">
        <f>CONCATENATE('Ingest Template'!H609,CHAR(10),'Ingest Template'!I609,CHAR(10),'Ingest Template'!J609)</f>
        <v>
</v>
      </c>
      <c r="F609" s="26" t="str">
        <f>'Ingest Template'!H609</f>
        <v/>
      </c>
      <c r="G609" s="21"/>
      <c r="H609" s="29"/>
      <c r="I609" s="21"/>
      <c r="J609" s="29" t="str">
        <f t="array" ref="J609">iF('Ingest Template'!A609="Standard","Pristine Brand",INDEX(DropDown!$M$2:$M$392,MATCH('Ingest Template'!E609,DropDown!$J$2:$J$392,0)))</f>
        <v>#N/A</v>
      </c>
      <c r="K609" s="21" t="str">
        <f>iF('Ingest Template'!A609="Standard",'Ingest Template'!K609&amp;CHAR(10)&amp;'Ingest Template'!L609,"Competitive View")</f>
        <v>Competitive View</v>
      </c>
      <c r="L609" s="29" t="s">
        <v>146</v>
      </c>
      <c r="M609" s="37" t="str">
        <f>'Ingest Template'!D609</f>
        <v/>
      </c>
      <c r="N609" s="21"/>
      <c r="O609" s="21"/>
      <c r="P609" s="21"/>
      <c r="Q609" s="21"/>
      <c r="R609" s="21" t="str">
        <f>'Ingest Template'!E609</f>
        <v/>
      </c>
      <c r="S609" s="29" t="s">
        <v>153</v>
      </c>
      <c r="T609" s="21" t="str">
        <f>'Ingest Template'!T609</f>
        <v/>
      </c>
      <c r="U609" s="21" t="str">
        <f>'Ingest Template'!S609</f>
        <v/>
      </c>
      <c r="V609" s="21" t="str">
        <f>LOWER(SUBSTITUTE(SUBSTITUTE(SUBSTITUTE(SUBSTITUTE(SUBSTITUTE('Ingest Template'!U609,"https:",""),"www.",""),"/",""),"?hl=en",""),"instagram.com",""))</f>
        <v/>
      </c>
      <c r="W609" s="41" t="str">
        <f t="array" ref="W609">IF('Ingest Template'!V609="",(INDEX(DropDown!$L$2:$L$392,MATCH('Ingest Template'!E609,DropDown!$J$2:$J$392,0))&amp;"|"&amp;'Ingest Template'!B609),(INDEX(DropDown!$L$2:$L$392,MATCH('Ingest Template'!E609,DropDown!$J$2:$J$392,0))&amp;"|"&amp;'Ingest Template'!B609)&amp;CHAR(10)&amp;'Ingest Template'!V609)</f>
        <v>#N/A</v>
      </c>
      <c r="X609" s="41" t="str">
        <f>'Ingest Template'!W609</f>
        <v/>
      </c>
      <c r="Y609" s="21" t="str">
        <f>SUBSTITUTE(SUBSTITUTE(SUBSTITUTE('Ingest Template'!X609,"http:",""),"https:",""),"/","")</f>
        <v/>
      </c>
      <c r="Z609" s="21" t="str">
        <f t="array" ref="Z609">IF('Ingest Template'!A609="Standard",(IF(ISBLANK('Ingest Template'!AA609),"", 'Ingest Template'!AA609&amp;"|DAR")),(IF(ISBLANK('Ingest Template'!AA609),"", 'Ingest Template'!AA609&amp;"|Film Ops")))</f>
        <v/>
      </c>
      <c r="AA609" s="21"/>
      <c r="AB609" s="21" t="str">
        <f>'Ingest Template'!M609</f>
        <v/>
      </c>
      <c r="AC609" s="21" t="str">
        <f>'Ingest Template'!Y609</f>
        <v/>
      </c>
      <c r="AD609" s="21" t="str">
        <f>'Ingest Template'!C609</f>
        <v/>
      </c>
      <c r="AE609" s="21" t="str">
        <f>'Ingest Template'!Z609</f>
        <v/>
      </c>
      <c r="AF609" s="29"/>
      <c r="AG609" s="21" t="str">
        <f t="array" ref="AG609">IF('Ingest Template'!A609="Standard",(CONCATENATE(IF(ISBLANK('Ingest Template'!O609),"", 'Ingest Template'!O609&amp;"|DAR"),CHAR(10), IF(ISBLANK('Ingest Template'!P609),"", 'Ingest Template'!P609&amp;"|DAR"),CHAR(10), IF(ISBLANK('Ingest Template'!Q609),"", 'Ingest Template'!Q609&amp;"|DAR"))),(CONCATENATE(IF(ISBLANK('Ingest Template'!O609),"", 'Ingest Template'!O609&amp;"|Operations - Core Title"),CHAR(10), IF(ISBLANK('Ingest Template'!P609),"", 'Ingest Template'!P609&amp;"|Operations - Core Title"),CHAR(10), IF(ISBLANK('Ingest Template'!Q609),"", 'Ingest Template'!Q609&amp;"|Operations - Core Title"))))</f>
        <v>#|Operations - Core Title
#|Operations - Core Title
</v>
      </c>
      <c r="AH609" s="21"/>
      <c r="AI609" s="21"/>
      <c r="AJ609" s="53" t="str">
        <f>if('Ingest Template'!A609="Standard",'Ingest Template'!N609&amp; "|DAR|DAR|2021-01-01",'Ingest Template'!N609&amp; "|Operations - Core Title|Operations - Core Title")</f>
        <v>#N/A</v>
      </c>
      <c r="AK609" s="53" t="str">
        <f>if('Ingest Template'!A609="Standard",'Ingest Template'!R609&amp; "|2021-01-01",'Ingest Template'!R609)</f>
        <v>#N/A</v>
      </c>
      <c r="AL609" s="21"/>
      <c r="AM609" s="21"/>
    </row>
    <row r="610">
      <c r="A610" s="21"/>
      <c r="B610" s="21" t="str">
        <f>'Ingest Template'!B610&amp;IF('Ingest Template'!A610 = "Standard", " - DAR","")</f>
        <v/>
      </c>
      <c r="C610" s="26" t="s">
        <v>109</v>
      </c>
      <c r="D610" s="29" t="str">
        <f t="array" ref="D610">CONCATENATE(INDEX(DropDown!$H$2:$H$10,MATCH(1,COUNTIF('Ingest Template'!F610,"*"&amp;DropDown!$H$2:$H$10&amp;"*"),0)),CHAR(10),'Ingest Template'!G610)</f>
        <v>#N/A</v>
      </c>
      <c r="E610" s="21" t="str">
        <f>CONCATENATE('Ingest Template'!H610,CHAR(10),'Ingest Template'!I610,CHAR(10),'Ingest Template'!J610)</f>
        <v>
</v>
      </c>
      <c r="F610" s="26" t="str">
        <f>'Ingest Template'!H610</f>
        <v/>
      </c>
      <c r="G610" s="21"/>
      <c r="H610" s="29"/>
      <c r="I610" s="21"/>
      <c r="J610" s="29" t="str">
        <f t="array" ref="J610">iF('Ingest Template'!A610="Standard","Pristine Brand",INDEX(DropDown!$M$2:$M$392,MATCH('Ingest Template'!E610,DropDown!$J$2:$J$392,0)))</f>
        <v>#N/A</v>
      </c>
      <c r="K610" s="21" t="str">
        <f>iF('Ingest Template'!A610="Standard",'Ingest Template'!K610&amp;CHAR(10)&amp;'Ingest Template'!L610,"Competitive View")</f>
        <v>Competitive View</v>
      </c>
      <c r="L610" s="29" t="s">
        <v>146</v>
      </c>
      <c r="M610" s="37" t="str">
        <f>'Ingest Template'!D610</f>
        <v/>
      </c>
      <c r="N610" s="21"/>
      <c r="O610" s="21"/>
      <c r="P610" s="21"/>
      <c r="Q610" s="21"/>
      <c r="R610" s="21" t="str">
        <f>'Ingest Template'!E610</f>
        <v/>
      </c>
      <c r="S610" s="29" t="s">
        <v>153</v>
      </c>
      <c r="T610" s="21" t="str">
        <f>'Ingest Template'!T610</f>
        <v/>
      </c>
      <c r="U610" s="21" t="str">
        <f>'Ingest Template'!S610</f>
        <v/>
      </c>
      <c r="V610" s="21" t="str">
        <f>LOWER(SUBSTITUTE(SUBSTITUTE(SUBSTITUTE(SUBSTITUTE(SUBSTITUTE('Ingest Template'!U610,"https:",""),"www.",""),"/",""),"?hl=en",""),"instagram.com",""))</f>
        <v/>
      </c>
      <c r="W610" s="41" t="str">
        <f t="array" ref="W610">IF('Ingest Template'!V610="",(INDEX(DropDown!$L$2:$L$392,MATCH('Ingest Template'!E610,DropDown!$J$2:$J$392,0))&amp;"|"&amp;'Ingest Template'!B610),(INDEX(DropDown!$L$2:$L$392,MATCH('Ingest Template'!E610,DropDown!$J$2:$J$392,0))&amp;"|"&amp;'Ingest Template'!B610)&amp;CHAR(10)&amp;'Ingest Template'!V610)</f>
        <v>#N/A</v>
      </c>
      <c r="X610" s="41" t="str">
        <f>'Ingest Template'!W610</f>
        <v/>
      </c>
      <c r="Y610" s="21" t="str">
        <f>SUBSTITUTE(SUBSTITUTE(SUBSTITUTE('Ingest Template'!X610,"http:",""),"https:",""),"/","")</f>
        <v/>
      </c>
      <c r="Z610" s="21" t="str">
        <f t="array" ref="Z610">IF('Ingest Template'!A610="Standard",(IF(ISBLANK('Ingest Template'!AA610),"", 'Ingest Template'!AA610&amp;"|DAR")),(IF(ISBLANK('Ingest Template'!AA610),"", 'Ingest Template'!AA610&amp;"|Film Ops")))</f>
        <v/>
      </c>
      <c r="AA610" s="21"/>
      <c r="AB610" s="21" t="str">
        <f>'Ingest Template'!M610</f>
        <v/>
      </c>
      <c r="AC610" s="21" t="str">
        <f>'Ingest Template'!Y610</f>
        <v/>
      </c>
      <c r="AD610" s="21" t="str">
        <f>'Ingest Template'!C610</f>
        <v/>
      </c>
      <c r="AE610" s="21" t="str">
        <f>'Ingest Template'!Z610</f>
        <v/>
      </c>
      <c r="AF610" s="29"/>
      <c r="AG610" s="21" t="str">
        <f t="array" ref="AG610">IF('Ingest Template'!A610="Standard",(CONCATENATE(IF(ISBLANK('Ingest Template'!O610),"", 'Ingest Template'!O610&amp;"|DAR"),CHAR(10), IF(ISBLANK('Ingest Template'!P610),"", 'Ingest Template'!P610&amp;"|DAR"),CHAR(10), IF(ISBLANK('Ingest Template'!Q610),"", 'Ingest Template'!Q610&amp;"|DAR"))),(CONCATENATE(IF(ISBLANK('Ingest Template'!O610),"", 'Ingest Template'!O610&amp;"|Operations - Core Title"),CHAR(10), IF(ISBLANK('Ingest Template'!P610),"", 'Ingest Template'!P610&amp;"|Operations - Core Title"),CHAR(10), IF(ISBLANK('Ingest Template'!Q610),"", 'Ingest Template'!Q610&amp;"|Operations - Core Title"))))</f>
        <v>#|Operations - Core Title
#|Operations - Core Title
</v>
      </c>
      <c r="AH610" s="21"/>
      <c r="AI610" s="21"/>
      <c r="AJ610" s="53" t="str">
        <f>if('Ingest Template'!A610="Standard",'Ingest Template'!N610&amp; "|DAR|DAR|2021-01-01",'Ingest Template'!N610&amp; "|Operations - Core Title|Operations - Core Title")</f>
        <v>#N/A</v>
      </c>
      <c r="AK610" s="53" t="str">
        <f>if('Ingest Template'!A610="Standard",'Ingest Template'!R610&amp; "|2021-01-01",'Ingest Template'!R610)</f>
        <v>#N/A</v>
      </c>
      <c r="AL610" s="21"/>
      <c r="AM610" s="21"/>
    </row>
    <row r="611">
      <c r="A611" s="21"/>
      <c r="B611" s="21" t="str">
        <f>'Ingest Template'!B611&amp;IF('Ingest Template'!A611 = "Standard", " - DAR","")</f>
        <v/>
      </c>
      <c r="C611" s="26" t="s">
        <v>109</v>
      </c>
      <c r="D611" s="29" t="str">
        <f t="array" ref="D611">CONCATENATE(INDEX(DropDown!$H$2:$H$10,MATCH(1,COUNTIF('Ingest Template'!F611,"*"&amp;DropDown!$H$2:$H$10&amp;"*"),0)),CHAR(10),'Ingest Template'!G611)</f>
        <v>#N/A</v>
      </c>
      <c r="E611" s="21" t="str">
        <f>CONCATENATE('Ingest Template'!H611,CHAR(10),'Ingest Template'!I611,CHAR(10),'Ingest Template'!J611)</f>
        <v>
</v>
      </c>
      <c r="F611" s="26" t="str">
        <f>'Ingest Template'!H611</f>
        <v/>
      </c>
      <c r="G611" s="21"/>
      <c r="H611" s="29"/>
      <c r="I611" s="21"/>
      <c r="J611" s="29" t="str">
        <f t="array" ref="J611">iF('Ingest Template'!A611="Standard","Pristine Brand",INDEX(DropDown!$M$2:$M$392,MATCH('Ingest Template'!E611,DropDown!$J$2:$J$392,0)))</f>
        <v>#N/A</v>
      </c>
      <c r="K611" s="21" t="str">
        <f>iF('Ingest Template'!A611="Standard",'Ingest Template'!K611&amp;CHAR(10)&amp;'Ingest Template'!L611,"Competitive View")</f>
        <v>Competitive View</v>
      </c>
      <c r="L611" s="29" t="s">
        <v>146</v>
      </c>
      <c r="M611" s="37" t="str">
        <f>'Ingest Template'!D611</f>
        <v/>
      </c>
      <c r="N611" s="21"/>
      <c r="O611" s="21"/>
      <c r="P611" s="21"/>
      <c r="Q611" s="21"/>
      <c r="R611" s="21" t="str">
        <f>'Ingest Template'!E611</f>
        <v/>
      </c>
      <c r="S611" s="29" t="s">
        <v>153</v>
      </c>
      <c r="T611" s="21" t="str">
        <f>'Ingest Template'!T611</f>
        <v/>
      </c>
      <c r="U611" s="21" t="str">
        <f>'Ingest Template'!S611</f>
        <v/>
      </c>
      <c r="V611" s="21" t="str">
        <f>LOWER(SUBSTITUTE(SUBSTITUTE(SUBSTITUTE(SUBSTITUTE(SUBSTITUTE('Ingest Template'!U611,"https:",""),"www.",""),"/",""),"?hl=en",""),"instagram.com",""))</f>
        <v/>
      </c>
      <c r="W611" s="41" t="str">
        <f t="array" ref="W611">IF('Ingest Template'!V611="",(INDEX(DropDown!$L$2:$L$392,MATCH('Ingest Template'!E611,DropDown!$J$2:$J$392,0))&amp;"|"&amp;'Ingest Template'!B611),(INDEX(DropDown!$L$2:$L$392,MATCH('Ingest Template'!E611,DropDown!$J$2:$J$392,0))&amp;"|"&amp;'Ingest Template'!B611)&amp;CHAR(10)&amp;'Ingest Template'!V611)</f>
        <v>#N/A</v>
      </c>
      <c r="X611" s="41" t="str">
        <f>'Ingest Template'!W611</f>
        <v/>
      </c>
      <c r="Y611" s="21" t="str">
        <f>SUBSTITUTE(SUBSTITUTE(SUBSTITUTE('Ingest Template'!X611,"http:",""),"https:",""),"/","")</f>
        <v/>
      </c>
      <c r="Z611" s="21" t="str">
        <f t="array" ref="Z611">IF('Ingest Template'!A611="Standard",(IF(ISBLANK('Ingest Template'!AA611),"", 'Ingest Template'!AA611&amp;"|DAR")),(IF(ISBLANK('Ingest Template'!AA611),"", 'Ingest Template'!AA611&amp;"|Film Ops")))</f>
        <v/>
      </c>
      <c r="AA611" s="21"/>
      <c r="AB611" s="21" t="str">
        <f>'Ingest Template'!M611</f>
        <v/>
      </c>
      <c r="AC611" s="21" t="str">
        <f>'Ingest Template'!Y611</f>
        <v/>
      </c>
      <c r="AD611" s="21" t="str">
        <f>'Ingest Template'!C611</f>
        <v/>
      </c>
      <c r="AE611" s="21" t="str">
        <f>'Ingest Template'!Z611</f>
        <v/>
      </c>
      <c r="AF611" s="29"/>
      <c r="AG611" s="21" t="str">
        <f t="array" ref="AG611">IF('Ingest Template'!A611="Standard",(CONCATENATE(IF(ISBLANK('Ingest Template'!O611),"", 'Ingest Template'!O611&amp;"|DAR"),CHAR(10), IF(ISBLANK('Ingest Template'!P611),"", 'Ingest Template'!P611&amp;"|DAR"),CHAR(10), IF(ISBLANK('Ingest Template'!Q611),"", 'Ingest Template'!Q611&amp;"|DAR"))),(CONCATENATE(IF(ISBLANK('Ingest Template'!O611),"", 'Ingest Template'!O611&amp;"|Operations - Core Title"),CHAR(10), IF(ISBLANK('Ingest Template'!P611),"", 'Ingest Template'!P611&amp;"|Operations - Core Title"),CHAR(10), IF(ISBLANK('Ingest Template'!Q611),"", 'Ingest Template'!Q611&amp;"|Operations - Core Title"))))</f>
        <v>#|Operations - Core Title
#|Operations - Core Title
</v>
      </c>
      <c r="AH611" s="21"/>
      <c r="AI611" s="21"/>
      <c r="AJ611" s="53" t="str">
        <f>if('Ingest Template'!A611="Standard",'Ingest Template'!N611&amp; "|DAR|DAR|2021-01-01",'Ingest Template'!N611&amp; "|Operations - Core Title|Operations - Core Title")</f>
        <v>#N/A</v>
      </c>
      <c r="AK611" s="53" t="str">
        <f>if('Ingest Template'!A611="Standard",'Ingest Template'!R611&amp; "|2021-01-01",'Ingest Template'!R611)</f>
        <v>#N/A</v>
      </c>
      <c r="AL611" s="21"/>
      <c r="AM611" s="21"/>
    </row>
    <row r="612">
      <c r="A612" s="21"/>
      <c r="B612" s="21" t="str">
        <f>'Ingest Template'!B612&amp;IF('Ingest Template'!A612 = "Standard", " - DAR","")</f>
        <v/>
      </c>
      <c r="C612" s="26" t="s">
        <v>109</v>
      </c>
      <c r="D612" s="29" t="str">
        <f t="array" ref="D612">CONCATENATE(INDEX(DropDown!$H$2:$H$10,MATCH(1,COUNTIF('Ingest Template'!F612,"*"&amp;DropDown!$H$2:$H$10&amp;"*"),0)),CHAR(10),'Ingest Template'!G612)</f>
        <v>#N/A</v>
      </c>
      <c r="E612" s="21" t="str">
        <f>CONCATENATE('Ingest Template'!H612,CHAR(10),'Ingest Template'!I612,CHAR(10),'Ingest Template'!J612)</f>
        <v>
</v>
      </c>
      <c r="F612" s="26" t="str">
        <f>'Ingest Template'!H612</f>
        <v/>
      </c>
      <c r="G612" s="21"/>
      <c r="H612" s="29"/>
      <c r="I612" s="21"/>
      <c r="J612" s="29" t="str">
        <f t="array" ref="J612">iF('Ingest Template'!A612="Standard","Pristine Brand",INDEX(DropDown!$M$2:$M$392,MATCH('Ingest Template'!E612,DropDown!$J$2:$J$392,0)))</f>
        <v>#N/A</v>
      </c>
      <c r="K612" s="21" t="str">
        <f>iF('Ingest Template'!A612="Standard",'Ingest Template'!K612&amp;CHAR(10)&amp;'Ingest Template'!L612,"Competitive View")</f>
        <v>Competitive View</v>
      </c>
      <c r="L612" s="29" t="s">
        <v>146</v>
      </c>
      <c r="M612" s="37" t="str">
        <f>'Ingest Template'!D612</f>
        <v/>
      </c>
      <c r="N612" s="21"/>
      <c r="O612" s="21"/>
      <c r="P612" s="21"/>
      <c r="Q612" s="21"/>
      <c r="R612" s="21" t="str">
        <f>'Ingest Template'!E612</f>
        <v/>
      </c>
      <c r="S612" s="29" t="s">
        <v>153</v>
      </c>
      <c r="T612" s="21" t="str">
        <f>'Ingest Template'!T612</f>
        <v/>
      </c>
      <c r="U612" s="21" t="str">
        <f>'Ingest Template'!S612</f>
        <v/>
      </c>
      <c r="V612" s="21" t="str">
        <f>LOWER(SUBSTITUTE(SUBSTITUTE(SUBSTITUTE(SUBSTITUTE(SUBSTITUTE('Ingest Template'!U612,"https:",""),"www.",""),"/",""),"?hl=en",""),"instagram.com",""))</f>
        <v/>
      </c>
      <c r="W612" s="41" t="str">
        <f t="array" ref="W612">IF('Ingest Template'!V612="",(INDEX(DropDown!$L$2:$L$392,MATCH('Ingest Template'!E612,DropDown!$J$2:$J$392,0))&amp;"|"&amp;'Ingest Template'!B612),(INDEX(DropDown!$L$2:$L$392,MATCH('Ingest Template'!E612,DropDown!$J$2:$J$392,0))&amp;"|"&amp;'Ingest Template'!B612)&amp;CHAR(10)&amp;'Ingest Template'!V612)</f>
        <v>#N/A</v>
      </c>
      <c r="X612" s="41" t="str">
        <f>'Ingest Template'!W612</f>
        <v/>
      </c>
      <c r="Y612" s="21" t="str">
        <f>SUBSTITUTE(SUBSTITUTE(SUBSTITUTE('Ingest Template'!X612,"http:",""),"https:",""),"/","")</f>
        <v/>
      </c>
      <c r="Z612" s="21" t="str">
        <f t="array" ref="Z612">IF('Ingest Template'!A612="Standard",(IF(ISBLANK('Ingest Template'!AA612),"", 'Ingest Template'!AA612&amp;"|DAR")),(IF(ISBLANK('Ingest Template'!AA612),"", 'Ingest Template'!AA612&amp;"|Film Ops")))</f>
        <v/>
      </c>
      <c r="AA612" s="21"/>
      <c r="AB612" s="21" t="str">
        <f>'Ingest Template'!M612</f>
        <v/>
      </c>
      <c r="AC612" s="21" t="str">
        <f>'Ingest Template'!Y612</f>
        <v/>
      </c>
      <c r="AD612" s="21" t="str">
        <f>'Ingest Template'!C612</f>
        <v/>
      </c>
      <c r="AE612" s="21" t="str">
        <f>'Ingest Template'!Z612</f>
        <v/>
      </c>
      <c r="AF612" s="29"/>
      <c r="AG612" s="21" t="str">
        <f t="array" ref="AG612">IF('Ingest Template'!A612="Standard",(CONCATENATE(IF(ISBLANK('Ingest Template'!O612),"", 'Ingest Template'!O612&amp;"|DAR"),CHAR(10), IF(ISBLANK('Ingest Template'!P612),"", 'Ingest Template'!P612&amp;"|DAR"),CHAR(10), IF(ISBLANK('Ingest Template'!Q612),"", 'Ingest Template'!Q612&amp;"|DAR"))),(CONCATENATE(IF(ISBLANK('Ingest Template'!O612),"", 'Ingest Template'!O612&amp;"|Operations - Core Title"),CHAR(10), IF(ISBLANK('Ingest Template'!P612),"", 'Ingest Template'!P612&amp;"|Operations - Core Title"),CHAR(10), IF(ISBLANK('Ingest Template'!Q612),"", 'Ingest Template'!Q612&amp;"|Operations - Core Title"))))</f>
        <v>#|Operations - Core Title
#|Operations - Core Title
</v>
      </c>
      <c r="AH612" s="21"/>
      <c r="AI612" s="21"/>
      <c r="AJ612" s="53" t="str">
        <f>if('Ingest Template'!A612="Standard",'Ingest Template'!N612&amp; "|DAR|DAR|2021-01-01",'Ingest Template'!N612&amp; "|Operations - Core Title|Operations - Core Title")</f>
        <v>#N/A</v>
      </c>
      <c r="AK612" s="53" t="str">
        <f>if('Ingest Template'!A612="Standard",'Ingest Template'!R612&amp; "|2021-01-01",'Ingest Template'!R612)</f>
        <v>#N/A</v>
      </c>
      <c r="AL612" s="21"/>
      <c r="AM612" s="21"/>
    </row>
    <row r="613">
      <c r="A613" s="21"/>
      <c r="B613" s="21" t="str">
        <f>'Ingest Template'!B613&amp;IF('Ingest Template'!A613 = "Standard", " - DAR","")</f>
        <v/>
      </c>
      <c r="C613" s="26" t="s">
        <v>109</v>
      </c>
      <c r="D613" s="29" t="str">
        <f t="array" ref="D613">CONCATENATE(INDEX(DropDown!$H$2:$H$10,MATCH(1,COUNTIF('Ingest Template'!F613,"*"&amp;DropDown!$H$2:$H$10&amp;"*"),0)),CHAR(10),'Ingest Template'!G613)</f>
        <v>#N/A</v>
      </c>
      <c r="E613" s="21" t="str">
        <f>CONCATENATE('Ingest Template'!H613,CHAR(10),'Ingest Template'!I613,CHAR(10),'Ingest Template'!J613)</f>
        <v>
</v>
      </c>
      <c r="F613" s="26" t="str">
        <f>'Ingest Template'!H613</f>
        <v/>
      </c>
      <c r="G613" s="21"/>
      <c r="H613" s="29"/>
      <c r="I613" s="21"/>
      <c r="J613" s="29" t="str">
        <f t="array" ref="J613">iF('Ingest Template'!A613="Standard","Pristine Brand",INDEX(DropDown!$M$2:$M$392,MATCH('Ingest Template'!E613,DropDown!$J$2:$J$392,0)))</f>
        <v>#N/A</v>
      </c>
      <c r="K613" s="21" t="str">
        <f>iF('Ingest Template'!A613="Standard",'Ingest Template'!K613&amp;CHAR(10)&amp;'Ingest Template'!L613,"Competitive View")</f>
        <v>Competitive View</v>
      </c>
      <c r="L613" s="29" t="s">
        <v>146</v>
      </c>
      <c r="M613" s="37" t="str">
        <f>'Ingest Template'!D613</f>
        <v/>
      </c>
      <c r="N613" s="21"/>
      <c r="O613" s="21"/>
      <c r="P613" s="21"/>
      <c r="Q613" s="21"/>
      <c r="R613" s="21" t="str">
        <f>'Ingest Template'!E613</f>
        <v/>
      </c>
      <c r="S613" s="29" t="s">
        <v>153</v>
      </c>
      <c r="T613" s="21" t="str">
        <f>'Ingest Template'!T613</f>
        <v/>
      </c>
      <c r="U613" s="21" t="str">
        <f>'Ingest Template'!S613</f>
        <v/>
      </c>
      <c r="V613" s="21" t="str">
        <f>LOWER(SUBSTITUTE(SUBSTITUTE(SUBSTITUTE(SUBSTITUTE(SUBSTITUTE('Ingest Template'!U613,"https:",""),"www.",""),"/",""),"?hl=en",""),"instagram.com",""))</f>
        <v/>
      </c>
      <c r="W613" s="41" t="str">
        <f t="array" ref="W613">IF('Ingest Template'!V613="",(INDEX(DropDown!$L$2:$L$392,MATCH('Ingest Template'!E613,DropDown!$J$2:$J$392,0))&amp;"|"&amp;'Ingest Template'!B613),(INDEX(DropDown!$L$2:$L$392,MATCH('Ingest Template'!E613,DropDown!$J$2:$J$392,0))&amp;"|"&amp;'Ingest Template'!B613)&amp;CHAR(10)&amp;'Ingest Template'!V613)</f>
        <v>#N/A</v>
      </c>
      <c r="X613" s="41" t="str">
        <f>'Ingest Template'!W613</f>
        <v/>
      </c>
      <c r="Y613" s="21" t="str">
        <f>SUBSTITUTE(SUBSTITUTE(SUBSTITUTE('Ingest Template'!X613,"http:",""),"https:",""),"/","")</f>
        <v/>
      </c>
      <c r="Z613" s="21" t="str">
        <f t="array" ref="Z613">IF('Ingest Template'!A613="Standard",(IF(ISBLANK('Ingest Template'!AA613),"", 'Ingest Template'!AA613&amp;"|DAR")),(IF(ISBLANK('Ingest Template'!AA613),"", 'Ingest Template'!AA613&amp;"|Film Ops")))</f>
        <v/>
      </c>
      <c r="AA613" s="21"/>
      <c r="AB613" s="21" t="str">
        <f>'Ingest Template'!M613</f>
        <v/>
      </c>
      <c r="AC613" s="21" t="str">
        <f>'Ingest Template'!Y613</f>
        <v/>
      </c>
      <c r="AD613" s="21" t="str">
        <f>'Ingest Template'!C613</f>
        <v/>
      </c>
      <c r="AE613" s="21" t="str">
        <f>'Ingest Template'!Z613</f>
        <v/>
      </c>
      <c r="AF613" s="29"/>
      <c r="AG613" s="21" t="str">
        <f t="array" ref="AG613">IF('Ingest Template'!A613="Standard",(CONCATENATE(IF(ISBLANK('Ingest Template'!O613),"", 'Ingest Template'!O613&amp;"|DAR"),CHAR(10), IF(ISBLANK('Ingest Template'!P613),"", 'Ingest Template'!P613&amp;"|DAR"),CHAR(10), IF(ISBLANK('Ingest Template'!Q613),"", 'Ingest Template'!Q613&amp;"|DAR"))),(CONCATENATE(IF(ISBLANK('Ingest Template'!O613),"", 'Ingest Template'!O613&amp;"|Operations - Core Title"),CHAR(10), IF(ISBLANK('Ingest Template'!P613),"", 'Ingest Template'!P613&amp;"|Operations - Core Title"),CHAR(10), IF(ISBLANK('Ingest Template'!Q613),"", 'Ingest Template'!Q613&amp;"|Operations - Core Title"))))</f>
        <v>#|Operations - Core Title
#|Operations - Core Title
</v>
      </c>
      <c r="AH613" s="21"/>
      <c r="AI613" s="21"/>
      <c r="AJ613" s="53" t="str">
        <f>if('Ingest Template'!A613="Standard",'Ingest Template'!N613&amp; "|DAR|DAR|2021-01-01",'Ingest Template'!N613&amp; "|Operations - Core Title|Operations - Core Title")</f>
        <v>#N/A</v>
      </c>
      <c r="AK613" s="53" t="str">
        <f>if('Ingest Template'!A613="Standard",'Ingest Template'!R613&amp; "|2021-01-01",'Ingest Template'!R613)</f>
        <v>#N/A</v>
      </c>
      <c r="AL613" s="21"/>
      <c r="AM613" s="21"/>
    </row>
    <row r="614">
      <c r="A614" s="21"/>
      <c r="B614" s="21" t="str">
        <f>'Ingest Template'!B614&amp;IF('Ingest Template'!A614 = "Standard", " - DAR","")</f>
        <v/>
      </c>
      <c r="C614" s="26" t="s">
        <v>109</v>
      </c>
      <c r="D614" s="29" t="str">
        <f t="array" ref="D614">CONCATENATE(INDEX(DropDown!$H$2:$H$10,MATCH(1,COUNTIF('Ingest Template'!F614,"*"&amp;DropDown!$H$2:$H$10&amp;"*"),0)),CHAR(10),'Ingest Template'!G614)</f>
        <v>#N/A</v>
      </c>
      <c r="E614" s="21" t="str">
        <f>CONCATENATE('Ingest Template'!H614,CHAR(10),'Ingest Template'!I614,CHAR(10),'Ingest Template'!J614)</f>
        <v>
</v>
      </c>
      <c r="F614" s="26" t="str">
        <f>'Ingest Template'!H614</f>
        <v/>
      </c>
      <c r="G614" s="21"/>
      <c r="H614" s="29"/>
      <c r="I614" s="21"/>
      <c r="J614" s="29" t="str">
        <f t="array" ref="J614">iF('Ingest Template'!A614="Standard","Pristine Brand",INDEX(DropDown!$M$2:$M$392,MATCH('Ingest Template'!E614,DropDown!$J$2:$J$392,0)))</f>
        <v>#N/A</v>
      </c>
      <c r="K614" s="21" t="str">
        <f>iF('Ingest Template'!A614="Standard",'Ingest Template'!K614&amp;CHAR(10)&amp;'Ingest Template'!L614,"Competitive View")</f>
        <v>Competitive View</v>
      </c>
      <c r="L614" s="29" t="s">
        <v>146</v>
      </c>
      <c r="M614" s="37" t="str">
        <f>'Ingest Template'!D614</f>
        <v/>
      </c>
      <c r="N614" s="21"/>
      <c r="O614" s="21"/>
      <c r="P614" s="21"/>
      <c r="Q614" s="21"/>
      <c r="R614" s="21" t="str">
        <f>'Ingest Template'!E614</f>
        <v/>
      </c>
      <c r="S614" s="29" t="s">
        <v>153</v>
      </c>
      <c r="T614" s="21" t="str">
        <f>'Ingest Template'!T614</f>
        <v/>
      </c>
      <c r="U614" s="21" t="str">
        <f>'Ingest Template'!S614</f>
        <v/>
      </c>
      <c r="V614" s="21" t="str">
        <f>LOWER(SUBSTITUTE(SUBSTITUTE(SUBSTITUTE(SUBSTITUTE(SUBSTITUTE('Ingest Template'!U614,"https:",""),"www.",""),"/",""),"?hl=en",""),"instagram.com",""))</f>
        <v/>
      </c>
      <c r="W614" s="41" t="str">
        <f t="array" ref="W614">IF('Ingest Template'!V614="",(INDEX(DropDown!$L$2:$L$392,MATCH('Ingest Template'!E614,DropDown!$J$2:$J$392,0))&amp;"|"&amp;'Ingest Template'!B614),(INDEX(DropDown!$L$2:$L$392,MATCH('Ingest Template'!E614,DropDown!$J$2:$J$392,0))&amp;"|"&amp;'Ingest Template'!B614)&amp;CHAR(10)&amp;'Ingest Template'!V614)</f>
        <v>#N/A</v>
      </c>
      <c r="X614" s="41" t="str">
        <f>'Ingest Template'!W614</f>
        <v/>
      </c>
      <c r="Y614" s="21" t="str">
        <f>SUBSTITUTE(SUBSTITUTE(SUBSTITUTE('Ingest Template'!X614,"http:",""),"https:",""),"/","")</f>
        <v/>
      </c>
      <c r="Z614" s="21" t="str">
        <f t="array" ref="Z614">IF('Ingest Template'!A614="Standard",(IF(ISBLANK('Ingest Template'!AA614),"", 'Ingest Template'!AA614&amp;"|DAR")),(IF(ISBLANK('Ingest Template'!AA614),"", 'Ingest Template'!AA614&amp;"|Film Ops")))</f>
        <v/>
      </c>
      <c r="AA614" s="21"/>
      <c r="AB614" s="21" t="str">
        <f>'Ingest Template'!M614</f>
        <v/>
      </c>
      <c r="AC614" s="21" t="str">
        <f>'Ingest Template'!Y614</f>
        <v/>
      </c>
      <c r="AD614" s="21" t="str">
        <f>'Ingest Template'!C614</f>
        <v/>
      </c>
      <c r="AE614" s="21" t="str">
        <f>'Ingest Template'!Z614</f>
        <v/>
      </c>
      <c r="AF614" s="29"/>
      <c r="AG614" s="21" t="str">
        <f t="array" ref="AG614">IF('Ingest Template'!A614="Standard",(CONCATENATE(IF(ISBLANK('Ingest Template'!O614),"", 'Ingest Template'!O614&amp;"|DAR"),CHAR(10), IF(ISBLANK('Ingest Template'!P614),"", 'Ingest Template'!P614&amp;"|DAR"),CHAR(10), IF(ISBLANK('Ingest Template'!Q614),"", 'Ingest Template'!Q614&amp;"|DAR"))),(CONCATENATE(IF(ISBLANK('Ingest Template'!O614),"", 'Ingest Template'!O614&amp;"|Operations - Core Title"),CHAR(10), IF(ISBLANK('Ingest Template'!P614),"", 'Ingest Template'!P614&amp;"|Operations - Core Title"),CHAR(10), IF(ISBLANK('Ingest Template'!Q614),"", 'Ingest Template'!Q614&amp;"|Operations - Core Title"))))</f>
        <v>#|Operations - Core Title
#|Operations - Core Title
</v>
      </c>
      <c r="AH614" s="21"/>
      <c r="AI614" s="21"/>
      <c r="AJ614" s="53" t="str">
        <f>if('Ingest Template'!A614="Standard",'Ingest Template'!N614&amp; "|DAR|DAR|2021-01-01",'Ingest Template'!N614&amp; "|Operations - Core Title|Operations - Core Title")</f>
        <v>#N/A</v>
      </c>
      <c r="AK614" s="53" t="str">
        <f>if('Ingest Template'!A614="Standard",'Ingest Template'!R614&amp; "|2021-01-01",'Ingest Template'!R614)</f>
        <v>#N/A</v>
      </c>
      <c r="AL614" s="21"/>
      <c r="AM614" s="21"/>
    </row>
    <row r="615">
      <c r="A615" s="21"/>
      <c r="B615" s="21" t="str">
        <f>'Ingest Template'!B615&amp;IF('Ingest Template'!A615 = "Standard", " - DAR","")</f>
        <v/>
      </c>
      <c r="C615" s="26" t="s">
        <v>109</v>
      </c>
      <c r="D615" s="29" t="str">
        <f t="array" ref="D615">CONCATENATE(INDEX(DropDown!$H$2:$H$10,MATCH(1,COUNTIF('Ingest Template'!F615,"*"&amp;DropDown!$H$2:$H$10&amp;"*"),0)),CHAR(10),'Ingest Template'!G615)</f>
        <v>#N/A</v>
      </c>
      <c r="E615" s="21" t="str">
        <f>CONCATENATE('Ingest Template'!H615,CHAR(10),'Ingest Template'!I615,CHAR(10),'Ingest Template'!J615)</f>
        <v>
</v>
      </c>
      <c r="F615" s="26" t="str">
        <f>'Ingest Template'!H615</f>
        <v/>
      </c>
      <c r="G615" s="21"/>
      <c r="H615" s="29"/>
      <c r="I615" s="21"/>
      <c r="J615" s="29" t="str">
        <f t="array" ref="J615">iF('Ingest Template'!A615="Standard","Pristine Brand",INDEX(DropDown!$M$2:$M$392,MATCH('Ingest Template'!E615,DropDown!$J$2:$J$392,0)))</f>
        <v>#N/A</v>
      </c>
      <c r="K615" s="21" t="str">
        <f>iF('Ingest Template'!A615="Standard",'Ingest Template'!K615&amp;CHAR(10)&amp;'Ingest Template'!L615,"Competitive View")</f>
        <v>Competitive View</v>
      </c>
      <c r="L615" s="29" t="s">
        <v>146</v>
      </c>
      <c r="M615" s="37" t="str">
        <f>'Ingest Template'!D615</f>
        <v/>
      </c>
      <c r="N615" s="21"/>
      <c r="O615" s="21"/>
      <c r="P615" s="21"/>
      <c r="Q615" s="21"/>
      <c r="R615" s="21" t="str">
        <f>'Ingest Template'!E615</f>
        <v/>
      </c>
      <c r="S615" s="29" t="s">
        <v>153</v>
      </c>
      <c r="T615" s="21" t="str">
        <f>'Ingest Template'!T615</f>
        <v/>
      </c>
      <c r="U615" s="21" t="str">
        <f>'Ingest Template'!S615</f>
        <v/>
      </c>
      <c r="V615" s="21" t="str">
        <f>LOWER(SUBSTITUTE(SUBSTITUTE(SUBSTITUTE(SUBSTITUTE(SUBSTITUTE('Ingest Template'!U615,"https:",""),"www.",""),"/",""),"?hl=en",""),"instagram.com",""))</f>
        <v/>
      </c>
      <c r="W615" s="41" t="str">
        <f t="array" ref="W615">IF('Ingest Template'!V615="",(INDEX(DropDown!$L$2:$L$392,MATCH('Ingest Template'!E615,DropDown!$J$2:$J$392,0))&amp;"|"&amp;'Ingest Template'!B615),(INDEX(DropDown!$L$2:$L$392,MATCH('Ingest Template'!E615,DropDown!$J$2:$J$392,0))&amp;"|"&amp;'Ingest Template'!B615)&amp;CHAR(10)&amp;'Ingest Template'!V615)</f>
        <v>#N/A</v>
      </c>
      <c r="X615" s="41" t="str">
        <f>'Ingest Template'!W615</f>
        <v/>
      </c>
      <c r="Y615" s="21" t="str">
        <f>SUBSTITUTE(SUBSTITUTE(SUBSTITUTE('Ingest Template'!X615,"http:",""),"https:",""),"/","")</f>
        <v/>
      </c>
      <c r="Z615" s="21" t="str">
        <f t="array" ref="Z615">IF('Ingest Template'!A615="Standard",(IF(ISBLANK('Ingest Template'!AA615),"", 'Ingest Template'!AA615&amp;"|DAR")),(IF(ISBLANK('Ingest Template'!AA615),"", 'Ingest Template'!AA615&amp;"|Film Ops")))</f>
        <v/>
      </c>
      <c r="AA615" s="21"/>
      <c r="AB615" s="21" t="str">
        <f>'Ingest Template'!M615</f>
        <v/>
      </c>
      <c r="AC615" s="21" t="str">
        <f>'Ingest Template'!Y615</f>
        <v/>
      </c>
      <c r="AD615" s="21" t="str">
        <f>'Ingest Template'!C615</f>
        <v/>
      </c>
      <c r="AE615" s="21" t="str">
        <f>'Ingest Template'!Z615</f>
        <v/>
      </c>
      <c r="AF615" s="29"/>
      <c r="AG615" s="21" t="str">
        <f t="array" ref="AG615">IF('Ingest Template'!A615="Standard",(CONCATENATE(IF(ISBLANK('Ingest Template'!O615),"", 'Ingest Template'!O615&amp;"|DAR"),CHAR(10), IF(ISBLANK('Ingest Template'!P615),"", 'Ingest Template'!P615&amp;"|DAR"),CHAR(10), IF(ISBLANK('Ingest Template'!Q615),"", 'Ingest Template'!Q615&amp;"|DAR"))),(CONCATENATE(IF(ISBLANK('Ingest Template'!O615),"", 'Ingest Template'!O615&amp;"|Operations - Core Title"),CHAR(10), IF(ISBLANK('Ingest Template'!P615),"", 'Ingest Template'!P615&amp;"|Operations - Core Title"),CHAR(10), IF(ISBLANK('Ingest Template'!Q615),"", 'Ingest Template'!Q615&amp;"|Operations - Core Title"))))</f>
        <v>#|Operations - Core Title
#|Operations - Core Title
</v>
      </c>
      <c r="AH615" s="21"/>
      <c r="AI615" s="21"/>
      <c r="AJ615" s="53" t="str">
        <f>if('Ingest Template'!A615="Standard",'Ingest Template'!N615&amp; "|DAR|DAR|2021-01-01",'Ingest Template'!N615&amp; "|Operations - Core Title|Operations - Core Title")</f>
        <v>#N/A</v>
      </c>
      <c r="AK615" s="53" t="str">
        <f>if('Ingest Template'!A615="Standard",'Ingest Template'!R615&amp; "|2021-01-01",'Ingest Template'!R615)</f>
        <v>#N/A</v>
      </c>
      <c r="AL615" s="21"/>
      <c r="AM615" s="21"/>
    </row>
    <row r="616">
      <c r="A616" s="21"/>
      <c r="B616" s="21" t="str">
        <f>'Ingest Template'!B616&amp;IF('Ingest Template'!A616 = "Standard", " - DAR","")</f>
        <v/>
      </c>
      <c r="C616" s="26" t="s">
        <v>109</v>
      </c>
      <c r="D616" s="29" t="str">
        <f t="array" ref="D616">CONCATENATE(INDEX(DropDown!$H$2:$H$10,MATCH(1,COUNTIF('Ingest Template'!F616,"*"&amp;DropDown!$H$2:$H$10&amp;"*"),0)),CHAR(10),'Ingest Template'!G616)</f>
        <v>#N/A</v>
      </c>
      <c r="E616" s="21" t="str">
        <f>CONCATENATE('Ingest Template'!H616,CHAR(10),'Ingest Template'!I616,CHAR(10),'Ingest Template'!J616)</f>
        <v>
</v>
      </c>
      <c r="F616" s="26" t="str">
        <f>'Ingest Template'!H616</f>
        <v/>
      </c>
      <c r="G616" s="21"/>
      <c r="H616" s="29"/>
      <c r="I616" s="21"/>
      <c r="J616" s="29" t="str">
        <f t="array" ref="J616">iF('Ingest Template'!A616="Standard","Pristine Brand",INDEX(DropDown!$M$2:$M$392,MATCH('Ingest Template'!E616,DropDown!$J$2:$J$392,0)))</f>
        <v>#N/A</v>
      </c>
      <c r="K616" s="21" t="str">
        <f>iF('Ingest Template'!A616="Standard",'Ingest Template'!K616&amp;CHAR(10)&amp;'Ingest Template'!L616,"Competitive View")</f>
        <v>Competitive View</v>
      </c>
      <c r="L616" s="29" t="s">
        <v>146</v>
      </c>
      <c r="M616" s="37" t="str">
        <f>'Ingest Template'!D616</f>
        <v/>
      </c>
      <c r="N616" s="21"/>
      <c r="O616" s="21"/>
      <c r="P616" s="21"/>
      <c r="Q616" s="21"/>
      <c r="R616" s="21" t="str">
        <f>'Ingest Template'!E616</f>
        <v/>
      </c>
      <c r="S616" s="29" t="s">
        <v>153</v>
      </c>
      <c r="T616" s="21" t="str">
        <f>'Ingest Template'!T616</f>
        <v/>
      </c>
      <c r="U616" s="21" t="str">
        <f>'Ingest Template'!S616</f>
        <v/>
      </c>
      <c r="V616" s="21" t="str">
        <f>LOWER(SUBSTITUTE(SUBSTITUTE(SUBSTITUTE(SUBSTITUTE(SUBSTITUTE('Ingest Template'!U616,"https:",""),"www.",""),"/",""),"?hl=en",""),"instagram.com",""))</f>
        <v/>
      </c>
      <c r="W616" s="41" t="str">
        <f t="array" ref="W616">IF('Ingest Template'!V616="",(INDEX(DropDown!$L$2:$L$392,MATCH('Ingest Template'!E616,DropDown!$J$2:$J$392,0))&amp;"|"&amp;'Ingest Template'!B616),(INDEX(DropDown!$L$2:$L$392,MATCH('Ingest Template'!E616,DropDown!$J$2:$J$392,0))&amp;"|"&amp;'Ingest Template'!B616)&amp;CHAR(10)&amp;'Ingest Template'!V616)</f>
        <v>#N/A</v>
      </c>
      <c r="X616" s="41" t="str">
        <f>'Ingest Template'!W616</f>
        <v/>
      </c>
      <c r="Y616" s="21" t="str">
        <f>SUBSTITUTE(SUBSTITUTE(SUBSTITUTE('Ingest Template'!X616,"http:",""),"https:",""),"/","")</f>
        <v/>
      </c>
      <c r="Z616" s="21" t="str">
        <f t="array" ref="Z616">IF('Ingest Template'!A616="Standard",(IF(ISBLANK('Ingest Template'!AA616),"", 'Ingest Template'!AA616&amp;"|DAR")),(IF(ISBLANK('Ingest Template'!AA616),"", 'Ingest Template'!AA616&amp;"|Film Ops")))</f>
        <v/>
      </c>
      <c r="AA616" s="21"/>
      <c r="AB616" s="21" t="str">
        <f>'Ingest Template'!M616</f>
        <v/>
      </c>
      <c r="AC616" s="21" t="str">
        <f>'Ingest Template'!Y616</f>
        <v/>
      </c>
      <c r="AD616" s="21" t="str">
        <f>'Ingest Template'!C616</f>
        <v/>
      </c>
      <c r="AE616" s="21" t="str">
        <f>'Ingest Template'!Z616</f>
        <v/>
      </c>
      <c r="AF616" s="29"/>
      <c r="AG616" s="21" t="str">
        <f t="array" ref="AG616">IF('Ingest Template'!A616="Standard",(CONCATENATE(IF(ISBLANK('Ingest Template'!O616),"", 'Ingest Template'!O616&amp;"|DAR"),CHAR(10), IF(ISBLANK('Ingest Template'!P616),"", 'Ingest Template'!P616&amp;"|DAR"),CHAR(10), IF(ISBLANK('Ingest Template'!Q616),"", 'Ingest Template'!Q616&amp;"|DAR"))),(CONCATENATE(IF(ISBLANK('Ingest Template'!O616),"", 'Ingest Template'!O616&amp;"|Operations - Core Title"),CHAR(10), IF(ISBLANK('Ingest Template'!P616),"", 'Ingest Template'!P616&amp;"|Operations - Core Title"),CHAR(10), IF(ISBLANK('Ingest Template'!Q616),"", 'Ingest Template'!Q616&amp;"|Operations - Core Title"))))</f>
        <v>#|Operations - Core Title
#|Operations - Core Title
</v>
      </c>
      <c r="AH616" s="21"/>
      <c r="AI616" s="21"/>
      <c r="AJ616" s="53" t="str">
        <f>if('Ingest Template'!A616="Standard",'Ingest Template'!N616&amp; "|DAR|DAR|2021-01-01",'Ingest Template'!N616&amp; "|Operations - Core Title|Operations - Core Title")</f>
        <v>#N/A</v>
      </c>
      <c r="AK616" s="53" t="str">
        <f>if('Ingest Template'!A616="Standard",'Ingest Template'!R616&amp; "|2021-01-01",'Ingest Template'!R616)</f>
        <v>#N/A</v>
      </c>
      <c r="AL616" s="21"/>
      <c r="AM616" s="21"/>
    </row>
    <row r="617">
      <c r="A617" s="21"/>
      <c r="B617" s="21" t="str">
        <f>'Ingest Template'!B617&amp;IF('Ingest Template'!A617 = "Standard", " - DAR","")</f>
        <v/>
      </c>
      <c r="C617" s="26" t="s">
        <v>109</v>
      </c>
      <c r="D617" s="29" t="str">
        <f t="array" ref="D617">CONCATENATE(INDEX(DropDown!$H$2:$H$10,MATCH(1,COUNTIF('Ingest Template'!F617,"*"&amp;DropDown!$H$2:$H$10&amp;"*"),0)),CHAR(10),'Ingest Template'!G617)</f>
        <v>#N/A</v>
      </c>
      <c r="E617" s="21" t="str">
        <f>CONCATENATE('Ingest Template'!H617,CHAR(10),'Ingest Template'!I617,CHAR(10),'Ingest Template'!J617)</f>
        <v>
</v>
      </c>
      <c r="F617" s="26" t="str">
        <f>'Ingest Template'!H617</f>
        <v/>
      </c>
      <c r="G617" s="21"/>
      <c r="H617" s="29"/>
      <c r="I617" s="21"/>
      <c r="J617" s="29" t="str">
        <f t="array" ref="J617">iF('Ingest Template'!A617="Standard","Pristine Brand",INDEX(DropDown!$M$2:$M$392,MATCH('Ingest Template'!E617,DropDown!$J$2:$J$392,0)))</f>
        <v>#N/A</v>
      </c>
      <c r="K617" s="21" t="str">
        <f>iF('Ingest Template'!A617="Standard",'Ingest Template'!K617&amp;CHAR(10)&amp;'Ingest Template'!L617,"Competitive View")</f>
        <v>Competitive View</v>
      </c>
      <c r="L617" s="29" t="s">
        <v>146</v>
      </c>
      <c r="M617" s="37" t="str">
        <f>'Ingest Template'!D617</f>
        <v/>
      </c>
      <c r="N617" s="21"/>
      <c r="O617" s="21"/>
      <c r="P617" s="21"/>
      <c r="Q617" s="21"/>
      <c r="R617" s="21" t="str">
        <f>'Ingest Template'!E617</f>
        <v/>
      </c>
      <c r="S617" s="29" t="s">
        <v>153</v>
      </c>
      <c r="T617" s="21" t="str">
        <f>'Ingest Template'!T617</f>
        <v/>
      </c>
      <c r="U617" s="21" t="str">
        <f>'Ingest Template'!S617</f>
        <v/>
      </c>
      <c r="V617" s="21" t="str">
        <f>LOWER(SUBSTITUTE(SUBSTITUTE(SUBSTITUTE(SUBSTITUTE(SUBSTITUTE('Ingest Template'!U617,"https:",""),"www.",""),"/",""),"?hl=en",""),"instagram.com",""))</f>
        <v/>
      </c>
      <c r="W617" s="41" t="str">
        <f t="array" ref="W617">IF('Ingest Template'!V617="",(INDEX(DropDown!$L$2:$L$392,MATCH('Ingest Template'!E617,DropDown!$J$2:$J$392,0))&amp;"|"&amp;'Ingest Template'!B617),(INDEX(DropDown!$L$2:$L$392,MATCH('Ingest Template'!E617,DropDown!$J$2:$J$392,0))&amp;"|"&amp;'Ingest Template'!B617)&amp;CHAR(10)&amp;'Ingest Template'!V617)</f>
        <v>#N/A</v>
      </c>
      <c r="X617" s="41" t="str">
        <f>'Ingest Template'!W617</f>
        <v/>
      </c>
      <c r="Y617" s="21" t="str">
        <f>SUBSTITUTE(SUBSTITUTE(SUBSTITUTE('Ingest Template'!X617,"http:",""),"https:",""),"/","")</f>
        <v/>
      </c>
      <c r="Z617" s="21" t="str">
        <f t="array" ref="Z617">IF('Ingest Template'!A617="Standard",(IF(ISBLANK('Ingest Template'!AA617),"", 'Ingest Template'!AA617&amp;"|DAR")),(IF(ISBLANK('Ingest Template'!AA617),"", 'Ingest Template'!AA617&amp;"|Film Ops")))</f>
        <v/>
      </c>
      <c r="AA617" s="21"/>
      <c r="AB617" s="21" t="str">
        <f>'Ingest Template'!M617</f>
        <v/>
      </c>
      <c r="AC617" s="21" t="str">
        <f>'Ingest Template'!Y617</f>
        <v/>
      </c>
      <c r="AD617" s="21" t="str">
        <f>'Ingest Template'!C617</f>
        <v/>
      </c>
      <c r="AE617" s="21" t="str">
        <f>'Ingest Template'!Z617</f>
        <v/>
      </c>
      <c r="AF617" s="29"/>
      <c r="AG617" s="21" t="str">
        <f t="array" ref="AG617">IF('Ingest Template'!A617="Standard",(CONCATENATE(IF(ISBLANK('Ingest Template'!O617),"", 'Ingest Template'!O617&amp;"|DAR"),CHAR(10), IF(ISBLANK('Ingest Template'!P617),"", 'Ingest Template'!P617&amp;"|DAR"),CHAR(10), IF(ISBLANK('Ingest Template'!Q617),"", 'Ingest Template'!Q617&amp;"|DAR"))),(CONCATENATE(IF(ISBLANK('Ingest Template'!O617),"", 'Ingest Template'!O617&amp;"|Operations - Core Title"),CHAR(10), IF(ISBLANK('Ingest Template'!P617),"", 'Ingest Template'!P617&amp;"|Operations - Core Title"),CHAR(10), IF(ISBLANK('Ingest Template'!Q617),"", 'Ingest Template'!Q617&amp;"|Operations - Core Title"))))</f>
        <v>#|Operations - Core Title
#|Operations - Core Title
</v>
      </c>
      <c r="AH617" s="21"/>
      <c r="AI617" s="21"/>
      <c r="AJ617" s="53" t="str">
        <f>if('Ingest Template'!A617="Standard",'Ingest Template'!N617&amp; "|DAR|DAR|2021-01-01",'Ingest Template'!N617&amp; "|Operations - Core Title|Operations - Core Title")</f>
        <v>#N/A</v>
      </c>
      <c r="AK617" s="53" t="str">
        <f>if('Ingest Template'!A617="Standard",'Ingest Template'!R617&amp; "|2021-01-01",'Ingest Template'!R617)</f>
        <v>#N/A</v>
      </c>
      <c r="AL617" s="21"/>
      <c r="AM617" s="21"/>
    </row>
    <row r="618">
      <c r="A618" s="21"/>
      <c r="B618" s="21" t="str">
        <f>'Ingest Template'!B618&amp;IF('Ingest Template'!A618 = "Standard", " - DAR","")</f>
        <v/>
      </c>
      <c r="C618" s="26" t="s">
        <v>109</v>
      </c>
      <c r="D618" s="29" t="str">
        <f t="array" ref="D618">CONCATENATE(INDEX(DropDown!$H$2:$H$10,MATCH(1,COUNTIF('Ingest Template'!F618,"*"&amp;DropDown!$H$2:$H$10&amp;"*"),0)),CHAR(10),'Ingest Template'!G618)</f>
        <v>#N/A</v>
      </c>
      <c r="E618" s="21" t="str">
        <f>CONCATENATE('Ingest Template'!H618,CHAR(10),'Ingest Template'!I618,CHAR(10),'Ingest Template'!J618)</f>
        <v>
</v>
      </c>
      <c r="F618" s="26" t="str">
        <f>'Ingest Template'!H618</f>
        <v/>
      </c>
      <c r="G618" s="21"/>
      <c r="H618" s="29"/>
      <c r="I618" s="21"/>
      <c r="J618" s="29" t="str">
        <f t="array" ref="J618">iF('Ingest Template'!A618="Standard","Pristine Brand",INDEX(DropDown!$M$2:$M$392,MATCH('Ingest Template'!E618,DropDown!$J$2:$J$392,0)))</f>
        <v>#N/A</v>
      </c>
      <c r="K618" s="21" t="str">
        <f>iF('Ingest Template'!A618="Standard",'Ingest Template'!K618&amp;CHAR(10)&amp;'Ingest Template'!L618,"Competitive View")</f>
        <v>Competitive View</v>
      </c>
      <c r="L618" s="29" t="s">
        <v>146</v>
      </c>
      <c r="M618" s="37" t="str">
        <f>'Ingest Template'!D618</f>
        <v/>
      </c>
      <c r="N618" s="21"/>
      <c r="O618" s="21"/>
      <c r="P618" s="21"/>
      <c r="Q618" s="21"/>
      <c r="R618" s="21" t="str">
        <f>'Ingest Template'!E618</f>
        <v/>
      </c>
      <c r="S618" s="29" t="s">
        <v>153</v>
      </c>
      <c r="T618" s="21" t="str">
        <f>'Ingest Template'!T618</f>
        <v/>
      </c>
      <c r="U618" s="21" t="str">
        <f>'Ingest Template'!S618</f>
        <v/>
      </c>
      <c r="V618" s="21" t="str">
        <f>LOWER(SUBSTITUTE(SUBSTITUTE(SUBSTITUTE(SUBSTITUTE(SUBSTITUTE('Ingest Template'!U618,"https:",""),"www.",""),"/",""),"?hl=en",""),"instagram.com",""))</f>
        <v/>
      </c>
      <c r="W618" s="41" t="str">
        <f t="array" ref="W618">IF('Ingest Template'!V618="",(INDEX(DropDown!$L$2:$L$392,MATCH('Ingest Template'!E618,DropDown!$J$2:$J$392,0))&amp;"|"&amp;'Ingest Template'!B618),(INDEX(DropDown!$L$2:$L$392,MATCH('Ingest Template'!E618,DropDown!$J$2:$J$392,0))&amp;"|"&amp;'Ingest Template'!B618)&amp;CHAR(10)&amp;'Ingest Template'!V618)</f>
        <v>#N/A</v>
      </c>
      <c r="X618" s="41" t="str">
        <f>'Ingest Template'!W618</f>
        <v/>
      </c>
      <c r="Y618" s="21" t="str">
        <f>SUBSTITUTE(SUBSTITUTE(SUBSTITUTE('Ingest Template'!X618,"http:",""),"https:",""),"/","")</f>
        <v/>
      </c>
      <c r="Z618" s="21" t="str">
        <f t="array" ref="Z618">IF('Ingest Template'!A618="Standard",(IF(ISBLANK('Ingest Template'!AA618),"", 'Ingest Template'!AA618&amp;"|DAR")),(IF(ISBLANK('Ingest Template'!AA618),"", 'Ingest Template'!AA618&amp;"|Film Ops")))</f>
        <v/>
      </c>
      <c r="AA618" s="21"/>
      <c r="AB618" s="21" t="str">
        <f>'Ingest Template'!M618</f>
        <v/>
      </c>
      <c r="AC618" s="21" t="str">
        <f>'Ingest Template'!Y618</f>
        <v/>
      </c>
      <c r="AD618" s="21" t="str">
        <f>'Ingest Template'!C618</f>
        <v/>
      </c>
      <c r="AE618" s="21" t="str">
        <f>'Ingest Template'!Z618</f>
        <v/>
      </c>
      <c r="AF618" s="29"/>
      <c r="AG618" s="21" t="str">
        <f t="array" ref="AG618">IF('Ingest Template'!A618="Standard",(CONCATENATE(IF(ISBLANK('Ingest Template'!O618),"", 'Ingest Template'!O618&amp;"|DAR"),CHAR(10), IF(ISBLANK('Ingest Template'!P618),"", 'Ingest Template'!P618&amp;"|DAR"),CHAR(10), IF(ISBLANK('Ingest Template'!Q618),"", 'Ingest Template'!Q618&amp;"|DAR"))),(CONCATENATE(IF(ISBLANK('Ingest Template'!O618),"", 'Ingest Template'!O618&amp;"|Operations - Core Title"),CHAR(10), IF(ISBLANK('Ingest Template'!P618),"", 'Ingest Template'!P618&amp;"|Operations - Core Title"),CHAR(10), IF(ISBLANK('Ingest Template'!Q618),"", 'Ingest Template'!Q618&amp;"|Operations - Core Title"))))</f>
        <v>#|Operations - Core Title
#|Operations - Core Title
</v>
      </c>
      <c r="AH618" s="21"/>
      <c r="AI618" s="21"/>
      <c r="AJ618" s="53" t="str">
        <f>if('Ingest Template'!A618="Standard",'Ingest Template'!N618&amp; "|DAR|DAR|2021-01-01",'Ingest Template'!N618&amp; "|Operations - Core Title|Operations - Core Title")</f>
        <v>#N/A</v>
      </c>
      <c r="AK618" s="53" t="str">
        <f>if('Ingest Template'!A618="Standard",'Ingest Template'!R618&amp; "|2021-01-01",'Ingest Template'!R618)</f>
        <v>#N/A</v>
      </c>
      <c r="AL618" s="21"/>
      <c r="AM618" s="21"/>
    </row>
    <row r="619">
      <c r="A619" s="21"/>
      <c r="B619" s="21" t="str">
        <f>'Ingest Template'!B619&amp;IF('Ingest Template'!A619 = "Standard", " - DAR","")</f>
        <v/>
      </c>
      <c r="C619" s="26" t="s">
        <v>109</v>
      </c>
      <c r="D619" s="29" t="str">
        <f t="array" ref="D619">CONCATENATE(INDEX(DropDown!$H$2:$H$10,MATCH(1,COUNTIF('Ingest Template'!F619,"*"&amp;DropDown!$H$2:$H$10&amp;"*"),0)),CHAR(10),'Ingest Template'!G619)</f>
        <v>#N/A</v>
      </c>
      <c r="E619" s="21" t="str">
        <f>CONCATENATE('Ingest Template'!H619,CHAR(10),'Ingest Template'!I619,CHAR(10),'Ingest Template'!J619)</f>
        <v>
</v>
      </c>
      <c r="F619" s="26" t="str">
        <f>'Ingest Template'!H619</f>
        <v/>
      </c>
      <c r="G619" s="21"/>
      <c r="H619" s="29"/>
      <c r="I619" s="21"/>
      <c r="J619" s="29" t="str">
        <f t="array" ref="J619">iF('Ingest Template'!A619="Standard","Pristine Brand",INDEX(DropDown!$M$2:$M$392,MATCH('Ingest Template'!E619,DropDown!$J$2:$J$392,0)))</f>
        <v>#N/A</v>
      </c>
      <c r="K619" s="21" t="str">
        <f>iF('Ingest Template'!A619="Standard",'Ingest Template'!K619&amp;CHAR(10)&amp;'Ingest Template'!L619,"Competitive View")</f>
        <v>Competitive View</v>
      </c>
      <c r="L619" s="29" t="s">
        <v>146</v>
      </c>
      <c r="M619" s="37" t="str">
        <f>'Ingest Template'!D619</f>
        <v/>
      </c>
      <c r="N619" s="21"/>
      <c r="O619" s="21"/>
      <c r="P619" s="21"/>
      <c r="Q619" s="21"/>
      <c r="R619" s="21" t="str">
        <f>'Ingest Template'!E619</f>
        <v/>
      </c>
      <c r="S619" s="29" t="s">
        <v>153</v>
      </c>
      <c r="T619" s="21" t="str">
        <f>'Ingest Template'!T619</f>
        <v/>
      </c>
      <c r="U619" s="21" t="str">
        <f>'Ingest Template'!S619</f>
        <v/>
      </c>
      <c r="V619" s="21" t="str">
        <f>LOWER(SUBSTITUTE(SUBSTITUTE(SUBSTITUTE(SUBSTITUTE(SUBSTITUTE('Ingest Template'!U619,"https:",""),"www.",""),"/",""),"?hl=en",""),"instagram.com",""))</f>
        <v/>
      </c>
      <c r="W619" s="41" t="str">
        <f t="array" ref="W619">IF('Ingest Template'!V619="",(INDEX(DropDown!$L$2:$L$392,MATCH('Ingest Template'!E619,DropDown!$J$2:$J$392,0))&amp;"|"&amp;'Ingest Template'!B619),(INDEX(DropDown!$L$2:$L$392,MATCH('Ingest Template'!E619,DropDown!$J$2:$J$392,0))&amp;"|"&amp;'Ingest Template'!B619)&amp;CHAR(10)&amp;'Ingest Template'!V619)</f>
        <v>#N/A</v>
      </c>
      <c r="X619" s="41" t="str">
        <f>'Ingest Template'!W619</f>
        <v/>
      </c>
      <c r="Y619" s="21" t="str">
        <f>SUBSTITUTE(SUBSTITUTE(SUBSTITUTE('Ingest Template'!X619,"http:",""),"https:",""),"/","")</f>
        <v/>
      </c>
      <c r="Z619" s="21" t="str">
        <f t="array" ref="Z619">IF('Ingest Template'!A619="Standard",(IF(ISBLANK('Ingest Template'!AA619),"", 'Ingest Template'!AA619&amp;"|DAR")),(IF(ISBLANK('Ingest Template'!AA619),"", 'Ingest Template'!AA619&amp;"|Film Ops")))</f>
        <v/>
      </c>
      <c r="AA619" s="21"/>
      <c r="AB619" s="21" t="str">
        <f>'Ingest Template'!M619</f>
        <v/>
      </c>
      <c r="AC619" s="21" t="str">
        <f>'Ingest Template'!Y619</f>
        <v/>
      </c>
      <c r="AD619" s="21" t="str">
        <f>'Ingest Template'!C619</f>
        <v/>
      </c>
      <c r="AE619" s="21" t="str">
        <f>'Ingest Template'!Z619</f>
        <v/>
      </c>
      <c r="AF619" s="29"/>
      <c r="AG619" s="21" t="str">
        <f t="array" ref="AG619">IF('Ingest Template'!A619="Standard",(CONCATENATE(IF(ISBLANK('Ingest Template'!O619),"", 'Ingest Template'!O619&amp;"|DAR"),CHAR(10), IF(ISBLANK('Ingest Template'!P619),"", 'Ingest Template'!P619&amp;"|DAR"),CHAR(10), IF(ISBLANK('Ingest Template'!Q619),"", 'Ingest Template'!Q619&amp;"|DAR"))),(CONCATENATE(IF(ISBLANK('Ingest Template'!O619),"", 'Ingest Template'!O619&amp;"|Operations - Core Title"),CHAR(10), IF(ISBLANK('Ingest Template'!P619),"", 'Ingest Template'!P619&amp;"|Operations - Core Title"),CHAR(10), IF(ISBLANK('Ingest Template'!Q619),"", 'Ingest Template'!Q619&amp;"|Operations - Core Title"))))</f>
        <v>#|Operations - Core Title
#|Operations - Core Title
</v>
      </c>
      <c r="AH619" s="21"/>
      <c r="AI619" s="21"/>
      <c r="AJ619" s="53" t="str">
        <f>if('Ingest Template'!A619="Standard",'Ingest Template'!N619&amp; "|DAR|DAR|2021-01-01",'Ingest Template'!N619&amp; "|Operations - Core Title|Operations - Core Title")</f>
        <v>#N/A</v>
      </c>
      <c r="AK619" s="53" t="str">
        <f>if('Ingest Template'!A619="Standard",'Ingest Template'!R619&amp; "|2021-01-01",'Ingest Template'!R619)</f>
        <v>#N/A</v>
      </c>
      <c r="AL619" s="21"/>
      <c r="AM619" s="21"/>
    </row>
    <row r="620">
      <c r="A620" s="21"/>
      <c r="B620" s="21" t="str">
        <f>'Ingest Template'!B620&amp;IF('Ingest Template'!A620 = "Standard", " - DAR","")</f>
        <v/>
      </c>
      <c r="C620" s="26" t="s">
        <v>109</v>
      </c>
      <c r="D620" s="29" t="str">
        <f t="array" ref="D620">CONCATENATE(INDEX(DropDown!$H$2:$H$10,MATCH(1,COUNTIF('Ingest Template'!F620,"*"&amp;DropDown!$H$2:$H$10&amp;"*"),0)),CHAR(10),'Ingest Template'!G620)</f>
        <v>#N/A</v>
      </c>
      <c r="E620" s="21" t="str">
        <f>CONCATENATE('Ingest Template'!H620,CHAR(10),'Ingest Template'!I620,CHAR(10),'Ingest Template'!J620)</f>
        <v>
</v>
      </c>
      <c r="F620" s="26" t="str">
        <f>'Ingest Template'!H620</f>
        <v/>
      </c>
      <c r="G620" s="21"/>
      <c r="H620" s="29"/>
      <c r="I620" s="21"/>
      <c r="J620" s="29" t="str">
        <f t="array" ref="J620">iF('Ingest Template'!A620="Standard","Pristine Brand",INDEX(DropDown!$M$2:$M$392,MATCH('Ingest Template'!E620,DropDown!$J$2:$J$392,0)))</f>
        <v>#N/A</v>
      </c>
      <c r="K620" s="21" t="str">
        <f>iF('Ingest Template'!A620="Standard",'Ingest Template'!K620&amp;CHAR(10)&amp;'Ingest Template'!L620,"Competitive View")</f>
        <v>Competitive View</v>
      </c>
      <c r="L620" s="29" t="s">
        <v>146</v>
      </c>
      <c r="M620" s="37" t="str">
        <f>'Ingest Template'!D620</f>
        <v/>
      </c>
      <c r="N620" s="21"/>
      <c r="O620" s="21"/>
      <c r="P620" s="21"/>
      <c r="Q620" s="21"/>
      <c r="R620" s="21" t="str">
        <f>'Ingest Template'!E620</f>
        <v/>
      </c>
      <c r="S620" s="29" t="s">
        <v>153</v>
      </c>
      <c r="T620" s="21" t="str">
        <f>'Ingest Template'!T620</f>
        <v/>
      </c>
      <c r="U620" s="21" t="str">
        <f>'Ingest Template'!S620</f>
        <v/>
      </c>
      <c r="V620" s="21" t="str">
        <f>LOWER(SUBSTITUTE(SUBSTITUTE(SUBSTITUTE(SUBSTITUTE(SUBSTITUTE('Ingest Template'!U620,"https:",""),"www.",""),"/",""),"?hl=en",""),"instagram.com",""))</f>
        <v/>
      </c>
      <c r="W620" s="41" t="str">
        <f t="array" ref="W620">IF('Ingest Template'!V620="",(INDEX(DropDown!$L$2:$L$392,MATCH('Ingest Template'!E620,DropDown!$J$2:$J$392,0))&amp;"|"&amp;'Ingest Template'!B620),(INDEX(DropDown!$L$2:$L$392,MATCH('Ingest Template'!E620,DropDown!$J$2:$J$392,0))&amp;"|"&amp;'Ingest Template'!B620)&amp;CHAR(10)&amp;'Ingest Template'!V620)</f>
        <v>#N/A</v>
      </c>
      <c r="X620" s="41" t="str">
        <f>'Ingest Template'!W620</f>
        <v/>
      </c>
      <c r="Y620" s="21" t="str">
        <f>SUBSTITUTE(SUBSTITUTE(SUBSTITUTE('Ingest Template'!X620,"http:",""),"https:",""),"/","")</f>
        <v/>
      </c>
      <c r="Z620" s="21" t="str">
        <f t="array" ref="Z620">IF('Ingest Template'!A620="Standard",(IF(ISBLANK('Ingest Template'!AA620),"", 'Ingest Template'!AA620&amp;"|DAR")),(IF(ISBLANK('Ingest Template'!AA620),"", 'Ingest Template'!AA620&amp;"|Film Ops")))</f>
        <v/>
      </c>
      <c r="AA620" s="21"/>
      <c r="AB620" s="21" t="str">
        <f>'Ingest Template'!M620</f>
        <v/>
      </c>
      <c r="AC620" s="21" t="str">
        <f>'Ingest Template'!Y620</f>
        <v/>
      </c>
      <c r="AD620" s="21" t="str">
        <f>'Ingest Template'!C620</f>
        <v/>
      </c>
      <c r="AE620" s="21" t="str">
        <f>'Ingest Template'!Z620</f>
        <v/>
      </c>
      <c r="AF620" s="29"/>
      <c r="AG620" s="21" t="str">
        <f t="array" ref="AG620">IF('Ingest Template'!A620="Standard",(CONCATENATE(IF(ISBLANK('Ingest Template'!O620),"", 'Ingest Template'!O620&amp;"|DAR"),CHAR(10), IF(ISBLANK('Ingest Template'!P620),"", 'Ingest Template'!P620&amp;"|DAR"),CHAR(10), IF(ISBLANK('Ingest Template'!Q620),"", 'Ingest Template'!Q620&amp;"|DAR"))),(CONCATENATE(IF(ISBLANK('Ingest Template'!O620),"", 'Ingest Template'!O620&amp;"|Operations - Core Title"),CHAR(10), IF(ISBLANK('Ingest Template'!P620),"", 'Ingest Template'!P620&amp;"|Operations - Core Title"),CHAR(10), IF(ISBLANK('Ingest Template'!Q620),"", 'Ingest Template'!Q620&amp;"|Operations - Core Title"))))</f>
        <v>#|Operations - Core Title
#|Operations - Core Title
</v>
      </c>
      <c r="AH620" s="21"/>
      <c r="AI620" s="21"/>
      <c r="AJ620" s="53" t="str">
        <f>if('Ingest Template'!A620="Standard",'Ingest Template'!N620&amp; "|DAR|DAR|2021-01-01",'Ingest Template'!N620&amp; "|Operations - Core Title|Operations - Core Title")</f>
        <v>#N/A</v>
      </c>
      <c r="AK620" s="53" t="str">
        <f>if('Ingest Template'!A620="Standard",'Ingest Template'!R620&amp; "|2021-01-01",'Ingest Template'!R620)</f>
        <v>#N/A</v>
      </c>
      <c r="AL620" s="21"/>
      <c r="AM620" s="21"/>
    </row>
    <row r="621">
      <c r="A621" s="21"/>
      <c r="B621" s="21" t="str">
        <f>'Ingest Template'!B621&amp;IF('Ingest Template'!A621 = "Standard", " - DAR","")</f>
        <v/>
      </c>
      <c r="C621" s="26" t="s">
        <v>109</v>
      </c>
      <c r="D621" s="29" t="str">
        <f t="array" ref="D621">CONCATENATE(INDEX(DropDown!$H$2:$H$10,MATCH(1,COUNTIF('Ingest Template'!F621,"*"&amp;DropDown!$H$2:$H$10&amp;"*"),0)),CHAR(10),'Ingest Template'!G621)</f>
        <v>#N/A</v>
      </c>
      <c r="E621" s="21" t="str">
        <f>CONCATENATE('Ingest Template'!H621,CHAR(10),'Ingest Template'!I621,CHAR(10),'Ingest Template'!J621)</f>
        <v>
</v>
      </c>
      <c r="F621" s="26" t="str">
        <f>'Ingest Template'!H621</f>
        <v/>
      </c>
      <c r="G621" s="21"/>
      <c r="H621" s="29"/>
      <c r="I621" s="21"/>
      <c r="J621" s="29" t="str">
        <f t="array" ref="J621">iF('Ingest Template'!A621="Standard","Pristine Brand",INDEX(DropDown!$M$2:$M$392,MATCH('Ingest Template'!E621,DropDown!$J$2:$J$392,0)))</f>
        <v>#N/A</v>
      </c>
      <c r="K621" s="21" t="str">
        <f>iF('Ingest Template'!A621="Standard",'Ingest Template'!K621&amp;CHAR(10)&amp;'Ingest Template'!L621,"Competitive View")</f>
        <v>Competitive View</v>
      </c>
      <c r="L621" s="29" t="s">
        <v>146</v>
      </c>
      <c r="M621" s="37" t="str">
        <f>'Ingest Template'!D621</f>
        <v/>
      </c>
      <c r="N621" s="21"/>
      <c r="O621" s="21"/>
      <c r="P621" s="21"/>
      <c r="Q621" s="21"/>
      <c r="R621" s="21" t="str">
        <f>'Ingest Template'!E621</f>
        <v/>
      </c>
      <c r="S621" s="29" t="s">
        <v>153</v>
      </c>
      <c r="T621" s="21" t="str">
        <f>'Ingest Template'!T621</f>
        <v/>
      </c>
      <c r="U621" s="21" t="str">
        <f>'Ingest Template'!S621</f>
        <v/>
      </c>
      <c r="V621" s="21" t="str">
        <f>LOWER(SUBSTITUTE(SUBSTITUTE(SUBSTITUTE(SUBSTITUTE(SUBSTITUTE('Ingest Template'!U621,"https:",""),"www.",""),"/",""),"?hl=en",""),"instagram.com",""))</f>
        <v/>
      </c>
      <c r="W621" s="41" t="str">
        <f t="array" ref="W621">IF('Ingest Template'!V621="",(INDEX(DropDown!$L$2:$L$392,MATCH('Ingest Template'!E621,DropDown!$J$2:$J$392,0))&amp;"|"&amp;'Ingest Template'!B621),(INDEX(DropDown!$L$2:$L$392,MATCH('Ingest Template'!E621,DropDown!$J$2:$J$392,0))&amp;"|"&amp;'Ingest Template'!B621)&amp;CHAR(10)&amp;'Ingest Template'!V621)</f>
        <v>#N/A</v>
      </c>
      <c r="X621" s="41" t="str">
        <f>'Ingest Template'!W621</f>
        <v/>
      </c>
      <c r="Y621" s="21" t="str">
        <f>SUBSTITUTE(SUBSTITUTE(SUBSTITUTE('Ingest Template'!X621,"http:",""),"https:",""),"/","")</f>
        <v/>
      </c>
      <c r="Z621" s="21" t="str">
        <f t="array" ref="Z621">IF('Ingest Template'!A621="Standard",(IF(ISBLANK('Ingest Template'!AA621),"", 'Ingest Template'!AA621&amp;"|DAR")),(IF(ISBLANK('Ingest Template'!AA621),"", 'Ingest Template'!AA621&amp;"|Film Ops")))</f>
        <v/>
      </c>
      <c r="AA621" s="21"/>
      <c r="AB621" s="21" t="str">
        <f>'Ingest Template'!M621</f>
        <v/>
      </c>
      <c r="AC621" s="21" t="str">
        <f>'Ingest Template'!Y621</f>
        <v/>
      </c>
      <c r="AD621" s="21" t="str">
        <f>'Ingest Template'!C621</f>
        <v/>
      </c>
      <c r="AE621" s="21" t="str">
        <f>'Ingest Template'!Z621</f>
        <v/>
      </c>
      <c r="AF621" s="29"/>
      <c r="AG621" s="21" t="str">
        <f t="array" ref="AG621">IF('Ingest Template'!A621="Standard",(CONCATENATE(IF(ISBLANK('Ingest Template'!O621),"", 'Ingest Template'!O621&amp;"|DAR"),CHAR(10), IF(ISBLANK('Ingest Template'!P621),"", 'Ingest Template'!P621&amp;"|DAR"),CHAR(10), IF(ISBLANK('Ingest Template'!Q621),"", 'Ingest Template'!Q621&amp;"|DAR"))),(CONCATENATE(IF(ISBLANK('Ingest Template'!O621),"", 'Ingest Template'!O621&amp;"|Operations - Core Title"),CHAR(10), IF(ISBLANK('Ingest Template'!P621),"", 'Ingest Template'!P621&amp;"|Operations - Core Title"),CHAR(10), IF(ISBLANK('Ingest Template'!Q621),"", 'Ingest Template'!Q621&amp;"|Operations - Core Title"))))</f>
        <v>#|Operations - Core Title
#|Operations - Core Title
</v>
      </c>
      <c r="AH621" s="21"/>
      <c r="AI621" s="21"/>
      <c r="AJ621" s="53" t="str">
        <f>if('Ingest Template'!A621="Standard",'Ingest Template'!N621&amp; "|DAR|DAR|2021-01-01",'Ingest Template'!N621&amp; "|Operations - Core Title|Operations - Core Title")</f>
        <v>#N/A</v>
      </c>
      <c r="AK621" s="53" t="str">
        <f>if('Ingest Template'!A621="Standard",'Ingest Template'!R621&amp; "|2021-01-01",'Ingest Template'!R621)</f>
        <v>#N/A</v>
      </c>
      <c r="AL621" s="21"/>
      <c r="AM621" s="21"/>
    </row>
    <row r="622">
      <c r="A622" s="21"/>
      <c r="B622" s="21" t="str">
        <f>'Ingest Template'!B622&amp;IF('Ingest Template'!A622 = "Standard", " - DAR","")</f>
        <v/>
      </c>
      <c r="C622" s="26" t="s">
        <v>109</v>
      </c>
      <c r="D622" s="29" t="str">
        <f t="array" ref="D622">CONCATENATE(INDEX(DropDown!$H$2:$H$10,MATCH(1,COUNTIF('Ingest Template'!F622,"*"&amp;DropDown!$H$2:$H$10&amp;"*"),0)),CHAR(10),'Ingest Template'!G622)</f>
        <v>#N/A</v>
      </c>
      <c r="E622" s="21" t="str">
        <f>CONCATENATE('Ingest Template'!H622,CHAR(10),'Ingest Template'!I622,CHAR(10),'Ingest Template'!J622)</f>
        <v>
</v>
      </c>
      <c r="F622" s="26" t="str">
        <f>'Ingest Template'!H622</f>
        <v/>
      </c>
      <c r="G622" s="21"/>
      <c r="H622" s="29"/>
      <c r="I622" s="21"/>
      <c r="J622" s="29" t="str">
        <f t="array" ref="J622">iF('Ingest Template'!A622="Standard","Pristine Brand",INDEX(DropDown!$M$2:$M$392,MATCH('Ingest Template'!E622,DropDown!$J$2:$J$392,0)))</f>
        <v>#N/A</v>
      </c>
      <c r="K622" s="21" t="str">
        <f>iF('Ingest Template'!A622="Standard",'Ingest Template'!K622&amp;CHAR(10)&amp;'Ingest Template'!L622,"Competitive View")</f>
        <v>Competitive View</v>
      </c>
      <c r="L622" s="29" t="s">
        <v>146</v>
      </c>
      <c r="M622" s="37" t="str">
        <f>'Ingest Template'!D622</f>
        <v/>
      </c>
      <c r="N622" s="21"/>
      <c r="O622" s="21"/>
      <c r="P622" s="21"/>
      <c r="Q622" s="21"/>
      <c r="R622" s="21" t="str">
        <f>'Ingest Template'!E622</f>
        <v/>
      </c>
      <c r="S622" s="29" t="s">
        <v>153</v>
      </c>
      <c r="T622" s="21" t="str">
        <f>'Ingest Template'!T622</f>
        <v/>
      </c>
      <c r="U622" s="21" t="str">
        <f>'Ingest Template'!S622</f>
        <v/>
      </c>
      <c r="V622" s="21" t="str">
        <f>LOWER(SUBSTITUTE(SUBSTITUTE(SUBSTITUTE(SUBSTITUTE(SUBSTITUTE('Ingest Template'!U622,"https:",""),"www.",""),"/",""),"?hl=en",""),"instagram.com",""))</f>
        <v/>
      </c>
      <c r="W622" s="41" t="str">
        <f t="array" ref="W622">IF('Ingest Template'!V622="",(INDEX(DropDown!$L$2:$L$392,MATCH('Ingest Template'!E622,DropDown!$J$2:$J$392,0))&amp;"|"&amp;'Ingest Template'!B622),(INDEX(DropDown!$L$2:$L$392,MATCH('Ingest Template'!E622,DropDown!$J$2:$J$392,0))&amp;"|"&amp;'Ingest Template'!B622)&amp;CHAR(10)&amp;'Ingest Template'!V622)</f>
        <v>#N/A</v>
      </c>
      <c r="X622" s="41" t="str">
        <f>'Ingest Template'!W622</f>
        <v/>
      </c>
      <c r="Y622" s="21" t="str">
        <f>SUBSTITUTE(SUBSTITUTE(SUBSTITUTE('Ingest Template'!X622,"http:",""),"https:",""),"/","")</f>
        <v/>
      </c>
      <c r="Z622" s="21" t="str">
        <f t="array" ref="Z622">IF('Ingest Template'!A622="Standard",(IF(ISBLANK('Ingest Template'!AA622),"", 'Ingest Template'!AA622&amp;"|DAR")),(IF(ISBLANK('Ingest Template'!AA622),"", 'Ingest Template'!AA622&amp;"|Film Ops")))</f>
        <v/>
      </c>
      <c r="AA622" s="21"/>
      <c r="AB622" s="21" t="str">
        <f>'Ingest Template'!M622</f>
        <v/>
      </c>
      <c r="AC622" s="21" t="str">
        <f>'Ingest Template'!Y622</f>
        <v/>
      </c>
      <c r="AD622" s="21" t="str">
        <f>'Ingest Template'!C622</f>
        <v/>
      </c>
      <c r="AE622" s="21" t="str">
        <f>'Ingest Template'!Z622</f>
        <v/>
      </c>
      <c r="AF622" s="29"/>
      <c r="AG622" s="21" t="str">
        <f t="array" ref="AG622">IF('Ingest Template'!A622="Standard",(CONCATENATE(IF(ISBLANK('Ingest Template'!O622),"", 'Ingest Template'!O622&amp;"|DAR"),CHAR(10), IF(ISBLANK('Ingest Template'!P622),"", 'Ingest Template'!P622&amp;"|DAR"),CHAR(10), IF(ISBLANK('Ingest Template'!Q622),"", 'Ingest Template'!Q622&amp;"|DAR"))),(CONCATENATE(IF(ISBLANK('Ingest Template'!O622),"", 'Ingest Template'!O622&amp;"|Operations - Core Title"),CHAR(10), IF(ISBLANK('Ingest Template'!P622),"", 'Ingest Template'!P622&amp;"|Operations - Core Title"),CHAR(10), IF(ISBLANK('Ingest Template'!Q622),"", 'Ingest Template'!Q622&amp;"|Operations - Core Title"))))</f>
        <v>#|Operations - Core Title
#|Operations - Core Title
</v>
      </c>
      <c r="AH622" s="21"/>
      <c r="AI622" s="21"/>
      <c r="AJ622" s="53" t="str">
        <f>if('Ingest Template'!A622="Standard",'Ingest Template'!N622&amp; "|DAR|DAR|2021-01-01",'Ingest Template'!N622&amp; "|Operations - Core Title|Operations - Core Title")</f>
        <v>#N/A</v>
      </c>
      <c r="AK622" s="53" t="str">
        <f>if('Ingest Template'!A622="Standard",'Ingest Template'!R622&amp; "|2021-01-01",'Ingest Template'!R622)</f>
        <v>#N/A</v>
      </c>
      <c r="AL622" s="21"/>
      <c r="AM622" s="21"/>
    </row>
    <row r="623">
      <c r="A623" s="21"/>
      <c r="B623" s="21" t="str">
        <f>'Ingest Template'!B623&amp;IF('Ingest Template'!A623 = "Standard", " - DAR","")</f>
        <v/>
      </c>
      <c r="C623" s="26" t="s">
        <v>109</v>
      </c>
      <c r="D623" s="29" t="str">
        <f t="array" ref="D623">CONCATENATE(INDEX(DropDown!$H$2:$H$10,MATCH(1,COUNTIF('Ingest Template'!F623,"*"&amp;DropDown!$H$2:$H$10&amp;"*"),0)),CHAR(10),'Ingest Template'!G623)</f>
        <v>#N/A</v>
      </c>
      <c r="E623" s="21" t="str">
        <f>CONCATENATE('Ingest Template'!H623,CHAR(10),'Ingest Template'!I623,CHAR(10),'Ingest Template'!J623)</f>
        <v>
</v>
      </c>
      <c r="F623" s="26" t="str">
        <f>'Ingest Template'!H623</f>
        <v/>
      </c>
      <c r="G623" s="21"/>
      <c r="H623" s="29"/>
      <c r="I623" s="21"/>
      <c r="J623" s="29" t="str">
        <f t="array" ref="J623">iF('Ingest Template'!A623="Standard","Pristine Brand",INDEX(DropDown!$M$2:$M$392,MATCH('Ingest Template'!E623,DropDown!$J$2:$J$392,0)))</f>
        <v>#N/A</v>
      </c>
      <c r="K623" s="21" t="str">
        <f>iF('Ingest Template'!A623="Standard",'Ingest Template'!K623&amp;CHAR(10)&amp;'Ingest Template'!L623,"Competitive View")</f>
        <v>Competitive View</v>
      </c>
      <c r="L623" s="29" t="s">
        <v>146</v>
      </c>
      <c r="M623" s="37" t="str">
        <f>'Ingest Template'!D623</f>
        <v/>
      </c>
      <c r="N623" s="21"/>
      <c r="O623" s="21"/>
      <c r="P623" s="21"/>
      <c r="Q623" s="21"/>
      <c r="R623" s="21" t="str">
        <f>'Ingest Template'!E623</f>
        <v/>
      </c>
      <c r="S623" s="29" t="s">
        <v>153</v>
      </c>
      <c r="T623" s="21" t="str">
        <f>'Ingest Template'!T623</f>
        <v/>
      </c>
      <c r="U623" s="21" t="str">
        <f>'Ingest Template'!S623</f>
        <v/>
      </c>
      <c r="V623" s="21" t="str">
        <f>LOWER(SUBSTITUTE(SUBSTITUTE(SUBSTITUTE(SUBSTITUTE(SUBSTITUTE('Ingest Template'!U623,"https:",""),"www.",""),"/",""),"?hl=en",""),"instagram.com",""))</f>
        <v/>
      </c>
      <c r="W623" s="41" t="str">
        <f t="array" ref="W623">IF('Ingest Template'!V623="",(INDEX(DropDown!$L$2:$L$392,MATCH('Ingest Template'!E623,DropDown!$J$2:$J$392,0))&amp;"|"&amp;'Ingest Template'!B623),(INDEX(DropDown!$L$2:$L$392,MATCH('Ingest Template'!E623,DropDown!$J$2:$J$392,0))&amp;"|"&amp;'Ingest Template'!B623)&amp;CHAR(10)&amp;'Ingest Template'!V623)</f>
        <v>#N/A</v>
      </c>
      <c r="X623" s="41" t="str">
        <f>'Ingest Template'!W623</f>
        <v/>
      </c>
      <c r="Y623" s="21" t="str">
        <f>SUBSTITUTE(SUBSTITUTE(SUBSTITUTE('Ingest Template'!X623,"http:",""),"https:",""),"/","")</f>
        <v/>
      </c>
      <c r="Z623" s="21" t="str">
        <f t="array" ref="Z623">IF('Ingest Template'!A623="Standard",(IF(ISBLANK('Ingest Template'!AA623),"", 'Ingest Template'!AA623&amp;"|DAR")),(IF(ISBLANK('Ingest Template'!AA623),"", 'Ingest Template'!AA623&amp;"|Film Ops")))</f>
        <v/>
      </c>
      <c r="AA623" s="21"/>
      <c r="AB623" s="21" t="str">
        <f>'Ingest Template'!M623</f>
        <v/>
      </c>
      <c r="AC623" s="21" t="str">
        <f>'Ingest Template'!Y623</f>
        <v/>
      </c>
      <c r="AD623" s="21" t="str">
        <f>'Ingest Template'!C623</f>
        <v/>
      </c>
      <c r="AE623" s="21" t="str">
        <f>'Ingest Template'!Z623</f>
        <v/>
      </c>
      <c r="AF623" s="29"/>
      <c r="AG623" s="21" t="str">
        <f t="array" ref="AG623">IF('Ingest Template'!A623="Standard",(CONCATENATE(IF(ISBLANK('Ingest Template'!O623),"", 'Ingest Template'!O623&amp;"|DAR"),CHAR(10), IF(ISBLANK('Ingest Template'!P623),"", 'Ingest Template'!P623&amp;"|DAR"),CHAR(10), IF(ISBLANK('Ingest Template'!Q623),"", 'Ingest Template'!Q623&amp;"|DAR"))),(CONCATENATE(IF(ISBLANK('Ingest Template'!O623),"", 'Ingest Template'!O623&amp;"|Operations - Core Title"),CHAR(10), IF(ISBLANK('Ingest Template'!P623),"", 'Ingest Template'!P623&amp;"|Operations - Core Title"),CHAR(10), IF(ISBLANK('Ingest Template'!Q623),"", 'Ingest Template'!Q623&amp;"|Operations - Core Title"))))</f>
        <v>#|Operations - Core Title
#|Operations - Core Title
</v>
      </c>
      <c r="AH623" s="21"/>
      <c r="AI623" s="21"/>
      <c r="AJ623" s="53" t="str">
        <f>if('Ingest Template'!A623="Standard",'Ingest Template'!N623&amp; "|DAR|DAR|2021-01-01",'Ingest Template'!N623&amp; "|Operations - Core Title|Operations - Core Title")</f>
        <v>#N/A</v>
      </c>
      <c r="AK623" s="53" t="str">
        <f>if('Ingest Template'!A623="Standard",'Ingest Template'!R623&amp; "|2021-01-01",'Ingest Template'!R623)</f>
        <v>#N/A</v>
      </c>
      <c r="AL623" s="21"/>
      <c r="AM623" s="21"/>
    </row>
    <row r="624">
      <c r="A624" s="21"/>
      <c r="B624" s="21" t="str">
        <f>'Ingest Template'!B624&amp;IF('Ingest Template'!A624 = "Standard", " - DAR","")</f>
        <v/>
      </c>
      <c r="C624" s="26" t="s">
        <v>109</v>
      </c>
      <c r="D624" s="29" t="str">
        <f t="array" ref="D624">CONCATENATE(INDEX(DropDown!$H$2:$H$10,MATCH(1,COUNTIF('Ingest Template'!F624,"*"&amp;DropDown!$H$2:$H$10&amp;"*"),0)),CHAR(10),'Ingest Template'!G624)</f>
        <v>#N/A</v>
      </c>
      <c r="E624" s="21" t="str">
        <f>CONCATENATE('Ingest Template'!H624,CHAR(10),'Ingest Template'!I624,CHAR(10),'Ingest Template'!J624)</f>
        <v>
</v>
      </c>
      <c r="F624" s="26" t="str">
        <f>'Ingest Template'!H624</f>
        <v/>
      </c>
      <c r="G624" s="21"/>
      <c r="H624" s="29"/>
      <c r="I624" s="21"/>
      <c r="J624" s="29" t="str">
        <f t="array" ref="J624">iF('Ingest Template'!A624="Standard","Pristine Brand",INDEX(DropDown!$M$2:$M$392,MATCH('Ingest Template'!E624,DropDown!$J$2:$J$392,0)))</f>
        <v>#N/A</v>
      </c>
      <c r="K624" s="21" t="str">
        <f>iF('Ingest Template'!A624="Standard",'Ingest Template'!K624&amp;CHAR(10)&amp;'Ingest Template'!L624,"Competitive View")</f>
        <v>Competitive View</v>
      </c>
      <c r="L624" s="29" t="s">
        <v>146</v>
      </c>
      <c r="M624" s="37" t="str">
        <f>'Ingest Template'!D624</f>
        <v/>
      </c>
      <c r="N624" s="21"/>
      <c r="O624" s="21"/>
      <c r="P624" s="21"/>
      <c r="Q624" s="21"/>
      <c r="R624" s="21" t="str">
        <f>'Ingest Template'!E624</f>
        <v/>
      </c>
      <c r="S624" s="29" t="s">
        <v>153</v>
      </c>
      <c r="T624" s="21" t="str">
        <f>'Ingest Template'!T624</f>
        <v/>
      </c>
      <c r="U624" s="21" t="str">
        <f>'Ingest Template'!S624</f>
        <v/>
      </c>
      <c r="V624" s="21" t="str">
        <f>LOWER(SUBSTITUTE(SUBSTITUTE(SUBSTITUTE(SUBSTITUTE(SUBSTITUTE('Ingest Template'!U624,"https:",""),"www.",""),"/",""),"?hl=en",""),"instagram.com",""))</f>
        <v/>
      </c>
      <c r="W624" s="41" t="str">
        <f t="array" ref="W624">IF('Ingest Template'!V624="",(INDEX(DropDown!$L$2:$L$392,MATCH('Ingest Template'!E624,DropDown!$J$2:$J$392,0))&amp;"|"&amp;'Ingest Template'!B624),(INDEX(DropDown!$L$2:$L$392,MATCH('Ingest Template'!E624,DropDown!$J$2:$J$392,0))&amp;"|"&amp;'Ingest Template'!B624)&amp;CHAR(10)&amp;'Ingest Template'!V624)</f>
        <v>#N/A</v>
      </c>
      <c r="X624" s="41" t="str">
        <f>'Ingest Template'!W624</f>
        <v/>
      </c>
      <c r="Y624" s="21" t="str">
        <f>SUBSTITUTE(SUBSTITUTE(SUBSTITUTE('Ingest Template'!X624,"http:",""),"https:",""),"/","")</f>
        <v/>
      </c>
      <c r="Z624" s="21" t="str">
        <f t="array" ref="Z624">IF('Ingest Template'!A624="Standard",(IF(ISBLANK('Ingest Template'!AA624),"", 'Ingest Template'!AA624&amp;"|DAR")),(IF(ISBLANK('Ingest Template'!AA624),"", 'Ingest Template'!AA624&amp;"|Film Ops")))</f>
        <v/>
      </c>
      <c r="AA624" s="21"/>
      <c r="AB624" s="21" t="str">
        <f>'Ingest Template'!M624</f>
        <v/>
      </c>
      <c r="AC624" s="21" t="str">
        <f>'Ingest Template'!Y624</f>
        <v/>
      </c>
      <c r="AD624" s="21" t="str">
        <f>'Ingest Template'!C624</f>
        <v/>
      </c>
      <c r="AE624" s="21" t="str">
        <f>'Ingest Template'!Z624</f>
        <v/>
      </c>
      <c r="AF624" s="29"/>
      <c r="AG624" s="21" t="str">
        <f t="array" ref="AG624">IF('Ingest Template'!A624="Standard",(CONCATENATE(IF(ISBLANK('Ingest Template'!O624),"", 'Ingest Template'!O624&amp;"|DAR"),CHAR(10), IF(ISBLANK('Ingest Template'!P624),"", 'Ingest Template'!P624&amp;"|DAR"),CHAR(10), IF(ISBLANK('Ingest Template'!Q624),"", 'Ingest Template'!Q624&amp;"|DAR"))),(CONCATENATE(IF(ISBLANK('Ingest Template'!O624),"", 'Ingest Template'!O624&amp;"|Operations - Core Title"),CHAR(10), IF(ISBLANK('Ingest Template'!P624),"", 'Ingest Template'!P624&amp;"|Operations - Core Title"),CHAR(10), IF(ISBLANK('Ingest Template'!Q624),"", 'Ingest Template'!Q624&amp;"|Operations - Core Title"))))</f>
        <v>#|Operations - Core Title
#|Operations - Core Title
</v>
      </c>
      <c r="AH624" s="21"/>
      <c r="AI624" s="21"/>
      <c r="AJ624" s="53" t="str">
        <f>if('Ingest Template'!A624="Standard",'Ingest Template'!N624&amp; "|DAR|DAR|2021-01-01",'Ingest Template'!N624&amp; "|Operations - Core Title|Operations - Core Title")</f>
        <v>#N/A</v>
      </c>
      <c r="AK624" s="53" t="str">
        <f>if('Ingest Template'!A624="Standard",'Ingest Template'!R624&amp; "|2021-01-01",'Ingest Template'!R624)</f>
        <v>#N/A</v>
      </c>
      <c r="AL624" s="21"/>
      <c r="AM624" s="21"/>
    </row>
    <row r="625">
      <c r="A625" s="21"/>
      <c r="B625" s="21" t="str">
        <f>'Ingest Template'!B625&amp;IF('Ingest Template'!A625 = "Standard", " - DAR","")</f>
        <v/>
      </c>
      <c r="C625" s="26" t="s">
        <v>109</v>
      </c>
      <c r="D625" s="29" t="str">
        <f t="array" ref="D625">CONCATENATE(INDEX(DropDown!$H$2:$H$10,MATCH(1,COUNTIF('Ingest Template'!F625,"*"&amp;DropDown!$H$2:$H$10&amp;"*"),0)),CHAR(10),'Ingest Template'!G625)</f>
        <v>#N/A</v>
      </c>
      <c r="E625" s="21" t="str">
        <f>CONCATENATE('Ingest Template'!H625,CHAR(10),'Ingest Template'!I625,CHAR(10),'Ingest Template'!J625)</f>
        <v>
</v>
      </c>
      <c r="F625" s="26" t="str">
        <f>'Ingest Template'!H625</f>
        <v/>
      </c>
      <c r="G625" s="21"/>
      <c r="H625" s="29"/>
      <c r="I625" s="21"/>
      <c r="J625" s="29" t="str">
        <f t="array" ref="J625">iF('Ingest Template'!A625="Standard","Pristine Brand",INDEX(DropDown!$M$2:$M$392,MATCH('Ingest Template'!E625,DropDown!$J$2:$J$392,0)))</f>
        <v>#N/A</v>
      </c>
      <c r="K625" s="21" t="str">
        <f>iF('Ingest Template'!A625="Standard",'Ingest Template'!K625&amp;CHAR(10)&amp;'Ingest Template'!L625,"Competitive View")</f>
        <v>Competitive View</v>
      </c>
      <c r="L625" s="29" t="s">
        <v>146</v>
      </c>
      <c r="M625" s="37" t="str">
        <f>'Ingest Template'!D625</f>
        <v/>
      </c>
      <c r="N625" s="21"/>
      <c r="O625" s="21"/>
      <c r="P625" s="21"/>
      <c r="Q625" s="21"/>
      <c r="R625" s="21" t="str">
        <f>'Ingest Template'!E625</f>
        <v/>
      </c>
      <c r="S625" s="29" t="s">
        <v>153</v>
      </c>
      <c r="T625" s="21" t="str">
        <f>'Ingest Template'!T625</f>
        <v/>
      </c>
      <c r="U625" s="21" t="str">
        <f>'Ingest Template'!S625</f>
        <v/>
      </c>
      <c r="V625" s="21" t="str">
        <f>LOWER(SUBSTITUTE(SUBSTITUTE(SUBSTITUTE(SUBSTITUTE(SUBSTITUTE('Ingest Template'!U625,"https:",""),"www.",""),"/",""),"?hl=en",""),"instagram.com",""))</f>
        <v/>
      </c>
      <c r="W625" s="41" t="str">
        <f t="array" ref="W625">IF('Ingest Template'!V625="",(INDEX(DropDown!$L$2:$L$392,MATCH('Ingest Template'!E625,DropDown!$J$2:$J$392,0))&amp;"|"&amp;'Ingest Template'!B625),(INDEX(DropDown!$L$2:$L$392,MATCH('Ingest Template'!E625,DropDown!$J$2:$J$392,0))&amp;"|"&amp;'Ingest Template'!B625)&amp;CHAR(10)&amp;'Ingest Template'!V625)</f>
        <v>#N/A</v>
      </c>
      <c r="X625" s="41" t="str">
        <f>'Ingest Template'!W625</f>
        <v/>
      </c>
      <c r="Y625" s="21" t="str">
        <f>SUBSTITUTE(SUBSTITUTE(SUBSTITUTE('Ingest Template'!X625,"http:",""),"https:",""),"/","")</f>
        <v/>
      </c>
      <c r="Z625" s="21" t="str">
        <f t="array" ref="Z625">IF('Ingest Template'!A625="Standard",(IF(ISBLANK('Ingest Template'!AA625),"", 'Ingest Template'!AA625&amp;"|DAR")),(IF(ISBLANK('Ingest Template'!AA625),"", 'Ingest Template'!AA625&amp;"|Film Ops")))</f>
        <v/>
      </c>
      <c r="AA625" s="21"/>
      <c r="AB625" s="21" t="str">
        <f>'Ingest Template'!M625</f>
        <v/>
      </c>
      <c r="AC625" s="21" t="str">
        <f>'Ingest Template'!Y625</f>
        <v/>
      </c>
      <c r="AD625" s="21" t="str">
        <f>'Ingest Template'!C625</f>
        <v/>
      </c>
      <c r="AE625" s="21" t="str">
        <f>'Ingest Template'!Z625</f>
        <v/>
      </c>
      <c r="AF625" s="29"/>
      <c r="AG625" s="21" t="str">
        <f t="array" ref="AG625">IF('Ingest Template'!A625="Standard",(CONCATENATE(IF(ISBLANK('Ingest Template'!O625),"", 'Ingest Template'!O625&amp;"|DAR"),CHAR(10), IF(ISBLANK('Ingest Template'!P625),"", 'Ingest Template'!P625&amp;"|DAR"),CHAR(10), IF(ISBLANK('Ingest Template'!Q625),"", 'Ingest Template'!Q625&amp;"|DAR"))),(CONCATENATE(IF(ISBLANK('Ingest Template'!O625),"", 'Ingest Template'!O625&amp;"|Operations - Core Title"),CHAR(10), IF(ISBLANK('Ingest Template'!P625),"", 'Ingest Template'!P625&amp;"|Operations - Core Title"),CHAR(10), IF(ISBLANK('Ingest Template'!Q625),"", 'Ingest Template'!Q625&amp;"|Operations - Core Title"))))</f>
        <v>#|Operations - Core Title
#|Operations - Core Title
</v>
      </c>
      <c r="AH625" s="21"/>
      <c r="AI625" s="21"/>
      <c r="AJ625" s="53" t="str">
        <f>if('Ingest Template'!A625="Standard",'Ingest Template'!N625&amp; "|DAR|DAR|2021-01-01",'Ingest Template'!N625&amp; "|Operations - Core Title|Operations - Core Title")</f>
        <v>#N/A</v>
      </c>
      <c r="AK625" s="53" t="str">
        <f>if('Ingest Template'!A625="Standard",'Ingest Template'!R625&amp; "|2021-01-01",'Ingest Template'!R625)</f>
        <v>#N/A</v>
      </c>
      <c r="AL625" s="21"/>
      <c r="AM625" s="21"/>
    </row>
    <row r="626">
      <c r="A626" s="21"/>
      <c r="B626" s="21" t="str">
        <f>'Ingest Template'!B626&amp;IF('Ingest Template'!A626 = "Standard", " - DAR","")</f>
        <v/>
      </c>
      <c r="C626" s="26" t="s">
        <v>109</v>
      </c>
      <c r="D626" s="29" t="str">
        <f t="array" ref="D626">CONCATENATE(INDEX(DropDown!$H$2:$H$10,MATCH(1,COUNTIF('Ingest Template'!F626,"*"&amp;DropDown!$H$2:$H$10&amp;"*"),0)),CHAR(10),'Ingest Template'!G626)</f>
        <v>#N/A</v>
      </c>
      <c r="E626" s="21" t="str">
        <f>CONCATENATE('Ingest Template'!H626,CHAR(10),'Ingest Template'!I626,CHAR(10),'Ingest Template'!J626)</f>
        <v>
</v>
      </c>
      <c r="F626" s="26" t="str">
        <f>'Ingest Template'!H626</f>
        <v/>
      </c>
      <c r="G626" s="21"/>
      <c r="H626" s="29"/>
      <c r="I626" s="21"/>
      <c r="J626" s="29" t="str">
        <f t="array" ref="J626">iF('Ingest Template'!A626="Standard","Pristine Brand",INDEX(DropDown!$M$2:$M$392,MATCH('Ingest Template'!E626,DropDown!$J$2:$J$392,0)))</f>
        <v>#N/A</v>
      </c>
      <c r="K626" s="21" t="str">
        <f>iF('Ingest Template'!A626="Standard",'Ingest Template'!K626&amp;CHAR(10)&amp;'Ingest Template'!L626,"Competitive View")</f>
        <v>Competitive View</v>
      </c>
      <c r="L626" s="29" t="s">
        <v>146</v>
      </c>
      <c r="M626" s="37" t="str">
        <f>'Ingest Template'!D626</f>
        <v/>
      </c>
      <c r="N626" s="21"/>
      <c r="O626" s="21"/>
      <c r="P626" s="21"/>
      <c r="Q626" s="21"/>
      <c r="R626" s="21" t="str">
        <f>'Ingest Template'!E626</f>
        <v/>
      </c>
      <c r="S626" s="29" t="s">
        <v>153</v>
      </c>
      <c r="T626" s="21" t="str">
        <f>'Ingest Template'!T626</f>
        <v/>
      </c>
      <c r="U626" s="21" t="str">
        <f>'Ingest Template'!S626</f>
        <v/>
      </c>
      <c r="V626" s="21" t="str">
        <f>LOWER(SUBSTITUTE(SUBSTITUTE(SUBSTITUTE(SUBSTITUTE(SUBSTITUTE('Ingest Template'!U626,"https:",""),"www.",""),"/",""),"?hl=en",""),"instagram.com",""))</f>
        <v/>
      </c>
      <c r="W626" s="41" t="str">
        <f t="array" ref="W626">IF('Ingest Template'!V626="",(INDEX(DropDown!$L$2:$L$392,MATCH('Ingest Template'!E626,DropDown!$J$2:$J$392,0))&amp;"|"&amp;'Ingest Template'!B626),(INDEX(DropDown!$L$2:$L$392,MATCH('Ingest Template'!E626,DropDown!$J$2:$J$392,0))&amp;"|"&amp;'Ingest Template'!B626)&amp;CHAR(10)&amp;'Ingest Template'!V626)</f>
        <v>#N/A</v>
      </c>
      <c r="X626" s="41" t="str">
        <f>'Ingest Template'!W626</f>
        <v/>
      </c>
      <c r="Y626" s="21" t="str">
        <f>SUBSTITUTE(SUBSTITUTE(SUBSTITUTE('Ingest Template'!X626,"http:",""),"https:",""),"/","")</f>
        <v/>
      </c>
      <c r="Z626" s="21" t="str">
        <f t="array" ref="Z626">IF('Ingest Template'!A626="Standard",(IF(ISBLANK('Ingest Template'!AA626),"", 'Ingest Template'!AA626&amp;"|DAR")),(IF(ISBLANK('Ingest Template'!AA626),"", 'Ingest Template'!AA626&amp;"|Film Ops")))</f>
        <v/>
      </c>
      <c r="AA626" s="21"/>
      <c r="AB626" s="21" t="str">
        <f>'Ingest Template'!M626</f>
        <v/>
      </c>
      <c r="AC626" s="21" t="str">
        <f>'Ingest Template'!Y626</f>
        <v/>
      </c>
      <c r="AD626" s="21" t="str">
        <f>'Ingest Template'!C626</f>
        <v/>
      </c>
      <c r="AE626" s="21" t="str">
        <f>'Ingest Template'!Z626</f>
        <v/>
      </c>
      <c r="AF626" s="29"/>
      <c r="AG626" s="21" t="str">
        <f t="array" ref="AG626">IF('Ingest Template'!A626="Standard",(CONCATENATE(IF(ISBLANK('Ingest Template'!O626),"", 'Ingest Template'!O626&amp;"|DAR"),CHAR(10), IF(ISBLANK('Ingest Template'!P626),"", 'Ingest Template'!P626&amp;"|DAR"),CHAR(10), IF(ISBLANK('Ingest Template'!Q626),"", 'Ingest Template'!Q626&amp;"|DAR"))),(CONCATENATE(IF(ISBLANK('Ingest Template'!O626),"", 'Ingest Template'!O626&amp;"|Operations - Core Title"),CHAR(10), IF(ISBLANK('Ingest Template'!P626),"", 'Ingest Template'!P626&amp;"|Operations - Core Title"),CHAR(10), IF(ISBLANK('Ingest Template'!Q626),"", 'Ingest Template'!Q626&amp;"|Operations - Core Title"))))</f>
        <v>#|Operations - Core Title
#|Operations - Core Title
</v>
      </c>
      <c r="AH626" s="21"/>
      <c r="AI626" s="21"/>
      <c r="AJ626" s="53" t="str">
        <f>if('Ingest Template'!A626="Standard",'Ingest Template'!N626&amp; "|DAR|DAR|2021-01-01",'Ingest Template'!N626&amp; "|Operations - Core Title|Operations - Core Title")</f>
        <v>#N/A</v>
      </c>
      <c r="AK626" s="53" t="str">
        <f>if('Ingest Template'!A626="Standard",'Ingest Template'!R626&amp; "|2021-01-01",'Ingest Template'!R626)</f>
        <v>#N/A</v>
      </c>
      <c r="AL626" s="21"/>
      <c r="AM626" s="21"/>
    </row>
    <row r="627">
      <c r="A627" s="21"/>
      <c r="B627" s="21" t="str">
        <f>'Ingest Template'!B627&amp;IF('Ingest Template'!A627 = "Standard", " - DAR","")</f>
        <v/>
      </c>
      <c r="C627" s="26" t="s">
        <v>109</v>
      </c>
      <c r="D627" s="29" t="str">
        <f t="array" ref="D627">CONCATENATE(INDEX(DropDown!$H$2:$H$10,MATCH(1,COUNTIF('Ingest Template'!F627,"*"&amp;DropDown!$H$2:$H$10&amp;"*"),0)),CHAR(10),'Ingest Template'!G627)</f>
        <v>#N/A</v>
      </c>
      <c r="E627" s="21" t="str">
        <f>CONCATENATE('Ingest Template'!H627,CHAR(10),'Ingest Template'!I627,CHAR(10),'Ingest Template'!J627)</f>
        <v>
</v>
      </c>
      <c r="F627" s="26" t="str">
        <f>'Ingest Template'!H627</f>
        <v/>
      </c>
      <c r="G627" s="21"/>
      <c r="H627" s="29"/>
      <c r="I627" s="21"/>
      <c r="J627" s="29" t="str">
        <f t="array" ref="J627">iF('Ingest Template'!A627="Standard","Pristine Brand",INDEX(DropDown!$M$2:$M$392,MATCH('Ingest Template'!E627,DropDown!$J$2:$J$392,0)))</f>
        <v>#N/A</v>
      </c>
      <c r="K627" s="21" t="str">
        <f>iF('Ingest Template'!A627="Standard",'Ingest Template'!K627&amp;CHAR(10)&amp;'Ingest Template'!L627,"Competitive View")</f>
        <v>Competitive View</v>
      </c>
      <c r="L627" s="29" t="s">
        <v>146</v>
      </c>
      <c r="M627" s="37" t="str">
        <f>'Ingest Template'!D627</f>
        <v/>
      </c>
      <c r="N627" s="21"/>
      <c r="O627" s="21"/>
      <c r="P627" s="21"/>
      <c r="Q627" s="21"/>
      <c r="R627" s="21" t="str">
        <f>'Ingest Template'!E627</f>
        <v/>
      </c>
      <c r="S627" s="29" t="s">
        <v>153</v>
      </c>
      <c r="T627" s="21" t="str">
        <f>'Ingest Template'!T627</f>
        <v/>
      </c>
      <c r="U627" s="21" t="str">
        <f>'Ingest Template'!S627</f>
        <v/>
      </c>
      <c r="V627" s="21" t="str">
        <f>LOWER(SUBSTITUTE(SUBSTITUTE(SUBSTITUTE(SUBSTITUTE(SUBSTITUTE('Ingest Template'!U627,"https:",""),"www.",""),"/",""),"?hl=en",""),"instagram.com",""))</f>
        <v/>
      </c>
      <c r="W627" s="41" t="str">
        <f t="array" ref="W627">IF('Ingest Template'!V627="",(INDEX(DropDown!$L$2:$L$392,MATCH('Ingest Template'!E627,DropDown!$J$2:$J$392,0))&amp;"|"&amp;'Ingest Template'!B627),(INDEX(DropDown!$L$2:$L$392,MATCH('Ingest Template'!E627,DropDown!$J$2:$J$392,0))&amp;"|"&amp;'Ingest Template'!B627)&amp;CHAR(10)&amp;'Ingest Template'!V627)</f>
        <v>#N/A</v>
      </c>
      <c r="X627" s="41" t="str">
        <f>'Ingest Template'!W627</f>
        <v/>
      </c>
      <c r="Y627" s="21" t="str">
        <f>SUBSTITUTE(SUBSTITUTE(SUBSTITUTE('Ingest Template'!X627,"http:",""),"https:",""),"/","")</f>
        <v/>
      </c>
      <c r="Z627" s="21" t="str">
        <f t="array" ref="Z627">IF('Ingest Template'!A627="Standard",(IF(ISBLANK('Ingest Template'!AA627),"", 'Ingest Template'!AA627&amp;"|DAR")),(IF(ISBLANK('Ingest Template'!AA627),"", 'Ingest Template'!AA627&amp;"|Film Ops")))</f>
        <v/>
      </c>
      <c r="AA627" s="21"/>
      <c r="AB627" s="21" t="str">
        <f>'Ingest Template'!M627</f>
        <v/>
      </c>
      <c r="AC627" s="21" t="str">
        <f>'Ingest Template'!Y627</f>
        <v/>
      </c>
      <c r="AD627" s="21" t="str">
        <f>'Ingest Template'!C627</f>
        <v/>
      </c>
      <c r="AE627" s="21" t="str">
        <f>'Ingest Template'!Z627</f>
        <v/>
      </c>
      <c r="AF627" s="29"/>
      <c r="AG627" s="21" t="str">
        <f t="array" ref="AG627">IF('Ingest Template'!A627="Standard",(CONCATENATE(IF(ISBLANK('Ingest Template'!O627),"", 'Ingest Template'!O627&amp;"|DAR"),CHAR(10), IF(ISBLANK('Ingest Template'!P627),"", 'Ingest Template'!P627&amp;"|DAR"),CHAR(10), IF(ISBLANK('Ingest Template'!Q627),"", 'Ingest Template'!Q627&amp;"|DAR"))),(CONCATENATE(IF(ISBLANK('Ingest Template'!O627),"", 'Ingest Template'!O627&amp;"|Operations - Core Title"),CHAR(10), IF(ISBLANK('Ingest Template'!P627),"", 'Ingest Template'!P627&amp;"|Operations - Core Title"),CHAR(10), IF(ISBLANK('Ingest Template'!Q627),"", 'Ingest Template'!Q627&amp;"|Operations - Core Title"))))</f>
        <v>#|Operations - Core Title
#|Operations - Core Title
</v>
      </c>
      <c r="AH627" s="21"/>
      <c r="AI627" s="21"/>
      <c r="AJ627" s="53" t="str">
        <f>if('Ingest Template'!A627="Standard",'Ingest Template'!N627&amp; "|DAR|DAR|2021-01-01",'Ingest Template'!N627&amp; "|Operations - Core Title|Operations - Core Title")</f>
        <v>#N/A</v>
      </c>
      <c r="AK627" s="53" t="str">
        <f>if('Ingest Template'!A627="Standard",'Ingest Template'!R627&amp; "|2021-01-01",'Ingest Template'!R627)</f>
        <v>#N/A</v>
      </c>
      <c r="AL627" s="21"/>
      <c r="AM627" s="21"/>
    </row>
    <row r="628">
      <c r="A628" s="21"/>
      <c r="B628" s="21" t="str">
        <f>'Ingest Template'!B628&amp;IF('Ingest Template'!A628 = "Standard", " - DAR","")</f>
        <v/>
      </c>
      <c r="C628" s="26" t="s">
        <v>109</v>
      </c>
      <c r="D628" s="29" t="str">
        <f t="array" ref="D628">CONCATENATE(INDEX(DropDown!$H$2:$H$10,MATCH(1,COUNTIF('Ingest Template'!F628,"*"&amp;DropDown!$H$2:$H$10&amp;"*"),0)),CHAR(10),'Ingest Template'!G628)</f>
        <v>#N/A</v>
      </c>
      <c r="E628" s="21" t="str">
        <f>CONCATENATE('Ingest Template'!H628,CHAR(10),'Ingest Template'!I628,CHAR(10),'Ingest Template'!J628)</f>
        <v>
</v>
      </c>
      <c r="F628" s="26" t="str">
        <f>'Ingest Template'!H628</f>
        <v/>
      </c>
      <c r="G628" s="21"/>
      <c r="H628" s="29"/>
      <c r="I628" s="21"/>
      <c r="J628" s="29" t="str">
        <f t="array" ref="J628">iF('Ingest Template'!A628="Standard","Pristine Brand",INDEX(DropDown!$M$2:$M$392,MATCH('Ingest Template'!E628,DropDown!$J$2:$J$392,0)))</f>
        <v>#N/A</v>
      </c>
      <c r="K628" s="21" t="str">
        <f>iF('Ingest Template'!A628="Standard",'Ingest Template'!K628&amp;CHAR(10)&amp;'Ingest Template'!L628,"Competitive View")</f>
        <v>Competitive View</v>
      </c>
      <c r="L628" s="29" t="s">
        <v>146</v>
      </c>
      <c r="M628" s="37" t="str">
        <f>'Ingest Template'!D628</f>
        <v/>
      </c>
      <c r="N628" s="21"/>
      <c r="O628" s="21"/>
      <c r="P628" s="21"/>
      <c r="Q628" s="21"/>
      <c r="R628" s="21" t="str">
        <f>'Ingest Template'!E628</f>
        <v/>
      </c>
      <c r="S628" s="29" t="s">
        <v>153</v>
      </c>
      <c r="T628" s="21" t="str">
        <f>'Ingest Template'!T628</f>
        <v/>
      </c>
      <c r="U628" s="21" t="str">
        <f>'Ingest Template'!S628</f>
        <v/>
      </c>
      <c r="V628" s="21" t="str">
        <f>LOWER(SUBSTITUTE(SUBSTITUTE(SUBSTITUTE(SUBSTITUTE(SUBSTITUTE('Ingest Template'!U628,"https:",""),"www.",""),"/",""),"?hl=en",""),"instagram.com",""))</f>
        <v/>
      </c>
      <c r="W628" s="41" t="str">
        <f t="array" ref="W628">IF('Ingest Template'!V628="",(INDEX(DropDown!$L$2:$L$392,MATCH('Ingest Template'!E628,DropDown!$J$2:$J$392,0))&amp;"|"&amp;'Ingest Template'!B628),(INDEX(DropDown!$L$2:$L$392,MATCH('Ingest Template'!E628,DropDown!$J$2:$J$392,0))&amp;"|"&amp;'Ingest Template'!B628)&amp;CHAR(10)&amp;'Ingest Template'!V628)</f>
        <v>#N/A</v>
      </c>
      <c r="X628" s="41" t="str">
        <f>'Ingest Template'!W628</f>
        <v/>
      </c>
      <c r="Y628" s="21" t="str">
        <f>SUBSTITUTE(SUBSTITUTE(SUBSTITUTE('Ingest Template'!X628,"http:",""),"https:",""),"/","")</f>
        <v/>
      </c>
      <c r="Z628" s="21" t="str">
        <f t="array" ref="Z628">IF('Ingest Template'!A628="Standard",(IF(ISBLANK('Ingest Template'!AA628),"", 'Ingest Template'!AA628&amp;"|DAR")),(IF(ISBLANK('Ingest Template'!AA628),"", 'Ingest Template'!AA628&amp;"|Film Ops")))</f>
        <v/>
      </c>
      <c r="AA628" s="21"/>
      <c r="AB628" s="21" t="str">
        <f>'Ingest Template'!M628</f>
        <v/>
      </c>
      <c r="AC628" s="21" t="str">
        <f>'Ingest Template'!Y628</f>
        <v/>
      </c>
      <c r="AD628" s="21" t="str">
        <f>'Ingest Template'!C628</f>
        <v/>
      </c>
      <c r="AE628" s="21" t="str">
        <f>'Ingest Template'!Z628</f>
        <v/>
      </c>
      <c r="AF628" s="29"/>
      <c r="AG628" s="21" t="str">
        <f t="array" ref="AG628">IF('Ingest Template'!A628="Standard",(CONCATENATE(IF(ISBLANK('Ingest Template'!O628),"", 'Ingest Template'!O628&amp;"|DAR"),CHAR(10), IF(ISBLANK('Ingest Template'!P628),"", 'Ingest Template'!P628&amp;"|DAR"),CHAR(10), IF(ISBLANK('Ingest Template'!Q628),"", 'Ingest Template'!Q628&amp;"|DAR"))),(CONCATENATE(IF(ISBLANK('Ingest Template'!O628),"", 'Ingest Template'!O628&amp;"|Operations - Core Title"),CHAR(10), IF(ISBLANK('Ingest Template'!P628),"", 'Ingest Template'!P628&amp;"|Operations - Core Title"),CHAR(10), IF(ISBLANK('Ingest Template'!Q628),"", 'Ingest Template'!Q628&amp;"|Operations - Core Title"))))</f>
        <v>#|Operations - Core Title
#|Operations - Core Title
</v>
      </c>
      <c r="AH628" s="21"/>
      <c r="AI628" s="21"/>
      <c r="AJ628" s="53" t="str">
        <f>if('Ingest Template'!A628="Standard",'Ingest Template'!N628&amp; "|DAR|DAR|2021-01-01",'Ingest Template'!N628&amp; "|Operations - Core Title|Operations - Core Title")</f>
        <v>#N/A</v>
      </c>
      <c r="AK628" s="53" t="str">
        <f>if('Ingest Template'!A628="Standard",'Ingest Template'!R628&amp; "|2021-01-01",'Ingest Template'!R628)</f>
        <v>#N/A</v>
      </c>
      <c r="AL628" s="21"/>
      <c r="AM628" s="21"/>
    </row>
    <row r="629">
      <c r="A629" s="21"/>
      <c r="B629" s="21" t="str">
        <f>'Ingest Template'!B629&amp;IF('Ingest Template'!A629 = "Standard", " - DAR","")</f>
        <v/>
      </c>
      <c r="C629" s="26" t="s">
        <v>109</v>
      </c>
      <c r="D629" s="29" t="str">
        <f t="array" ref="D629">CONCATENATE(INDEX(DropDown!$H$2:$H$10,MATCH(1,COUNTIF('Ingest Template'!F629,"*"&amp;DropDown!$H$2:$H$10&amp;"*"),0)),CHAR(10),'Ingest Template'!G629)</f>
        <v>#N/A</v>
      </c>
      <c r="E629" s="21" t="str">
        <f>CONCATENATE('Ingest Template'!H629,CHAR(10),'Ingest Template'!I629,CHAR(10),'Ingest Template'!J629)</f>
        <v>
</v>
      </c>
      <c r="F629" s="26" t="str">
        <f>'Ingest Template'!H629</f>
        <v/>
      </c>
      <c r="G629" s="21"/>
      <c r="H629" s="29"/>
      <c r="I629" s="21"/>
      <c r="J629" s="29" t="str">
        <f t="array" ref="J629">iF('Ingest Template'!A629="Standard","Pristine Brand",INDEX(DropDown!$M$2:$M$392,MATCH('Ingest Template'!E629,DropDown!$J$2:$J$392,0)))</f>
        <v>#N/A</v>
      </c>
      <c r="K629" s="21" t="str">
        <f>iF('Ingest Template'!A629="Standard",'Ingest Template'!K629&amp;CHAR(10)&amp;'Ingest Template'!L629,"Competitive View")</f>
        <v>Competitive View</v>
      </c>
      <c r="L629" s="29" t="s">
        <v>146</v>
      </c>
      <c r="M629" s="37" t="str">
        <f>'Ingest Template'!D629</f>
        <v/>
      </c>
      <c r="N629" s="21"/>
      <c r="O629" s="21"/>
      <c r="P629" s="21"/>
      <c r="Q629" s="21"/>
      <c r="R629" s="21" t="str">
        <f>'Ingest Template'!E629</f>
        <v/>
      </c>
      <c r="S629" s="29" t="s">
        <v>153</v>
      </c>
      <c r="T629" s="21" t="str">
        <f>'Ingest Template'!T629</f>
        <v/>
      </c>
      <c r="U629" s="21" t="str">
        <f>'Ingest Template'!S629</f>
        <v/>
      </c>
      <c r="V629" s="21" t="str">
        <f>LOWER(SUBSTITUTE(SUBSTITUTE(SUBSTITUTE(SUBSTITUTE(SUBSTITUTE('Ingest Template'!U629,"https:",""),"www.",""),"/",""),"?hl=en",""),"instagram.com",""))</f>
        <v/>
      </c>
      <c r="W629" s="41" t="str">
        <f t="array" ref="W629">IF('Ingest Template'!V629="",(INDEX(DropDown!$L$2:$L$392,MATCH('Ingest Template'!E629,DropDown!$J$2:$J$392,0))&amp;"|"&amp;'Ingest Template'!B629),(INDEX(DropDown!$L$2:$L$392,MATCH('Ingest Template'!E629,DropDown!$J$2:$J$392,0))&amp;"|"&amp;'Ingest Template'!B629)&amp;CHAR(10)&amp;'Ingest Template'!V629)</f>
        <v>#N/A</v>
      </c>
      <c r="X629" s="41" t="str">
        <f>'Ingest Template'!W629</f>
        <v/>
      </c>
      <c r="Y629" s="21" t="str">
        <f>SUBSTITUTE(SUBSTITUTE(SUBSTITUTE('Ingest Template'!X629,"http:",""),"https:",""),"/","")</f>
        <v/>
      </c>
      <c r="Z629" s="21" t="str">
        <f t="array" ref="Z629">IF('Ingest Template'!A629="Standard",(IF(ISBLANK('Ingest Template'!AA629),"", 'Ingest Template'!AA629&amp;"|DAR")),(IF(ISBLANK('Ingest Template'!AA629),"", 'Ingest Template'!AA629&amp;"|Film Ops")))</f>
        <v/>
      </c>
      <c r="AA629" s="21"/>
      <c r="AB629" s="21" t="str">
        <f>'Ingest Template'!M629</f>
        <v/>
      </c>
      <c r="AC629" s="21" t="str">
        <f>'Ingest Template'!Y629</f>
        <v/>
      </c>
      <c r="AD629" s="21" t="str">
        <f>'Ingest Template'!C629</f>
        <v/>
      </c>
      <c r="AE629" s="21" t="str">
        <f>'Ingest Template'!Z629</f>
        <v/>
      </c>
      <c r="AF629" s="29"/>
      <c r="AG629" s="21" t="str">
        <f t="array" ref="AG629">IF('Ingest Template'!A629="Standard",(CONCATENATE(IF(ISBLANK('Ingest Template'!O629),"", 'Ingest Template'!O629&amp;"|DAR"),CHAR(10), IF(ISBLANK('Ingest Template'!P629),"", 'Ingest Template'!P629&amp;"|DAR"),CHAR(10), IF(ISBLANK('Ingest Template'!Q629),"", 'Ingest Template'!Q629&amp;"|DAR"))),(CONCATENATE(IF(ISBLANK('Ingest Template'!O629),"", 'Ingest Template'!O629&amp;"|Operations - Core Title"),CHAR(10), IF(ISBLANK('Ingest Template'!P629),"", 'Ingest Template'!P629&amp;"|Operations - Core Title"),CHAR(10), IF(ISBLANK('Ingest Template'!Q629),"", 'Ingest Template'!Q629&amp;"|Operations - Core Title"))))</f>
        <v>#|Operations - Core Title
#|Operations - Core Title
</v>
      </c>
      <c r="AH629" s="21"/>
      <c r="AI629" s="21"/>
      <c r="AJ629" s="53" t="str">
        <f>if('Ingest Template'!A629="Standard",'Ingest Template'!N629&amp; "|DAR|DAR|2021-01-01",'Ingest Template'!N629&amp; "|Operations - Core Title|Operations - Core Title")</f>
        <v>#N/A</v>
      </c>
      <c r="AK629" s="53" t="str">
        <f>if('Ingest Template'!A629="Standard",'Ingest Template'!R629&amp; "|2021-01-01",'Ingest Template'!R629)</f>
        <v>#N/A</v>
      </c>
      <c r="AL629" s="21"/>
      <c r="AM629" s="21"/>
    </row>
    <row r="630">
      <c r="A630" s="21"/>
      <c r="B630" s="21" t="str">
        <f>'Ingest Template'!B630&amp;IF('Ingest Template'!A630 = "Standard", " - DAR","")</f>
        <v/>
      </c>
      <c r="C630" s="26" t="s">
        <v>109</v>
      </c>
      <c r="D630" s="29" t="str">
        <f t="array" ref="D630">CONCATENATE(INDEX(DropDown!$H$2:$H$10,MATCH(1,COUNTIF('Ingest Template'!F630,"*"&amp;DropDown!$H$2:$H$10&amp;"*"),0)),CHAR(10),'Ingest Template'!G630)</f>
        <v>#N/A</v>
      </c>
      <c r="E630" s="21" t="str">
        <f>CONCATENATE('Ingest Template'!H630,CHAR(10),'Ingest Template'!I630,CHAR(10),'Ingest Template'!J630)</f>
        <v>
</v>
      </c>
      <c r="F630" s="26" t="str">
        <f>'Ingest Template'!H630</f>
        <v/>
      </c>
      <c r="G630" s="21"/>
      <c r="H630" s="29"/>
      <c r="I630" s="21"/>
      <c r="J630" s="29" t="str">
        <f t="array" ref="J630">iF('Ingest Template'!A630="Standard","Pristine Brand",INDEX(DropDown!$M$2:$M$392,MATCH('Ingest Template'!E630,DropDown!$J$2:$J$392,0)))</f>
        <v>#N/A</v>
      </c>
      <c r="K630" s="21" t="str">
        <f>iF('Ingest Template'!A630="Standard",'Ingest Template'!K630&amp;CHAR(10)&amp;'Ingest Template'!L630,"Competitive View")</f>
        <v>Competitive View</v>
      </c>
      <c r="L630" s="29" t="s">
        <v>146</v>
      </c>
      <c r="M630" s="37" t="str">
        <f>'Ingest Template'!D630</f>
        <v/>
      </c>
      <c r="N630" s="21"/>
      <c r="O630" s="21"/>
      <c r="P630" s="21"/>
      <c r="Q630" s="21"/>
      <c r="R630" s="21" t="str">
        <f>'Ingest Template'!E630</f>
        <v/>
      </c>
      <c r="S630" s="29" t="s">
        <v>153</v>
      </c>
      <c r="T630" s="21" t="str">
        <f>'Ingest Template'!T630</f>
        <v/>
      </c>
      <c r="U630" s="21" t="str">
        <f>'Ingest Template'!S630</f>
        <v/>
      </c>
      <c r="V630" s="21" t="str">
        <f>LOWER(SUBSTITUTE(SUBSTITUTE(SUBSTITUTE(SUBSTITUTE(SUBSTITUTE('Ingest Template'!U630,"https:",""),"www.",""),"/",""),"?hl=en",""),"instagram.com",""))</f>
        <v/>
      </c>
      <c r="W630" s="41" t="str">
        <f t="array" ref="W630">IF('Ingest Template'!V630="",(INDEX(DropDown!$L$2:$L$392,MATCH('Ingest Template'!E630,DropDown!$J$2:$J$392,0))&amp;"|"&amp;'Ingest Template'!B630),(INDEX(DropDown!$L$2:$L$392,MATCH('Ingest Template'!E630,DropDown!$J$2:$J$392,0))&amp;"|"&amp;'Ingest Template'!B630)&amp;CHAR(10)&amp;'Ingest Template'!V630)</f>
        <v>#N/A</v>
      </c>
      <c r="X630" s="41" t="str">
        <f>'Ingest Template'!W630</f>
        <v/>
      </c>
      <c r="Y630" s="21" t="str">
        <f>SUBSTITUTE(SUBSTITUTE(SUBSTITUTE('Ingest Template'!X630,"http:",""),"https:",""),"/","")</f>
        <v/>
      </c>
      <c r="Z630" s="21" t="str">
        <f t="array" ref="Z630">IF('Ingest Template'!A630="Standard",(IF(ISBLANK('Ingest Template'!AA630),"", 'Ingest Template'!AA630&amp;"|DAR")),(IF(ISBLANK('Ingest Template'!AA630),"", 'Ingest Template'!AA630&amp;"|Film Ops")))</f>
        <v/>
      </c>
      <c r="AA630" s="21"/>
      <c r="AB630" s="21" t="str">
        <f>'Ingest Template'!M630</f>
        <v/>
      </c>
      <c r="AC630" s="21" t="str">
        <f>'Ingest Template'!Y630</f>
        <v/>
      </c>
      <c r="AD630" s="21" t="str">
        <f>'Ingest Template'!C630</f>
        <v/>
      </c>
      <c r="AE630" s="21" t="str">
        <f>'Ingest Template'!Z630</f>
        <v/>
      </c>
      <c r="AF630" s="29"/>
      <c r="AG630" s="21" t="str">
        <f t="array" ref="AG630">IF('Ingest Template'!A630="Standard",(CONCATENATE(IF(ISBLANK('Ingest Template'!O630),"", 'Ingest Template'!O630&amp;"|DAR"),CHAR(10), IF(ISBLANK('Ingest Template'!P630),"", 'Ingest Template'!P630&amp;"|DAR"),CHAR(10), IF(ISBLANK('Ingest Template'!Q630),"", 'Ingest Template'!Q630&amp;"|DAR"))),(CONCATENATE(IF(ISBLANK('Ingest Template'!O630),"", 'Ingest Template'!O630&amp;"|Operations - Core Title"),CHAR(10), IF(ISBLANK('Ingest Template'!P630),"", 'Ingest Template'!P630&amp;"|Operations - Core Title"),CHAR(10), IF(ISBLANK('Ingest Template'!Q630),"", 'Ingest Template'!Q630&amp;"|Operations - Core Title"))))</f>
        <v>#|Operations - Core Title
#|Operations - Core Title
</v>
      </c>
      <c r="AH630" s="21"/>
      <c r="AI630" s="21"/>
      <c r="AJ630" s="53" t="str">
        <f>if('Ingest Template'!A630="Standard",'Ingest Template'!N630&amp; "|DAR|DAR|2021-01-01",'Ingest Template'!N630&amp; "|Operations - Core Title|Operations - Core Title")</f>
        <v>#N/A</v>
      </c>
      <c r="AK630" s="53" t="str">
        <f>if('Ingest Template'!A630="Standard",'Ingest Template'!R630&amp; "|2021-01-01",'Ingest Template'!R630)</f>
        <v>#N/A</v>
      </c>
      <c r="AL630" s="21"/>
      <c r="AM630" s="21"/>
    </row>
    <row r="631">
      <c r="A631" s="21"/>
      <c r="B631" s="21" t="str">
        <f>'Ingest Template'!B631&amp;IF('Ingest Template'!A631 = "Standard", " - DAR","")</f>
        <v/>
      </c>
      <c r="C631" s="26" t="s">
        <v>109</v>
      </c>
      <c r="D631" s="29" t="str">
        <f t="array" ref="D631">CONCATENATE(INDEX(DropDown!$H$2:$H$10,MATCH(1,COUNTIF('Ingest Template'!F631,"*"&amp;DropDown!$H$2:$H$10&amp;"*"),0)),CHAR(10),'Ingest Template'!G631)</f>
        <v>#N/A</v>
      </c>
      <c r="E631" s="21" t="str">
        <f>CONCATENATE('Ingest Template'!H631,CHAR(10),'Ingest Template'!I631,CHAR(10),'Ingest Template'!J631)</f>
        <v>
</v>
      </c>
      <c r="F631" s="26" t="str">
        <f>'Ingest Template'!H631</f>
        <v/>
      </c>
      <c r="G631" s="21"/>
      <c r="H631" s="29"/>
      <c r="I631" s="21"/>
      <c r="J631" s="29" t="str">
        <f t="array" ref="J631">iF('Ingest Template'!A631="Standard","Pristine Brand",INDEX(DropDown!$M$2:$M$392,MATCH('Ingest Template'!E631,DropDown!$J$2:$J$392,0)))</f>
        <v>#N/A</v>
      </c>
      <c r="K631" s="21" t="str">
        <f>iF('Ingest Template'!A631="Standard",'Ingest Template'!K631&amp;CHAR(10)&amp;'Ingest Template'!L631,"Competitive View")</f>
        <v>Competitive View</v>
      </c>
      <c r="L631" s="29" t="s">
        <v>146</v>
      </c>
      <c r="M631" s="37" t="str">
        <f>'Ingest Template'!D631</f>
        <v/>
      </c>
      <c r="N631" s="21"/>
      <c r="O631" s="21"/>
      <c r="P631" s="21"/>
      <c r="Q631" s="21"/>
      <c r="R631" s="21" t="str">
        <f>'Ingest Template'!E631</f>
        <v/>
      </c>
      <c r="S631" s="29" t="s">
        <v>153</v>
      </c>
      <c r="T631" s="21" t="str">
        <f>'Ingest Template'!T631</f>
        <v/>
      </c>
      <c r="U631" s="21" t="str">
        <f>'Ingest Template'!S631</f>
        <v/>
      </c>
      <c r="V631" s="21" t="str">
        <f>LOWER(SUBSTITUTE(SUBSTITUTE(SUBSTITUTE(SUBSTITUTE(SUBSTITUTE('Ingest Template'!U631,"https:",""),"www.",""),"/",""),"?hl=en",""),"instagram.com",""))</f>
        <v/>
      </c>
      <c r="W631" s="41" t="str">
        <f t="array" ref="W631">IF('Ingest Template'!V631="",(INDEX(DropDown!$L$2:$L$392,MATCH('Ingest Template'!E631,DropDown!$J$2:$J$392,0))&amp;"|"&amp;'Ingest Template'!B631),(INDEX(DropDown!$L$2:$L$392,MATCH('Ingest Template'!E631,DropDown!$J$2:$J$392,0))&amp;"|"&amp;'Ingest Template'!B631)&amp;CHAR(10)&amp;'Ingest Template'!V631)</f>
        <v>#N/A</v>
      </c>
      <c r="X631" s="41" t="str">
        <f>'Ingest Template'!W631</f>
        <v/>
      </c>
      <c r="Y631" s="21" t="str">
        <f>SUBSTITUTE(SUBSTITUTE(SUBSTITUTE('Ingest Template'!X631,"http:",""),"https:",""),"/","")</f>
        <v/>
      </c>
      <c r="Z631" s="21" t="str">
        <f t="array" ref="Z631">IF('Ingest Template'!A631="Standard",(IF(ISBLANK('Ingest Template'!AA631),"", 'Ingest Template'!AA631&amp;"|DAR")),(IF(ISBLANK('Ingest Template'!AA631),"", 'Ingest Template'!AA631&amp;"|Film Ops")))</f>
        <v/>
      </c>
      <c r="AA631" s="21"/>
      <c r="AB631" s="21" t="str">
        <f>'Ingest Template'!M631</f>
        <v/>
      </c>
      <c r="AC631" s="21" t="str">
        <f>'Ingest Template'!Y631</f>
        <v/>
      </c>
      <c r="AD631" s="21" t="str">
        <f>'Ingest Template'!C631</f>
        <v/>
      </c>
      <c r="AE631" s="21" t="str">
        <f>'Ingest Template'!Z631</f>
        <v/>
      </c>
      <c r="AF631" s="29"/>
      <c r="AG631" s="21" t="str">
        <f t="array" ref="AG631">IF('Ingest Template'!A631="Standard",(CONCATENATE(IF(ISBLANK('Ingest Template'!O631),"", 'Ingest Template'!O631&amp;"|DAR"),CHAR(10), IF(ISBLANK('Ingest Template'!P631),"", 'Ingest Template'!P631&amp;"|DAR"),CHAR(10), IF(ISBLANK('Ingest Template'!Q631),"", 'Ingest Template'!Q631&amp;"|DAR"))),(CONCATENATE(IF(ISBLANK('Ingest Template'!O631),"", 'Ingest Template'!O631&amp;"|Operations - Core Title"),CHAR(10), IF(ISBLANK('Ingest Template'!P631),"", 'Ingest Template'!P631&amp;"|Operations - Core Title"),CHAR(10), IF(ISBLANK('Ingest Template'!Q631),"", 'Ingest Template'!Q631&amp;"|Operations - Core Title"))))</f>
        <v>#|Operations - Core Title
#|Operations - Core Title
</v>
      </c>
      <c r="AH631" s="21"/>
      <c r="AI631" s="21"/>
      <c r="AJ631" s="53" t="str">
        <f>if('Ingest Template'!A631="Standard",'Ingest Template'!N631&amp; "|DAR|DAR|2021-01-01",'Ingest Template'!N631&amp; "|Operations - Core Title|Operations - Core Title")</f>
        <v>#N/A</v>
      </c>
      <c r="AK631" s="53" t="str">
        <f>if('Ingest Template'!A631="Standard",'Ingest Template'!R631&amp; "|2021-01-01",'Ingest Template'!R631)</f>
        <v>#N/A</v>
      </c>
      <c r="AL631" s="21"/>
      <c r="AM631" s="21"/>
    </row>
    <row r="632">
      <c r="A632" s="21"/>
      <c r="B632" s="21" t="str">
        <f>'Ingest Template'!B632&amp;IF('Ingest Template'!A632 = "Standard", " - DAR","")</f>
        <v/>
      </c>
      <c r="C632" s="26" t="s">
        <v>109</v>
      </c>
      <c r="D632" s="29" t="str">
        <f t="array" ref="D632">CONCATENATE(INDEX(DropDown!$H$2:$H$10,MATCH(1,COUNTIF('Ingest Template'!F632,"*"&amp;DropDown!$H$2:$H$10&amp;"*"),0)),CHAR(10),'Ingest Template'!G632)</f>
        <v>#N/A</v>
      </c>
      <c r="E632" s="21" t="str">
        <f>CONCATENATE('Ingest Template'!H632,CHAR(10),'Ingest Template'!I632,CHAR(10),'Ingest Template'!J632)</f>
        <v>
</v>
      </c>
      <c r="F632" s="26" t="str">
        <f>'Ingest Template'!H632</f>
        <v/>
      </c>
      <c r="G632" s="21"/>
      <c r="H632" s="29"/>
      <c r="I632" s="21"/>
      <c r="J632" s="29" t="str">
        <f t="array" ref="J632">iF('Ingest Template'!A632="Standard","Pristine Brand",INDEX(DropDown!$M$2:$M$392,MATCH('Ingest Template'!E632,DropDown!$J$2:$J$392,0)))</f>
        <v>#N/A</v>
      </c>
      <c r="K632" s="21" t="str">
        <f>iF('Ingest Template'!A632="Standard",'Ingest Template'!K632&amp;CHAR(10)&amp;'Ingest Template'!L632,"Competitive View")</f>
        <v>Competitive View</v>
      </c>
      <c r="L632" s="29" t="s">
        <v>146</v>
      </c>
      <c r="M632" s="37" t="str">
        <f>'Ingest Template'!D632</f>
        <v/>
      </c>
      <c r="N632" s="21"/>
      <c r="O632" s="21"/>
      <c r="P632" s="21"/>
      <c r="Q632" s="21"/>
      <c r="R632" s="21" t="str">
        <f>'Ingest Template'!E632</f>
        <v/>
      </c>
      <c r="S632" s="29" t="s">
        <v>153</v>
      </c>
      <c r="T632" s="21" t="str">
        <f>'Ingest Template'!T632</f>
        <v/>
      </c>
      <c r="U632" s="21" t="str">
        <f>'Ingest Template'!S632</f>
        <v/>
      </c>
      <c r="V632" s="21" t="str">
        <f>LOWER(SUBSTITUTE(SUBSTITUTE(SUBSTITUTE(SUBSTITUTE(SUBSTITUTE('Ingest Template'!U632,"https:",""),"www.",""),"/",""),"?hl=en",""),"instagram.com",""))</f>
        <v/>
      </c>
      <c r="W632" s="41" t="str">
        <f t="array" ref="W632">IF('Ingest Template'!V632="",(INDEX(DropDown!$L$2:$L$392,MATCH('Ingest Template'!E632,DropDown!$J$2:$J$392,0))&amp;"|"&amp;'Ingest Template'!B632),(INDEX(DropDown!$L$2:$L$392,MATCH('Ingest Template'!E632,DropDown!$J$2:$J$392,0))&amp;"|"&amp;'Ingest Template'!B632)&amp;CHAR(10)&amp;'Ingest Template'!V632)</f>
        <v>#N/A</v>
      </c>
      <c r="X632" s="41" t="str">
        <f>'Ingest Template'!W632</f>
        <v/>
      </c>
      <c r="Y632" s="21" t="str">
        <f>SUBSTITUTE(SUBSTITUTE(SUBSTITUTE('Ingest Template'!X632,"http:",""),"https:",""),"/","")</f>
        <v/>
      </c>
      <c r="Z632" s="21" t="str">
        <f t="array" ref="Z632">IF('Ingest Template'!A632="Standard",(IF(ISBLANK('Ingest Template'!AA632),"", 'Ingest Template'!AA632&amp;"|DAR")),(IF(ISBLANK('Ingest Template'!AA632),"", 'Ingest Template'!AA632&amp;"|Film Ops")))</f>
        <v/>
      </c>
      <c r="AA632" s="21"/>
      <c r="AB632" s="21" t="str">
        <f>'Ingest Template'!M632</f>
        <v/>
      </c>
      <c r="AC632" s="21" t="str">
        <f>'Ingest Template'!Y632</f>
        <v/>
      </c>
      <c r="AD632" s="21" t="str">
        <f>'Ingest Template'!C632</f>
        <v/>
      </c>
      <c r="AE632" s="21" t="str">
        <f>'Ingest Template'!Z632</f>
        <v/>
      </c>
      <c r="AF632" s="29"/>
      <c r="AG632" s="21" t="str">
        <f t="array" ref="AG632">IF('Ingest Template'!A632="Standard",(CONCATENATE(IF(ISBLANK('Ingest Template'!O632),"", 'Ingest Template'!O632&amp;"|DAR"),CHAR(10), IF(ISBLANK('Ingest Template'!P632),"", 'Ingest Template'!P632&amp;"|DAR"),CHAR(10), IF(ISBLANK('Ingest Template'!Q632),"", 'Ingest Template'!Q632&amp;"|DAR"))),(CONCATENATE(IF(ISBLANK('Ingest Template'!O632),"", 'Ingest Template'!O632&amp;"|Operations - Core Title"),CHAR(10), IF(ISBLANK('Ingest Template'!P632),"", 'Ingest Template'!P632&amp;"|Operations - Core Title"),CHAR(10), IF(ISBLANK('Ingest Template'!Q632),"", 'Ingest Template'!Q632&amp;"|Operations - Core Title"))))</f>
        <v>#|Operations - Core Title
#|Operations - Core Title
</v>
      </c>
      <c r="AH632" s="21"/>
      <c r="AI632" s="21"/>
      <c r="AJ632" s="53" t="str">
        <f>if('Ingest Template'!A632="Standard",'Ingest Template'!N632&amp; "|DAR|DAR|2021-01-01",'Ingest Template'!N632&amp; "|Operations - Core Title|Operations - Core Title")</f>
        <v>#N/A</v>
      </c>
      <c r="AK632" s="53" t="str">
        <f>if('Ingest Template'!A632="Standard",'Ingest Template'!R632&amp; "|2021-01-01",'Ingest Template'!R632)</f>
        <v>#N/A</v>
      </c>
      <c r="AL632" s="21"/>
      <c r="AM632" s="21"/>
    </row>
    <row r="633">
      <c r="A633" s="21"/>
      <c r="B633" s="21" t="str">
        <f>'Ingest Template'!B633&amp;IF('Ingest Template'!A633 = "Standard", " - DAR","")</f>
        <v/>
      </c>
      <c r="C633" s="26" t="s">
        <v>109</v>
      </c>
      <c r="D633" s="29" t="str">
        <f t="array" ref="D633">CONCATENATE(INDEX(DropDown!$H$2:$H$10,MATCH(1,COUNTIF('Ingest Template'!F633,"*"&amp;DropDown!$H$2:$H$10&amp;"*"),0)),CHAR(10),'Ingest Template'!G633)</f>
        <v>#N/A</v>
      </c>
      <c r="E633" s="21" t="str">
        <f>CONCATENATE('Ingest Template'!H633,CHAR(10),'Ingest Template'!I633,CHAR(10),'Ingest Template'!J633)</f>
        <v>
</v>
      </c>
      <c r="F633" s="26" t="str">
        <f>'Ingest Template'!H633</f>
        <v/>
      </c>
      <c r="G633" s="21"/>
      <c r="H633" s="29"/>
      <c r="I633" s="21"/>
      <c r="J633" s="29" t="str">
        <f t="array" ref="J633">iF('Ingest Template'!A633="Standard","Pristine Brand",INDEX(DropDown!$M$2:$M$392,MATCH('Ingest Template'!E633,DropDown!$J$2:$J$392,0)))</f>
        <v>#N/A</v>
      </c>
      <c r="K633" s="21" t="str">
        <f>iF('Ingest Template'!A633="Standard",'Ingest Template'!K633&amp;CHAR(10)&amp;'Ingest Template'!L633,"Competitive View")</f>
        <v>Competitive View</v>
      </c>
      <c r="L633" s="29" t="s">
        <v>146</v>
      </c>
      <c r="M633" s="37" t="str">
        <f>'Ingest Template'!D633</f>
        <v/>
      </c>
      <c r="N633" s="21"/>
      <c r="O633" s="21"/>
      <c r="P633" s="21"/>
      <c r="Q633" s="21"/>
      <c r="R633" s="21" t="str">
        <f>'Ingest Template'!E633</f>
        <v/>
      </c>
      <c r="S633" s="29" t="s">
        <v>153</v>
      </c>
      <c r="T633" s="21" t="str">
        <f>'Ingest Template'!T633</f>
        <v/>
      </c>
      <c r="U633" s="21" t="str">
        <f>'Ingest Template'!S633</f>
        <v/>
      </c>
      <c r="V633" s="21" t="str">
        <f>LOWER(SUBSTITUTE(SUBSTITUTE(SUBSTITUTE(SUBSTITUTE(SUBSTITUTE('Ingest Template'!U633,"https:",""),"www.",""),"/",""),"?hl=en",""),"instagram.com",""))</f>
        <v/>
      </c>
      <c r="W633" s="41" t="str">
        <f t="array" ref="W633">IF('Ingest Template'!V633="",(INDEX(DropDown!$L$2:$L$392,MATCH('Ingest Template'!E633,DropDown!$J$2:$J$392,0))&amp;"|"&amp;'Ingest Template'!B633),(INDEX(DropDown!$L$2:$L$392,MATCH('Ingest Template'!E633,DropDown!$J$2:$J$392,0))&amp;"|"&amp;'Ingest Template'!B633)&amp;CHAR(10)&amp;'Ingest Template'!V633)</f>
        <v>#N/A</v>
      </c>
      <c r="X633" s="41" t="str">
        <f>'Ingest Template'!W633</f>
        <v/>
      </c>
      <c r="Y633" s="21" t="str">
        <f>SUBSTITUTE(SUBSTITUTE(SUBSTITUTE('Ingest Template'!X633,"http:",""),"https:",""),"/","")</f>
        <v/>
      </c>
      <c r="Z633" s="21" t="str">
        <f t="array" ref="Z633">IF('Ingest Template'!A633="Standard",(IF(ISBLANK('Ingest Template'!AA633),"", 'Ingest Template'!AA633&amp;"|DAR")),(IF(ISBLANK('Ingest Template'!AA633),"", 'Ingest Template'!AA633&amp;"|Film Ops")))</f>
        <v/>
      </c>
      <c r="AA633" s="21"/>
      <c r="AB633" s="21" t="str">
        <f>'Ingest Template'!M633</f>
        <v/>
      </c>
      <c r="AC633" s="21" t="str">
        <f>'Ingest Template'!Y633</f>
        <v/>
      </c>
      <c r="AD633" s="21" t="str">
        <f>'Ingest Template'!C633</f>
        <v/>
      </c>
      <c r="AE633" s="21" t="str">
        <f>'Ingest Template'!Z633</f>
        <v/>
      </c>
      <c r="AF633" s="29"/>
      <c r="AG633" s="21" t="str">
        <f t="array" ref="AG633">IF('Ingest Template'!A633="Standard",(CONCATENATE(IF(ISBLANK('Ingest Template'!O633),"", 'Ingest Template'!O633&amp;"|DAR"),CHAR(10), IF(ISBLANK('Ingest Template'!P633),"", 'Ingest Template'!P633&amp;"|DAR"),CHAR(10), IF(ISBLANK('Ingest Template'!Q633),"", 'Ingest Template'!Q633&amp;"|DAR"))),(CONCATENATE(IF(ISBLANK('Ingest Template'!O633),"", 'Ingest Template'!O633&amp;"|Operations - Core Title"),CHAR(10), IF(ISBLANK('Ingest Template'!P633),"", 'Ingest Template'!P633&amp;"|Operations - Core Title"),CHAR(10), IF(ISBLANK('Ingest Template'!Q633),"", 'Ingest Template'!Q633&amp;"|Operations - Core Title"))))</f>
        <v>#|Operations - Core Title
#|Operations - Core Title
</v>
      </c>
      <c r="AH633" s="21"/>
      <c r="AI633" s="21"/>
      <c r="AJ633" s="53" t="str">
        <f>if('Ingest Template'!A633="Standard",'Ingest Template'!N633&amp; "|DAR|DAR|2021-01-01",'Ingest Template'!N633&amp; "|Operations - Core Title|Operations - Core Title")</f>
        <v>#N/A</v>
      </c>
      <c r="AK633" s="53" t="str">
        <f>if('Ingest Template'!A633="Standard",'Ingest Template'!R633&amp; "|2021-01-01",'Ingest Template'!R633)</f>
        <v>#N/A</v>
      </c>
      <c r="AL633" s="21"/>
      <c r="AM633" s="21"/>
    </row>
    <row r="634">
      <c r="A634" s="21"/>
      <c r="B634" s="21" t="str">
        <f>'Ingest Template'!B634&amp;IF('Ingest Template'!A634 = "Standard", " - DAR","")</f>
        <v/>
      </c>
      <c r="C634" s="26" t="s">
        <v>109</v>
      </c>
      <c r="D634" s="29" t="str">
        <f t="array" ref="D634">CONCATENATE(INDEX(DropDown!$H$2:$H$10,MATCH(1,COUNTIF('Ingest Template'!F634,"*"&amp;DropDown!$H$2:$H$10&amp;"*"),0)),CHAR(10),'Ingest Template'!G634)</f>
        <v>#N/A</v>
      </c>
      <c r="E634" s="21" t="str">
        <f>CONCATENATE('Ingest Template'!H634,CHAR(10),'Ingest Template'!I634,CHAR(10),'Ingest Template'!J634)</f>
        <v>
</v>
      </c>
      <c r="F634" s="26" t="str">
        <f>'Ingest Template'!H634</f>
        <v/>
      </c>
      <c r="G634" s="21"/>
      <c r="H634" s="29"/>
      <c r="I634" s="21"/>
      <c r="J634" s="29" t="str">
        <f t="array" ref="J634">iF('Ingest Template'!A634="Standard","Pristine Brand",INDEX(DropDown!$M$2:$M$392,MATCH('Ingest Template'!E634,DropDown!$J$2:$J$392,0)))</f>
        <v>#N/A</v>
      </c>
      <c r="K634" s="21" t="str">
        <f>iF('Ingest Template'!A634="Standard",'Ingest Template'!K634&amp;CHAR(10)&amp;'Ingest Template'!L634,"Competitive View")</f>
        <v>Competitive View</v>
      </c>
      <c r="L634" s="29" t="s">
        <v>146</v>
      </c>
      <c r="M634" s="37" t="str">
        <f>'Ingest Template'!D634</f>
        <v/>
      </c>
      <c r="N634" s="21"/>
      <c r="O634" s="21"/>
      <c r="P634" s="21"/>
      <c r="Q634" s="21"/>
      <c r="R634" s="21" t="str">
        <f>'Ingest Template'!E634</f>
        <v/>
      </c>
      <c r="S634" s="29" t="s">
        <v>153</v>
      </c>
      <c r="T634" s="21" t="str">
        <f>'Ingest Template'!T634</f>
        <v/>
      </c>
      <c r="U634" s="21" t="str">
        <f>'Ingest Template'!S634</f>
        <v/>
      </c>
      <c r="V634" s="21" t="str">
        <f>LOWER(SUBSTITUTE(SUBSTITUTE(SUBSTITUTE(SUBSTITUTE(SUBSTITUTE('Ingest Template'!U634,"https:",""),"www.",""),"/",""),"?hl=en",""),"instagram.com",""))</f>
        <v/>
      </c>
      <c r="W634" s="41" t="str">
        <f t="array" ref="W634">IF('Ingest Template'!V634="",(INDEX(DropDown!$L$2:$L$392,MATCH('Ingest Template'!E634,DropDown!$J$2:$J$392,0))&amp;"|"&amp;'Ingest Template'!B634),(INDEX(DropDown!$L$2:$L$392,MATCH('Ingest Template'!E634,DropDown!$J$2:$J$392,0))&amp;"|"&amp;'Ingest Template'!B634)&amp;CHAR(10)&amp;'Ingest Template'!V634)</f>
        <v>#N/A</v>
      </c>
      <c r="X634" s="41" t="str">
        <f>'Ingest Template'!W634</f>
        <v/>
      </c>
      <c r="Y634" s="21" t="str">
        <f>SUBSTITUTE(SUBSTITUTE(SUBSTITUTE('Ingest Template'!X634,"http:",""),"https:",""),"/","")</f>
        <v/>
      </c>
      <c r="Z634" s="21" t="str">
        <f t="array" ref="Z634">IF('Ingest Template'!A634="Standard",(IF(ISBLANK('Ingest Template'!AA634),"", 'Ingest Template'!AA634&amp;"|DAR")),(IF(ISBLANK('Ingest Template'!AA634),"", 'Ingest Template'!AA634&amp;"|Film Ops")))</f>
        <v/>
      </c>
      <c r="AA634" s="21"/>
      <c r="AB634" s="21" t="str">
        <f>'Ingest Template'!M634</f>
        <v/>
      </c>
      <c r="AC634" s="21" t="str">
        <f>'Ingest Template'!Y634</f>
        <v/>
      </c>
      <c r="AD634" s="21" t="str">
        <f>'Ingest Template'!C634</f>
        <v/>
      </c>
      <c r="AE634" s="21" t="str">
        <f>'Ingest Template'!Z634</f>
        <v/>
      </c>
      <c r="AF634" s="29"/>
      <c r="AG634" s="21" t="str">
        <f t="array" ref="AG634">IF('Ingest Template'!A634="Standard",(CONCATENATE(IF(ISBLANK('Ingest Template'!O634),"", 'Ingest Template'!O634&amp;"|DAR"),CHAR(10), IF(ISBLANK('Ingest Template'!P634),"", 'Ingest Template'!P634&amp;"|DAR"),CHAR(10), IF(ISBLANK('Ingest Template'!Q634),"", 'Ingest Template'!Q634&amp;"|DAR"))),(CONCATENATE(IF(ISBLANK('Ingest Template'!O634),"", 'Ingest Template'!O634&amp;"|Operations - Core Title"),CHAR(10), IF(ISBLANK('Ingest Template'!P634),"", 'Ingest Template'!P634&amp;"|Operations - Core Title"),CHAR(10), IF(ISBLANK('Ingest Template'!Q634),"", 'Ingest Template'!Q634&amp;"|Operations - Core Title"))))</f>
        <v>#|Operations - Core Title
#|Operations - Core Title
</v>
      </c>
      <c r="AH634" s="21"/>
      <c r="AI634" s="21"/>
      <c r="AJ634" s="53" t="str">
        <f>if('Ingest Template'!A634="Standard",'Ingest Template'!N634&amp; "|DAR|DAR|2021-01-01",'Ingest Template'!N634&amp; "|Operations - Core Title|Operations - Core Title")</f>
        <v>#N/A</v>
      </c>
      <c r="AK634" s="53" t="str">
        <f>if('Ingest Template'!A634="Standard",'Ingest Template'!R634&amp; "|2021-01-01",'Ingest Template'!R634)</f>
        <v>#N/A</v>
      </c>
      <c r="AL634" s="21"/>
      <c r="AM634" s="21"/>
    </row>
    <row r="635">
      <c r="A635" s="21"/>
      <c r="B635" s="21" t="str">
        <f>'Ingest Template'!B635&amp;IF('Ingest Template'!A635 = "Standard", " - DAR","")</f>
        <v/>
      </c>
      <c r="C635" s="26" t="s">
        <v>109</v>
      </c>
      <c r="D635" s="29" t="str">
        <f t="array" ref="D635">CONCATENATE(INDEX(DropDown!$H$2:$H$10,MATCH(1,COUNTIF('Ingest Template'!F635,"*"&amp;DropDown!$H$2:$H$10&amp;"*"),0)),CHAR(10),'Ingest Template'!G635)</f>
        <v>#N/A</v>
      </c>
      <c r="E635" s="21" t="str">
        <f>CONCATENATE('Ingest Template'!H635,CHAR(10),'Ingest Template'!I635,CHAR(10),'Ingest Template'!J635)</f>
        <v>
</v>
      </c>
      <c r="F635" s="26" t="str">
        <f>'Ingest Template'!H635</f>
        <v/>
      </c>
      <c r="G635" s="21"/>
      <c r="H635" s="29"/>
      <c r="I635" s="21"/>
      <c r="J635" s="29" t="str">
        <f t="array" ref="J635">iF('Ingest Template'!A635="Standard","Pristine Brand",INDEX(DropDown!$M$2:$M$392,MATCH('Ingest Template'!E635,DropDown!$J$2:$J$392,0)))</f>
        <v>#N/A</v>
      </c>
      <c r="K635" s="21" t="str">
        <f>iF('Ingest Template'!A635="Standard",'Ingest Template'!K635&amp;CHAR(10)&amp;'Ingest Template'!L635,"Competitive View")</f>
        <v>Competitive View</v>
      </c>
      <c r="L635" s="29" t="s">
        <v>146</v>
      </c>
      <c r="M635" s="37" t="str">
        <f>'Ingest Template'!D635</f>
        <v/>
      </c>
      <c r="N635" s="21"/>
      <c r="O635" s="21"/>
      <c r="P635" s="21"/>
      <c r="Q635" s="21"/>
      <c r="R635" s="21" t="str">
        <f>'Ingest Template'!E635</f>
        <v/>
      </c>
      <c r="S635" s="29" t="s">
        <v>153</v>
      </c>
      <c r="T635" s="21" t="str">
        <f>'Ingest Template'!T635</f>
        <v/>
      </c>
      <c r="U635" s="21" t="str">
        <f>'Ingest Template'!S635</f>
        <v/>
      </c>
      <c r="V635" s="21" t="str">
        <f>LOWER(SUBSTITUTE(SUBSTITUTE(SUBSTITUTE(SUBSTITUTE(SUBSTITUTE('Ingest Template'!U635,"https:",""),"www.",""),"/",""),"?hl=en",""),"instagram.com",""))</f>
        <v/>
      </c>
      <c r="W635" s="41" t="str">
        <f t="array" ref="W635">IF('Ingest Template'!V635="",(INDEX(DropDown!$L$2:$L$392,MATCH('Ingest Template'!E635,DropDown!$J$2:$J$392,0))&amp;"|"&amp;'Ingest Template'!B635),(INDEX(DropDown!$L$2:$L$392,MATCH('Ingest Template'!E635,DropDown!$J$2:$J$392,0))&amp;"|"&amp;'Ingest Template'!B635)&amp;CHAR(10)&amp;'Ingest Template'!V635)</f>
        <v>#N/A</v>
      </c>
      <c r="X635" s="41" t="str">
        <f>'Ingest Template'!W635</f>
        <v/>
      </c>
      <c r="Y635" s="21" t="str">
        <f>SUBSTITUTE(SUBSTITUTE(SUBSTITUTE('Ingest Template'!X635,"http:",""),"https:",""),"/","")</f>
        <v/>
      </c>
      <c r="Z635" s="21" t="str">
        <f t="array" ref="Z635">IF('Ingest Template'!A635="Standard",(IF(ISBLANK('Ingest Template'!AA635),"", 'Ingest Template'!AA635&amp;"|DAR")),(IF(ISBLANK('Ingest Template'!AA635),"", 'Ingest Template'!AA635&amp;"|Film Ops")))</f>
        <v/>
      </c>
      <c r="AA635" s="21"/>
      <c r="AB635" s="21" t="str">
        <f>'Ingest Template'!M635</f>
        <v/>
      </c>
      <c r="AC635" s="21" t="str">
        <f>'Ingest Template'!Y635</f>
        <v/>
      </c>
      <c r="AD635" s="21" t="str">
        <f>'Ingest Template'!C635</f>
        <v/>
      </c>
      <c r="AE635" s="21" t="str">
        <f>'Ingest Template'!Z635</f>
        <v/>
      </c>
      <c r="AF635" s="29"/>
      <c r="AG635" s="21" t="str">
        <f t="array" ref="AG635">IF('Ingest Template'!A635="Standard",(CONCATENATE(IF(ISBLANK('Ingest Template'!O635),"", 'Ingest Template'!O635&amp;"|DAR"),CHAR(10), IF(ISBLANK('Ingest Template'!P635),"", 'Ingest Template'!P635&amp;"|DAR"),CHAR(10), IF(ISBLANK('Ingest Template'!Q635),"", 'Ingest Template'!Q635&amp;"|DAR"))),(CONCATENATE(IF(ISBLANK('Ingest Template'!O635),"", 'Ingest Template'!O635&amp;"|Operations - Core Title"),CHAR(10), IF(ISBLANK('Ingest Template'!P635),"", 'Ingest Template'!P635&amp;"|Operations - Core Title"),CHAR(10), IF(ISBLANK('Ingest Template'!Q635),"", 'Ingest Template'!Q635&amp;"|Operations - Core Title"))))</f>
        <v>#|Operations - Core Title
#|Operations - Core Title
</v>
      </c>
      <c r="AH635" s="21"/>
      <c r="AI635" s="21"/>
      <c r="AJ635" s="53" t="str">
        <f>if('Ingest Template'!A635="Standard",'Ingest Template'!N635&amp; "|DAR|DAR|2021-01-01",'Ingest Template'!N635&amp; "|Operations - Core Title|Operations - Core Title")</f>
        <v>#N/A</v>
      </c>
      <c r="AK635" s="53" t="str">
        <f>if('Ingest Template'!A635="Standard",'Ingest Template'!R635&amp; "|2021-01-01",'Ingest Template'!R635)</f>
        <v>#N/A</v>
      </c>
      <c r="AL635" s="21"/>
      <c r="AM635" s="21"/>
    </row>
    <row r="636">
      <c r="A636" s="21"/>
      <c r="B636" s="21" t="str">
        <f>'Ingest Template'!B636&amp;IF('Ingest Template'!A636 = "Standard", " - DAR","")</f>
        <v/>
      </c>
      <c r="C636" s="26" t="s">
        <v>109</v>
      </c>
      <c r="D636" s="29" t="str">
        <f t="array" ref="D636">CONCATENATE(INDEX(DropDown!$H$2:$H$10,MATCH(1,COUNTIF('Ingest Template'!F636,"*"&amp;DropDown!$H$2:$H$10&amp;"*"),0)),CHAR(10),'Ingest Template'!G636)</f>
        <v>#N/A</v>
      </c>
      <c r="E636" s="21" t="str">
        <f>CONCATENATE('Ingest Template'!H636,CHAR(10),'Ingest Template'!I636,CHAR(10),'Ingest Template'!J636)</f>
        <v>
</v>
      </c>
      <c r="F636" s="26" t="str">
        <f>'Ingest Template'!H636</f>
        <v/>
      </c>
      <c r="G636" s="21"/>
      <c r="H636" s="29"/>
      <c r="I636" s="21"/>
      <c r="J636" s="29" t="str">
        <f t="array" ref="J636">iF('Ingest Template'!A636="Standard","Pristine Brand",INDEX(DropDown!$M$2:$M$392,MATCH('Ingest Template'!E636,DropDown!$J$2:$J$392,0)))</f>
        <v>#N/A</v>
      </c>
      <c r="K636" s="21" t="str">
        <f>iF('Ingest Template'!A636="Standard",'Ingest Template'!K636&amp;CHAR(10)&amp;'Ingest Template'!L636,"Competitive View")</f>
        <v>Competitive View</v>
      </c>
      <c r="L636" s="29" t="s">
        <v>146</v>
      </c>
      <c r="M636" s="37" t="str">
        <f>'Ingest Template'!D636</f>
        <v/>
      </c>
      <c r="N636" s="21"/>
      <c r="O636" s="21"/>
      <c r="P636" s="21"/>
      <c r="Q636" s="21"/>
      <c r="R636" s="21" t="str">
        <f>'Ingest Template'!E636</f>
        <v/>
      </c>
      <c r="S636" s="29" t="s">
        <v>153</v>
      </c>
      <c r="T636" s="21" t="str">
        <f>'Ingest Template'!T636</f>
        <v/>
      </c>
      <c r="U636" s="21" t="str">
        <f>'Ingest Template'!S636</f>
        <v/>
      </c>
      <c r="V636" s="21" t="str">
        <f>LOWER(SUBSTITUTE(SUBSTITUTE(SUBSTITUTE(SUBSTITUTE(SUBSTITUTE('Ingest Template'!U636,"https:",""),"www.",""),"/",""),"?hl=en",""),"instagram.com",""))</f>
        <v/>
      </c>
      <c r="W636" s="41" t="str">
        <f t="array" ref="W636">IF('Ingest Template'!V636="",(INDEX(DropDown!$L$2:$L$392,MATCH('Ingest Template'!E636,DropDown!$J$2:$J$392,0))&amp;"|"&amp;'Ingest Template'!B636),(INDEX(DropDown!$L$2:$L$392,MATCH('Ingest Template'!E636,DropDown!$J$2:$J$392,0))&amp;"|"&amp;'Ingest Template'!B636)&amp;CHAR(10)&amp;'Ingest Template'!V636)</f>
        <v>#N/A</v>
      </c>
      <c r="X636" s="41" t="str">
        <f>'Ingest Template'!W636</f>
        <v/>
      </c>
      <c r="Y636" s="21" t="str">
        <f>SUBSTITUTE(SUBSTITUTE(SUBSTITUTE('Ingest Template'!X636,"http:",""),"https:",""),"/","")</f>
        <v/>
      </c>
      <c r="Z636" s="21" t="str">
        <f t="array" ref="Z636">IF('Ingest Template'!A636="Standard",(IF(ISBLANK('Ingest Template'!AA636),"", 'Ingest Template'!AA636&amp;"|DAR")),(IF(ISBLANK('Ingest Template'!AA636),"", 'Ingest Template'!AA636&amp;"|Film Ops")))</f>
        <v/>
      </c>
      <c r="AA636" s="21"/>
      <c r="AB636" s="21" t="str">
        <f>'Ingest Template'!M636</f>
        <v/>
      </c>
      <c r="AC636" s="21" t="str">
        <f>'Ingest Template'!Y636</f>
        <v/>
      </c>
      <c r="AD636" s="21" t="str">
        <f>'Ingest Template'!C636</f>
        <v/>
      </c>
      <c r="AE636" s="21" t="str">
        <f>'Ingest Template'!Z636</f>
        <v/>
      </c>
      <c r="AF636" s="29"/>
      <c r="AG636" s="21" t="str">
        <f t="array" ref="AG636">IF('Ingest Template'!A636="Standard",(CONCATENATE(IF(ISBLANK('Ingest Template'!O636),"", 'Ingest Template'!O636&amp;"|DAR"),CHAR(10), IF(ISBLANK('Ingest Template'!P636),"", 'Ingest Template'!P636&amp;"|DAR"),CHAR(10), IF(ISBLANK('Ingest Template'!Q636),"", 'Ingest Template'!Q636&amp;"|DAR"))),(CONCATENATE(IF(ISBLANK('Ingest Template'!O636),"", 'Ingest Template'!O636&amp;"|Operations - Core Title"),CHAR(10), IF(ISBLANK('Ingest Template'!P636),"", 'Ingest Template'!P636&amp;"|Operations - Core Title"),CHAR(10), IF(ISBLANK('Ingest Template'!Q636),"", 'Ingest Template'!Q636&amp;"|Operations - Core Title"))))</f>
        <v>#|Operations - Core Title
#|Operations - Core Title
</v>
      </c>
      <c r="AH636" s="21"/>
      <c r="AI636" s="21"/>
      <c r="AJ636" s="53" t="str">
        <f>if('Ingest Template'!A636="Standard",'Ingest Template'!N636&amp; "|DAR|DAR|2021-01-01",'Ingest Template'!N636&amp; "|Operations - Core Title|Operations - Core Title")</f>
        <v>#N/A</v>
      </c>
      <c r="AK636" s="53" t="str">
        <f>if('Ingest Template'!A636="Standard",'Ingest Template'!R636&amp; "|2021-01-01",'Ingest Template'!R636)</f>
        <v>#N/A</v>
      </c>
      <c r="AL636" s="21"/>
      <c r="AM636" s="21"/>
    </row>
    <row r="637">
      <c r="A637" s="21"/>
      <c r="B637" s="21" t="str">
        <f>'Ingest Template'!B637&amp;IF('Ingest Template'!A637 = "Standard", " - DAR","")</f>
        <v/>
      </c>
      <c r="C637" s="26" t="s">
        <v>109</v>
      </c>
      <c r="D637" s="29" t="str">
        <f t="array" ref="D637">CONCATENATE(INDEX(DropDown!$H$2:$H$10,MATCH(1,COUNTIF('Ingest Template'!F637,"*"&amp;DropDown!$H$2:$H$10&amp;"*"),0)),CHAR(10),'Ingest Template'!G637)</f>
        <v>#N/A</v>
      </c>
      <c r="E637" s="21" t="str">
        <f>CONCATENATE('Ingest Template'!H637,CHAR(10),'Ingest Template'!I637,CHAR(10),'Ingest Template'!J637)</f>
        <v>
</v>
      </c>
      <c r="F637" s="26" t="str">
        <f>'Ingest Template'!H637</f>
        <v/>
      </c>
      <c r="G637" s="21"/>
      <c r="H637" s="29"/>
      <c r="I637" s="21"/>
      <c r="J637" s="29" t="str">
        <f t="array" ref="J637">iF('Ingest Template'!A637="Standard","Pristine Brand",INDEX(DropDown!$M$2:$M$392,MATCH('Ingest Template'!E637,DropDown!$J$2:$J$392,0)))</f>
        <v>#N/A</v>
      </c>
      <c r="K637" s="21" t="str">
        <f>iF('Ingest Template'!A637="Standard",'Ingest Template'!K637&amp;CHAR(10)&amp;'Ingest Template'!L637,"Competitive View")</f>
        <v>Competitive View</v>
      </c>
      <c r="L637" s="29" t="s">
        <v>146</v>
      </c>
      <c r="M637" s="37" t="str">
        <f>'Ingest Template'!D637</f>
        <v/>
      </c>
      <c r="N637" s="21"/>
      <c r="O637" s="21"/>
      <c r="P637" s="21"/>
      <c r="Q637" s="21"/>
      <c r="R637" s="21" t="str">
        <f>'Ingest Template'!E637</f>
        <v/>
      </c>
      <c r="S637" s="29" t="s">
        <v>153</v>
      </c>
      <c r="T637" s="21" t="str">
        <f>'Ingest Template'!T637</f>
        <v/>
      </c>
      <c r="U637" s="21" t="str">
        <f>'Ingest Template'!S637</f>
        <v/>
      </c>
      <c r="V637" s="21" t="str">
        <f>LOWER(SUBSTITUTE(SUBSTITUTE(SUBSTITUTE(SUBSTITUTE(SUBSTITUTE('Ingest Template'!U637,"https:",""),"www.",""),"/",""),"?hl=en",""),"instagram.com",""))</f>
        <v/>
      </c>
      <c r="W637" s="41" t="str">
        <f t="array" ref="W637">IF('Ingest Template'!V637="",(INDEX(DropDown!$L$2:$L$392,MATCH('Ingest Template'!E637,DropDown!$J$2:$J$392,0))&amp;"|"&amp;'Ingest Template'!B637),(INDEX(DropDown!$L$2:$L$392,MATCH('Ingest Template'!E637,DropDown!$J$2:$J$392,0))&amp;"|"&amp;'Ingest Template'!B637)&amp;CHAR(10)&amp;'Ingest Template'!V637)</f>
        <v>#N/A</v>
      </c>
      <c r="X637" s="41" t="str">
        <f>'Ingest Template'!W637</f>
        <v/>
      </c>
      <c r="Y637" s="21" t="str">
        <f>SUBSTITUTE(SUBSTITUTE(SUBSTITUTE('Ingest Template'!X637,"http:",""),"https:",""),"/","")</f>
        <v/>
      </c>
      <c r="Z637" s="21" t="str">
        <f t="array" ref="Z637">IF('Ingest Template'!A637="Standard",(IF(ISBLANK('Ingest Template'!AA637),"", 'Ingest Template'!AA637&amp;"|DAR")),(IF(ISBLANK('Ingest Template'!AA637),"", 'Ingest Template'!AA637&amp;"|Film Ops")))</f>
        <v/>
      </c>
      <c r="AA637" s="21"/>
      <c r="AB637" s="21" t="str">
        <f>'Ingest Template'!M637</f>
        <v/>
      </c>
      <c r="AC637" s="21" t="str">
        <f>'Ingest Template'!Y637</f>
        <v/>
      </c>
      <c r="AD637" s="21" t="str">
        <f>'Ingest Template'!C637</f>
        <v/>
      </c>
      <c r="AE637" s="21" t="str">
        <f>'Ingest Template'!Z637</f>
        <v/>
      </c>
      <c r="AF637" s="29"/>
      <c r="AG637" s="21" t="str">
        <f t="array" ref="AG637">IF('Ingest Template'!A637="Standard",(CONCATENATE(IF(ISBLANK('Ingest Template'!O637),"", 'Ingest Template'!O637&amp;"|DAR"),CHAR(10), IF(ISBLANK('Ingest Template'!P637),"", 'Ingest Template'!P637&amp;"|DAR"),CHAR(10), IF(ISBLANK('Ingest Template'!Q637),"", 'Ingest Template'!Q637&amp;"|DAR"))),(CONCATENATE(IF(ISBLANK('Ingest Template'!O637),"", 'Ingest Template'!O637&amp;"|Operations - Core Title"),CHAR(10), IF(ISBLANK('Ingest Template'!P637),"", 'Ingest Template'!P637&amp;"|Operations - Core Title"),CHAR(10), IF(ISBLANK('Ingest Template'!Q637),"", 'Ingest Template'!Q637&amp;"|Operations - Core Title"))))</f>
        <v>#|Operations - Core Title
#|Operations - Core Title
</v>
      </c>
      <c r="AH637" s="21"/>
      <c r="AI637" s="21"/>
      <c r="AJ637" s="53" t="str">
        <f>if('Ingest Template'!A637="Standard",'Ingest Template'!N637&amp; "|DAR|DAR|2021-01-01",'Ingest Template'!N637&amp; "|Operations - Core Title|Operations - Core Title")</f>
        <v>#N/A</v>
      </c>
      <c r="AK637" s="53" t="str">
        <f>if('Ingest Template'!A637="Standard",'Ingest Template'!R637&amp; "|2021-01-01",'Ingest Template'!R637)</f>
        <v>#N/A</v>
      </c>
      <c r="AL637" s="21"/>
      <c r="AM637" s="21"/>
    </row>
    <row r="638">
      <c r="A638" s="21"/>
      <c r="B638" s="21" t="str">
        <f>'Ingest Template'!B638&amp;IF('Ingest Template'!A638 = "Standard", " - DAR","")</f>
        <v/>
      </c>
      <c r="C638" s="26" t="s">
        <v>109</v>
      </c>
      <c r="D638" s="29" t="str">
        <f t="array" ref="D638">CONCATENATE(INDEX(DropDown!$H$2:$H$10,MATCH(1,COUNTIF('Ingest Template'!F638,"*"&amp;DropDown!$H$2:$H$10&amp;"*"),0)),CHAR(10),'Ingest Template'!G638)</f>
        <v>#N/A</v>
      </c>
      <c r="E638" s="21" t="str">
        <f>CONCATENATE('Ingest Template'!H638,CHAR(10),'Ingest Template'!I638,CHAR(10),'Ingest Template'!J638)</f>
        <v>
</v>
      </c>
      <c r="F638" s="26" t="str">
        <f>'Ingest Template'!H638</f>
        <v/>
      </c>
      <c r="G638" s="21"/>
      <c r="H638" s="29"/>
      <c r="I638" s="21"/>
      <c r="J638" s="29" t="str">
        <f t="array" ref="J638">iF('Ingest Template'!A638="Standard","Pristine Brand",INDEX(DropDown!$M$2:$M$392,MATCH('Ingest Template'!E638,DropDown!$J$2:$J$392,0)))</f>
        <v>#N/A</v>
      </c>
      <c r="K638" s="21" t="str">
        <f>iF('Ingest Template'!A638="Standard",'Ingest Template'!K638&amp;CHAR(10)&amp;'Ingest Template'!L638,"Competitive View")</f>
        <v>Competitive View</v>
      </c>
      <c r="L638" s="29" t="s">
        <v>146</v>
      </c>
      <c r="M638" s="37" t="str">
        <f>'Ingest Template'!D638</f>
        <v/>
      </c>
      <c r="N638" s="21"/>
      <c r="O638" s="21"/>
      <c r="P638" s="21"/>
      <c r="Q638" s="21"/>
      <c r="R638" s="21" t="str">
        <f>'Ingest Template'!E638</f>
        <v/>
      </c>
      <c r="S638" s="29" t="s">
        <v>153</v>
      </c>
      <c r="T638" s="21" t="str">
        <f>'Ingest Template'!T638</f>
        <v/>
      </c>
      <c r="U638" s="21" t="str">
        <f>'Ingest Template'!S638</f>
        <v/>
      </c>
      <c r="V638" s="21" t="str">
        <f>LOWER(SUBSTITUTE(SUBSTITUTE(SUBSTITUTE(SUBSTITUTE(SUBSTITUTE('Ingest Template'!U638,"https:",""),"www.",""),"/",""),"?hl=en",""),"instagram.com",""))</f>
        <v/>
      </c>
      <c r="W638" s="41" t="str">
        <f t="array" ref="W638">IF('Ingest Template'!V638="",(INDEX(DropDown!$L$2:$L$392,MATCH('Ingest Template'!E638,DropDown!$J$2:$J$392,0))&amp;"|"&amp;'Ingest Template'!B638),(INDEX(DropDown!$L$2:$L$392,MATCH('Ingest Template'!E638,DropDown!$J$2:$J$392,0))&amp;"|"&amp;'Ingest Template'!B638)&amp;CHAR(10)&amp;'Ingest Template'!V638)</f>
        <v>#N/A</v>
      </c>
      <c r="X638" s="41" t="str">
        <f>'Ingest Template'!W638</f>
        <v/>
      </c>
      <c r="Y638" s="21" t="str">
        <f>SUBSTITUTE(SUBSTITUTE(SUBSTITUTE('Ingest Template'!X638,"http:",""),"https:",""),"/","")</f>
        <v/>
      </c>
      <c r="Z638" s="21" t="str">
        <f t="array" ref="Z638">IF('Ingest Template'!A638="Standard",(IF(ISBLANK('Ingest Template'!AA638),"", 'Ingest Template'!AA638&amp;"|DAR")),(IF(ISBLANK('Ingest Template'!AA638),"", 'Ingest Template'!AA638&amp;"|Film Ops")))</f>
        <v/>
      </c>
      <c r="AA638" s="21"/>
      <c r="AB638" s="21" t="str">
        <f>'Ingest Template'!M638</f>
        <v/>
      </c>
      <c r="AC638" s="21" t="str">
        <f>'Ingest Template'!Y638</f>
        <v/>
      </c>
      <c r="AD638" s="21" t="str">
        <f>'Ingest Template'!C638</f>
        <v/>
      </c>
      <c r="AE638" s="21" t="str">
        <f>'Ingest Template'!Z638</f>
        <v/>
      </c>
      <c r="AF638" s="29"/>
      <c r="AG638" s="21" t="str">
        <f t="array" ref="AG638">IF('Ingest Template'!A638="Standard",(CONCATENATE(IF(ISBLANK('Ingest Template'!O638),"", 'Ingest Template'!O638&amp;"|DAR"),CHAR(10), IF(ISBLANK('Ingest Template'!P638),"", 'Ingest Template'!P638&amp;"|DAR"),CHAR(10), IF(ISBLANK('Ingest Template'!Q638),"", 'Ingest Template'!Q638&amp;"|DAR"))),(CONCATENATE(IF(ISBLANK('Ingest Template'!O638),"", 'Ingest Template'!O638&amp;"|Operations - Core Title"),CHAR(10), IF(ISBLANK('Ingest Template'!P638),"", 'Ingest Template'!P638&amp;"|Operations - Core Title"),CHAR(10), IF(ISBLANK('Ingest Template'!Q638),"", 'Ingest Template'!Q638&amp;"|Operations - Core Title"))))</f>
        <v>#|Operations - Core Title
#|Operations - Core Title
</v>
      </c>
      <c r="AH638" s="21"/>
      <c r="AI638" s="21"/>
      <c r="AJ638" s="53" t="str">
        <f>if('Ingest Template'!A638="Standard",'Ingest Template'!N638&amp; "|DAR|DAR|2021-01-01",'Ingest Template'!N638&amp; "|Operations - Core Title|Operations - Core Title")</f>
        <v>#N/A</v>
      </c>
      <c r="AK638" s="53" t="str">
        <f>if('Ingest Template'!A638="Standard",'Ingest Template'!R638&amp; "|2021-01-01",'Ingest Template'!R638)</f>
        <v>#N/A</v>
      </c>
      <c r="AL638" s="21"/>
      <c r="AM638" s="21"/>
    </row>
    <row r="639">
      <c r="A639" s="21"/>
      <c r="B639" s="21" t="str">
        <f>'Ingest Template'!B639&amp;IF('Ingest Template'!A639 = "Standard", " - DAR","")</f>
        <v/>
      </c>
      <c r="C639" s="26" t="s">
        <v>109</v>
      </c>
      <c r="D639" s="29" t="str">
        <f t="array" ref="D639">CONCATENATE(INDEX(DropDown!$H$2:$H$10,MATCH(1,COUNTIF('Ingest Template'!F639,"*"&amp;DropDown!$H$2:$H$10&amp;"*"),0)),CHAR(10),'Ingest Template'!G639)</f>
        <v>#N/A</v>
      </c>
      <c r="E639" s="21" t="str">
        <f>CONCATENATE('Ingest Template'!H639,CHAR(10),'Ingest Template'!I639,CHAR(10),'Ingest Template'!J639)</f>
        <v>
</v>
      </c>
      <c r="F639" s="26" t="str">
        <f>'Ingest Template'!H639</f>
        <v/>
      </c>
      <c r="G639" s="21"/>
      <c r="H639" s="29"/>
      <c r="I639" s="21"/>
      <c r="J639" s="29" t="str">
        <f t="array" ref="J639">iF('Ingest Template'!A639="Standard","Pristine Brand",INDEX(DropDown!$M$2:$M$392,MATCH('Ingest Template'!E639,DropDown!$J$2:$J$392,0)))</f>
        <v>#N/A</v>
      </c>
      <c r="K639" s="21" t="str">
        <f>iF('Ingest Template'!A639="Standard",'Ingest Template'!K639&amp;CHAR(10)&amp;'Ingest Template'!L639,"Competitive View")</f>
        <v>Competitive View</v>
      </c>
      <c r="L639" s="29" t="s">
        <v>146</v>
      </c>
      <c r="M639" s="37" t="str">
        <f>'Ingest Template'!D639</f>
        <v/>
      </c>
      <c r="N639" s="21"/>
      <c r="O639" s="21"/>
      <c r="P639" s="21"/>
      <c r="Q639" s="21"/>
      <c r="R639" s="21" t="str">
        <f>'Ingest Template'!E639</f>
        <v/>
      </c>
      <c r="S639" s="29" t="s">
        <v>153</v>
      </c>
      <c r="T639" s="21" t="str">
        <f>'Ingest Template'!T639</f>
        <v/>
      </c>
      <c r="U639" s="21" t="str">
        <f>'Ingest Template'!S639</f>
        <v/>
      </c>
      <c r="V639" s="21" t="str">
        <f>LOWER(SUBSTITUTE(SUBSTITUTE(SUBSTITUTE(SUBSTITUTE(SUBSTITUTE('Ingest Template'!U639,"https:",""),"www.",""),"/",""),"?hl=en",""),"instagram.com",""))</f>
        <v/>
      </c>
      <c r="W639" s="41" t="str">
        <f t="array" ref="W639">IF('Ingest Template'!V639="",(INDEX(DropDown!$L$2:$L$392,MATCH('Ingest Template'!E639,DropDown!$J$2:$J$392,0))&amp;"|"&amp;'Ingest Template'!B639),(INDEX(DropDown!$L$2:$L$392,MATCH('Ingest Template'!E639,DropDown!$J$2:$J$392,0))&amp;"|"&amp;'Ingest Template'!B639)&amp;CHAR(10)&amp;'Ingest Template'!V639)</f>
        <v>#N/A</v>
      </c>
      <c r="X639" s="41" t="str">
        <f>'Ingest Template'!W639</f>
        <v/>
      </c>
      <c r="Y639" s="21" t="str">
        <f>SUBSTITUTE(SUBSTITUTE(SUBSTITUTE('Ingest Template'!X639,"http:",""),"https:",""),"/","")</f>
        <v/>
      </c>
      <c r="Z639" s="21" t="str">
        <f t="array" ref="Z639">IF('Ingest Template'!A639="Standard",(IF(ISBLANK('Ingest Template'!AA639),"", 'Ingest Template'!AA639&amp;"|DAR")),(IF(ISBLANK('Ingest Template'!AA639),"", 'Ingest Template'!AA639&amp;"|Film Ops")))</f>
        <v/>
      </c>
      <c r="AA639" s="21"/>
      <c r="AB639" s="21" t="str">
        <f>'Ingest Template'!M639</f>
        <v/>
      </c>
      <c r="AC639" s="21" t="str">
        <f>'Ingest Template'!Y639</f>
        <v/>
      </c>
      <c r="AD639" s="21" t="str">
        <f>'Ingest Template'!C639</f>
        <v/>
      </c>
      <c r="AE639" s="21" t="str">
        <f>'Ingest Template'!Z639</f>
        <v/>
      </c>
      <c r="AF639" s="29"/>
      <c r="AG639" s="21" t="str">
        <f t="array" ref="AG639">IF('Ingest Template'!A639="Standard",(CONCATENATE(IF(ISBLANK('Ingest Template'!O639),"", 'Ingest Template'!O639&amp;"|DAR"),CHAR(10), IF(ISBLANK('Ingest Template'!P639),"", 'Ingest Template'!P639&amp;"|DAR"),CHAR(10), IF(ISBLANK('Ingest Template'!Q639),"", 'Ingest Template'!Q639&amp;"|DAR"))),(CONCATENATE(IF(ISBLANK('Ingest Template'!O639),"", 'Ingest Template'!O639&amp;"|Operations - Core Title"),CHAR(10), IF(ISBLANK('Ingest Template'!P639),"", 'Ingest Template'!P639&amp;"|Operations - Core Title"),CHAR(10), IF(ISBLANK('Ingest Template'!Q639),"", 'Ingest Template'!Q639&amp;"|Operations - Core Title"))))</f>
        <v>#|Operations - Core Title
#|Operations - Core Title
</v>
      </c>
      <c r="AH639" s="21"/>
      <c r="AI639" s="21"/>
      <c r="AJ639" s="53" t="str">
        <f>if('Ingest Template'!A639="Standard",'Ingest Template'!N639&amp; "|DAR|DAR|2021-01-01",'Ingest Template'!N639&amp; "|Operations - Core Title|Operations - Core Title")</f>
        <v>#N/A</v>
      </c>
      <c r="AK639" s="53" t="str">
        <f>if('Ingest Template'!A639="Standard",'Ingest Template'!R639&amp; "|2021-01-01",'Ingest Template'!R639)</f>
        <v>#N/A</v>
      </c>
      <c r="AL639" s="21"/>
      <c r="AM639" s="21"/>
    </row>
    <row r="640">
      <c r="A640" s="21"/>
      <c r="B640" s="21" t="str">
        <f>'Ingest Template'!B640&amp;IF('Ingest Template'!A640 = "Standard", " - DAR","")</f>
        <v/>
      </c>
      <c r="C640" s="26" t="s">
        <v>109</v>
      </c>
      <c r="D640" s="29" t="str">
        <f t="array" ref="D640">CONCATENATE(INDEX(DropDown!$H$2:$H$10,MATCH(1,COUNTIF('Ingest Template'!F640,"*"&amp;DropDown!$H$2:$H$10&amp;"*"),0)),CHAR(10),'Ingest Template'!G640)</f>
        <v>#N/A</v>
      </c>
      <c r="E640" s="21" t="str">
        <f>CONCATENATE('Ingest Template'!H640,CHAR(10),'Ingest Template'!I640,CHAR(10),'Ingest Template'!J640)</f>
        <v>
</v>
      </c>
      <c r="F640" s="26" t="str">
        <f>'Ingest Template'!H640</f>
        <v/>
      </c>
      <c r="G640" s="21"/>
      <c r="H640" s="29"/>
      <c r="I640" s="21"/>
      <c r="J640" s="29" t="str">
        <f t="array" ref="J640">iF('Ingest Template'!A640="Standard","Pristine Brand",INDEX(DropDown!$M$2:$M$392,MATCH('Ingest Template'!E640,DropDown!$J$2:$J$392,0)))</f>
        <v>#N/A</v>
      </c>
      <c r="K640" s="21" t="str">
        <f>iF('Ingest Template'!A640="Standard",'Ingest Template'!K640&amp;CHAR(10)&amp;'Ingest Template'!L640,"Competitive View")</f>
        <v>Competitive View</v>
      </c>
      <c r="L640" s="29" t="s">
        <v>146</v>
      </c>
      <c r="M640" s="37" t="str">
        <f>'Ingest Template'!D640</f>
        <v/>
      </c>
      <c r="N640" s="21"/>
      <c r="O640" s="21"/>
      <c r="P640" s="21"/>
      <c r="Q640" s="21"/>
      <c r="R640" s="21" t="str">
        <f>'Ingest Template'!E640</f>
        <v/>
      </c>
      <c r="S640" s="29" t="s">
        <v>153</v>
      </c>
      <c r="T640" s="21" t="str">
        <f>'Ingest Template'!T640</f>
        <v/>
      </c>
      <c r="U640" s="21" t="str">
        <f>'Ingest Template'!S640</f>
        <v/>
      </c>
      <c r="V640" s="21" t="str">
        <f>LOWER(SUBSTITUTE(SUBSTITUTE(SUBSTITUTE(SUBSTITUTE(SUBSTITUTE('Ingest Template'!U640,"https:",""),"www.",""),"/",""),"?hl=en",""),"instagram.com",""))</f>
        <v/>
      </c>
      <c r="W640" s="41" t="str">
        <f t="array" ref="W640">IF('Ingest Template'!V640="",(INDEX(DropDown!$L$2:$L$392,MATCH('Ingest Template'!E640,DropDown!$J$2:$J$392,0))&amp;"|"&amp;'Ingest Template'!B640),(INDEX(DropDown!$L$2:$L$392,MATCH('Ingest Template'!E640,DropDown!$J$2:$J$392,0))&amp;"|"&amp;'Ingest Template'!B640)&amp;CHAR(10)&amp;'Ingest Template'!V640)</f>
        <v>#N/A</v>
      </c>
      <c r="X640" s="41" t="str">
        <f>'Ingest Template'!W640</f>
        <v/>
      </c>
      <c r="Y640" s="21" t="str">
        <f>SUBSTITUTE(SUBSTITUTE(SUBSTITUTE('Ingest Template'!X640,"http:",""),"https:",""),"/","")</f>
        <v/>
      </c>
      <c r="Z640" s="21" t="str">
        <f t="array" ref="Z640">IF('Ingest Template'!A640="Standard",(IF(ISBLANK('Ingest Template'!AA640),"", 'Ingest Template'!AA640&amp;"|DAR")),(IF(ISBLANK('Ingest Template'!AA640),"", 'Ingest Template'!AA640&amp;"|Film Ops")))</f>
        <v/>
      </c>
      <c r="AA640" s="21"/>
      <c r="AB640" s="21" t="str">
        <f>'Ingest Template'!M640</f>
        <v/>
      </c>
      <c r="AC640" s="21" t="str">
        <f>'Ingest Template'!Y640</f>
        <v/>
      </c>
      <c r="AD640" s="21" t="str">
        <f>'Ingest Template'!C640</f>
        <v/>
      </c>
      <c r="AE640" s="21" t="str">
        <f>'Ingest Template'!Z640</f>
        <v/>
      </c>
      <c r="AF640" s="29"/>
      <c r="AG640" s="21" t="str">
        <f t="array" ref="AG640">IF('Ingest Template'!A640="Standard",(CONCATENATE(IF(ISBLANK('Ingest Template'!O640),"", 'Ingest Template'!O640&amp;"|DAR"),CHAR(10), IF(ISBLANK('Ingest Template'!P640),"", 'Ingest Template'!P640&amp;"|DAR"),CHAR(10), IF(ISBLANK('Ingest Template'!Q640),"", 'Ingest Template'!Q640&amp;"|DAR"))),(CONCATENATE(IF(ISBLANK('Ingest Template'!O640),"", 'Ingest Template'!O640&amp;"|Operations - Core Title"),CHAR(10), IF(ISBLANK('Ingest Template'!P640),"", 'Ingest Template'!P640&amp;"|Operations - Core Title"),CHAR(10), IF(ISBLANK('Ingest Template'!Q640),"", 'Ingest Template'!Q640&amp;"|Operations - Core Title"))))</f>
        <v>#|Operations - Core Title
#|Operations - Core Title
</v>
      </c>
      <c r="AH640" s="21"/>
      <c r="AI640" s="21"/>
      <c r="AJ640" s="53" t="str">
        <f>if('Ingest Template'!A640="Standard",'Ingest Template'!N640&amp; "|DAR|DAR|2021-01-01",'Ingest Template'!N640&amp; "|Operations - Core Title|Operations - Core Title")</f>
        <v>#N/A</v>
      </c>
      <c r="AK640" s="53" t="str">
        <f>if('Ingest Template'!A640="Standard",'Ingest Template'!R640&amp; "|2021-01-01",'Ingest Template'!R640)</f>
        <v>#N/A</v>
      </c>
      <c r="AL640" s="21"/>
      <c r="AM640" s="21"/>
    </row>
    <row r="641">
      <c r="A641" s="21"/>
      <c r="B641" s="21" t="str">
        <f>'Ingest Template'!B641&amp;IF('Ingest Template'!A641 = "Standard", " - DAR","")</f>
        <v/>
      </c>
      <c r="C641" s="26" t="s">
        <v>109</v>
      </c>
      <c r="D641" s="29" t="str">
        <f t="array" ref="D641">CONCATENATE(INDEX(DropDown!$H$2:$H$10,MATCH(1,COUNTIF('Ingest Template'!F641,"*"&amp;DropDown!$H$2:$H$10&amp;"*"),0)),CHAR(10),'Ingest Template'!G641)</f>
        <v>#N/A</v>
      </c>
      <c r="E641" s="21" t="str">
        <f>CONCATENATE('Ingest Template'!H641,CHAR(10),'Ingest Template'!I641,CHAR(10),'Ingest Template'!J641)</f>
        <v>
</v>
      </c>
      <c r="F641" s="26" t="str">
        <f>'Ingest Template'!H641</f>
        <v/>
      </c>
      <c r="G641" s="21"/>
      <c r="H641" s="29"/>
      <c r="I641" s="21"/>
      <c r="J641" s="29" t="str">
        <f t="array" ref="J641">iF('Ingest Template'!A641="Standard","Pristine Brand",INDEX(DropDown!$M$2:$M$392,MATCH('Ingest Template'!E641,DropDown!$J$2:$J$392,0)))</f>
        <v>#N/A</v>
      </c>
      <c r="K641" s="21" t="str">
        <f>iF('Ingest Template'!A641="Standard",'Ingest Template'!K641&amp;CHAR(10)&amp;'Ingest Template'!L641,"Competitive View")</f>
        <v>Competitive View</v>
      </c>
      <c r="L641" s="29" t="s">
        <v>146</v>
      </c>
      <c r="M641" s="37" t="str">
        <f>'Ingest Template'!D641</f>
        <v/>
      </c>
      <c r="N641" s="21"/>
      <c r="O641" s="21"/>
      <c r="P641" s="21"/>
      <c r="Q641" s="21"/>
      <c r="R641" s="21" t="str">
        <f>'Ingest Template'!E641</f>
        <v/>
      </c>
      <c r="S641" s="29" t="s">
        <v>153</v>
      </c>
      <c r="T641" s="21" t="str">
        <f>'Ingest Template'!T641</f>
        <v/>
      </c>
      <c r="U641" s="21" t="str">
        <f>'Ingest Template'!S641</f>
        <v/>
      </c>
      <c r="V641" s="21" t="str">
        <f>LOWER(SUBSTITUTE(SUBSTITUTE(SUBSTITUTE(SUBSTITUTE(SUBSTITUTE('Ingest Template'!U641,"https:",""),"www.",""),"/",""),"?hl=en",""),"instagram.com",""))</f>
        <v/>
      </c>
      <c r="W641" s="41" t="str">
        <f t="array" ref="W641">IF('Ingest Template'!V641="",(INDEX(DropDown!$L$2:$L$392,MATCH('Ingest Template'!E641,DropDown!$J$2:$J$392,0))&amp;"|"&amp;'Ingest Template'!B641),(INDEX(DropDown!$L$2:$L$392,MATCH('Ingest Template'!E641,DropDown!$J$2:$J$392,0))&amp;"|"&amp;'Ingest Template'!B641)&amp;CHAR(10)&amp;'Ingest Template'!V641)</f>
        <v>#N/A</v>
      </c>
      <c r="X641" s="41" t="str">
        <f>'Ingest Template'!W641</f>
        <v/>
      </c>
      <c r="Y641" s="21" t="str">
        <f>SUBSTITUTE(SUBSTITUTE(SUBSTITUTE('Ingest Template'!X641,"http:",""),"https:",""),"/","")</f>
        <v/>
      </c>
      <c r="Z641" s="21" t="str">
        <f t="array" ref="Z641">IF('Ingest Template'!A641="Standard",(IF(ISBLANK('Ingest Template'!AA641),"", 'Ingest Template'!AA641&amp;"|DAR")),(IF(ISBLANK('Ingest Template'!AA641),"", 'Ingest Template'!AA641&amp;"|Film Ops")))</f>
        <v/>
      </c>
      <c r="AA641" s="21"/>
      <c r="AB641" s="21" t="str">
        <f>'Ingest Template'!M641</f>
        <v/>
      </c>
      <c r="AC641" s="21" t="str">
        <f>'Ingest Template'!Y641</f>
        <v/>
      </c>
      <c r="AD641" s="21" t="str">
        <f>'Ingest Template'!C641</f>
        <v/>
      </c>
      <c r="AE641" s="21" t="str">
        <f>'Ingest Template'!Z641</f>
        <v/>
      </c>
      <c r="AF641" s="29"/>
      <c r="AG641" s="21" t="str">
        <f t="array" ref="AG641">IF('Ingest Template'!A641="Standard",(CONCATENATE(IF(ISBLANK('Ingest Template'!O641),"", 'Ingest Template'!O641&amp;"|DAR"),CHAR(10), IF(ISBLANK('Ingest Template'!P641),"", 'Ingest Template'!P641&amp;"|DAR"),CHAR(10), IF(ISBLANK('Ingest Template'!Q641),"", 'Ingest Template'!Q641&amp;"|DAR"))),(CONCATENATE(IF(ISBLANK('Ingest Template'!O641),"", 'Ingest Template'!O641&amp;"|Operations - Core Title"),CHAR(10), IF(ISBLANK('Ingest Template'!P641),"", 'Ingest Template'!P641&amp;"|Operations - Core Title"),CHAR(10), IF(ISBLANK('Ingest Template'!Q641),"", 'Ingest Template'!Q641&amp;"|Operations - Core Title"))))</f>
        <v>#|Operations - Core Title
#|Operations - Core Title
</v>
      </c>
      <c r="AH641" s="21"/>
      <c r="AI641" s="21"/>
      <c r="AJ641" s="53" t="str">
        <f>if('Ingest Template'!A641="Standard",'Ingest Template'!N641&amp; "|DAR|DAR|2021-01-01",'Ingest Template'!N641&amp; "|Operations - Core Title|Operations - Core Title")</f>
        <v>#N/A</v>
      </c>
      <c r="AK641" s="53" t="str">
        <f>if('Ingest Template'!A641="Standard",'Ingest Template'!R641&amp; "|2021-01-01",'Ingest Template'!R641)</f>
        <v>#N/A</v>
      </c>
      <c r="AL641" s="21"/>
      <c r="AM641" s="21"/>
    </row>
    <row r="642">
      <c r="A642" s="21"/>
      <c r="B642" s="21" t="str">
        <f>'Ingest Template'!B642&amp;IF('Ingest Template'!A642 = "Standard", " - DAR","")</f>
        <v/>
      </c>
      <c r="C642" s="26" t="s">
        <v>109</v>
      </c>
      <c r="D642" s="29" t="str">
        <f t="array" ref="D642">CONCATENATE(INDEX(DropDown!$H$2:$H$10,MATCH(1,COUNTIF('Ingest Template'!F642,"*"&amp;DropDown!$H$2:$H$10&amp;"*"),0)),CHAR(10),'Ingest Template'!G642)</f>
        <v>#N/A</v>
      </c>
      <c r="E642" s="21" t="str">
        <f>CONCATENATE('Ingest Template'!H642,CHAR(10),'Ingest Template'!I642,CHAR(10),'Ingest Template'!J642)</f>
        <v>
</v>
      </c>
      <c r="F642" s="26" t="str">
        <f>'Ingest Template'!H642</f>
        <v/>
      </c>
      <c r="G642" s="21"/>
      <c r="H642" s="29"/>
      <c r="I642" s="21"/>
      <c r="J642" s="29" t="str">
        <f t="array" ref="J642">iF('Ingest Template'!A642="Standard","Pristine Brand",INDEX(DropDown!$M$2:$M$392,MATCH('Ingest Template'!E642,DropDown!$J$2:$J$392,0)))</f>
        <v>#N/A</v>
      </c>
      <c r="K642" s="21" t="str">
        <f>iF('Ingest Template'!A642="Standard",'Ingest Template'!K642&amp;CHAR(10)&amp;'Ingest Template'!L642,"Competitive View")</f>
        <v>Competitive View</v>
      </c>
      <c r="L642" s="29" t="s">
        <v>146</v>
      </c>
      <c r="M642" s="37" t="str">
        <f>'Ingest Template'!D642</f>
        <v/>
      </c>
      <c r="N642" s="21"/>
      <c r="O642" s="21"/>
      <c r="P642" s="21"/>
      <c r="Q642" s="21"/>
      <c r="R642" s="21" t="str">
        <f>'Ingest Template'!E642</f>
        <v/>
      </c>
      <c r="S642" s="29" t="s">
        <v>153</v>
      </c>
      <c r="T642" s="21" t="str">
        <f>'Ingest Template'!T642</f>
        <v/>
      </c>
      <c r="U642" s="21" t="str">
        <f>'Ingest Template'!S642</f>
        <v/>
      </c>
      <c r="V642" s="21" t="str">
        <f>LOWER(SUBSTITUTE(SUBSTITUTE(SUBSTITUTE(SUBSTITUTE(SUBSTITUTE('Ingest Template'!U642,"https:",""),"www.",""),"/",""),"?hl=en",""),"instagram.com",""))</f>
        <v/>
      </c>
      <c r="W642" s="41" t="str">
        <f t="array" ref="W642">IF('Ingest Template'!V642="",(INDEX(DropDown!$L$2:$L$392,MATCH('Ingest Template'!E642,DropDown!$J$2:$J$392,0))&amp;"|"&amp;'Ingest Template'!B642),(INDEX(DropDown!$L$2:$L$392,MATCH('Ingest Template'!E642,DropDown!$J$2:$J$392,0))&amp;"|"&amp;'Ingest Template'!B642)&amp;CHAR(10)&amp;'Ingest Template'!V642)</f>
        <v>#N/A</v>
      </c>
      <c r="X642" s="41" t="str">
        <f>'Ingest Template'!W642</f>
        <v/>
      </c>
      <c r="Y642" s="21" t="str">
        <f>SUBSTITUTE(SUBSTITUTE(SUBSTITUTE('Ingest Template'!X642,"http:",""),"https:",""),"/","")</f>
        <v/>
      </c>
      <c r="Z642" s="21" t="str">
        <f t="array" ref="Z642">IF('Ingest Template'!A642="Standard",(IF(ISBLANK('Ingest Template'!AA642),"", 'Ingest Template'!AA642&amp;"|DAR")),(IF(ISBLANK('Ingest Template'!AA642),"", 'Ingest Template'!AA642&amp;"|Film Ops")))</f>
        <v/>
      </c>
      <c r="AA642" s="21"/>
      <c r="AB642" s="21" t="str">
        <f>'Ingest Template'!M642</f>
        <v/>
      </c>
      <c r="AC642" s="21" t="str">
        <f>'Ingest Template'!Y642</f>
        <v/>
      </c>
      <c r="AD642" s="21" t="str">
        <f>'Ingest Template'!C642</f>
        <v/>
      </c>
      <c r="AE642" s="21" t="str">
        <f>'Ingest Template'!Z642</f>
        <v/>
      </c>
      <c r="AF642" s="29"/>
      <c r="AG642" s="21" t="str">
        <f t="array" ref="AG642">IF('Ingest Template'!A642="Standard",(CONCATENATE(IF(ISBLANK('Ingest Template'!O642),"", 'Ingest Template'!O642&amp;"|DAR"),CHAR(10), IF(ISBLANK('Ingest Template'!P642),"", 'Ingest Template'!P642&amp;"|DAR"),CHAR(10), IF(ISBLANK('Ingest Template'!Q642),"", 'Ingest Template'!Q642&amp;"|DAR"))),(CONCATENATE(IF(ISBLANK('Ingest Template'!O642),"", 'Ingest Template'!O642&amp;"|Operations - Core Title"),CHAR(10), IF(ISBLANK('Ingest Template'!P642),"", 'Ingest Template'!P642&amp;"|Operations - Core Title"),CHAR(10), IF(ISBLANK('Ingest Template'!Q642),"", 'Ingest Template'!Q642&amp;"|Operations - Core Title"))))</f>
        <v>#|Operations - Core Title
#|Operations - Core Title
</v>
      </c>
      <c r="AH642" s="21"/>
      <c r="AI642" s="21"/>
      <c r="AJ642" s="53" t="str">
        <f>if('Ingest Template'!A642="Standard",'Ingest Template'!N642&amp; "|DAR|DAR|2021-01-01",'Ingest Template'!N642&amp; "|Operations - Core Title|Operations - Core Title")</f>
        <v>#N/A</v>
      </c>
      <c r="AK642" s="53" t="str">
        <f>if('Ingest Template'!A642="Standard",'Ingest Template'!R642&amp; "|2021-01-01",'Ingest Template'!R642)</f>
        <v>#N/A</v>
      </c>
      <c r="AL642" s="21"/>
      <c r="AM642" s="21"/>
    </row>
    <row r="643">
      <c r="A643" s="21"/>
      <c r="B643" s="21" t="str">
        <f>'Ingest Template'!B643&amp;IF('Ingest Template'!A643 = "Standard", " - DAR","")</f>
        <v/>
      </c>
      <c r="C643" s="26" t="s">
        <v>109</v>
      </c>
      <c r="D643" s="29" t="str">
        <f t="array" ref="D643">CONCATENATE(INDEX(DropDown!$H$2:$H$10,MATCH(1,COUNTIF('Ingest Template'!F643,"*"&amp;DropDown!$H$2:$H$10&amp;"*"),0)),CHAR(10),'Ingest Template'!G643)</f>
        <v>#N/A</v>
      </c>
      <c r="E643" s="21" t="str">
        <f>CONCATENATE('Ingest Template'!H643,CHAR(10),'Ingest Template'!I643,CHAR(10),'Ingest Template'!J643)</f>
        <v>
</v>
      </c>
      <c r="F643" s="26" t="str">
        <f>'Ingest Template'!H643</f>
        <v/>
      </c>
      <c r="G643" s="21"/>
      <c r="H643" s="29"/>
      <c r="I643" s="21"/>
      <c r="J643" s="29" t="str">
        <f t="array" ref="J643">iF('Ingest Template'!A643="Standard","Pristine Brand",INDEX(DropDown!$M$2:$M$392,MATCH('Ingest Template'!E643,DropDown!$J$2:$J$392,0)))</f>
        <v>#N/A</v>
      </c>
      <c r="K643" s="21" t="str">
        <f>iF('Ingest Template'!A643="Standard",'Ingest Template'!K643&amp;CHAR(10)&amp;'Ingest Template'!L643,"Competitive View")</f>
        <v>Competitive View</v>
      </c>
      <c r="L643" s="29" t="s">
        <v>146</v>
      </c>
      <c r="M643" s="37" t="str">
        <f>'Ingest Template'!D643</f>
        <v/>
      </c>
      <c r="N643" s="21"/>
      <c r="O643" s="21"/>
      <c r="P643" s="21"/>
      <c r="Q643" s="21"/>
      <c r="R643" s="21" t="str">
        <f>'Ingest Template'!E643</f>
        <v/>
      </c>
      <c r="S643" s="29" t="s">
        <v>153</v>
      </c>
      <c r="T643" s="21" t="str">
        <f>'Ingest Template'!T643</f>
        <v/>
      </c>
      <c r="U643" s="21" t="str">
        <f>'Ingest Template'!S643</f>
        <v/>
      </c>
      <c r="V643" s="21" t="str">
        <f>LOWER(SUBSTITUTE(SUBSTITUTE(SUBSTITUTE(SUBSTITUTE(SUBSTITUTE('Ingest Template'!U643,"https:",""),"www.",""),"/",""),"?hl=en",""),"instagram.com",""))</f>
        <v/>
      </c>
      <c r="W643" s="41" t="str">
        <f t="array" ref="W643">IF('Ingest Template'!V643="",(INDEX(DropDown!$L$2:$L$392,MATCH('Ingest Template'!E643,DropDown!$J$2:$J$392,0))&amp;"|"&amp;'Ingest Template'!B643),(INDEX(DropDown!$L$2:$L$392,MATCH('Ingest Template'!E643,DropDown!$J$2:$J$392,0))&amp;"|"&amp;'Ingest Template'!B643)&amp;CHAR(10)&amp;'Ingest Template'!V643)</f>
        <v>#N/A</v>
      </c>
      <c r="X643" s="41" t="str">
        <f>'Ingest Template'!W643</f>
        <v/>
      </c>
      <c r="Y643" s="21" t="str">
        <f>SUBSTITUTE(SUBSTITUTE(SUBSTITUTE('Ingest Template'!X643,"http:",""),"https:",""),"/","")</f>
        <v/>
      </c>
      <c r="Z643" s="21" t="str">
        <f t="array" ref="Z643">IF('Ingest Template'!A643="Standard",(IF(ISBLANK('Ingest Template'!AA643),"", 'Ingest Template'!AA643&amp;"|DAR")),(IF(ISBLANK('Ingest Template'!AA643),"", 'Ingest Template'!AA643&amp;"|Film Ops")))</f>
        <v/>
      </c>
      <c r="AA643" s="21"/>
      <c r="AB643" s="21" t="str">
        <f>'Ingest Template'!M643</f>
        <v/>
      </c>
      <c r="AC643" s="21" t="str">
        <f>'Ingest Template'!Y643</f>
        <v/>
      </c>
      <c r="AD643" s="21" t="str">
        <f>'Ingest Template'!C643</f>
        <v/>
      </c>
      <c r="AE643" s="21" t="str">
        <f>'Ingest Template'!Z643</f>
        <v/>
      </c>
      <c r="AF643" s="29"/>
      <c r="AG643" s="21" t="str">
        <f t="array" ref="AG643">IF('Ingest Template'!A643="Standard",(CONCATENATE(IF(ISBLANK('Ingest Template'!O643),"", 'Ingest Template'!O643&amp;"|DAR"),CHAR(10), IF(ISBLANK('Ingest Template'!P643),"", 'Ingest Template'!P643&amp;"|DAR"),CHAR(10), IF(ISBLANK('Ingest Template'!Q643),"", 'Ingest Template'!Q643&amp;"|DAR"))),(CONCATENATE(IF(ISBLANK('Ingest Template'!O643),"", 'Ingest Template'!O643&amp;"|Operations - Core Title"),CHAR(10), IF(ISBLANK('Ingest Template'!P643),"", 'Ingest Template'!P643&amp;"|Operations - Core Title"),CHAR(10), IF(ISBLANK('Ingest Template'!Q643),"", 'Ingest Template'!Q643&amp;"|Operations - Core Title"))))</f>
        <v>#|Operations - Core Title
#|Operations - Core Title
</v>
      </c>
      <c r="AH643" s="21"/>
      <c r="AI643" s="21"/>
      <c r="AJ643" s="53" t="str">
        <f>if('Ingest Template'!A643="Standard",'Ingest Template'!N643&amp; "|DAR|DAR|2021-01-01",'Ingest Template'!N643&amp; "|Operations - Core Title|Operations - Core Title")</f>
        <v>#N/A</v>
      </c>
      <c r="AK643" s="53" t="str">
        <f>if('Ingest Template'!A643="Standard",'Ingest Template'!R643&amp; "|2021-01-01",'Ingest Template'!R643)</f>
        <v>#N/A</v>
      </c>
      <c r="AL643" s="21"/>
      <c r="AM643" s="21"/>
    </row>
    <row r="644">
      <c r="A644" s="21"/>
      <c r="B644" s="21" t="str">
        <f>'Ingest Template'!B644&amp;IF('Ingest Template'!A644 = "Standard", " - DAR","")</f>
        <v/>
      </c>
      <c r="C644" s="26" t="s">
        <v>109</v>
      </c>
      <c r="D644" s="29" t="str">
        <f t="array" ref="D644">CONCATENATE(INDEX(DropDown!$H$2:$H$10,MATCH(1,COUNTIF('Ingest Template'!F644,"*"&amp;DropDown!$H$2:$H$10&amp;"*"),0)),CHAR(10),'Ingest Template'!G644)</f>
        <v>#N/A</v>
      </c>
      <c r="E644" s="21" t="str">
        <f>CONCATENATE('Ingest Template'!H644,CHAR(10),'Ingest Template'!I644,CHAR(10),'Ingest Template'!J644)</f>
        <v>
</v>
      </c>
      <c r="F644" s="26" t="str">
        <f>'Ingest Template'!H644</f>
        <v/>
      </c>
      <c r="G644" s="21"/>
      <c r="H644" s="29"/>
      <c r="I644" s="21"/>
      <c r="J644" s="29" t="str">
        <f t="array" ref="J644">iF('Ingest Template'!A644="Standard","Pristine Brand",INDEX(DropDown!$M$2:$M$392,MATCH('Ingest Template'!E644,DropDown!$J$2:$J$392,0)))</f>
        <v>#N/A</v>
      </c>
      <c r="K644" s="21" t="str">
        <f>iF('Ingest Template'!A644="Standard",'Ingest Template'!K644&amp;CHAR(10)&amp;'Ingest Template'!L644,"Competitive View")</f>
        <v>Competitive View</v>
      </c>
      <c r="L644" s="29" t="s">
        <v>146</v>
      </c>
      <c r="M644" s="37" t="str">
        <f>'Ingest Template'!D644</f>
        <v/>
      </c>
      <c r="N644" s="21"/>
      <c r="O644" s="21"/>
      <c r="P644" s="21"/>
      <c r="Q644" s="21"/>
      <c r="R644" s="21" t="str">
        <f>'Ingest Template'!E644</f>
        <v/>
      </c>
      <c r="S644" s="29" t="s">
        <v>153</v>
      </c>
      <c r="T644" s="21" t="str">
        <f>'Ingest Template'!T644</f>
        <v/>
      </c>
      <c r="U644" s="21" t="str">
        <f>'Ingest Template'!S644</f>
        <v/>
      </c>
      <c r="V644" s="21" t="str">
        <f>LOWER(SUBSTITUTE(SUBSTITUTE(SUBSTITUTE(SUBSTITUTE(SUBSTITUTE('Ingest Template'!U644,"https:",""),"www.",""),"/",""),"?hl=en",""),"instagram.com",""))</f>
        <v/>
      </c>
      <c r="W644" s="41" t="str">
        <f t="array" ref="W644">IF('Ingest Template'!V644="",(INDEX(DropDown!$L$2:$L$392,MATCH('Ingest Template'!E644,DropDown!$J$2:$J$392,0))&amp;"|"&amp;'Ingest Template'!B644),(INDEX(DropDown!$L$2:$L$392,MATCH('Ingest Template'!E644,DropDown!$J$2:$J$392,0))&amp;"|"&amp;'Ingest Template'!B644)&amp;CHAR(10)&amp;'Ingest Template'!V644)</f>
        <v>#N/A</v>
      </c>
      <c r="X644" s="41" t="str">
        <f>'Ingest Template'!W644</f>
        <v/>
      </c>
      <c r="Y644" s="21" t="str">
        <f>SUBSTITUTE(SUBSTITUTE(SUBSTITUTE('Ingest Template'!X644,"http:",""),"https:",""),"/","")</f>
        <v/>
      </c>
      <c r="Z644" s="21" t="str">
        <f t="array" ref="Z644">IF('Ingest Template'!A644="Standard",(IF(ISBLANK('Ingest Template'!AA644),"", 'Ingest Template'!AA644&amp;"|DAR")),(IF(ISBLANK('Ingest Template'!AA644),"", 'Ingest Template'!AA644&amp;"|Film Ops")))</f>
        <v/>
      </c>
      <c r="AA644" s="21"/>
      <c r="AB644" s="21" t="str">
        <f>'Ingest Template'!M644</f>
        <v/>
      </c>
      <c r="AC644" s="21" t="str">
        <f>'Ingest Template'!Y644</f>
        <v/>
      </c>
      <c r="AD644" s="21" t="str">
        <f>'Ingest Template'!C644</f>
        <v/>
      </c>
      <c r="AE644" s="21" t="str">
        <f>'Ingest Template'!Z644</f>
        <v/>
      </c>
      <c r="AF644" s="29"/>
      <c r="AG644" s="21" t="str">
        <f t="array" ref="AG644">IF('Ingest Template'!A644="Standard",(CONCATENATE(IF(ISBLANK('Ingest Template'!O644),"", 'Ingest Template'!O644&amp;"|DAR"),CHAR(10), IF(ISBLANK('Ingest Template'!P644),"", 'Ingest Template'!P644&amp;"|DAR"),CHAR(10), IF(ISBLANK('Ingest Template'!Q644),"", 'Ingest Template'!Q644&amp;"|DAR"))),(CONCATENATE(IF(ISBLANK('Ingest Template'!O644),"", 'Ingest Template'!O644&amp;"|Operations - Core Title"),CHAR(10), IF(ISBLANK('Ingest Template'!P644),"", 'Ingest Template'!P644&amp;"|Operations - Core Title"),CHAR(10), IF(ISBLANK('Ingest Template'!Q644),"", 'Ingest Template'!Q644&amp;"|Operations - Core Title"))))</f>
        <v>#|Operations - Core Title
#|Operations - Core Title
</v>
      </c>
      <c r="AH644" s="21"/>
      <c r="AI644" s="21"/>
      <c r="AJ644" s="53" t="str">
        <f>if('Ingest Template'!A644="Standard",'Ingest Template'!N644&amp; "|DAR|DAR|2021-01-01",'Ingest Template'!N644&amp; "|Operations - Core Title|Operations - Core Title")</f>
        <v>#N/A</v>
      </c>
      <c r="AK644" s="53" t="str">
        <f>if('Ingest Template'!A644="Standard",'Ingest Template'!R644&amp; "|2021-01-01",'Ingest Template'!R644)</f>
        <v>#N/A</v>
      </c>
      <c r="AL644" s="21"/>
      <c r="AM644" s="21"/>
    </row>
    <row r="645">
      <c r="A645" s="21"/>
      <c r="B645" s="21" t="str">
        <f>'Ingest Template'!B645&amp;IF('Ingest Template'!A645 = "Standard", " - DAR","")</f>
        <v/>
      </c>
      <c r="C645" s="26" t="s">
        <v>109</v>
      </c>
      <c r="D645" s="29" t="str">
        <f t="array" ref="D645">CONCATENATE(INDEX(DropDown!$H$2:$H$10,MATCH(1,COUNTIF('Ingest Template'!F645,"*"&amp;DropDown!$H$2:$H$10&amp;"*"),0)),CHAR(10),'Ingest Template'!G645)</f>
        <v>#N/A</v>
      </c>
      <c r="E645" s="21" t="str">
        <f>CONCATENATE('Ingest Template'!H645,CHAR(10),'Ingest Template'!I645,CHAR(10),'Ingest Template'!J645)</f>
        <v>
</v>
      </c>
      <c r="F645" s="26" t="str">
        <f>'Ingest Template'!H645</f>
        <v/>
      </c>
      <c r="G645" s="21"/>
      <c r="H645" s="29"/>
      <c r="I645" s="21"/>
      <c r="J645" s="29" t="str">
        <f t="array" ref="J645">iF('Ingest Template'!A645="Standard","Pristine Brand",INDEX(DropDown!$M$2:$M$392,MATCH('Ingest Template'!E645,DropDown!$J$2:$J$392,0)))</f>
        <v>#N/A</v>
      </c>
      <c r="K645" s="21" t="str">
        <f>iF('Ingest Template'!A645="Standard",'Ingest Template'!K645&amp;CHAR(10)&amp;'Ingest Template'!L645,"Competitive View")</f>
        <v>Competitive View</v>
      </c>
      <c r="L645" s="29" t="s">
        <v>146</v>
      </c>
      <c r="M645" s="37" t="str">
        <f>'Ingest Template'!D645</f>
        <v/>
      </c>
      <c r="N645" s="21"/>
      <c r="O645" s="21"/>
      <c r="P645" s="21"/>
      <c r="Q645" s="21"/>
      <c r="R645" s="21" t="str">
        <f>'Ingest Template'!E645</f>
        <v/>
      </c>
      <c r="S645" s="29" t="s">
        <v>153</v>
      </c>
      <c r="T645" s="21" t="str">
        <f>'Ingest Template'!T645</f>
        <v/>
      </c>
      <c r="U645" s="21" t="str">
        <f>'Ingest Template'!S645</f>
        <v/>
      </c>
      <c r="V645" s="21" t="str">
        <f>LOWER(SUBSTITUTE(SUBSTITUTE(SUBSTITUTE(SUBSTITUTE(SUBSTITUTE('Ingest Template'!U645,"https:",""),"www.",""),"/",""),"?hl=en",""),"instagram.com",""))</f>
        <v/>
      </c>
      <c r="W645" s="41" t="str">
        <f t="array" ref="W645">IF('Ingest Template'!V645="",(INDEX(DropDown!$L$2:$L$392,MATCH('Ingest Template'!E645,DropDown!$J$2:$J$392,0))&amp;"|"&amp;'Ingest Template'!B645),(INDEX(DropDown!$L$2:$L$392,MATCH('Ingest Template'!E645,DropDown!$J$2:$J$392,0))&amp;"|"&amp;'Ingest Template'!B645)&amp;CHAR(10)&amp;'Ingest Template'!V645)</f>
        <v>#N/A</v>
      </c>
      <c r="X645" s="41" t="str">
        <f>'Ingest Template'!W645</f>
        <v/>
      </c>
      <c r="Y645" s="21" t="str">
        <f>SUBSTITUTE(SUBSTITUTE(SUBSTITUTE('Ingest Template'!X645,"http:",""),"https:",""),"/","")</f>
        <v/>
      </c>
      <c r="Z645" s="21" t="str">
        <f t="array" ref="Z645">IF('Ingest Template'!A645="Standard",(IF(ISBLANK('Ingest Template'!AA645),"", 'Ingest Template'!AA645&amp;"|DAR")),(IF(ISBLANK('Ingest Template'!AA645),"", 'Ingest Template'!AA645&amp;"|Film Ops")))</f>
        <v/>
      </c>
      <c r="AA645" s="21"/>
      <c r="AB645" s="21" t="str">
        <f>'Ingest Template'!M645</f>
        <v/>
      </c>
      <c r="AC645" s="21" t="str">
        <f>'Ingest Template'!Y645</f>
        <v/>
      </c>
      <c r="AD645" s="21" t="str">
        <f>'Ingest Template'!C645</f>
        <v/>
      </c>
      <c r="AE645" s="21" t="str">
        <f>'Ingest Template'!Z645</f>
        <v/>
      </c>
      <c r="AF645" s="29"/>
      <c r="AG645" s="21" t="str">
        <f t="array" ref="AG645">IF('Ingest Template'!A645="Standard",(CONCATENATE(IF(ISBLANK('Ingest Template'!O645),"", 'Ingest Template'!O645&amp;"|DAR"),CHAR(10), IF(ISBLANK('Ingest Template'!P645),"", 'Ingest Template'!P645&amp;"|DAR"),CHAR(10), IF(ISBLANK('Ingest Template'!Q645),"", 'Ingest Template'!Q645&amp;"|DAR"))),(CONCATENATE(IF(ISBLANK('Ingest Template'!O645),"", 'Ingest Template'!O645&amp;"|Operations - Core Title"),CHAR(10), IF(ISBLANK('Ingest Template'!P645),"", 'Ingest Template'!P645&amp;"|Operations - Core Title"),CHAR(10), IF(ISBLANK('Ingest Template'!Q645),"", 'Ingest Template'!Q645&amp;"|Operations - Core Title"))))</f>
        <v>#|Operations - Core Title
#|Operations - Core Title
</v>
      </c>
      <c r="AH645" s="21"/>
      <c r="AI645" s="21"/>
      <c r="AJ645" s="53" t="str">
        <f>if('Ingest Template'!A645="Standard",'Ingest Template'!N645&amp; "|DAR|DAR|2021-01-01",'Ingest Template'!N645&amp; "|Operations - Core Title|Operations - Core Title")</f>
        <v>#N/A</v>
      </c>
      <c r="AK645" s="53" t="str">
        <f>if('Ingest Template'!A645="Standard",'Ingest Template'!R645&amp; "|2021-01-01",'Ingest Template'!R645)</f>
        <v>#N/A</v>
      </c>
      <c r="AL645" s="21"/>
      <c r="AM645" s="21"/>
    </row>
    <row r="646">
      <c r="A646" s="21"/>
      <c r="B646" s="21" t="str">
        <f>'Ingest Template'!B646&amp;IF('Ingest Template'!A646 = "Standard", " - DAR","")</f>
        <v/>
      </c>
      <c r="C646" s="26" t="s">
        <v>109</v>
      </c>
      <c r="D646" s="29" t="str">
        <f t="array" ref="D646">CONCATENATE(INDEX(DropDown!$H$2:$H$10,MATCH(1,COUNTIF('Ingest Template'!F646,"*"&amp;DropDown!$H$2:$H$10&amp;"*"),0)),CHAR(10),'Ingest Template'!G646)</f>
        <v>#N/A</v>
      </c>
      <c r="E646" s="21" t="str">
        <f>CONCATENATE('Ingest Template'!H646,CHAR(10),'Ingest Template'!I646,CHAR(10),'Ingest Template'!J646)</f>
        <v>
</v>
      </c>
      <c r="F646" s="26" t="str">
        <f>'Ingest Template'!H646</f>
        <v/>
      </c>
      <c r="G646" s="21"/>
      <c r="H646" s="29"/>
      <c r="I646" s="21"/>
      <c r="J646" s="29" t="str">
        <f t="array" ref="J646">iF('Ingest Template'!A646="Standard","Pristine Brand",INDEX(DropDown!$M$2:$M$392,MATCH('Ingest Template'!E646,DropDown!$J$2:$J$392,0)))</f>
        <v>#N/A</v>
      </c>
      <c r="K646" s="21" t="str">
        <f>iF('Ingest Template'!A646="Standard",'Ingest Template'!K646&amp;CHAR(10)&amp;'Ingest Template'!L646,"Competitive View")</f>
        <v>Competitive View</v>
      </c>
      <c r="L646" s="29" t="s">
        <v>146</v>
      </c>
      <c r="M646" s="37" t="str">
        <f>'Ingest Template'!D646</f>
        <v/>
      </c>
      <c r="N646" s="21"/>
      <c r="O646" s="21"/>
      <c r="P646" s="21"/>
      <c r="Q646" s="21"/>
      <c r="R646" s="21" t="str">
        <f>'Ingest Template'!E646</f>
        <v/>
      </c>
      <c r="S646" s="29" t="s">
        <v>153</v>
      </c>
      <c r="T646" s="21" t="str">
        <f>'Ingest Template'!T646</f>
        <v/>
      </c>
      <c r="U646" s="21" t="str">
        <f>'Ingest Template'!S646</f>
        <v/>
      </c>
      <c r="V646" s="21" t="str">
        <f>LOWER(SUBSTITUTE(SUBSTITUTE(SUBSTITUTE(SUBSTITUTE(SUBSTITUTE('Ingest Template'!U646,"https:",""),"www.",""),"/",""),"?hl=en",""),"instagram.com",""))</f>
        <v/>
      </c>
      <c r="W646" s="41" t="str">
        <f t="array" ref="W646">IF('Ingest Template'!V646="",(INDEX(DropDown!$L$2:$L$392,MATCH('Ingest Template'!E646,DropDown!$J$2:$J$392,0))&amp;"|"&amp;'Ingest Template'!B646),(INDEX(DropDown!$L$2:$L$392,MATCH('Ingest Template'!E646,DropDown!$J$2:$J$392,0))&amp;"|"&amp;'Ingest Template'!B646)&amp;CHAR(10)&amp;'Ingest Template'!V646)</f>
        <v>#N/A</v>
      </c>
      <c r="X646" s="41" t="str">
        <f>'Ingest Template'!W646</f>
        <v/>
      </c>
      <c r="Y646" s="21" t="str">
        <f>SUBSTITUTE(SUBSTITUTE(SUBSTITUTE('Ingest Template'!X646,"http:",""),"https:",""),"/","")</f>
        <v/>
      </c>
      <c r="Z646" s="21" t="str">
        <f t="array" ref="Z646">IF('Ingest Template'!A646="Standard",(IF(ISBLANK('Ingest Template'!AA646),"", 'Ingest Template'!AA646&amp;"|DAR")),(IF(ISBLANK('Ingest Template'!AA646),"", 'Ingest Template'!AA646&amp;"|Film Ops")))</f>
        <v/>
      </c>
      <c r="AA646" s="21"/>
      <c r="AB646" s="21" t="str">
        <f>'Ingest Template'!M646</f>
        <v/>
      </c>
      <c r="AC646" s="21" t="str">
        <f>'Ingest Template'!Y646</f>
        <v/>
      </c>
      <c r="AD646" s="21" t="str">
        <f>'Ingest Template'!C646</f>
        <v/>
      </c>
      <c r="AE646" s="21" t="str">
        <f>'Ingest Template'!Z646</f>
        <v/>
      </c>
      <c r="AF646" s="29"/>
      <c r="AG646" s="21" t="str">
        <f t="array" ref="AG646">IF('Ingest Template'!A646="Standard",(CONCATENATE(IF(ISBLANK('Ingest Template'!O646),"", 'Ingest Template'!O646&amp;"|DAR"),CHAR(10), IF(ISBLANK('Ingest Template'!P646),"", 'Ingest Template'!P646&amp;"|DAR"),CHAR(10), IF(ISBLANK('Ingest Template'!Q646),"", 'Ingest Template'!Q646&amp;"|DAR"))),(CONCATENATE(IF(ISBLANK('Ingest Template'!O646),"", 'Ingest Template'!O646&amp;"|Operations - Core Title"),CHAR(10), IF(ISBLANK('Ingest Template'!P646),"", 'Ingest Template'!P646&amp;"|Operations - Core Title"),CHAR(10), IF(ISBLANK('Ingest Template'!Q646),"", 'Ingest Template'!Q646&amp;"|Operations - Core Title"))))</f>
        <v>#|Operations - Core Title
#|Operations - Core Title
</v>
      </c>
      <c r="AH646" s="21"/>
      <c r="AI646" s="21"/>
      <c r="AJ646" s="53" t="str">
        <f>if('Ingest Template'!A646="Standard",'Ingest Template'!N646&amp; "|DAR|DAR|2021-01-01",'Ingest Template'!N646&amp; "|Operations - Core Title|Operations - Core Title")</f>
        <v>#N/A</v>
      </c>
      <c r="AK646" s="53" t="str">
        <f>if('Ingest Template'!A646="Standard",'Ingest Template'!R646&amp; "|2021-01-01",'Ingest Template'!R646)</f>
        <v>#N/A</v>
      </c>
      <c r="AL646" s="21"/>
      <c r="AM646" s="21"/>
    </row>
    <row r="647">
      <c r="A647" s="21"/>
      <c r="B647" s="21" t="str">
        <f>'Ingest Template'!B647&amp;IF('Ingest Template'!A647 = "Standard", " - DAR","")</f>
        <v/>
      </c>
      <c r="C647" s="26" t="s">
        <v>109</v>
      </c>
      <c r="D647" s="29" t="str">
        <f t="array" ref="D647">CONCATENATE(INDEX(DropDown!$H$2:$H$10,MATCH(1,COUNTIF('Ingest Template'!F647,"*"&amp;DropDown!$H$2:$H$10&amp;"*"),0)),CHAR(10),'Ingest Template'!G647)</f>
        <v>#N/A</v>
      </c>
      <c r="E647" s="21" t="str">
        <f>CONCATENATE('Ingest Template'!H647,CHAR(10),'Ingest Template'!I647,CHAR(10),'Ingest Template'!J647)</f>
        <v>
</v>
      </c>
      <c r="F647" s="26" t="str">
        <f>'Ingest Template'!H647</f>
        <v/>
      </c>
      <c r="G647" s="21"/>
      <c r="H647" s="29"/>
      <c r="I647" s="21"/>
      <c r="J647" s="29" t="str">
        <f t="array" ref="J647">iF('Ingest Template'!A647="Standard","Pristine Brand",INDEX(DropDown!$M$2:$M$392,MATCH('Ingest Template'!E647,DropDown!$J$2:$J$392,0)))</f>
        <v>#N/A</v>
      </c>
      <c r="K647" s="21" t="str">
        <f>iF('Ingest Template'!A647="Standard",'Ingest Template'!K647&amp;CHAR(10)&amp;'Ingest Template'!L647,"Competitive View")</f>
        <v>Competitive View</v>
      </c>
      <c r="L647" s="29" t="s">
        <v>146</v>
      </c>
      <c r="M647" s="37" t="str">
        <f>'Ingest Template'!D647</f>
        <v/>
      </c>
      <c r="N647" s="21"/>
      <c r="O647" s="21"/>
      <c r="P647" s="21"/>
      <c r="Q647" s="21"/>
      <c r="R647" s="21" t="str">
        <f>'Ingest Template'!E647</f>
        <v/>
      </c>
      <c r="S647" s="29" t="s">
        <v>153</v>
      </c>
      <c r="T647" s="21" t="str">
        <f>'Ingest Template'!T647</f>
        <v/>
      </c>
      <c r="U647" s="21" t="str">
        <f>'Ingest Template'!S647</f>
        <v/>
      </c>
      <c r="V647" s="21" t="str">
        <f>LOWER(SUBSTITUTE(SUBSTITUTE(SUBSTITUTE(SUBSTITUTE(SUBSTITUTE('Ingest Template'!U647,"https:",""),"www.",""),"/",""),"?hl=en",""),"instagram.com",""))</f>
        <v/>
      </c>
      <c r="W647" s="41" t="str">
        <f t="array" ref="W647">IF('Ingest Template'!V647="",(INDEX(DropDown!$L$2:$L$392,MATCH('Ingest Template'!E647,DropDown!$J$2:$J$392,0))&amp;"|"&amp;'Ingest Template'!B647),(INDEX(DropDown!$L$2:$L$392,MATCH('Ingest Template'!E647,DropDown!$J$2:$J$392,0))&amp;"|"&amp;'Ingest Template'!B647)&amp;CHAR(10)&amp;'Ingest Template'!V647)</f>
        <v>#N/A</v>
      </c>
      <c r="X647" s="41" t="str">
        <f>'Ingest Template'!W647</f>
        <v/>
      </c>
      <c r="Y647" s="21" t="str">
        <f>SUBSTITUTE(SUBSTITUTE(SUBSTITUTE('Ingest Template'!X647,"http:",""),"https:",""),"/","")</f>
        <v/>
      </c>
      <c r="Z647" s="21" t="str">
        <f t="array" ref="Z647">IF('Ingest Template'!A647="Standard",(IF(ISBLANK('Ingest Template'!AA647),"", 'Ingest Template'!AA647&amp;"|DAR")),(IF(ISBLANK('Ingest Template'!AA647),"", 'Ingest Template'!AA647&amp;"|Film Ops")))</f>
        <v/>
      </c>
      <c r="AA647" s="21"/>
      <c r="AB647" s="21" t="str">
        <f>'Ingest Template'!M647</f>
        <v/>
      </c>
      <c r="AC647" s="21" t="str">
        <f>'Ingest Template'!Y647</f>
        <v/>
      </c>
      <c r="AD647" s="21" t="str">
        <f>'Ingest Template'!C647</f>
        <v/>
      </c>
      <c r="AE647" s="21" t="str">
        <f>'Ingest Template'!Z647</f>
        <v/>
      </c>
      <c r="AF647" s="29"/>
      <c r="AG647" s="21" t="str">
        <f t="array" ref="AG647">IF('Ingest Template'!A647="Standard",(CONCATENATE(IF(ISBLANK('Ingest Template'!O647),"", 'Ingest Template'!O647&amp;"|DAR"),CHAR(10), IF(ISBLANK('Ingest Template'!P647),"", 'Ingest Template'!P647&amp;"|DAR"),CHAR(10), IF(ISBLANK('Ingest Template'!Q647),"", 'Ingest Template'!Q647&amp;"|DAR"))),(CONCATENATE(IF(ISBLANK('Ingest Template'!O647),"", 'Ingest Template'!O647&amp;"|Operations - Core Title"),CHAR(10), IF(ISBLANK('Ingest Template'!P647),"", 'Ingest Template'!P647&amp;"|Operations - Core Title"),CHAR(10), IF(ISBLANK('Ingest Template'!Q647),"", 'Ingest Template'!Q647&amp;"|Operations - Core Title"))))</f>
        <v>#|Operations - Core Title
#|Operations - Core Title
</v>
      </c>
      <c r="AH647" s="21"/>
      <c r="AI647" s="21"/>
      <c r="AJ647" s="53" t="str">
        <f>if('Ingest Template'!A647="Standard",'Ingest Template'!N647&amp; "|DAR|DAR|2021-01-01",'Ingest Template'!N647&amp; "|Operations - Core Title|Operations - Core Title")</f>
        <v>#N/A</v>
      </c>
      <c r="AK647" s="53" t="str">
        <f>if('Ingest Template'!A647="Standard",'Ingest Template'!R647&amp; "|2021-01-01",'Ingest Template'!R647)</f>
        <v>#N/A</v>
      </c>
      <c r="AL647" s="21"/>
      <c r="AM647" s="21"/>
    </row>
    <row r="648">
      <c r="A648" s="21"/>
      <c r="B648" s="21" t="str">
        <f>'Ingest Template'!B648&amp;IF('Ingest Template'!A648 = "Standard", " - DAR","")</f>
        <v/>
      </c>
      <c r="C648" s="26" t="s">
        <v>109</v>
      </c>
      <c r="D648" s="29" t="str">
        <f t="array" ref="D648">CONCATENATE(INDEX(DropDown!$H$2:$H$10,MATCH(1,COUNTIF('Ingest Template'!F648,"*"&amp;DropDown!$H$2:$H$10&amp;"*"),0)),CHAR(10),'Ingest Template'!G648)</f>
        <v>#N/A</v>
      </c>
      <c r="E648" s="21" t="str">
        <f>CONCATENATE('Ingest Template'!H648,CHAR(10),'Ingest Template'!I648,CHAR(10),'Ingest Template'!J648)</f>
        <v>
</v>
      </c>
      <c r="F648" s="26" t="str">
        <f>'Ingest Template'!H648</f>
        <v/>
      </c>
      <c r="G648" s="21"/>
      <c r="H648" s="29"/>
      <c r="I648" s="21"/>
      <c r="J648" s="29" t="str">
        <f t="array" ref="J648">iF('Ingest Template'!A648="Standard","Pristine Brand",INDEX(DropDown!$M$2:$M$392,MATCH('Ingest Template'!E648,DropDown!$J$2:$J$392,0)))</f>
        <v>#N/A</v>
      </c>
      <c r="K648" s="21" t="str">
        <f>iF('Ingest Template'!A648="Standard",'Ingest Template'!K648&amp;CHAR(10)&amp;'Ingest Template'!L648,"Competitive View")</f>
        <v>Competitive View</v>
      </c>
      <c r="L648" s="29" t="s">
        <v>146</v>
      </c>
      <c r="M648" s="37" t="str">
        <f>'Ingest Template'!D648</f>
        <v/>
      </c>
      <c r="N648" s="21"/>
      <c r="O648" s="21"/>
      <c r="P648" s="21"/>
      <c r="Q648" s="21"/>
      <c r="R648" s="21" t="str">
        <f>'Ingest Template'!E648</f>
        <v/>
      </c>
      <c r="S648" s="29" t="s">
        <v>153</v>
      </c>
      <c r="T648" s="21" t="str">
        <f>'Ingest Template'!T648</f>
        <v/>
      </c>
      <c r="U648" s="21" t="str">
        <f>'Ingest Template'!S648</f>
        <v/>
      </c>
      <c r="V648" s="21" t="str">
        <f>LOWER(SUBSTITUTE(SUBSTITUTE(SUBSTITUTE(SUBSTITUTE(SUBSTITUTE('Ingest Template'!U648,"https:",""),"www.",""),"/",""),"?hl=en",""),"instagram.com",""))</f>
        <v/>
      </c>
      <c r="W648" s="41" t="str">
        <f t="array" ref="W648">IF('Ingest Template'!V648="",(INDEX(DropDown!$L$2:$L$392,MATCH('Ingest Template'!E648,DropDown!$J$2:$J$392,0))&amp;"|"&amp;'Ingest Template'!B648),(INDEX(DropDown!$L$2:$L$392,MATCH('Ingest Template'!E648,DropDown!$J$2:$J$392,0))&amp;"|"&amp;'Ingest Template'!B648)&amp;CHAR(10)&amp;'Ingest Template'!V648)</f>
        <v>#N/A</v>
      </c>
      <c r="X648" s="41" t="str">
        <f>'Ingest Template'!W648</f>
        <v/>
      </c>
      <c r="Y648" s="21" t="str">
        <f>SUBSTITUTE(SUBSTITUTE(SUBSTITUTE('Ingest Template'!X648,"http:",""),"https:",""),"/","")</f>
        <v/>
      </c>
      <c r="Z648" s="21" t="str">
        <f t="array" ref="Z648">IF('Ingest Template'!A648="Standard",(IF(ISBLANK('Ingest Template'!AA648),"", 'Ingest Template'!AA648&amp;"|DAR")),(IF(ISBLANK('Ingest Template'!AA648),"", 'Ingest Template'!AA648&amp;"|Film Ops")))</f>
        <v/>
      </c>
      <c r="AA648" s="21"/>
      <c r="AB648" s="21" t="str">
        <f>'Ingest Template'!M648</f>
        <v/>
      </c>
      <c r="AC648" s="21" t="str">
        <f>'Ingest Template'!Y648</f>
        <v/>
      </c>
      <c r="AD648" s="21" t="str">
        <f>'Ingest Template'!C648</f>
        <v/>
      </c>
      <c r="AE648" s="21" t="str">
        <f>'Ingest Template'!Z648</f>
        <v/>
      </c>
      <c r="AF648" s="29"/>
      <c r="AG648" s="21" t="str">
        <f t="array" ref="AG648">IF('Ingest Template'!A648="Standard",(CONCATENATE(IF(ISBLANK('Ingest Template'!O648),"", 'Ingest Template'!O648&amp;"|DAR"),CHAR(10), IF(ISBLANK('Ingest Template'!P648),"", 'Ingest Template'!P648&amp;"|DAR"),CHAR(10), IF(ISBLANK('Ingest Template'!Q648),"", 'Ingest Template'!Q648&amp;"|DAR"))),(CONCATENATE(IF(ISBLANK('Ingest Template'!O648),"", 'Ingest Template'!O648&amp;"|Operations - Core Title"),CHAR(10), IF(ISBLANK('Ingest Template'!P648),"", 'Ingest Template'!P648&amp;"|Operations - Core Title"),CHAR(10), IF(ISBLANK('Ingest Template'!Q648),"", 'Ingest Template'!Q648&amp;"|Operations - Core Title"))))</f>
        <v>#|Operations - Core Title
#|Operations - Core Title
</v>
      </c>
      <c r="AH648" s="21"/>
      <c r="AI648" s="21"/>
      <c r="AJ648" s="53" t="str">
        <f>if('Ingest Template'!A648="Standard",'Ingest Template'!N648&amp; "|DAR|DAR|2021-01-01",'Ingest Template'!N648&amp; "|Operations - Core Title|Operations - Core Title")</f>
        <v>#N/A</v>
      </c>
      <c r="AK648" s="53" t="str">
        <f>if('Ingest Template'!A648="Standard",'Ingest Template'!R648&amp; "|2021-01-01",'Ingest Template'!R648)</f>
        <v>#N/A</v>
      </c>
      <c r="AL648" s="21"/>
      <c r="AM648" s="21"/>
    </row>
    <row r="649">
      <c r="A649" s="21"/>
      <c r="B649" s="21" t="str">
        <f>'Ingest Template'!B649&amp;IF('Ingest Template'!A649 = "Standard", " - DAR","")</f>
        <v/>
      </c>
      <c r="C649" s="26" t="s">
        <v>109</v>
      </c>
      <c r="D649" s="29" t="str">
        <f t="array" ref="D649">CONCATENATE(INDEX(DropDown!$H$2:$H$10,MATCH(1,COUNTIF('Ingest Template'!F649,"*"&amp;DropDown!$H$2:$H$10&amp;"*"),0)),CHAR(10),'Ingest Template'!G649)</f>
        <v>#N/A</v>
      </c>
      <c r="E649" s="21" t="str">
        <f>CONCATENATE('Ingest Template'!H649,CHAR(10),'Ingest Template'!I649,CHAR(10),'Ingest Template'!J649)</f>
        <v>
</v>
      </c>
      <c r="F649" s="26" t="str">
        <f>'Ingest Template'!H649</f>
        <v/>
      </c>
      <c r="G649" s="21"/>
      <c r="H649" s="29"/>
      <c r="I649" s="21"/>
      <c r="J649" s="29" t="str">
        <f t="array" ref="J649">iF('Ingest Template'!A649="Standard","Pristine Brand",INDEX(DropDown!$M$2:$M$392,MATCH('Ingest Template'!E649,DropDown!$J$2:$J$392,0)))</f>
        <v>#N/A</v>
      </c>
      <c r="K649" s="21" t="str">
        <f>iF('Ingest Template'!A649="Standard",'Ingest Template'!K649&amp;CHAR(10)&amp;'Ingest Template'!L649,"Competitive View")</f>
        <v>Competitive View</v>
      </c>
      <c r="L649" s="29" t="s">
        <v>146</v>
      </c>
      <c r="M649" s="37" t="str">
        <f>'Ingest Template'!D649</f>
        <v/>
      </c>
      <c r="N649" s="21"/>
      <c r="O649" s="21"/>
      <c r="P649" s="21"/>
      <c r="Q649" s="21"/>
      <c r="R649" s="21" t="str">
        <f>'Ingest Template'!E649</f>
        <v/>
      </c>
      <c r="S649" s="29" t="s">
        <v>153</v>
      </c>
      <c r="T649" s="21" t="str">
        <f>'Ingest Template'!T649</f>
        <v/>
      </c>
      <c r="U649" s="21" t="str">
        <f>'Ingest Template'!S649</f>
        <v/>
      </c>
      <c r="V649" s="21" t="str">
        <f>LOWER(SUBSTITUTE(SUBSTITUTE(SUBSTITUTE(SUBSTITUTE(SUBSTITUTE('Ingest Template'!U649,"https:",""),"www.",""),"/",""),"?hl=en",""),"instagram.com",""))</f>
        <v/>
      </c>
      <c r="W649" s="41" t="str">
        <f t="array" ref="W649">IF('Ingest Template'!V649="",(INDEX(DropDown!$L$2:$L$392,MATCH('Ingest Template'!E649,DropDown!$J$2:$J$392,0))&amp;"|"&amp;'Ingest Template'!B649),(INDEX(DropDown!$L$2:$L$392,MATCH('Ingest Template'!E649,DropDown!$J$2:$J$392,0))&amp;"|"&amp;'Ingest Template'!B649)&amp;CHAR(10)&amp;'Ingest Template'!V649)</f>
        <v>#N/A</v>
      </c>
      <c r="X649" s="41" t="str">
        <f>'Ingest Template'!W649</f>
        <v/>
      </c>
      <c r="Y649" s="21" t="str">
        <f>SUBSTITUTE(SUBSTITUTE(SUBSTITUTE('Ingest Template'!X649,"http:",""),"https:",""),"/","")</f>
        <v/>
      </c>
      <c r="Z649" s="21" t="str">
        <f t="array" ref="Z649">IF('Ingest Template'!A649="Standard",(IF(ISBLANK('Ingest Template'!AA649),"", 'Ingest Template'!AA649&amp;"|DAR")),(IF(ISBLANK('Ingest Template'!AA649),"", 'Ingest Template'!AA649&amp;"|Film Ops")))</f>
        <v/>
      </c>
      <c r="AA649" s="21"/>
      <c r="AB649" s="21" t="str">
        <f>'Ingest Template'!M649</f>
        <v/>
      </c>
      <c r="AC649" s="21" t="str">
        <f>'Ingest Template'!Y649</f>
        <v/>
      </c>
      <c r="AD649" s="21" t="str">
        <f>'Ingest Template'!C649</f>
        <v/>
      </c>
      <c r="AE649" s="21" t="str">
        <f>'Ingest Template'!Z649</f>
        <v/>
      </c>
      <c r="AF649" s="29"/>
      <c r="AG649" s="21" t="str">
        <f t="array" ref="AG649">IF('Ingest Template'!A649="Standard",(CONCATENATE(IF(ISBLANK('Ingest Template'!O649),"", 'Ingest Template'!O649&amp;"|DAR"),CHAR(10), IF(ISBLANK('Ingest Template'!P649),"", 'Ingest Template'!P649&amp;"|DAR"),CHAR(10), IF(ISBLANK('Ingest Template'!Q649),"", 'Ingest Template'!Q649&amp;"|DAR"))),(CONCATENATE(IF(ISBLANK('Ingest Template'!O649),"", 'Ingest Template'!O649&amp;"|Operations - Core Title"),CHAR(10), IF(ISBLANK('Ingest Template'!P649),"", 'Ingest Template'!P649&amp;"|Operations - Core Title"),CHAR(10), IF(ISBLANK('Ingest Template'!Q649),"", 'Ingest Template'!Q649&amp;"|Operations - Core Title"))))</f>
        <v>#|Operations - Core Title
#|Operations - Core Title
</v>
      </c>
      <c r="AH649" s="21"/>
      <c r="AI649" s="21"/>
      <c r="AJ649" s="53" t="str">
        <f>if('Ingest Template'!A649="Standard",'Ingest Template'!N649&amp; "|DAR|DAR|2021-01-01",'Ingest Template'!N649&amp; "|Operations - Core Title|Operations - Core Title")</f>
        <v>#N/A</v>
      </c>
      <c r="AK649" s="53" t="str">
        <f>if('Ingest Template'!A649="Standard",'Ingest Template'!R649&amp; "|2021-01-01",'Ingest Template'!R649)</f>
        <v>#N/A</v>
      </c>
      <c r="AL649" s="21"/>
      <c r="AM649" s="21"/>
    </row>
    <row r="650">
      <c r="A650" s="21"/>
      <c r="B650" s="21" t="str">
        <f>'Ingest Template'!B650&amp;IF('Ingest Template'!A650 = "Standard", " - DAR","")</f>
        <v/>
      </c>
      <c r="C650" s="26" t="s">
        <v>109</v>
      </c>
      <c r="D650" s="29" t="str">
        <f t="array" ref="D650">CONCATENATE(INDEX(DropDown!$H$2:$H$10,MATCH(1,COUNTIF('Ingest Template'!F650,"*"&amp;DropDown!$H$2:$H$10&amp;"*"),0)),CHAR(10),'Ingest Template'!G650)</f>
        <v>#N/A</v>
      </c>
      <c r="E650" s="21" t="str">
        <f>CONCATENATE('Ingest Template'!H650,CHAR(10),'Ingest Template'!I650,CHAR(10),'Ingest Template'!J650)</f>
        <v>
</v>
      </c>
      <c r="F650" s="26" t="str">
        <f>'Ingest Template'!H650</f>
        <v/>
      </c>
      <c r="G650" s="21"/>
      <c r="H650" s="29"/>
      <c r="I650" s="21"/>
      <c r="J650" s="29" t="str">
        <f t="array" ref="J650">iF('Ingest Template'!A650="Standard","Pristine Brand",INDEX(DropDown!$M$2:$M$392,MATCH('Ingest Template'!E650,DropDown!$J$2:$J$392,0)))</f>
        <v>#N/A</v>
      </c>
      <c r="K650" s="21" t="str">
        <f>iF('Ingest Template'!A650="Standard",'Ingest Template'!K650&amp;CHAR(10)&amp;'Ingest Template'!L650,"Competitive View")</f>
        <v>Competitive View</v>
      </c>
      <c r="L650" s="29" t="s">
        <v>146</v>
      </c>
      <c r="M650" s="37" t="str">
        <f>'Ingest Template'!D650</f>
        <v/>
      </c>
      <c r="N650" s="21"/>
      <c r="O650" s="21"/>
      <c r="P650" s="21"/>
      <c r="Q650" s="21"/>
      <c r="R650" s="21" t="str">
        <f>'Ingest Template'!E650</f>
        <v/>
      </c>
      <c r="S650" s="29" t="s">
        <v>153</v>
      </c>
      <c r="T650" s="21" t="str">
        <f>'Ingest Template'!T650</f>
        <v/>
      </c>
      <c r="U650" s="21" t="str">
        <f>'Ingest Template'!S650</f>
        <v/>
      </c>
      <c r="V650" s="21" t="str">
        <f>LOWER(SUBSTITUTE(SUBSTITUTE(SUBSTITUTE(SUBSTITUTE(SUBSTITUTE('Ingest Template'!U650,"https:",""),"www.",""),"/",""),"?hl=en",""),"instagram.com",""))</f>
        <v/>
      </c>
      <c r="W650" s="41" t="str">
        <f t="array" ref="W650">IF('Ingest Template'!V650="",(INDEX(DropDown!$L$2:$L$392,MATCH('Ingest Template'!E650,DropDown!$J$2:$J$392,0))&amp;"|"&amp;'Ingest Template'!B650),(INDEX(DropDown!$L$2:$L$392,MATCH('Ingest Template'!E650,DropDown!$J$2:$J$392,0))&amp;"|"&amp;'Ingest Template'!B650)&amp;CHAR(10)&amp;'Ingest Template'!V650)</f>
        <v>#N/A</v>
      </c>
      <c r="X650" s="41" t="str">
        <f>'Ingest Template'!W650</f>
        <v/>
      </c>
      <c r="Y650" s="21" t="str">
        <f>SUBSTITUTE(SUBSTITUTE(SUBSTITUTE('Ingest Template'!X650,"http:",""),"https:",""),"/","")</f>
        <v/>
      </c>
      <c r="Z650" s="21" t="str">
        <f t="array" ref="Z650">IF('Ingest Template'!A650="Standard",(IF(ISBLANK('Ingest Template'!AA650),"", 'Ingest Template'!AA650&amp;"|DAR")),(IF(ISBLANK('Ingest Template'!AA650),"", 'Ingest Template'!AA650&amp;"|Film Ops")))</f>
        <v/>
      </c>
      <c r="AA650" s="21"/>
      <c r="AB650" s="21" t="str">
        <f>'Ingest Template'!M650</f>
        <v/>
      </c>
      <c r="AC650" s="21" t="str">
        <f>'Ingest Template'!Y650</f>
        <v/>
      </c>
      <c r="AD650" s="21" t="str">
        <f>'Ingest Template'!C650</f>
        <v/>
      </c>
      <c r="AE650" s="21" t="str">
        <f>'Ingest Template'!Z650</f>
        <v/>
      </c>
      <c r="AF650" s="29"/>
      <c r="AG650" s="21" t="str">
        <f t="array" ref="AG650">IF('Ingest Template'!A650="Standard",(CONCATENATE(IF(ISBLANK('Ingest Template'!O650),"", 'Ingest Template'!O650&amp;"|DAR"),CHAR(10), IF(ISBLANK('Ingest Template'!P650),"", 'Ingest Template'!P650&amp;"|DAR"),CHAR(10), IF(ISBLANK('Ingest Template'!Q650),"", 'Ingest Template'!Q650&amp;"|DAR"))),(CONCATENATE(IF(ISBLANK('Ingest Template'!O650),"", 'Ingest Template'!O650&amp;"|Operations - Core Title"),CHAR(10), IF(ISBLANK('Ingest Template'!P650),"", 'Ingest Template'!P650&amp;"|Operations - Core Title"),CHAR(10), IF(ISBLANK('Ingest Template'!Q650),"", 'Ingest Template'!Q650&amp;"|Operations - Core Title"))))</f>
        <v>#|Operations - Core Title
#|Operations - Core Title
</v>
      </c>
      <c r="AH650" s="21"/>
      <c r="AI650" s="21"/>
      <c r="AJ650" s="53" t="str">
        <f>if('Ingest Template'!A650="Standard",'Ingest Template'!N650&amp; "|DAR|DAR|2021-01-01",'Ingest Template'!N650&amp; "|Operations - Core Title|Operations - Core Title")</f>
        <v>#N/A</v>
      </c>
      <c r="AK650" s="53" t="str">
        <f>if('Ingest Template'!A650="Standard",'Ingest Template'!R650&amp; "|2021-01-01",'Ingest Template'!R650)</f>
        <v>#N/A</v>
      </c>
      <c r="AL650" s="21"/>
      <c r="AM650" s="21"/>
    </row>
    <row r="651">
      <c r="A651" s="21"/>
      <c r="B651" s="21" t="str">
        <f>'Ingest Template'!B651&amp;IF('Ingest Template'!A651 = "Standard", " - DAR","")</f>
        <v/>
      </c>
      <c r="C651" s="26" t="s">
        <v>109</v>
      </c>
      <c r="D651" s="29" t="str">
        <f t="array" ref="D651">CONCATENATE(INDEX(DropDown!$H$2:$H$10,MATCH(1,COUNTIF('Ingest Template'!F651,"*"&amp;DropDown!$H$2:$H$10&amp;"*"),0)),CHAR(10),'Ingest Template'!G651)</f>
        <v>#N/A</v>
      </c>
      <c r="E651" s="21" t="str">
        <f>CONCATENATE('Ingest Template'!H651,CHAR(10),'Ingest Template'!I651,CHAR(10),'Ingest Template'!J651)</f>
        <v>
</v>
      </c>
      <c r="F651" s="26" t="str">
        <f>'Ingest Template'!H651</f>
        <v/>
      </c>
      <c r="G651" s="21"/>
      <c r="H651" s="29"/>
      <c r="I651" s="21"/>
      <c r="J651" s="29" t="str">
        <f t="array" ref="J651">iF('Ingest Template'!A651="Standard","Pristine Brand",INDEX(DropDown!$M$2:$M$392,MATCH('Ingest Template'!E651,DropDown!$J$2:$J$392,0)))</f>
        <v>#N/A</v>
      </c>
      <c r="K651" s="21" t="str">
        <f>iF('Ingest Template'!A651="Standard",'Ingest Template'!K651&amp;CHAR(10)&amp;'Ingest Template'!L651,"Competitive View")</f>
        <v>Competitive View</v>
      </c>
      <c r="L651" s="29" t="s">
        <v>146</v>
      </c>
      <c r="M651" s="37" t="str">
        <f>'Ingest Template'!D651</f>
        <v/>
      </c>
      <c r="N651" s="21"/>
      <c r="O651" s="21"/>
      <c r="P651" s="21"/>
      <c r="Q651" s="21"/>
      <c r="R651" s="21" t="str">
        <f>'Ingest Template'!E651</f>
        <v/>
      </c>
      <c r="S651" s="29" t="s">
        <v>153</v>
      </c>
      <c r="T651" s="21" t="str">
        <f>'Ingest Template'!T651</f>
        <v/>
      </c>
      <c r="U651" s="21" t="str">
        <f>'Ingest Template'!S651</f>
        <v/>
      </c>
      <c r="V651" s="21" t="str">
        <f>LOWER(SUBSTITUTE(SUBSTITUTE(SUBSTITUTE(SUBSTITUTE(SUBSTITUTE('Ingest Template'!U651,"https:",""),"www.",""),"/",""),"?hl=en",""),"instagram.com",""))</f>
        <v/>
      </c>
      <c r="W651" s="41" t="str">
        <f t="array" ref="W651">IF('Ingest Template'!V651="",(INDEX(DropDown!$L$2:$L$392,MATCH('Ingest Template'!E651,DropDown!$J$2:$J$392,0))&amp;"|"&amp;'Ingest Template'!B651),(INDEX(DropDown!$L$2:$L$392,MATCH('Ingest Template'!E651,DropDown!$J$2:$J$392,0))&amp;"|"&amp;'Ingest Template'!B651)&amp;CHAR(10)&amp;'Ingest Template'!V651)</f>
        <v>#N/A</v>
      </c>
      <c r="X651" s="41" t="str">
        <f>'Ingest Template'!W651</f>
        <v/>
      </c>
      <c r="Y651" s="21" t="str">
        <f>SUBSTITUTE(SUBSTITUTE(SUBSTITUTE('Ingest Template'!X651,"http:",""),"https:",""),"/","")</f>
        <v/>
      </c>
      <c r="Z651" s="21" t="str">
        <f t="array" ref="Z651">IF('Ingest Template'!A651="Standard",(IF(ISBLANK('Ingest Template'!AA651),"", 'Ingest Template'!AA651&amp;"|DAR")),(IF(ISBLANK('Ingest Template'!AA651),"", 'Ingest Template'!AA651&amp;"|Film Ops")))</f>
        <v/>
      </c>
      <c r="AA651" s="21"/>
      <c r="AB651" s="21" t="str">
        <f>'Ingest Template'!M651</f>
        <v/>
      </c>
      <c r="AC651" s="21" t="str">
        <f>'Ingest Template'!Y651</f>
        <v/>
      </c>
      <c r="AD651" s="21" t="str">
        <f>'Ingest Template'!C651</f>
        <v/>
      </c>
      <c r="AE651" s="21" t="str">
        <f>'Ingest Template'!Z651</f>
        <v/>
      </c>
      <c r="AF651" s="29"/>
      <c r="AG651" s="21" t="str">
        <f t="array" ref="AG651">IF('Ingest Template'!A651="Standard",(CONCATENATE(IF(ISBLANK('Ingest Template'!O651),"", 'Ingest Template'!O651&amp;"|DAR"),CHAR(10), IF(ISBLANK('Ingest Template'!P651),"", 'Ingest Template'!P651&amp;"|DAR"),CHAR(10), IF(ISBLANK('Ingest Template'!Q651),"", 'Ingest Template'!Q651&amp;"|DAR"))),(CONCATENATE(IF(ISBLANK('Ingest Template'!O651),"", 'Ingest Template'!O651&amp;"|Operations - Core Title"),CHAR(10), IF(ISBLANK('Ingest Template'!P651),"", 'Ingest Template'!P651&amp;"|Operations - Core Title"),CHAR(10), IF(ISBLANK('Ingest Template'!Q651),"", 'Ingest Template'!Q651&amp;"|Operations - Core Title"))))</f>
        <v>#|Operations - Core Title
#|Operations - Core Title
</v>
      </c>
      <c r="AH651" s="21"/>
      <c r="AI651" s="21"/>
      <c r="AJ651" s="53" t="str">
        <f>if('Ingest Template'!A651="Standard",'Ingest Template'!N651&amp; "|DAR|DAR|2021-01-01",'Ingest Template'!N651&amp; "|Operations - Core Title|Operations - Core Title")</f>
        <v>#N/A</v>
      </c>
      <c r="AK651" s="53" t="str">
        <f>if('Ingest Template'!A651="Standard",'Ingest Template'!R651&amp; "|2021-01-01",'Ingest Template'!R651)</f>
        <v>#N/A</v>
      </c>
      <c r="AL651" s="21"/>
      <c r="AM651" s="21"/>
    </row>
    <row r="652">
      <c r="A652" s="21"/>
      <c r="B652" s="21" t="str">
        <f>'Ingest Template'!B652&amp;IF('Ingest Template'!A652 = "Standard", " - DAR","")</f>
        <v/>
      </c>
      <c r="C652" s="26" t="s">
        <v>109</v>
      </c>
      <c r="D652" s="29" t="str">
        <f t="array" ref="D652">CONCATENATE(INDEX(DropDown!$H$2:$H$10,MATCH(1,COUNTIF('Ingest Template'!F652,"*"&amp;DropDown!$H$2:$H$10&amp;"*"),0)),CHAR(10),'Ingest Template'!G652)</f>
        <v>#N/A</v>
      </c>
      <c r="E652" s="21" t="str">
        <f>CONCATENATE('Ingest Template'!H652,CHAR(10),'Ingest Template'!I652,CHAR(10),'Ingest Template'!J652)</f>
        <v>
</v>
      </c>
      <c r="F652" s="26" t="str">
        <f>'Ingest Template'!H652</f>
        <v/>
      </c>
      <c r="G652" s="21"/>
      <c r="H652" s="29"/>
      <c r="I652" s="21"/>
      <c r="J652" s="29" t="str">
        <f t="array" ref="J652">iF('Ingest Template'!A652="Standard","Pristine Brand",INDEX(DropDown!$M$2:$M$392,MATCH('Ingest Template'!E652,DropDown!$J$2:$J$392,0)))</f>
        <v>#N/A</v>
      </c>
      <c r="K652" s="21" t="str">
        <f>iF('Ingest Template'!A652="Standard",'Ingest Template'!K652&amp;CHAR(10)&amp;'Ingest Template'!L652,"Competitive View")</f>
        <v>Competitive View</v>
      </c>
      <c r="L652" s="29" t="s">
        <v>146</v>
      </c>
      <c r="M652" s="37" t="str">
        <f>'Ingest Template'!D652</f>
        <v/>
      </c>
      <c r="N652" s="21"/>
      <c r="O652" s="21"/>
      <c r="P652" s="21"/>
      <c r="Q652" s="21"/>
      <c r="R652" s="21" t="str">
        <f>'Ingest Template'!E652</f>
        <v/>
      </c>
      <c r="S652" s="29" t="s">
        <v>153</v>
      </c>
      <c r="T652" s="21" t="str">
        <f>'Ingest Template'!T652</f>
        <v/>
      </c>
      <c r="U652" s="21" t="str">
        <f>'Ingest Template'!S652</f>
        <v/>
      </c>
      <c r="V652" s="21" t="str">
        <f>LOWER(SUBSTITUTE(SUBSTITUTE(SUBSTITUTE(SUBSTITUTE(SUBSTITUTE('Ingest Template'!U652,"https:",""),"www.",""),"/",""),"?hl=en",""),"instagram.com",""))</f>
        <v/>
      </c>
      <c r="W652" s="41" t="str">
        <f t="array" ref="W652">IF('Ingest Template'!V652="",(INDEX(DropDown!$L$2:$L$392,MATCH('Ingest Template'!E652,DropDown!$J$2:$J$392,0))&amp;"|"&amp;'Ingest Template'!B652),(INDEX(DropDown!$L$2:$L$392,MATCH('Ingest Template'!E652,DropDown!$J$2:$J$392,0))&amp;"|"&amp;'Ingest Template'!B652)&amp;CHAR(10)&amp;'Ingest Template'!V652)</f>
        <v>#N/A</v>
      </c>
      <c r="X652" s="41" t="str">
        <f>'Ingest Template'!W652</f>
        <v/>
      </c>
      <c r="Y652" s="21" t="str">
        <f>SUBSTITUTE(SUBSTITUTE(SUBSTITUTE('Ingest Template'!X652,"http:",""),"https:",""),"/","")</f>
        <v/>
      </c>
      <c r="Z652" s="21" t="str">
        <f t="array" ref="Z652">IF('Ingest Template'!A652="Standard",(IF(ISBLANK('Ingest Template'!AA652),"", 'Ingest Template'!AA652&amp;"|DAR")),(IF(ISBLANK('Ingest Template'!AA652),"", 'Ingest Template'!AA652&amp;"|Film Ops")))</f>
        <v/>
      </c>
      <c r="AA652" s="21"/>
      <c r="AB652" s="21" t="str">
        <f>'Ingest Template'!M652</f>
        <v/>
      </c>
      <c r="AC652" s="21" t="str">
        <f>'Ingest Template'!Y652</f>
        <v/>
      </c>
      <c r="AD652" s="21" t="str">
        <f>'Ingest Template'!C652</f>
        <v/>
      </c>
      <c r="AE652" s="21" t="str">
        <f>'Ingest Template'!Z652</f>
        <v/>
      </c>
      <c r="AF652" s="29"/>
      <c r="AG652" s="21" t="str">
        <f t="array" ref="AG652">IF('Ingest Template'!A652="Standard",(CONCATENATE(IF(ISBLANK('Ingest Template'!O652),"", 'Ingest Template'!O652&amp;"|DAR"),CHAR(10), IF(ISBLANK('Ingest Template'!P652),"", 'Ingest Template'!P652&amp;"|DAR"),CHAR(10), IF(ISBLANK('Ingest Template'!Q652),"", 'Ingest Template'!Q652&amp;"|DAR"))),(CONCATENATE(IF(ISBLANK('Ingest Template'!O652),"", 'Ingest Template'!O652&amp;"|Operations - Core Title"),CHAR(10), IF(ISBLANK('Ingest Template'!P652),"", 'Ingest Template'!P652&amp;"|Operations - Core Title"),CHAR(10), IF(ISBLANK('Ingest Template'!Q652),"", 'Ingest Template'!Q652&amp;"|Operations - Core Title"))))</f>
        <v>#|Operations - Core Title
#|Operations - Core Title
</v>
      </c>
      <c r="AH652" s="21"/>
      <c r="AI652" s="21"/>
      <c r="AJ652" s="53" t="str">
        <f>if('Ingest Template'!A652="Standard",'Ingest Template'!N652&amp; "|DAR|DAR|2021-01-01",'Ingest Template'!N652&amp; "|Operations - Core Title|Operations - Core Title")</f>
        <v>#N/A</v>
      </c>
      <c r="AK652" s="53" t="str">
        <f>if('Ingest Template'!A652="Standard",'Ingest Template'!R652&amp; "|2021-01-01",'Ingest Template'!R652)</f>
        <v>#N/A</v>
      </c>
      <c r="AL652" s="21"/>
      <c r="AM652" s="21"/>
    </row>
    <row r="653">
      <c r="A653" s="21"/>
      <c r="B653" s="21" t="str">
        <f>'Ingest Template'!B653&amp;IF('Ingest Template'!A653 = "Standard", " - DAR","")</f>
        <v/>
      </c>
      <c r="C653" s="26" t="s">
        <v>109</v>
      </c>
      <c r="D653" s="29" t="str">
        <f t="array" ref="D653">CONCATENATE(INDEX(DropDown!$H$2:$H$10,MATCH(1,COUNTIF('Ingest Template'!F653,"*"&amp;DropDown!$H$2:$H$10&amp;"*"),0)),CHAR(10),'Ingest Template'!G653)</f>
        <v>#N/A</v>
      </c>
      <c r="E653" s="21" t="str">
        <f>CONCATENATE('Ingest Template'!H653,CHAR(10),'Ingest Template'!I653,CHAR(10),'Ingest Template'!J653)</f>
        <v>
</v>
      </c>
      <c r="F653" s="26" t="str">
        <f>'Ingest Template'!H653</f>
        <v/>
      </c>
      <c r="G653" s="21"/>
      <c r="H653" s="29"/>
      <c r="I653" s="21"/>
      <c r="J653" s="29" t="str">
        <f t="array" ref="J653">iF('Ingest Template'!A653="Standard","Pristine Brand",INDEX(DropDown!$M$2:$M$392,MATCH('Ingest Template'!E653,DropDown!$J$2:$J$392,0)))</f>
        <v>#N/A</v>
      </c>
      <c r="K653" s="21" t="str">
        <f>iF('Ingest Template'!A653="Standard",'Ingest Template'!K653&amp;CHAR(10)&amp;'Ingest Template'!L653,"Competitive View")</f>
        <v>Competitive View</v>
      </c>
      <c r="L653" s="29" t="s">
        <v>146</v>
      </c>
      <c r="M653" s="37" t="str">
        <f>'Ingest Template'!D653</f>
        <v/>
      </c>
      <c r="N653" s="21"/>
      <c r="O653" s="21"/>
      <c r="P653" s="21"/>
      <c r="Q653" s="21"/>
      <c r="R653" s="21" t="str">
        <f>'Ingest Template'!E653</f>
        <v/>
      </c>
      <c r="S653" s="29" t="s">
        <v>153</v>
      </c>
      <c r="T653" s="21" t="str">
        <f>'Ingest Template'!T653</f>
        <v/>
      </c>
      <c r="U653" s="21" t="str">
        <f>'Ingest Template'!S653</f>
        <v/>
      </c>
      <c r="V653" s="21" t="str">
        <f>LOWER(SUBSTITUTE(SUBSTITUTE(SUBSTITUTE(SUBSTITUTE(SUBSTITUTE('Ingest Template'!U653,"https:",""),"www.",""),"/",""),"?hl=en",""),"instagram.com",""))</f>
        <v/>
      </c>
      <c r="W653" s="41" t="str">
        <f t="array" ref="W653">IF('Ingest Template'!V653="",(INDEX(DropDown!$L$2:$L$392,MATCH('Ingest Template'!E653,DropDown!$J$2:$J$392,0))&amp;"|"&amp;'Ingest Template'!B653),(INDEX(DropDown!$L$2:$L$392,MATCH('Ingest Template'!E653,DropDown!$J$2:$J$392,0))&amp;"|"&amp;'Ingest Template'!B653)&amp;CHAR(10)&amp;'Ingest Template'!V653)</f>
        <v>#N/A</v>
      </c>
      <c r="X653" s="41" t="str">
        <f>'Ingest Template'!W653</f>
        <v/>
      </c>
      <c r="Y653" s="21" t="str">
        <f>SUBSTITUTE(SUBSTITUTE(SUBSTITUTE('Ingest Template'!X653,"http:",""),"https:",""),"/","")</f>
        <v/>
      </c>
      <c r="Z653" s="21" t="str">
        <f t="array" ref="Z653">IF('Ingest Template'!A653="Standard",(IF(ISBLANK('Ingest Template'!AA653),"", 'Ingest Template'!AA653&amp;"|DAR")),(IF(ISBLANK('Ingest Template'!AA653),"", 'Ingest Template'!AA653&amp;"|Film Ops")))</f>
        <v/>
      </c>
      <c r="AA653" s="21"/>
      <c r="AB653" s="21" t="str">
        <f>'Ingest Template'!M653</f>
        <v/>
      </c>
      <c r="AC653" s="21" t="str">
        <f>'Ingest Template'!Y653</f>
        <v/>
      </c>
      <c r="AD653" s="21" t="str">
        <f>'Ingest Template'!C653</f>
        <v/>
      </c>
      <c r="AE653" s="21" t="str">
        <f>'Ingest Template'!Z653</f>
        <v/>
      </c>
      <c r="AF653" s="29"/>
      <c r="AG653" s="21" t="str">
        <f t="array" ref="AG653">IF('Ingest Template'!A653="Standard",(CONCATENATE(IF(ISBLANK('Ingest Template'!O653),"", 'Ingest Template'!O653&amp;"|DAR"),CHAR(10), IF(ISBLANK('Ingest Template'!P653),"", 'Ingest Template'!P653&amp;"|DAR"),CHAR(10), IF(ISBLANK('Ingest Template'!Q653),"", 'Ingest Template'!Q653&amp;"|DAR"))),(CONCATENATE(IF(ISBLANK('Ingest Template'!O653),"", 'Ingest Template'!O653&amp;"|Operations - Core Title"),CHAR(10), IF(ISBLANK('Ingest Template'!P653),"", 'Ingest Template'!P653&amp;"|Operations - Core Title"),CHAR(10), IF(ISBLANK('Ingest Template'!Q653),"", 'Ingest Template'!Q653&amp;"|Operations - Core Title"))))</f>
        <v>#|Operations - Core Title
#|Operations - Core Title
</v>
      </c>
      <c r="AH653" s="21"/>
      <c r="AI653" s="21"/>
      <c r="AJ653" s="53" t="str">
        <f>if('Ingest Template'!A653="Standard",'Ingest Template'!N653&amp; "|DAR|DAR|2021-01-01",'Ingest Template'!N653&amp; "|Operations - Core Title|Operations - Core Title")</f>
        <v>#N/A</v>
      </c>
      <c r="AK653" s="53" t="str">
        <f>if('Ingest Template'!A653="Standard",'Ingest Template'!R653&amp; "|2021-01-01",'Ingest Template'!R653)</f>
        <v>#N/A</v>
      </c>
      <c r="AL653" s="21"/>
      <c r="AM653" s="21"/>
    </row>
    <row r="654">
      <c r="A654" s="21"/>
      <c r="B654" s="21" t="str">
        <f>'Ingest Template'!B654&amp;IF('Ingest Template'!A654 = "Standard", " - DAR","")</f>
        <v/>
      </c>
      <c r="C654" s="26" t="s">
        <v>109</v>
      </c>
      <c r="D654" s="29" t="str">
        <f t="array" ref="D654">CONCATENATE(INDEX(DropDown!$H$2:$H$10,MATCH(1,COUNTIF('Ingest Template'!F654,"*"&amp;DropDown!$H$2:$H$10&amp;"*"),0)),CHAR(10),'Ingest Template'!G654)</f>
        <v>#N/A</v>
      </c>
      <c r="E654" s="21" t="str">
        <f>CONCATENATE('Ingest Template'!H654,CHAR(10),'Ingest Template'!I654,CHAR(10),'Ingest Template'!J654)</f>
        <v>
</v>
      </c>
      <c r="F654" s="26" t="str">
        <f>'Ingest Template'!H654</f>
        <v/>
      </c>
      <c r="G654" s="21"/>
      <c r="H654" s="29"/>
      <c r="I654" s="21"/>
      <c r="J654" s="29" t="str">
        <f t="array" ref="J654">iF('Ingest Template'!A654="Standard","Pristine Brand",INDEX(DropDown!$M$2:$M$392,MATCH('Ingest Template'!E654,DropDown!$J$2:$J$392,0)))</f>
        <v>#N/A</v>
      </c>
      <c r="K654" s="21" t="str">
        <f>iF('Ingest Template'!A654="Standard",'Ingest Template'!K654&amp;CHAR(10)&amp;'Ingest Template'!L654,"Competitive View")</f>
        <v>Competitive View</v>
      </c>
      <c r="L654" s="29" t="s">
        <v>146</v>
      </c>
      <c r="M654" s="37" t="str">
        <f>'Ingest Template'!D654</f>
        <v/>
      </c>
      <c r="N654" s="21"/>
      <c r="O654" s="21"/>
      <c r="P654" s="21"/>
      <c r="Q654" s="21"/>
      <c r="R654" s="21" t="str">
        <f>'Ingest Template'!E654</f>
        <v/>
      </c>
      <c r="S654" s="29" t="s">
        <v>153</v>
      </c>
      <c r="T654" s="21" t="str">
        <f>'Ingest Template'!T654</f>
        <v/>
      </c>
      <c r="U654" s="21" t="str">
        <f>'Ingest Template'!S654</f>
        <v/>
      </c>
      <c r="V654" s="21" t="str">
        <f>LOWER(SUBSTITUTE(SUBSTITUTE(SUBSTITUTE(SUBSTITUTE(SUBSTITUTE('Ingest Template'!U654,"https:",""),"www.",""),"/",""),"?hl=en",""),"instagram.com",""))</f>
        <v/>
      </c>
      <c r="W654" s="41" t="str">
        <f t="array" ref="W654">IF('Ingest Template'!V654="",(INDEX(DropDown!$L$2:$L$392,MATCH('Ingest Template'!E654,DropDown!$J$2:$J$392,0))&amp;"|"&amp;'Ingest Template'!B654),(INDEX(DropDown!$L$2:$L$392,MATCH('Ingest Template'!E654,DropDown!$J$2:$J$392,0))&amp;"|"&amp;'Ingest Template'!B654)&amp;CHAR(10)&amp;'Ingest Template'!V654)</f>
        <v>#N/A</v>
      </c>
      <c r="X654" s="41" t="str">
        <f>'Ingest Template'!W654</f>
        <v/>
      </c>
      <c r="Y654" s="21" t="str">
        <f>SUBSTITUTE(SUBSTITUTE(SUBSTITUTE('Ingest Template'!X654,"http:",""),"https:",""),"/","")</f>
        <v/>
      </c>
      <c r="Z654" s="21" t="str">
        <f t="array" ref="Z654">IF('Ingest Template'!A654="Standard",(IF(ISBLANK('Ingest Template'!AA654),"", 'Ingest Template'!AA654&amp;"|DAR")),(IF(ISBLANK('Ingest Template'!AA654),"", 'Ingest Template'!AA654&amp;"|Film Ops")))</f>
        <v/>
      </c>
      <c r="AA654" s="21"/>
      <c r="AB654" s="21" t="str">
        <f>'Ingest Template'!M654</f>
        <v/>
      </c>
      <c r="AC654" s="21" t="str">
        <f>'Ingest Template'!Y654</f>
        <v/>
      </c>
      <c r="AD654" s="21" t="str">
        <f>'Ingest Template'!C654</f>
        <v/>
      </c>
      <c r="AE654" s="21" t="str">
        <f>'Ingest Template'!Z654</f>
        <v/>
      </c>
      <c r="AF654" s="29"/>
      <c r="AG654" s="21" t="str">
        <f t="array" ref="AG654">IF('Ingest Template'!A654="Standard",(CONCATENATE(IF(ISBLANK('Ingest Template'!O654),"", 'Ingest Template'!O654&amp;"|DAR"),CHAR(10), IF(ISBLANK('Ingest Template'!P654),"", 'Ingest Template'!P654&amp;"|DAR"),CHAR(10), IF(ISBLANK('Ingest Template'!Q654),"", 'Ingest Template'!Q654&amp;"|DAR"))),(CONCATENATE(IF(ISBLANK('Ingest Template'!O654),"", 'Ingest Template'!O654&amp;"|Operations - Core Title"),CHAR(10), IF(ISBLANK('Ingest Template'!P654),"", 'Ingest Template'!P654&amp;"|Operations - Core Title"),CHAR(10), IF(ISBLANK('Ingest Template'!Q654),"", 'Ingest Template'!Q654&amp;"|Operations - Core Title"))))</f>
        <v>#|Operations - Core Title
#|Operations - Core Title
</v>
      </c>
      <c r="AH654" s="21"/>
      <c r="AI654" s="21"/>
      <c r="AJ654" s="53" t="str">
        <f>if('Ingest Template'!A654="Standard",'Ingest Template'!N654&amp; "|DAR|DAR|2021-01-01",'Ingest Template'!N654&amp; "|Operations - Core Title|Operations - Core Title")</f>
        <v>#N/A</v>
      </c>
      <c r="AK654" s="53" t="str">
        <f>if('Ingest Template'!A654="Standard",'Ingest Template'!R654&amp; "|2021-01-01",'Ingest Template'!R654)</f>
        <v>#N/A</v>
      </c>
      <c r="AL654" s="21"/>
      <c r="AM654" s="21"/>
    </row>
    <row r="655">
      <c r="A655" s="21"/>
      <c r="B655" s="21" t="str">
        <f>'Ingest Template'!B655&amp;IF('Ingest Template'!A655 = "Standard", " - DAR","")</f>
        <v/>
      </c>
      <c r="C655" s="26" t="s">
        <v>109</v>
      </c>
      <c r="D655" s="29" t="str">
        <f t="array" ref="D655">CONCATENATE(INDEX(DropDown!$H$2:$H$10,MATCH(1,COUNTIF('Ingest Template'!F655,"*"&amp;DropDown!$H$2:$H$10&amp;"*"),0)),CHAR(10),'Ingest Template'!G655)</f>
        <v>#N/A</v>
      </c>
      <c r="E655" s="21" t="str">
        <f>CONCATENATE('Ingest Template'!H655,CHAR(10),'Ingest Template'!I655,CHAR(10),'Ingest Template'!J655)</f>
        <v>
</v>
      </c>
      <c r="F655" s="26" t="str">
        <f>'Ingest Template'!H655</f>
        <v/>
      </c>
      <c r="G655" s="21"/>
      <c r="H655" s="29"/>
      <c r="I655" s="21"/>
      <c r="J655" s="29" t="str">
        <f t="array" ref="J655">iF('Ingest Template'!A655="Standard","Pristine Brand",INDEX(DropDown!$M$2:$M$392,MATCH('Ingest Template'!E655,DropDown!$J$2:$J$392,0)))</f>
        <v>#N/A</v>
      </c>
      <c r="K655" s="21" t="str">
        <f>iF('Ingest Template'!A655="Standard",'Ingest Template'!K655&amp;CHAR(10)&amp;'Ingest Template'!L655,"Competitive View")</f>
        <v>Competitive View</v>
      </c>
      <c r="L655" s="29" t="s">
        <v>146</v>
      </c>
      <c r="M655" s="37" t="str">
        <f>'Ingest Template'!D655</f>
        <v/>
      </c>
      <c r="N655" s="21"/>
      <c r="O655" s="21"/>
      <c r="P655" s="21"/>
      <c r="Q655" s="21"/>
      <c r="R655" s="21" t="str">
        <f>'Ingest Template'!E655</f>
        <v/>
      </c>
      <c r="S655" s="29" t="s">
        <v>153</v>
      </c>
      <c r="T655" s="21" t="str">
        <f>'Ingest Template'!T655</f>
        <v/>
      </c>
      <c r="U655" s="21" t="str">
        <f>'Ingest Template'!S655</f>
        <v/>
      </c>
      <c r="V655" s="21" t="str">
        <f>LOWER(SUBSTITUTE(SUBSTITUTE(SUBSTITUTE(SUBSTITUTE(SUBSTITUTE('Ingest Template'!U655,"https:",""),"www.",""),"/",""),"?hl=en",""),"instagram.com",""))</f>
        <v/>
      </c>
      <c r="W655" s="41" t="str">
        <f t="array" ref="W655">IF('Ingest Template'!V655="",(INDEX(DropDown!$L$2:$L$392,MATCH('Ingest Template'!E655,DropDown!$J$2:$J$392,0))&amp;"|"&amp;'Ingest Template'!B655),(INDEX(DropDown!$L$2:$L$392,MATCH('Ingest Template'!E655,DropDown!$J$2:$J$392,0))&amp;"|"&amp;'Ingest Template'!B655)&amp;CHAR(10)&amp;'Ingest Template'!V655)</f>
        <v>#N/A</v>
      </c>
      <c r="X655" s="41" t="str">
        <f>'Ingest Template'!W655</f>
        <v/>
      </c>
      <c r="Y655" s="21" t="str">
        <f>SUBSTITUTE(SUBSTITUTE(SUBSTITUTE('Ingest Template'!X655,"http:",""),"https:",""),"/","")</f>
        <v/>
      </c>
      <c r="Z655" s="21" t="str">
        <f t="array" ref="Z655">IF('Ingest Template'!A655="Standard",(IF(ISBLANK('Ingest Template'!AA655),"", 'Ingest Template'!AA655&amp;"|DAR")),(IF(ISBLANK('Ingest Template'!AA655),"", 'Ingest Template'!AA655&amp;"|Film Ops")))</f>
        <v/>
      </c>
      <c r="AA655" s="21"/>
      <c r="AB655" s="21" t="str">
        <f>'Ingest Template'!M655</f>
        <v/>
      </c>
      <c r="AC655" s="21" t="str">
        <f>'Ingest Template'!Y655</f>
        <v/>
      </c>
      <c r="AD655" s="21" t="str">
        <f>'Ingest Template'!C655</f>
        <v/>
      </c>
      <c r="AE655" s="21" t="str">
        <f>'Ingest Template'!Z655</f>
        <v/>
      </c>
      <c r="AF655" s="29"/>
      <c r="AG655" s="21" t="str">
        <f t="array" ref="AG655">IF('Ingest Template'!A655="Standard",(CONCATENATE(IF(ISBLANK('Ingest Template'!O655),"", 'Ingest Template'!O655&amp;"|DAR"),CHAR(10), IF(ISBLANK('Ingest Template'!P655),"", 'Ingest Template'!P655&amp;"|DAR"),CHAR(10), IF(ISBLANK('Ingest Template'!Q655),"", 'Ingest Template'!Q655&amp;"|DAR"))),(CONCATENATE(IF(ISBLANK('Ingest Template'!O655),"", 'Ingest Template'!O655&amp;"|Operations - Core Title"),CHAR(10), IF(ISBLANK('Ingest Template'!P655),"", 'Ingest Template'!P655&amp;"|Operations - Core Title"),CHAR(10), IF(ISBLANK('Ingest Template'!Q655),"", 'Ingest Template'!Q655&amp;"|Operations - Core Title"))))</f>
        <v>#|Operations - Core Title
#|Operations - Core Title
</v>
      </c>
      <c r="AH655" s="21"/>
      <c r="AI655" s="21"/>
      <c r="AJ655" s="53" t="str">
        <f>if('Ingest Template'!A655="Standard",'Ingest Template'!N655&amp; "|DAR|DAR|2021-01-01",'Ingest Template'!N655&amp; "|Operations - Core Title|Operations - Core Title")</f>
        <v>#N/A</v>
      </c>
      <c r="AK655" s="53" t="str">
        <f>if('Ingest Template'!A655="Standard",'Ingest Template'!R655&amp; "|2021-01-01",'Ingest Template'!R655)</f>
        <v>#N/A</v>
      </c>
      <c r="AL655" s="21"/>
      <c r="AM655" s="21"/>
    </row>
    <row r="656">
      <c r="A656" s="21"/>
      <c r="B656" s="21" t="str">
        <f>'Ingest Template'!B656&amp;IF('Ingest Template'!A656 = "Standard", " - DAR","")</f>
        <v/>
      </c>
      <c r="C656" s="26" t="s">
        <v>109</v>
      </c>
      <c r="D656" s="29" t="str">
        <f t="array" ref="D656">CONCATENATE(INDEX(DropDown!$H$2:$H$10,MATCH(1,COUNTIF('Ingest Template'!F656,"*"&amp;DropDown!$H$2:$H$10&amp;"*"),0)),CHAR(10),'Ingest Template'!G656)</f>
        <v>#N/A</v>
      </c>
      <c r="E656" s="21" t="str">
        <f>CONCATENATE('Ingest Template'!H656,CHAR(10),'Ingest Template'!I656,CHAR(10),'Ingest Template'!J656)</f>
        <v>
</v>
      </c>
      <c r="F656" s="26" t="str">
        <f>'Ingest Template'!H656</f>
        <v/>
      </c>
      <c r="G656" s="21"/>
      <c r="H656" s="29"/>
      <c r="I656" s="21"/>
      <c r="J656" s="29" t="str">
        <f t="array" ref="J656">iF('Ingest Template'!A656="Standard","Pristine Brand",INDEX(DropDown!$M$2:$M$392,MATCH('Ingest Template'!E656,DropDown!$J$2:$J$392,0)))</f>
        <v>#N/A</v>
      </c>
      <c r="K656" s="21" t="str">
        <f>iF('Ingest Template'!A656="Standard",'Ingest Template'!K656&amp;CHAR(10)&amp;'Ingest Template'!L656,"Competitive View")</f>
        <v>Competitive View</v>
      </c>
      <c r="L656" s="29" t="s">
        <v>146</v>
      </c>
      <c r="M656" s="37" t="str">
        <f>'Ingest Template'!D656</f>
        <v/>
      </c>
      <c r="N656" s="21"/>
      <c r="O656" s="21"/>
      <c r="P656" s="21"/>
      <c r="Q656" s="21"/>
      <c r="R656" s="21" t="str">
        <f>'Ingest Template'!E656</f>
        <v/>
      </c>
      <c r="S656" s="29" t="s">
        <v>153</v>
      </c>
      <c r="T656" s="21" t="str">
        <f>'Ingest Template'!T656</f>
        <v/>
      </c>
      <c r="U656" s="21" t="str">
        <f>'Ingest Template'!S656</f>
        <v/>
      </c>
      <c r="V656" s="21" t="str">
        <f>LOWER(SUBSTITUTE(SUBSTITUTE(SUBSTITUTE(SUBSTITUTE(SUBSTITUTE('Ingest Template'!U656,"https:",""),"www.",""),"/",""),"?hl=en",""),"instagram.com",""))</f>
        <v/>
      </c>
      <c r="W656" s="41" t="str">
        <f t="array" ref="W656">IF('Ingest Template'!V656="",(INDEX(DropDown!$L$2:$L$392,MATCH('Ingest Template'!E656,DropDown!$J$2:$J$392,0))&amp;"|"&amp;'Ingest Template'!B656),(INDEX(DropDown!$L$2:$L$392,MATCH('Ingest Template'!E656,DropDown!$J$2:$J$392,0))&amp;"|"&amp;'Ingest Template'!B656)&amp;CHAR(10)&amp;'Ingest Template'!V656)</f>
        <v>#N/A</v>
      </c>
      <c r="X656" s="41" t="str">
        <f>'Ingest Template'!W656</f>
        <v/>
      </c>
      <c r="Y656" s="21" t="str">
        <f>SUBSTITUTE(SUBSTITUTE(SUBSTITUTE('Ingest Template'!X656,"http:",""),"https:",""),"/","")</f>
        <v/>
      </c>
      <c r="Z656" s="21" t="str">
        <f t="array" ref="Z656">IF('Ingest Template'!A656="Standard",(IF(ISBLANK('Ingest Template'!AA656),"", 'Ingest Template'!AA656&amp;"|DAR")),(IF(ISBLANK('Ingest Template'!AA656),"", 'Ingest Template'!AA656&amp;"|Film Ops")))</f>
        <v/>
      </c>
      <c r="AA656" s="21"/>
      <c r="AB656" s="21" t="str">
        <f>'Ingest Template'!M656</f>
        <v/>
      </c>
      <c r="AC656" s="21" t="str">
        <f>'Ingest Template'!Y656</f>
        <v/>
      </c>
      <c r="AD656" s="21" t="str">
        <f>'Ingest Template'!C656</f>
        <v/>
      </c>
      <c r="AE656" s="21" t="str">
        <f>'Ingest Template'!Z656</f>
        <v/>
      </c>
      <c r="AF656" s="29"/>
      <c r="AG656" s="21" t="str">
        <f t="array" ref="AG656">IF('Ingest Template'!A656="Standard",(CONCATENATE(IF(ISBLANK('Ingest Template'!O656),"", 'Ingest Template'!O656&amp;"|DAR"),CHAR(10), IF(ISBLANK('Ingest Template'!P656),"", 'Ingest Template'!P656&amp;"|DAR"),CHAR(10), IF(ISBLANK('Ingest Template'!Q656),"", 'Ingest Template'!Q656&amp;"|DAR"))),(CONCATENATE(IF(ISBLANK('Ingest Template'!O656),"", 'Ingest Template'!O656&amp;"|Operations - Core Title"),CHAR(10), IF(ISBLANK('Ingest Template'!P656),"", 'Ingest Template'!P656&amp;"|Operations - Core Title"),CHAR(10), IF(ISBLANK('Ingest Template'!Q656),"", 'Ingest Template'!Q656&amp;"|Operations - Core Title"))))</f>
        <v>#|Operations - Core Title
#|Operations - Core Title
</v>
      </c>
      <c r="AH656" s="21"/>
      <c r="AI656" s="21"/>
      <c r="AJ656" s="53" t="str">
        <f>if('Ingest Template'!A656="Standard",'Ingest Template'!N656&amp; "|DAR|DAR|2021-01-01",'Ingest Template'!N656&amp; "|Operations - Core Title|Operations - Core Title")</f>
        <v>#N/A</v>
      </c>
      <c r="AK656" s="53" t="str">
        <f>if('Ingest Template'!A656="Standard",'Ingest Template'!R656&amp; "|2021-01-01",'Ingest Template'!R656)</f>
        <v>#N/A</v>
      </c>
      <c r="AL656" s="21"/>
      <c r="AM656" s="21"/>
    </row>
    <row r="657">
      <c r="A657" s="21"/>
      <c r="B657" s="21" t="str">
        <f>'Ingest Template'!B657&amp;IF('Ingest Template'!A657 = "Standard", " - DAR","")</f>
        <v/>
      </c>
      <c r="C657" s="26" t="s">
        <v>109</v>
      </c>
      <c r="D657" s="29" t="str">
        <f t="array" ref="D657">CONCATENATE(INDEX(DropDown!$H$2:$H$10,MATCH(1,COUNTIF('Ingest Template'!F657,"*"&amp;DropDown!$H$2:$H$10&amp;"*"),0)),CHAR(10),'Ingest Template'!G657)</f>
        <v>#N/A</v>
      </c>
      <c r="E657" s="21" t="str">
        <f>CONCATENATE('Ingest Template'!H657,CHAR(10),'Ingest Template'!I657,CHAR(10),'Ingest Template'!J657)</f>
        <v>
</v>
      </c>
      <c r="F657" s="26" t="str">
        <f>'Ingest Template'!H657</f>
        <v/>
      </c>
      <c r="G657" s="21"/>
      <c r="H657" s="29"/>
      <c r="I657" s="21"/>
      <c r="J657" s="29" t="str">
        <f t="array" ref="J657">iF('Ingest Template'!A657="Standard","Pristine Brand",INDEX(DropDown!$M$2:$M$392,MATCH('Ingest Template'!E657,DropDown!$J$2:$J$392,0)))</f>
        <v>#N/A</v>
      </c>
      <c r="K657" s="21" t="str">
        <f>iF('Ingest Template'!A657="Standard",'Ingest Template'!K657&amp;CHAR(10)&amp;'Ingest Template'!L657,"Competitive View")</f>
        <v>Competitive View</v>
      </c>
      <c r="L657" s="29" t="s">
        <v>146</v>
      </c>
      <c r="M657" s="37" t="str">
        <f>'Ingest Template'!D657</f>
        <v/>
      </c>
      <c r="N657" s="21"/>
      <c r="O657" s="21"/>
      <c r="P657" s="21"/>
      <c r="Q657" s="21"/>
      <c r="R657" s="21" t="str">
        <f>'Ingest Template'!E657</f>
        <v/>
      </c>
      <c r="S657" s="29" t="s">
        <v>153</v>
      </c>
      <c r="T657" s="21" t="str">
        <f>'Ingest Template'!T657</f>
        <v/>
      </c>
      <c r="U657" s="21" t="str">
        <f>'Ingest Template'!S657</f>
        <v/>
      </c>
      <c r="V657" s="21" t="str">
        <f>LOWER(SUBSTITUTE(SUBSTITUTE(SUBSTITUTE(SUBSTITUTE(SUBSTITUTE('Ingest Template'!U657,"https:",""),"www.",""),"/",""),"?hl=en",""),"instagram.com",""))</f>
        <v/>
      </c>
      <c r="W657" s="41" t="str">
        <f t="array" ref="W657">IF('Ingest Template'!V657="",(INDEX(DropDown!$L$2:$L$392,MATCH('Ingest Template'!E657,DropDown!$J$2:$J$392,0))&amp;"|"&amp;'Ingest Template'!B657),(INDEX(DropDown!$L$2:$L$392,MATCH('Ingest Template'!E657,DropDown!$J$2:$J$392,0))&amp;"|"&amp;'Ingest Template'!B657)&amp;CHAR(10)&amp;'Ingest Template'!V657)</f>
        <v>#N/A</v>
      </c>
      <c r="X657" s="41" t="str">
        <f>'Ingest Template'!W657</f>
        <v/>
      </c>
      <c r="Y657" s="21" t="str">
        <f>SUBSTITUTE(SUBSTITUTE(SUBSTITUTE('Ingest Template'!X657,"http:",""),"https:",""),"/","")</f>
        <v/>
      </c>
      <c r="Z657" s="21" t="str">
        <f t="array" ref="Z657">IF('Ingest Template'!A657="Standard",(IF(ISBLANK('Ingest Template'!AA657),"", 'Ingest Template'!AA657&amp;"|DAR")),(IF(ISBLANK('Ingest Template'!AA657),"", 'Ingest Template'!AA657&amp;"|Film Ops")))</f>
        <v/>
      </c>
      <c r="AA657" s="21"/>
      <c r="AB657" s="21" t="str">
        <f>'Ingest Template'!M657</f>
        <v/>
      </c>
      <c r="AC657" s="21" t="str">
        <f>'Ingest Template'!Y657</f>
        <v/>
      </c>
      <c r="AD657" s="21" t="str">
        <f>'Ingest Template'!C657</f>
        <v/>
      </c>
      <c r="AE657" s="21" t="str">
        <f>'Ingest Template'!Z657</f>
        <v/>
      </c>
      <c r="AF657" s="29"/>
      <c r="AG657" s="21" t="str">
        <f t="array" ref="AG657">IF('Ingest Template'!A657="Standard",(CONCATENATE(IF(ISBLANK('Ingest Template'!O657),"", 'Ingest Template'!O657&amp;"|DAR"),CHAR(10), IF(ISBLANK('Ingest Template'!P657),"", 'Ingest Template'!P657&amp;"|DAR"),CHAR(10), IF(ISBLANK('Ingest Template'!Q657),"", 'Ingest Template'!Q657&amp;"|DAR"))),(CONCATENATE(IF(ISBLANK('Ingest Template'!O657),"", 'Ingest Template'!O657&amp;"|Operations - Core Title"),CHAR(10), IF(ISBLANK('Ingest Template'!P657),"", 'Ingest Template'!P657&amp;"|Operations - Core Title"),CHAR(10), IF(ISBLANK('Ingest Template'!Q657),"", 'Ingest Template'!Q657&amp;"|Operations - Core Title"))))</f>
        <v>#|Operations - Core Title
#|Operations - Core Title
</v>
      </c>
      <c r="AH657" s="21"/>
      <c r="AI657" s="21"/>
      <c r="AJ657" s="53" t="str">
        <f>if('Ingest Template'!A657="Standard",'Ingest Template'!N657&amp; "|DAR|DAR|2021-01-01",'Ingest Template'!N657&amp; "|Operations - Core Title|Operations - Core Title")</f>
        <v>#N/A</v>
      </c>
      <c r="AK657" s="53" t="str">
        <f>if('Ingest Template'!A657="Standard",'Ingest Template'!R657&amp; "|2021-01-01",'Ingest Template'!R657)</f>
        <v>#N/A</v>
      </c>
      <c r="AL657" s="21"/>
      <c r="AM657" s="21"/>
    </row>
    <row r="658">
      <c r="A658" s="21"/>
      <c r="B658" s="21" t="str">
        <f>'Ingest Template'!B658&amp;IF('Ingest Template'!A658 = "Standard", " - DAR","")</f>
        <v/>
      </c>
      <c r="C658" s="26" t="s">
        <v>109</v>
      </c>
      <c r="D658" s="29" t="str">
        <f t="array" ref="D658">CONCATENATE(INDEX(DropDown!$H$2:$H$10,MATCH(1,COUNTIF('Ingest Template'!F658,"*"&amp;DropDown!$H$2:$H$10&amp;"*"),0)),CHAR(10),'Ingest Template'!G658)</f>
        <v>#N/A</v>
      </c>
      <c r="E658" s="21" t="str">
        <f>CONCATENATE('Ingest Template'!H658,CHAR(10),'Ingest Template'!I658,CHAR(10),'Ingest Template'!J658)</f>
        <v>
</v>
      </c>
      <c r="F658" s="26" t="str">
        <f>'Ingest Template'!H658</f>
        <v/>
      </c>
      <c r="G658" s="21"/>
      <c r="H658" s="29"/>
      <c r="I658" s="21"/>
      <c r="J658" s="29" t="str">
        <f t="array" ref="J658">iF('Ingest Template'!A658="Standard","Pristine Brand",INDEX(DropDown!$M$2:$M$392,MATCH('Ingest Template'!E658,DropDown!$J$2:$J$392,0)))</f>
        <v>#N/A</v>
      </c>
      <c r="K658" s="21" t="str">
        <f>iF('Ingest Template'!A658="Standard",'Ingest Template'!K658&amp;CHAR(10)&amp;'Ingest Template'!L658,"Competitive View")</f>
        <v>Competitive View</v>
      </c>
      <c r="L658" s="29" t="s">
        <v>146</v>
      </c>
      <c r="M658" s="37" t="str">
        <f>'Ingest Template'!D658</f>
        <v/>
      </c>
      <c r="N658" s="21"/>
      <c r="O658" s="21"/>
      <c r="P658" s="21"/>
      <c r="Q658" s="21"/>
      <c r="R658" s="21" t="str">
        <f>'Ingest Template'!E658</f>
        <v/>
      </c>
      <c r="S658" s="29" t="s">
        <v>153</v>
      </c>
      <c r="T658" s="21" t="str">
        <f>'Ingest Template'!T658</f>
        <v/>
      </c>
      <c r="U658" s="21" t="str">
        <f>'Ingest Template'!S658</f>
        <v/>
      </c>
      <c r="V658" s="21" t="str">
        <f>LOWER(SUBSTITUTE(SUBSTITUTE(SUBSTITUTE(SUBSTITUTE(SUBSTITUTE('Ingest Template'!U658,"https:",""),"www.",""),"/",""),"?hl=en",""),"instagram.com",""))</f>
        <v/>
      </c>
      <c r="W658" s="41" t="str">
        <f t="array" ref="W658">IF('Ingest Template'!V658="",(INDEX(DropDown!$L$2:$L$392,MATCH('Ingest Template'!E658,DropDown!$J$2:$J$392,0))&amp;"|"&amp;'Ingest Template'!B658),(INDEX(DropDown!$L$2:$L$392,MATCH('Ingest Template'!E658,DropDown!$J$2:$J$392,0))&amp;"|"&amp;'Ingest Template'!B658)&amp;CHAR(10)&amp;'Ingest Template'!V658)</f>
        <v>#N/A</v>
      </c>
      <c r="X658" s="41" t="str">
        <f>'Ingest Template'!W658</f>
        <v/>
      </c>
      <c r="Y658" s="21" t="str">
        <f>SUBSTITUTE(SUBSTITUTE(SUBSTITUTE('Ingest Template'!X658,"http:",""),"https:",""),"/","")</f>
        <v/>
      </c>
      <c r="Z658" s="21" t="str">
        <f t="array" ref="Z658">IF('Ingest Template'!A658="Standard",(IF(ISBLANK('Ingest Template'!AA658),"", 'Ingest Template'!AA658&amp;"|DAR")),(IF(ISBLANK('Ingest Template'!AA658),"", 'Ingest Template'!AA658&amp;"|Film Ops")))</f>
        <v/>
      </c>
      <c r="AA658" s="21"/>
      <c r="AB658" s="21" t="str">
        <f>'Ingest Template'!M658</f>
        <v/>
      </c>
      <c r="AC658" s="21" t="str">
        <f>'Ingest Template'!Y658</f>
        <v/>
      </c>
      <c r="AD658" s="21" t="str">
        <f>'Ingest Template'!C658</f>
        <v/>
      </c>
      <c r="AE658" s="21" t="str">
        <f>'Ingest Template'!Z658</f>
        <v/>
      </c>
      <c r="AF658" s="29"/>
      <c r="AG658" s="21" t="str">
        <f t="array" ref="AG658">IF('Ingest Template'!A658="Standard",(CONCATENATE(IF(ISBLANK('Ingest Template'!O658),"", 'Ingest Template'!O658&amp;"|DAR"),CHAR(10), IF(ISBLANK('Ingest Template'!P658),"", 'Ingest Template'!P658&amp;"|DAR"),CHAR(10), IF(ISBLANK('Ingest Template'!Q658),"", 'Ingest Template'!Q658&amp;"|DAR"))),(CONCATENATE(IF(ISBLANK('Ingest Template'!O658),"", 'Ingest Template'!O658&amp;"|Operations - Core Title"),CHAR(10), IF(ISBLANK('Ingest Template'!P658),"", 'Ingest Template'!P658&amp;"|Operations - Core Title"),CHAR(10), IF(ISBLANK('Ingest Template'!Q658),"", 'Ingest Template'!Q658&amp;"|Operations - Core Title"))))</f>
        <v>#|Operations - Core Title
#|Operations - Core Title
</v>
      </c>
      <c r="AH658" s="21"/>
      <c r="AI658" s="21"/>
      <c r="AJ658" s="53" t="str">
        <f>if('Ingest Template'!A658="Standard",'Ingest Template'!N658&amp; "|DAR|DAR|2021-01-01",'Ingest Template'!N658&amp; "|Operations - Core Title|Operations - Core Title")</f>
        <v>#N/A</v>
      </c>
      <c r="AK658" s="53" t="str">
        <f>if('Ingest Template'!A658="Standard",'Ingest Template'!R658&amp; "|2021-01-01",'Ingest Template'!R658)</f>
        <v>#N/A</v>
      </c>
      <c r="AL658" s="21"/>
      <c r="AM658" s="21"/>
    </row>
    <row r="659">
      <c r="A659" s="21"/>
      <c r="B659" s="21" t="str">
        <f>'Ingest Template'!B659&amp;IF('Ingest Template'!A659 = "Standard", " - DAR","")</f>
        <v/>
      </c>
      <c r="C659" s="26" t="s">
        <v>109</v>
      </c>
      <c r="D659" s="29" t="str">
        <f t="array" ref="D659">CONCATENATE(INDEX(DropDown!$H$2:$H$10,MATCH(1,COUNTIF('Ingest Template'!F659,"*"&amp;DropDown!$H$2:$H$10&amp;"*"),0)),CHAR(10),'Ingest Template'!G659)</f>
        <v>#N/A</v>
      </c>
      <c r="E659" s="21" t="str">
        <f>CONCATENATE('Ingest Template'!H659,CHAR(10),'Ingest Template'!I659,CHAR(10),'Ingest Template'!J659)</f>
        <v>
</v>
      </c>
      <c r="F659" s="26" t="str">
        <f>'Ingest Template'!H659</f>
        <v/>
      </c>
      <c r="G659" s="21"/>
      <c r="H659" s="29"/>
      <c r="I659" s="21"/>
      <c r="J659" s="29" t="str">
        <f t="array" ref="J659">iF('Ingest Template'!A659="Standard","Pristine Brand",INDEX(DropDown!$M$2:$M$392,MATCH('Ingest Template'!E659,DropDown!$J$2:$J$392,0)))</f>
        <v>#N/A</v>
      </c>
      <c r="K659" s="21" t="str">
        <f>iF('Ingest Template'!A659="Standard",'Ingest Template'!K659&amp;CHAR(10)&amp;'Ingest Template'!L659,"Competitive View")</f>
        <v>Competitive View</v>
      </c>
      <c r="L659" s="29" t="s">
        <v>146</v>
      </c>
      <c r="M659" s="37" t="str">
        <f>'Ingest Template'!D659</f>
        <v/>
      </c>
      <c r="N659" s="21"/>
      <c r="O659" s="21"/>
      <c r="P659" s="21"/>
      <c r="Q659" s="21"/>
      <c r="R659" s="21" t="str">
        <f>'Ingest Template'!E659</f>
        <v/>
      </c>
      <c r="S659" s="29" t="s">
        <v>153</v>
      </c>
      <c r="T659" s="21" t="str">
        <f>'Ingest Template'!T659</f>
        <v/>
      </c>
      <c r="U659" s="21" t="str">
        <f>'Ingest Template'!S659</f>
        <v/>
      </c>
      <c r="V659" s="21" t="str">
        <f>LOWER(SUBSTITUTE(SUBSTITUTE(SUBSTITUTE(SUBSTITUTE(SUBSTITUTE('Ingest Template'!U659,"https:",""),"www.",""),"/",""),"?hl=en",""),"instagram.com",""))</f>
        <v/>
      </c>
      <c r="W659" s="41" t="str">
        <f t="array" ref="W659">IF('Ingest Template'!V659="",(INDEX(DropDown!$L$2:$L$392,MATCH('Ingest Template'!E659,DropDown!$J$2:$J$392,0))&amp;"|"&amp;'Ingest Template'!B659),(INDEX(DropDown!$L$2:$L$392,MATCH('Ingest Template'!E659,DropDown!$J$2:$J$392,0))&amp;"|"&amp;'Ingest Template'!B659)&amp;CHAR(10)&amp;'Ingest Template'!V659)</f>
        <v>#N/A</v>
      </c>
      <c r="X659" s="41" t="str">
        <f>'Ingest Template'!W659</f>
        <v/>
      </c>
      <c r="Y659" s="21" t="str">
        <f>SUBSTITUTE(SUBSTITUTE(SUBSTITUTE('Ingest Template'!X659,"http:",""),"https:",""),"/","")</f>
        <v/>
      </c>
      <c r="Z659" s="21" t="str">
        <f t="array" ref="Z659">IF('Ingest Template'!A659="Standard",(IF(ISBLANK('Ingest Template'!AA659),"", 'Ingest Template'!AA659&amp;"|DAR")),(IF(ISBLANK('Ingest Template'!AA659),"", 'Ingest Template'!AA659&amp;"|Film Ops")))</f>
        <v/>
      </c>
      <c r="AA659" s="21"/>
      <c r="AB659" s="21" t="str">
        <f>'Ingest Template'!M659</f>
        <v/>
      </c>
      <c r="AC659" s="21" t="str">
        <f>'Ingest Template'!Y659</f>
        <v/>
      </c>
      <c r="AD659" s="21" t="str">
        <f>'Ingest Template'!C659</f>
        <v/>
      </c>
      <c r="AE659" s="21" t="str">
        <f>'Ingest Template'!Z659</f>
        <v/>
      </c>
      <c r="AF659" s="29"/>
      <c r="AG659" s="21" t="str">
        <f t="array" ref="AG659">IF('Ingest Template'!A659="Standard",(CONCATENATE(IF(ISBLANK('Ingest Template'!O659),"", 'Ingest Template'!O659&amp;"|DAR"),CHAR(10), IF(ISBLANK('Ingest Template'!P659),"", 'Ingest Template'!P659&amp;"|DAR"),CHAR(10), IF(ISBLANK('Ingest Template'!Q659),"", 'Ingest Template'!Q659&amp;"|DAR"))),(CONCATENATE(IF(ISBLANK('Ingest Template'!O659),"", 'Ingest Template'!O659&amp;"|Operations - Core Title"),CHAR(10), IF(ISBLANK('Ingest Template'!P659),"", 'Ingest Template'!P659&amp;"|Operations - Core Title"),CHAR(10), IF(ISBLANK('Ingest Template'!Q659),"", 'Ingest Template'!Q659&amp;"|Operations - Core Title"))))</f>
        <v>#|Operations - Core Title
#|Operations - Core Title
</v>
      </c>
      <c r="AH659" s="21"/>
      <c r="AI659" s="21"/>
      <c r="AJ659" s="53" t="str">
        <f>if('Ingest Template'!A659="Standard",'Ingest Template'!N659&amp; "|DAR|DAR|2021-01-01",'Ingest Template'!N659&amp; "|Operations - Core Title|Operations - Core Title")</f>
        <v>#N/A</v>
      </c>
      <c r="AK659" s="53" t="str">
        <f>if('Ingest Template'!A659="Standard",'Ingest Template'!R659&amp; "|2021-01-01",'Ingest Template'!R659)</f>
        <v>#N/A</v>
      </c>
      <c r="AL659" s="21"/>
      <c r="AM659" s="21"/>
    </row>
    <row r="660">
      <c r="A660" s="21"/>
      <c r="B660" s="21" t="str">
        <f>'Ingest Template'!B660&amp;IF('Ingest Template'!A660 = "Standard", " - DAR","")</f>
        <v/>
      </c>
      <c r="C660" s="26" t="s">
        <v>109</v>
      </c>
      <c r="D660" s="29" t="str">
        <f t="array" ref="D660">CONCATENATE(INDEX(DropDown!$H$2:$H$10,MATCH(1,COUNTIF('Ingest Template'!F660,"*"&amp;DropDown!$H$2:$H$10&amp;"*"),0)),CHAR(10),'Ingest Template'!G660)</f>
        <v>#N/A</v>
      </c>
      <c r="E660" s="21" t="str">
        <f>CONCATENATE('Ingest Template'!H660,CHAR(10),'Ingest Template'!I660,CHAR(10),'Ingest Template'!J660)</f>
        <v>
</v>
      </c>
      <c r="F660" s="26" t="str">
        <f>'Ingest Template'!H660</f>
        <v/>
      </c>
      <c r="G660" s="21"/>
      <c r="H660" s="29"/>
      <c r="I660" s="21"/>
      <c r="J660" s="29" t="str">
        <f t="array" ref="J660">iF('Ingest Template'!A660="Standard","Pristine Brand",INDEX(DropDown!$M$2:$M$392,MATCH('Ingest Template'!E660,DropDown!$J$2:$J$392,0)))</f>
        <v>#N/A</v>
      </c>
      <c r="K660" s="21" t="str">
        <f>iF('Ingest Template'!A660="Standard",'Ingest Template'!K660&amp;CHAR(10)&amp;'Ingest Template'!L660,"Competitive View")</f>
        <v>Competitive View</v>
      </c>
      <c r="L660" s="29" t="s">
        <v>146</v>
      </c>
      <c r="M660" s="37" t="str">
        <f>'Ingest Template'!D660</f>
        <v/>
      </c>
      <c r="N660" s="21"/>
      <c r="O660" s="21"/>
      <c r="P660" s="21"/>
      <c r="Q660" s="21"/>
      <c r="R660" s="21" t="str">
        <f>'Ingest Template'!E660</f>
        <v/>
      </c>
      <c r="S660" s="29" t="s">
        <v>153</v>
      </c>
      <c r="T660" s="21" t="str">
        <f>'Ingest Template'!T660</f>
        <v/>
      </c>
      <c r="U660" s="21" t="str">
        <f>'Ingest Template'!S660</f>
        <v/>
      </c>
      <c r="V660" s="21" t="str">
        <f>LOWER(SUBSTITUTE(SUBSTITUTE(SUBSTITUTE(SUBSTITUTE(SUBSTITUTE('Ingest Template'!U660,"https:",""),"www.",""),"/",""),"?hl=en",""),"instagram.com",""))</f>
        <v/>
      </c>
      <c r="W660" s="41" t="str">
        <f t="array" ref="W660">IF('Ingest Template'!V660="",(INDEX(DropDown!$L$2:$L$392,MATCH('Ingest Template'!E660,DropDown!$J$2:$J$392,0))&amp;"|"&amp;'Ingest Template'!B660),(INDEX(DropDown!$L$2:$L$392,MATCH('Ingest Template'!E660,DropDown!$J$2:$J$392,0))&amp;"|"&amp;'Ingest Template'!B660)&amp;CHAR(10)&amp;'Ingest Template'!V660)</f>
        <v>#N/A</v>
      </c>
      <c r="X660" s="41" t="str">
        <f>'Ingest Template'!W660</f>
        <v/>
      </c>
      <c r="Y660" s="21" t="str">
        <f>SUBSTITUTE(SUBSTITUTE(SUBSTITUTE('Ingest Template'!X660,"http:",""),"https:",""),"/","")</f>
        <v/>
      </c>
      <c r="Z660" s="21" t="str">
        <f t="array" ref="Z660">IF('Ingest Template'!A660="Standard",(IF(ISBLANK('Ingest Template'!AA660),"", 'Ingest Template'!AA660&amp;"|DAR")),(IF(ISBLANK('Ingest Template'!AA660),"", 'Ingest Template'!AA660&amp;"|Film Ops")))</f>
        <v/>
      </c>
      <c r="AA660" s="21"/>
      <c r="AB660" s="21" t="str">
        <f>'Ingest Template'!M660</f>
        <v/>
      </c>
      <c r="AC660" s="21" t="str">
        <f>'Ingest Template'!Y660</f>
        <v/>
      </c>
      <c r="AD660" s="21" t="str">
        <f>'Ingest Template'!C660</f>
        <v/>
      </c>
      <c r="AE660" s="21" t="str">
        <f>'Ingest Template'!Z660</f>
        <v/>
      </c>
      <c r="AF660" s="29"/>
      <c r="AG660" s="21" t="str">
        <f t="array" ref="AG660">IF('Ingest Template'!A660="Standard",(CONCATENATE(IF(ISBLANK('Ingest Template'!O660),"", 'Ingest Template'!O660&amp;"|DAR"),CHAR(10), IF(ISBLANK('Ingest Template'!P660),"", 'Ingest Template'!P660&amp;"|DAR"),CHAR(10), IF(ISBLANK('Ingest Template'!Q660),"", 'Ingest Template'!Q660&amp;"|DAR"))),(CONCATENATE(IF(ISBLANK('Ingest Template'!O660),"", 'Ingest Template'!O660&amp;"|Operations - Core Title"),CHAR(10), IF(ISBLANK('Ingest Template'!P660),"", 'Ingest Template'!P660&amp;"|Operations - Core Title"),CHAR(10), IF(ISBLANK('Ingest Template'!Q660),"", 'Ingest Template'!Q660&amp;"|Operations - Core Title"))))</f>
        <v>#|Operations - Core Title
#|Operations - Core Title
</v>
      </c>
      <c r="AH660" s="21"/>
      <c r="AI660" s="21"/>
      <c r="AJ660" s="53" t="str">
        <f>if('Ingest Template'!A660="Standard",'Ingest Template'!N660&amp; "|DAR|DAR|2021-01-01",'Ingest Template'!N660&amp; "|Operations - Core Title|Operations - Core Title")</f>
        <v>#N/A</v>
      </c>
      <c r="AK660" s="53" t="str">
        <f>if('Ingest Template'!A660="Standard",'Ingest Template'!R660&amp; "|2021-01-01",'Ingest Template'!R660)</f>
        <v>#N/A</v>
      </c>
      <c r="AL660" s="21"/>
      <c r="AM660" s="21"/>
    </row>
    <row r="661">
      <c r="A661" s="21"/>
      <c r="B661" s="21" t="str">
        <f>'Ingest Template'!B661&amp;IF('Ingest Template'!A661 = "Standard", " - DAR","")</f>
        <v/>
      </c>
      <c r="C661" s="26" t="s">
        <v>109</v>
      </c>
      <c r="D661" s="29" t="str">
        <f t="array" ref="D661">CONCATENATE(INDEX(DropDown!$H$2:$H$10,MATCH(1,COUNTIF('Ingest Template'!F661,"*"&amp;DropDown!$H$2:$H$10&amp;"*"),0)),CHAR(10),'Ingest Template'!G661)</f>
        <v>#N/A</v>
      </c>
      <c r="E661" s="21" t="str">
        <f>CONCATENATE('Ingest Template'!H661,CHAR(10),'Ingest Template'!I661,CHAR(10),'Ingest Template'!J661)</f>
        <v>
</v>
      </c>
      <c r="F661" s="26" t="str">
        <f>'Ingest Template'!H661</f>
        <v/>
      </c>
      <c r="G661" s="21"/>
      <c r="H661" s="29"/>
      <c r="I661" s="21"/>
      <c r="J661" s="29" t="str">
        <f t="array" ref="J661">iF('Ingest Template'!A661="Standard","Pristine Brand",INDEX(DropDown!$M$2:$M$392,MATCH('Ingest Template'!E661,DropDown!$J$2:$J$392,0)))</f>
        <v>#N/A</v>
      </c>
      <c r="K661" s="21" t="str">
        <f>iF('Ingest Template'!A661="Standard",'Ingest Template'!K661&amp;CHAR(10)&amp;'Ingest Template'!L661,"Competitive View")</f>
        <v>Competitive View</v>
      </c>
      <c r="L661" s="29" t="s">
        <v>146</v>
      </c>
      <c r="M661" s="37" t="str">
        <f>'Ingest Template'!D661</f>
        <v/>
      </c>
      <c r="N661" s="21"/>
      <c r="O661" s="21"/>
      <c r="P661" s="21"/>
      <c r="Q661" s="21"/>
      <c r="R661" s="21" t="str">
        <f>'Ingest Template'!E661</f>
        <v/>
      </c>
      <c r="S661" s="29" t="s">
        <v>153</v>
      </c>
      <c r="T661" s="21" t="str">
        <f>'Ingest Template'!T661</f>
        <v/>
      </c>
      <c r="U661" s="21" t="str">
        <f>'Ingest Template'!S661</f>
        <v/>
      </c>
      <c r="V661" s="21" t="str">
        <f>LOWER(SUBSTITUTE(SUBSTITUTE(SUBSTITUTE(SUBSTITUTE(SUBSTITUTE('Ingest Template'!U661,"https:",""),"www.",""),"/",""),"?hl=en",""),"instagram.com",""))</f>
        <v/>
      </c>
      <c r="W661" s="41" t="str">
        <f t="array" ref="W661">IF('Ingest Template'!V661="",(INDEX(DropDown!$L$2:$L$392,MATCH('Ingest Template'!E661,DropDown!$J$2:$J$392,0))&amp;"|"&amp;'Ingest Template'!B661),(INDEX(DropDown!$L$2:$L$392,MATCH('Ingest Template'!E661,DropDown!$J$2:$J$392,0))&amp;"|"&amp;'Ingest Template'!B661)&amp;CHAR(10)&amp;'Ingest Template'!V661)</f>
        <v>#N/A</v>
      </c>
      <c r="X661" s="41" t="str">
        <f>'Ingest Template'!W661</f>
        <v/>
      </c>
      <c r="Y661" s="21" t="str">
        <f>SUBSTITUTE(SUBSTITUTE(SUBSTITUTE('Ingest Template'!X661,"http:",""),"https:",""),"/","")</f>
        <v/>
      </c>
      <c r="Z661" s="21" t="str">
        <f t="array" ref="Z661">IF('Ingest Template'!A661="Standard",(IF(ISBLANK('Ingest Template'!AA661),"", 'Ingest Template'!AA661&amp;"|DAR")),(IF(ISBLANK('Ingest Template'!AA661),"", 'Ingest Template'!AA661&amp;"|Film Ops")))</f>
        <v/>
      </c>
      <c r="AA661" s="21"/>
      <c r="AB661" s="21" t="str">
        <f>'Ingest Template'!M661</f>
        <v/>
      </c>
      <c r="AC661" s="21" t="str">
        <f>'Ingest Template'!Y661</f>
        <v/>
      </c>
      <c r="AD661" s="21" t="str">
        <f>'Ingest Template'!C661</f>
        <v/>
      </c>
      <c r="AE661" s="21" t="str">
        <f>'Ingest Template'!Z661</f>
        <v/>
      </c>
      <c r="AF661" s="29"/>
      <c r="AG661" s="21" t="str">
        <f t="array" ref="AG661">IF('Ingest Template'!A661="Standard",(CONCATENATE(IF(ISBLANK('Ingest Template'!O661),"", 'Ingest Template'!O661&amp;"|DAR"),CHAR(10), IF(ISBLANK('Ingest Template'!P661),"", 'Ingest Template'!P661&amp;"|DAR"),CHAR(10), IF(ISBLANK('Ingest Template'!Q661),"", 'Ingest Template'!Q661&amp;"|DAR"))),(CONCATENATE(IF(ISBLANK('Ingest Template'!O661),"", 'Ingest Template'!O661&amp;"|Operations - Core Title"),CHAR(10), IF(ISBLANK('Ingest Template'!P661),"", 'Ingest Template'!P661&amp;"|Operations - Core Title"),CHAR(10), IF(ISBLANK('Ingest Template'!Q661),"", 'Ingest Template'!Q661&amp;"|Operations - Core Title"))))</f>
        <v>#|Operations - Core Title
#|Operations - Core Title
</v>
      </c>
      <c r="AH661" s="21"/>
      <c r="AI661" s="21"/>
      <c r="AJ661" s="53" t="str">
        <f>if('Ingest Template'!A661="Standard",'Ingest Template'!N661&amp; "|DAR|DAR|2021-01-01",'Ingest Template'!N661&amp; "|Operations - Core Title|Operations - Core Title")</f>
        <v>#N/A</v>
      </c>
      <c r="AK661" s="53" t="str">
        <f>if('Ingest Template'!A661="Standard",'Ingest Template'!R661&amp; "|2021-01-01",'Ingest Template'!R661)</f>
        <v>#N/A</v>
      </c>
      <c r="AL661" s="21"/>
      <c r="AM661" s="21"/>
    </row>
    <row r="662">
      <c r="A662" s="21"/>
      <c r="B662" s="21" t="str">
        <f>'Ingest Template'!B662&amp;IF('Ingest Template'!A662 = "Standard", " - DAR","")</f>
        <v/>
      </c>
      <c r="C662" s="26" t="s">
        <v>109</v>
      </c>
      <c r="D662" s="29" t="str">
        <f t="array" ref="D662">CONCATENATE(INDEX(DropDown!$H$2:$H$10,MATCH(1,COUNTIF('Ingest Template'!F662,"*"&amp;DropDown!$H$2:$H$10&amp;"*"),0)),CHAR(10),'Ingest Template'!G662)</f>
        <v>#N/A</v>
      </c>
      <c r="E662" s="21" t="str">
        <f>CONCATENATE('Ingest Template'!H662,CHAR(10),'Ingest Template'!I662,CHAR(10),'Ingest Template'!J662)</f>
        <v>
</v>
      </c>
      <c r="F662" s="26" t="str">
        <f>'Ingest Template'!H662</f>
        <v/>
      </c>
      <c r="G662" s="21"/>
      <c r="H662" s="29"/>
      <c r="I662" s="21"/>
      <c r="J662" s="29" t="str">
        <f t="array" ref="J662">iF('Ingest Template'!A662="Standard","Pristine Brand",INDEX(DropDown!$M$2:$M$392,MATCH('Ingest Template'!E662,DropDown!$J$2:$J$392,0)))</f>
        <v>#N/A</v>
      </c>
      <c r="K662" s="21" t="str">
        <f>iF('Ingest Template'!A662="Standard",'Ingest Template'!K662&amp;CHAR(10)&amp;'Ingest Template'!L662,"Competitive View")</f>
        <v>Competitive View</v>
      </c>
      <c r="L662" s="29" t="s">
        <v>146</v>
      </c>
      <c r="M662" s="37" t="str">
        <f>'Ingest Template'!D662</f>
        <v/>
      </c>
      <c r="N662" s="21"/>
      <c r="O662" s="21"/>
      <c r="P662" s="21"/>
      <c r="Q662" s="21"/>
      <c r="R662" s="21" t="str">
        <f>'Ingest Template'!E662</f>
        <v/>
      </c>
      <c r="S662" s="29" t="s">
        <v>153</v>
      </c>
      <c r="T662" s="21" t="str">
        <f>'Ingest Template'!T662</f>
        <v/>
      </c>
      <c r="U662" s="21" t="str">
        <f>'Ingest Template'!S662</f>
        <v/>
      </c>
      <c r="V662" s="21" t="str">
        <f>LOWER(SUBSTITUTE(SUBSTITUTE(SUBSTITUTE(SUBSTITUTE(SUBSTITUTE('Ingest Template'!U662,"https:",""),"www.",""),"/",""),"?hl=en",""),"instagram.com",""))</f>
        <v/>
      </c>
      <c r="W662" s="41" t="str">
        <f t="array" ref="W662">IF('Ingest Template'!V662="",(INDEX(DropDown!$L$2:$L$392,MATCH('Ingest Template'!E662,DropDown!$J$2:$J$392,0))&amp;"|"&amp;'Ingest Template'!B662),(INDEX(DropDown!$L$2:$L$392,MATCH('Ingest Template'!E662,DropDown!$J$2:$J$392,0))&amp;"|"&amp;'Ingest Template'!B662)&amp;CHAR(10)&amp;'Ingest Template'!V662)</f>
        <v>#N/A</v>
      </c>
      <c r="X662" s="41" t="str">
        <f>'Ingest Template'!W662</f>
        <v/>
      </c>
      <c r="Y662" s="21" t="str">
        <f>SUBSTITUTE(SUBSTITUTE(SUBSTITUTE('Ingest Template'!X662,"http:",""),"https:",""),"/","")</f>
        <v/>
      </c>
      <c r="Z662" s="21" t="str">
        <f t="array" ref="Z662">IF('Ingest Template'!A662="Standard",(IF(ISBLANK('Ingest Template'!AA662),"", 'Ingest Template'!AA662&amp;"|DAR")),(IF(ISBLANK('Ingest Template'!AA662),"", 'Ingest Template'!AA662&amp;"|Film Ops")))</f>
        <v/>
      </c>
      <c r="AA662" s="21"/>
      <c r="AB662" s="21" t="str">
        <f>'Ingest Template'!M662</f>
        <v/>
      </c>
      <c r="AC662" s="21" t="str">
        <f>'Ingest Template'!Y662</f>
        <v/>
      </c>
      <c r="AD662" s="21" t="str">
        <f>'Ingest Template'!C662</f>
        <v/>
      </c>
      <c r="AE662" s="21" t="str">
        <f>'Ingest Template'!Z662</f>
        <v/>
      </c>
      <c r="AF662" s="29"/>
      <c r="AG662" s="21" t="str">
        <f t="array" ref="AG662">IF('Ingest Template'!A662="Standard",(CONCATENATE(IF(ISBLANK('Ingest Template'!O662),"", 'Ingest Template'!O662&amp;"|DAR"),CHAR(10), IF(ISBLANK('Ingest Template'!P662),"", 'Ingest Template'!P662&amp;"|DAR"),CHAR(10), IF(ISBLANK('Ingest Template'!Q662),"", 'Ingest Template'!Q662&amp;"|DAR"))),(CONCATENATE(IF(ISBLANK('Ingest Template'!O662),"", 'Ingest Template'!O662&amp;"|Operations - Core Title"),CHAR(10), IF(ISBLANK('Ingest Template'!P662),"", 'Ingest Template'!P662&amp;"|Operations - Core Title"),CHAR(10), IF(ISBLANK('Ingest Template'!Q662),"", 'Ingest Template'!Q662&amp;"|Operations - Core Title"))))</f>
        <v>#|Operations - Core Title
#|Operations - Core Title
</v>
      </c>
      <c r="AH662" s="21"/>
      <c r="AI662" s="21"/>
      <c r="AJ662" s="53" t="str">
        <f>if('Ingest Template'!A662="Standard",'Ingest Template'!N662&amp; "|DAR|DAR|2021-01-01",'Ingest Template'!N662&amp; "|Operations - Core Title|Operations - Core Title")</f>
        <v>#N/A</v>
      </c>
      <c r="AK662" s="53" t="str">
        <f>if('Ingest Template'!A662="Standard",'Ingest Template'!R662&amp; "|2021-01-01",'Ingest Template'!R662)</f>
        <v>#N/A</v>
      </c>
      <c r="AL662" s="21"/>
      <c r="AM662" s="21"/>
    </row>
    <row r="663">
      <c r="A663" s="21"/>
      <c r="B663" s="21" t="str">
        <f>'Ingest Template'!B663&amp;IF('Ingest Template'!A663 = "Standard", " - DAR","")</f>
        <v/>
      </c>
      <c r="C663" s="26" t="s">
        <v>109</v>
      </c>
      <c r="D663" s="29" t="str">
        <f t="array" ref="D663">CONCATENATE(INDEX(DropDown!$H$2:$H$10,MATCH(1,COUNTIF('Ingest Template'!F663,"*"&amp;DropDown!$H$2:$H$10&amp;"*"),0)),CHAR(10),'Ingest Template'!G663)</f>
        <v>#N/A</v>
      </c>
      <c r="E663" s="21" t="str">
        <f>CONCATENATE('Ingest Template'!H663,CHAR(10),'Ingest Template'!I663,CHAR(10),'Ingest Template'!J663)</f>
        <v>
</v>
      </c>
      <c r="F663" s="26" t="str">
        <f>'Ingest Template'!H663</f>
        <v/>
      </c>
      <c r="G663" s="21"/>
      <c r="H663" s="29"/>
      <c r="I663" s="21"/>
      <c r="J663" s="29" t="str">
        <f t="array" ref="J663">iF('Ingest Template'!A663="Standard","Pristine Brand",INDEX(DropDown!$M$2:$M$392,MATCH('Ingest Template'!E663,DropDown!$J$2:$J$392,0)))</f>
        <v>#N/A</v>
      </c>
      <c r="K663" s="21" t="str">
        <f>iF('Ingest Template'!A663="Standard",'Ingest Template'!K663&amp;CHAR(10)&amp;'Ingest Template'!L663,"Competitive View")</f>
        <v>Competitive View</v>
      </c>
      <c r="L663" s="29" t="s">
        <v>146</v>
      </c>
      <c r="M663" s="37" t="str">
        <f>'Ingest Template'!D663</f>
        <v/>
      </c>
      <c r="N663" s="21"/>
      <c r="O663" s="21"/>
      <c r="P663" s="21"/>
      <c r="Q663" s="21"/>
      <c r="R663" s="21" t="str">
        <f>'Ingest Template'!E663</f>
        <v/>
      </c>
      <c r="S663" s="29" t="s">
        <v>153</v>
      </c>
      <c r="T663" s="21" t="str">
        <f>'Ingest Template'!T663</f>
        <v/>
      </c>
      <c r="U663" s="21" t="str">
        <f>'Ingest Template'!S663</f>
        <v/>
      </c>
      <c r="V663" s="21" t="str">
        <f>LOWER(SUBSTITUTE(SUBSTITUTE(SUBSTITUTE(SUBSTITUTE(SUBSTITUTE('Ingest Template'!U663,"https:",""),"www.",""),"/",""),"?hl=en",""),"instagram.com",""))</f>
        <v/>
      </c>
      <c r="W663" s="41" t="str">
        <f t="array" ref="W663">IF('Ingest Template'!V663="",(INDEX(DropDown!$L$2:$L$392,MATCH('Ingest Template'!E663,DropDown!$J$2:$J$392,0))&amp;"|"&amp;'Ingest Template'!B663),(INDEX(DropDown!$L$2:$L$392,MATCH('Ingest Template'!E663,DropDown!$J$2:$J$392,0))&amp;"|"&amp;'Ingest Template'!B663)&amp;CHAR(10)&amp;'Ingest Template'!V663)</f>
        <v>#N/A</v>
      </c>
      <c r="X663" s="41" t="str">
        <f>'Ingest Template'!W663</f>
        <v/>
      </c>
      <c r="Y663" s="21" t="str">
        <f>SUBSTITUTE(SUBSTITUTE(SUBSTITUTE('Ingest Template'!X663,"http:",""),"https:",""),"/","")</f>
        <v/>
      </c>
      <c r="Z663" s="21" t="str">
        <f t="array" ref="Z663">IF('Ingest Template'!A663="Standard",(IF(ISBLANK('Ingest Template'!AA663),"", 'Ingest Template'!AA663&amp;"|DAR")),(IF(ISBLANK('Ingest Template'!AA663),"", 'Ingest Template'!AA663&amp;"|Film Ops")))</f>
        <v/>
      </c>
      <c r="AA663" s="21"/>
      <c r="AB663" s="21" t="str">
        <f>'Ingest Template'!M663</f>
        <v/>
      </c>
      <c r="AC663" s="21" t="str">
        <f>'Ingest Template'!Y663</f>
        <v/>
      </c>
      <c r="AD663" s="21" t="str">
        <f>'Ingest Template'!C663</f>
        <v/>
      </c>
      <c r="AE663" s="21" t="str">
        <f>'Ingest Template'!Z663</f>
        <v/>
      </c>
      <c r="AF663" s="29"/>
      <c r="AG663" s="21" t="str">
        <f t="array" ref="AG663">IF('Ingest Template'!A663="Standard",(CONCATENATE(IF(ISBLANK('Ingest Template'!O663),"", 'Ingest Template'!O663&amp;"|DAR"),CHAR(10), IF(ISBLANK('Ingest Template'!P663),"", 'Ingest Template'!P663&amp;"|DAR"),CHAR(10), IF(ISBLANK('Ingest Template'!Q663),"", 'Ingest Template'!Q663&amp;"|DAR"))),(CONCATENATE(IF(ISBLANK('Ingest Template'!O663),"", 'Ingest Template'!O663&amp;"|Operations - Core Title"),CHAR(10), IF(ISBLANK('Ingest Template'!P663),"", 'Ingest Template'!P663&amp;"|Operations - Core Title"),CHAR(10), IF(ISBLANK('Ingest Template'!Q663),"", 'Ingest Template'!Q663&amp;"|Operations - Core Title"))))</f>
        <v>#|Operations - Core Title
#|Operations - Core Title
</v>
      </c>
      <c r="AH663" s="21"/>
      <c r="AI663" s="21"/>
      <c r="AJ663" s="53" t="str">
        <f>if('Ingest Template'!A663="Standard",'Ingest Template'!N663&amp; "|DAR|DAR|2021-01-01",'Ingest Template'!N663&amp; "|Operations - Core Title|Operations - Core Title")</f>
        <v>#N/A</v>
      </c>
      <c r="AK663" s="53" t="str">
        <f>if('Ingest Template'!A663="Standard",'Ingest Template'!R663&amp; "|2021-01-01",'Ingest Template'!R663)</f>
        <v>#N/A</v>
      </c>
      <c r="AL663" s="21"/>
      <c r="AM663" s="21"/>
    </row>
    <row r="664">
      <c r="A664" s="21"/>
      <c r="B664" s="21" t="str">
        <f>'Ingest Template'!B664&amp;IF('Ingest Template'!A664 = "Standard", " - DAR","")</f>
        <v/>
      </c>
      <c r="C664" s="26" t="s">
        <v>109</v>
      </c>
      <c r="D664" s="29" t="str">
        <f t="array" ref="D664">CONCATENATE(INDEX(DropDown!$H$2:$H$10,MATCH(1,COUNTIF('Ingest Template'!F664,"*"&amp;DropDown!$H$2:$H$10&amp;"*"),0)),CHAR(10),'Ingest Template'!G664)</f>
        <v>#N/A</v>
      </c>
      <c r="E664" s="21" t="str">
        <f>CONCATENATE('Ingest Template'!H664,CHAR(10),'Ingest Template'!I664,CHAR(10),'Ingest Template'!J664)</f>
        <v>
</v>
      </c>
      <c r="F664" s="26" t="str">
        <f>'Ingest Template'!H664</f>
        <v/>
      </c>
      <c r="G664" s="21"/>
      <c r="H664" s="29"/>
      <c r="I664" s="21"/>
      <c r="J664" s="29" t="str">
        <f t="array" ref="J664">iF('Ingest Template'!A664="Standard","Pristine Brand",INDEX(DropDown!$M$2:$M$392,MATCH('Ingest Template'!E664,DropDown!$J$2:$J$392,0)))</f>
        <v>#N/A</v>
      </c>
      <c r="K664" s="21" t="str">
        <f>iF('Ingest Template'!A664="Standard",'Ingest Template'!K664&amp;CHAR(10)&amp;'Ingest Template'!L664,"Competitive View")</f>
        <v>Competitive View</v>
      </c>
      <c r="L664" s="29" t="s">
        <v>146</v>
      </c>
      <c r="M664" s="37" t="str">
        <f>'Ingest Template'!D664</f>
        <v/>
      </c>
      <c r="N664" s="21"/>
      <c r="O664" s="21"/>
      <c r="P664" s="21"/>
      <c r="Q664" s="21"/>
      <c r="R664" s="21" t="str">
        <f>'Ingest Template'!E664</f>
        <v/>
      </c>
      <c r="S664" s="29" t="s">
        <v>153</v>
      </c>
      <c r="T664" s="21" t="str">
        <f>'Ingest Template'!T664</f>
        <v/>
      </c>
      <c r="U664" s="21" t="str">
        <f>'Ingest Template'!S664</f>
        <v/>
      </c>
      <c r="V664" s="21" t="str">
        <f>LOWER(SUBSTITUTE(SUBSTITUTE(SUBSTITUTE(SUBSTITUTE(SUBSTITUTE('Ingest Template'!U664,"https:",""),"www.",""),"/",""),"?hl=en",""),"instagram.com",""))</f>
        <v/>
      </c>
      <c r="W664" s="41" t="str">
        <f t="array" ref="W664">IF('Ingest Template'!V664="",(INDEX(DropDown!$L$2:$L$392,MATCH('Ingest Template'!E664,DropDown!$J$2:$J$392,0))&amp;"|"&amp;'Ingest Template'!B664),(INDEX(DropDown!$L$2:$L$392,MATCH('Ingest Template'!E664,DropDown!$J$2:$J$392,0))&amp;"|"&amp;'Ingest Template'!B664)&amp;CHAR(10)&amp;'Ingest Template'!V664)</f>
        <v>#N/A</v>
      </c>
      <c r="X664" s="41" t="str">
        <f>'Ingest Template'!W664</f>
        <v/>
      </c>
      <c r="Y664" s="21" t="str">
        <f>SUBSTITUTE(SUBSTITUTE(SUBSTITUTE('Ingest Template'!X664,"http:",""),"https:",""),"/","")</f>
        <v/>
      </c>
      <c r="Z664" s="21" t="str">
        <f t="array" ref="Z664">IF('Ingest Template'!A664="Standard",(IF(ISBLANK('Ingest Template'!AA664),"", 'Ingest Template'!AA664&amp;"|DAR")),(IF(ISBLANK('Ingest Template'!AA664),"", 'Ingest Template'!AA664&amp;"|Film Ops")))</f>
        <v/>
      </c>
      <c r="AA664" s="21"/>
      <c r="AB664" s="21" t="str">
        <f>'Ingest Template'!M664</f>
        <v/>
      </c>
      <c r="AC664" s="21" t="str">
        <f>'Ingest Template'!Y664</f>
        <v/>
      </c>
      <c r="AD664" s="21" t="str">
        <f>'Ingest Template'!C664</f>
        <v/>
      </c>
      <c r="AE664" s="21" t="str">
        <f>'Ingest Template'!Z664</f>
        <v/>
      </c>
      <c r="AF664" s="29"/>
      <c r="AG664" s="21" t="str">
        <f t="array" ref="AG664">IF('Ingest Template'!A664="Standard",(CONCATENATE(IF(ISBLANK('Ingest Template'!O664),"", 'Ingest Template'!O664&amp;"|DAR"),CHAR(10), IF(ISBLANK('Ingest Template'!P664),"", 'Ingest Template'!P664&amp;"|DAR"),CHAR(10), IF(ISBLANK('Ingest Template'!Q664),"", 'Ingest Template'!Q664&amp;"|DAR"))),(CONCATENATE(IF(ISBLANK('Ingest Template'!O664),"", 'Ingest Template'!O664&amp;"|Operations - Core Title"),CHAR(10), IF(ISBLANK('Ingest Template'!P664),"", 'Ingest Template'!P664&amp;"|Operations - Core Title"),CHAR(10), IF(ISBLANK('Ingest Template'!Q664),"", 'Ingest Template'!Q664&amp;"|Operations - Core Title"))))</f>
        <v>#|Operations - Core Title
#|Operations - Core Title
</v>
      </c>
      <c r="AH664" s="21"/>
      <c r="AI664" s="21"/>
      <c r="AJ664" s="53" t="str">
        <f>if('Ingest Template'!A664="Standard",'Ingest Template'!N664&amp; "|DAR|DAR|2021-01-01",'Ingest Template'!N664&amp; "|Operations - Core Title|Operations - Core Title")</f>
        <v>#N/A</v>
      </c>
      <c r="AK664" s="53" t="str">
        <f>if('Ingest Template'!A664="Standard",'Ingest Template'!R664&amp; "|2021-01-01",'Ingest Template'!R664)</f>
        <v>#N/A</v>
      </c>
      <c r="AL664" s="21"/>
      <c r="AM664" s="21"/>
    </row>
    <row r="665">
      <c r="A665" s="21"/>
      <c r="B665" s="21" t="str">
        <f>'Ingest Template'!B665&amp;IF('Ingest Template'!A665 = "Standard", " - DAR","")</f>
        <v/>
      </c>
      <c r="C665" s="26" t="s">
        <v>109</v>
      </c>
      <c r="D665" s="29" t="str">
        <f t="array" ref="D665">CONCATENATE(INDEX(DropDown!$H$2:$H$10,MATCH(1,COUNTIF('Ingest Template'!F665,"*"&amp;DropDown!$H$2:$H$10&amp;"*"),0)),CHAR(10),'Ingest Template'!G665)</f>
        <v>#N/A</v>
      </c>
      <c r="E665" s="21" t="str">
        <f>CONCATENATE('Ingest Template'!H665,CHAR(10),'Ingest Template'!I665,CHAR(10),'Ingest Template'!J665)</f>
        <v>
</v>
      </c>
      <c r="F665" s="26" t="str">
        <f>'Ingest Template'!H665</f>
        <v/>
      </c>
      <c r="G665" s="21"/>
      <c r="H665" s="29"/>
      <c r="I665" s="21"/>
      <c r="J665" s="29" t="str">
        <f t="array" ref="J665">iF('Ingest Template'!A665="Standard","Pristine Brand",INDEX(DropDown!$M$2:$M$392,MATCH('Ingest Template'!E665,DropDown!$J$2:$J$392,0)))</f>
        <v>#N/A</v>
      </c>
      <c r="K665" s="21" t="str">
        <f>iF('Ingest Template'!A665="Standard",'Ingest Template'!K665&amp;CHAR(10)&amp;'Ingest Template'!L665,"Competitive View")</f>
        <v>Competitive View</v>
      </c>
      <c r="L665" s="29" t="s">
        <v>146</v>
      </c>
      <c r="M665" s="37" t="str">
        <f>'Ingest Template'!D665</f>
        <v/>
      </c>
      <c r="N665" s="21"/>
      <c r="O665" s="21"/>
      <c r="P665" s="21"/>
      <c r="Q665" s="21"/>
      <c r="R665" s="21" t="str">
        <f>'Ingest Template'!E665</f>
        <v/>
      </c>
      <c r="S665" s="29" t="s">
        <v>153</v>
      </c>
      <c r="T665" s="21" t="str">
        <f>'Ingest Template'!T665</f>
        <v/>
      </c>
      <c r="U665" s="21" t="str">
        <f>'Ingest Template'!S665</f>
        <v/>
      </c>
      <c r="V665" s="21" t="str">
        <f>LOWER(SUBSTITUTE(SUBSTITUTE(SUBSTITUTE(SUBSTITUTE(SUBSTITUTE('Ingest Template'!U665,"https:",""),"www.",""),"/",""),"?hl=en",""),"instagram.com",""))</f>
        <v/>
      </c>
      <c r="W665" s="41" t="str">
        <f t="array" ref="W665">IF('Ingest Template'!V665="",(INDEX(DropDown!$L$2:$L$392,MATCH('Ingest Template'!E665,DropDown!$J$2:$J$392,0))&amp;"|"&amp;'Ingest Template'!B665),(INDEX(DropDown!$L$2:$L$392,MATCH('Ingest Template'!E665,DropDown!$J$2:$J$392,0))&amp;"|"&amp;'Ingest Template'!B665)&amp;CHAR(10)&amp;'Ingest Template'!V665)</f>
        <v>#N/A</v>
      </c>
      <c r="X665" s="41" t="str">
        <f>'Ingest Template'!W665</f>
        <v/>
      </c>
      <c r="Y665" s="21" t="str">
        <f>SUBSTITUTE(SUBSTITUTE(SUBSTITUTE('Ingest Template'!X665,"http:",""),"https:",""),"/","")</f>
        <v/>
      </c>
      <c r="Z665" s="21" t="str">
        <f t="array" ref="Z665">IF('Ingest Template'!A665="Standard",(IF(ISBLANK('Ingest Template'!AA665),"", 'Ingest Template'!AA665&amp;"|DAR")),(IF(ISBLANK('Ingest Template'!AA665),"", 'Ingest Template'!AA665&amp;"|Film Ops")))</f>
        <v/>
      </c>
      <c r="AA665" s="21"/>
      <c r="AB665" s="21" t="str">
        <f>'Ingest Template'!M665</f>
        <v/>
      </c>
      <c r="AC665" s="21" t="str">
        <f>'Ingest Template'!Y665</f>
        <v/>
      </c>
      <c r="AD665" s="21" t="str">
        <f>'Ingest Template'!C665</f>
        <v/>
      </c>
      <c r="AE665" s="21" t="str">
        <f>'Ingest Template'!Z665</f>
        <v/>
      </c>
      <c r="AF665" s="29"/>
      <c r="AG665" s="21" t="str">
        <f t="array" ref="AG665">IF('Ingest Template'!A665="Standard",(CONCATENATE(IF(ISBLANK('Ingest Template'!O665),"", 'Ingest Template'!O665&amp;"|DAR"),CHAR(10), IF(ISBLANK('Ingest Template'!P665),"", 'Ingest Template'!P665&amp;"|DAR"),CHAR(10), IF(ISBLANK('Ingest Template'!Q665),"", 'Ingest Template'!Q665&amp;"|DAR"))),(CONCATENATE(IF(ISBLANK('Ingest Template'!O665),"", 'Ingest Template'!O665&amp;"|Operations - Core Title"),CHAR(10), IF(ISBLANK('Ingest Template'!P665),"", 'Ingest Template'!P665&amp;"|Operations - Core Title"),CHAR(10), IF(ISBLANK('Ingest Template'!Q665),"", 'Ingest Template'!Q665&amp;"|Operations - Core Title"))))</f>
        <v>#|Operations - Core Title
#|Operations - Core Title
</v>
      </c>
      <c r="AH665" s="21"/>
      <c r="AI665" s="21"/>
      <c r="AJ665" s="53" t="str">
        <f>if('Ingest Template'!A665="Standard",'Ingest Template'!N665&amp; "|DAR|DAR|2021-01-01",'Ingest Template'!N665&amp; "|Operations - Core Title|Operations - Core Title")</f>
        <v>#N/A</v>
      </c>
      <c r="AK665" s="53" t="str">
        <f>if('Ingest Template'!A665="Standard",'Ingest Template'!R665&amp; "|2021-01-01",'Ingest Template'!R665)</f>
        <v>#N/A</v>
      </c>
      <c r="AL665" s="21"/>
      <c r="AM665" s="21"/>
    </row>
    <row r="666">
      <c r="A666" s="21"/>
      <c r="B666" s="21" t="str">
        <f>'Ingest Template'!B666&amp;IF('Ingest Template'!A666 = "Standard", " - DAR","")</f>
        <v/>
      </c>
      <c r="C666" s="26" t="s">
        <v>109</v>
      </c>
      <c r="D666" s="29" t="str">
        <f t="array" ref="D666">CONCATENATE(INDEX(DropDown!$H$2:$H$10,MATCH(1,COUNTIF('Ingest Template'!F666,"*"&amp;DropDown!$H$2:$H$10&amp;"*"),0)),CHAR(10),'Ingest Template'!G666)</f>
        <v>#N/A</v>
      </c>
      <c r="E666" s="21" t="str">
        <f>CONCATENATE('Ingest Template'!H666,CHAR(10),'Ingest Template'!I666,CHAR(10),'Ingest Template'!J666)</f>
        <v>
</v>
      </c>
      <c r="F666" s="26" t="str">
        <f>'Ingest Template'!H666</f>
        <v/>
      </c>
      <c r="G666" s="21"/>
      <c r="H666" s="29"/>
      <c r="I666" s="21"/>
      <c r="J666" s="29" t="str">
        <f t="array" ref="J666">iF('Ingest Template'!A666="Standard","Pristine Brand",INDEX(DropDown!$M$2:$M$392,MATCH('Ingest Template'!E666,DropDown!$J$2:$J$392,0)))</f>
        <v>#N/A</v>
      </c>
      <c r="K666" s="21" t="str">
        <f>iF('Ingest Template'!A666="Standard",'Ingest Template'!K666&amp;CHAR(10)&amp;'Ingest Template'!L666,"Competitive View")</f>
        <v>Competitive View</v>
      </c>
      <c r="L666" s="29" t="s">
        <v>146</v>
      </c>
      <c r="M666" s="37" t="str">
        <f>'Ingest Template'!D666</f>
        <v/>
      </c>
      <c r="N666" s="21"/>
      <c r="O666" s="21"/>
      <c r="P666" s="21"/>
      <c r="Q666" s="21"/>
      <c r="R666" s="21" t="str">
        <f>'Ingest Template'!E666</f>
        <v/>
      </c>
      <c r="S666" s="29" t="s">
        <v>153</v>
      </c>
      <c r="T666" s="21" t="str">
        <f>'Ingest Template'!T666</f>
        <v/>
      </c>
      <c r="U666" s="21" t="str">
        <f>'Ingest Template'!S666</f>
        <v/>
      </c>
      <c r="V666" s="21" t="str">
        <f>LOWER(SUBSTITUTE(SUBSTITUTE(SUBSTITUTE(SUBSTITUTE(SUBSTITUTE('Ingest Template'!U666,"https:",""),"www.",""),"/",""),"?hl=en",""),"instagram.com",""))</f>
        <v/>
      </c>
      <c r="W666" s="41" t="str">
        <f t="array" ref="W666">IF('Ingest Template'!V666="",(INDEX(DropDown!$L$2:$L$392,MATCH('Ingest Template'!E666,DropDown!$J$2:$J$392,0))&amp;"|"&amp;'Ingest Template'!B666),(INDEX(DropDown!$L$2:$L$392,MATCH('Ingest Template'!E666,DropDown!$J$2:$J$392,0))&amp;"|"&amp;'Ingest Template'!B666)&amp;CHAR(10)&amp;'Ingest Template'!V666)</f>
        <v>#N/A</v>
      </c>
      <c r="X666" s="41" t="str">
        <f>'Ingest Template'!W666</f>
        <v/>
      </c>
      <c r="Y666" s="21" t="str">
        <f>SUBSTITUTE(SUBSTITUTE(SUBSTITUTE('Ingest Template'!X666,"http:",""),"https:",""),"/","")</f>
        <v/>
      </c>
      <c r="Z666" s="21" t="str">
        <f t="array" ref="Z666">IF('Ingest Template'!A666="Standard",(IF(ISBLANK('Ingest Template'!AA666),"", 'Ingest Template'!AA666&amp;"|DAR")),(IF(ISBLANK('Ingest Template'!AA666),"", 'Ingest Template'!AA666&amp;"|Film Ops")))</f>
        <v/>
      </c>
      <c r="AA666" s="21"/>
      <c r="AB666" s="21" t="str">
        <f>'Ingest Template'!M666</f>
        <v/>
      </c>
      <c r="AC666" s="21" t="str">
        <f>'Ingest Template'!Y666</f>
        <v/>
      </c>
      <c r="AD666" s="21" t="str">
        <f>'Ingest Template'!C666</f>
        <v/>
      </c>
      <c r="AE666" s="21" t="str">
        <f>'Ingest Template'!Z666</f>
        <v/>
      </c>
      <c r="AF666" s="29"/>
      <c r="AG666" s="21" t="str">
        <f t="array" ref="AG666">IF('Ingest Template'!A666="Standard",(CONCATENATE(IF(ISBLANK('Ingest Template'!O666),"", 'Ingest Template'!O666&amp;"|DAR"),CHAR(10), IF(ISBLANK('Ingest Template'!P666),"", 'Ingest Template'!P666&amp;"|DAR"),CHAR(10), IF(ISBLANK('Ingest Template'!Q666),"", 'Ingest Template'!Q666&amp;"|DAR"))),(CONCATENATE(IF(ISBLANK('Ingest Template'!O666),"", 'Ingest Template'!O666&amp;"|Operations - Core Title"),CHAR(10), IF(ISBLANK('Ingest Template'!P666),"", 'Ingest Template'!P666&amp;"|Operations - Core Title"),CHAR(10), IF(ISBLANK('Ingest Template'!Q666),"", 'Ingest Template'!Q666&amp;"|Operations - Core Title"))))</f>
        <v>#|Operations - Core Title
#|Operations - Core Title
</v>
      </c>
      <c r="AH666" s="21"/>
      <c r="AI666" s="21"/>
      <c r="AJ666" s="53" t="str">
        <f>if('Ingest Template'!A666="Standard",'Ingest Template'!N666&amp; "|DAR|DAR|2021-01-01",'Ingest Template'!N666&amp; "|Operations - Core Title|Operations - Core Title")</f>
        <v>#N/A</v>
      </c>
      <c r="AK666" s="53" t="str">
        <f>if('Ingest Template'!A666="Standard",'Ingest Template'!R666&amp; "|2021-01-01",'Ingest Template'!R666)</f>
        <v>#N/A</v>
      </c>
      <c r="AL666" s="21"/>
      <c r="AM666" s="21"/>
    </row>
    <row r="667">
      <c r="A667" s="21"/>
      <c r="B667" s="21" t="str">
        <f>'Ingest Template'!B667&amp;IF('Ingest Template'!A667 = "Standard", " - DAR","")</f>
        <v/>
      </c>
      <c r="C667" s="26" t="s">
        <v>109</v>
      </c>
      <c r="D667" s="29" t="str">
        <f t="array" ref="D667">CONCATENATE(INDEX(DropDown!$H$2:$H$10,MATCH(1,COUNTIF('Ingest Template'!F667,"*"&amp;DropDown!$H$2:$H$10&amp;"*"),0)),CHAR(10),'Ingest Template'!G667)</f>
        <v>#N/A</v>
      </c>
      <c r="E667" s="21" t="str">
        <f>CONCATENATE('Ingest Template'!H667,CHAR(10),'Ingest Template'!I667,CHAR(10),'Ingest Template'!J667)</f>
        <v>
</v>
      </c>
      <c r="F667" s="26" t="str">
        <f>'Ingest Template'!H667</f>
        <v/>
      </c>
      <c r="G667" s="21"/>
      <c r="H667" s="29"/>
      <c r="I667" s="21"/>
      <c r="J667" s="29" t="str">
        <f t="array" ref="J667">iF('Ingest Template'!A667="Standard","Pristine Brand",INDEX(DropDown!$M$2:$M$392,MATCH('Ingest Template'!E667,DropDown!$J$2:$J$392,0)))</f>
        <v>#N/A</v>
      </c>
      <c r="K667" s="21" t="str">
        <f>iF('Ingest Template'!A667="Standard",'Ingest Template'!K667&amp;CHAR(10)&amp;'Ingest Template'!L667,"Competitive View")</f>
        <v>Competitive View</v>
      </c>
      <c r="L667" s="29" t="s">
        <v>146</v>
      </c>
      <c r="M667" s="37" t="str">
        <f>'Ingest Template'!D667</f>
        <v/>
      </c>
      <c r="N667" s="21"/>
      <c r="O667" s="21"/>
      <c r="P667" s="21"/>
      <c r="Q667" s="21"/>
      <c r="R667" s="21" t="str">
        <f>'Ingest Template'!E667</f>
        <v/>
      </c>
      <c r="S667" s="29" t="s">
        <v>153</v>
      </c>
      <c r="T667" s="21" t="str">
        <f>'Ingest Template'!T667</f>
        <v/>
      </c>
      <c r="U667" s="21" t="str">
        <f>'Ingest Template'!S667</f>
        <v/>
      </c>
      <c r="V667" s="21" t="str">
        <f>LOWER(SUBSTITUTE(SUBSTITUTE(SUBSTITUTE(SUBSTITUTE(SUBSTITUTE('Ingest Template'!U667,"https:",""),"www.",""),"/",""),"?hl=en",""),"instagram.com",""))</f>
        <v/>
      </c>
      <c r="W667" s="41" t="str">
        <f t="array" ref="W667">IF('Ingest Template'!V667="",(INDEX(DropDown!$L$2:$L$392,MATCH('Ingest Template'!E667,DropDown!$J$2:$J$392,0))&amp;"|"&amp;'Ingest Template'!B667),(INDEX(DropDown!$L$2:$L$392,MATCH('Ingest Template'!E667,DropDown!$J$2:$J$392,0))&amp;"|"&amp;'Ingest Template'!B667)&amp;CHAR(10)&amp;'Ingest Template'!V667)</f>
        <v>#N/A</v>
      </c>
      <c r="X667" s="41" t="str">
        <f>'Ingest Template'!W667</f>
        <v/>
      </c>
      <c r="Y667" s="21" t="str">
        <f>SUBSTITUTE(SUBSTITUTE(SUBSTITUTE('Ingest Template'!X667,"http:",""),"https:",""),"/","")</f>
        <v/>
      </c>
      <c r="Z667" s="21" t="str">
        <f t="array" ref="Z667">IF('Ingest Template'!A667="Standard",(IF(ISBLANK('Ingest Template'!AA667),"", 'Ingest Template'!AA667&amp;"|DAR")),(IF(ISBLANK('Ingest Template'!AA667),"", 'Ingest Template'!AA667&amp;"|Film Ops")))</f>
        <v/>
      </c>
      <c r="AA667" s="21"/>
      <c r="AB667" s="21" t="str">
        <f>'Ingest Template'!M667</f>
        <v/>
      </c>
      <c r="AC667" s="21" t="str">
        <f>'Ingest Template'!Y667</f>
        <v/>
      </c>
      <c r="AD667" s="21" t="str">
        <f>'Ingest Template'!C667</f>
        <v/>
      </c>
      <c r="AE667" s="21" t="str">
        <f>'Ingest Template'!Z667</f>
        <v/>
      </c>
      <c r="AF667" s="29"/>
      <c r="AG667" s="21" t="str">
        <f t="array" ref="AG667">IF('Ingest Template'!A667="Standard",(CONCATENATE(IF(ISBLANK('Ingest Template'!O667),"", 'Ingest Template'!O667&amp;"|DAR"),CHAR(10), IF(ISBLANK('Ingest Template'!P667),"", 'Ingest Template'!P667&amp;"|DAR"),CHAR(10), IF(ISBLANK('Ingest Template'!Q667),"", 'Ingest Template'!Q667&amp;"|DAR"))),(CONCATENATE(IF(ISBLANK('Ingest Template'!O667),"", 'Ingest Template'!O667&amp;"|Operations - Core Title"),CHAR(10), IF(ISBLANK('Ingest Template'!P667),"", 'Ingest Template'!P667&amp;"|Operations - Core Title"),CHAR(10), IF(ISBLANK('Ingest Template'!Q667),"", 'Ingest Template'!Q667&amp;"|Operations - Core Title"))))</f>
        <v>#|Operations - Core Title
#|Operations - Core Title
</v>
      </c>
      <c r="AH667" s="21"/>
      <c r="AI667" s="21"/>
      <c r="AJ667" s="53" t="str">
        <f>if('Ingest Template'!A667="Standard",'Ingest Template'!N667&amp; "|DAR|DAR|2021-01-01",'Ingest Template'!N667&amp; "|Operations - Core Title|Operations - Core Title")</f>
        <v>#N/A</v>
      </c>
      <c r="AK667" s="53" t="str">
        <f>if('Ingest Template'!A667="Standard",'Ingest Template'!R667&amp; "|2021-01-01",'Ingest Template'!R667)</f>
        <v>#N/A</v>
      </c>
      <c r="AL667" s="21"/>
      <c r="AM667" s="21"/>
    </row>
    <row r="668">
      <c r="A668" s="21"/>
      <c r="B668" s="21" t="str">
        <f>'Ingest Template'!B668&amp;IF('Ingest Template'!A668 = "Standard", " - DAR","")</f>
        <v/>
      </c>
      <c r="C668" s="26" t="s">
        <v>109</v>
      </c>
      <c r="D668" s="29" t="str">
        <f t="array" ref="D668">CONCATENATE(INDEX(DropDown!$H$2:$H$10,MATCH(1,COUNTIF('Ingest Template'!F668,"*"&amp;DropDown!$H$2:$H$10&amp;"*"),0)),CHAR(10),'Ingest Template'!G668)</f>
        <v>#N/A</v>
      </c>
      <c r="E668" s="21" t="str">
        <f>CONCATENATE('Ingest Template'!H668,CHAR(10),'Ingest Template'!I668,CHAR(10),'Ingest Template'!J668)</f>
        <v>
</v>
      </c>
      <c r="F668" s="26" t="str">
        <f>'Ingest Template'!H668</f>
        <v/>
      </c>
      <c r="G668" s="21"/>
      <c r="H668" s="29"/>
      <c r="I668" s="21"/>
      <c r="J668" s="29" t="str">
        <f t="array" ref="J668">iF('Ingest Template'!A668="Standard","Pristine Brand",INDEX(DropDown!$M$2:$M$392,MATCH('Ingest Template'!E668,DropDown!$J$2:$J$392,0)))</f>
        <v>#N/A</v>
      </c>
      <c r="K668" s="21" t="str">
        <f>iF('Ingest Template'!A668="Standard",'Ingest Template'!K668&amp;CHAR(10)&amp;'Ingest Template'!L668,"Competitive View")</f>
        <v>Competitive View</v>
      </c>
      <c r="L668" s="29" t="s">
        <v>146</v>
      </c>
      <c r="M668" s="37" t="str">
        <f>'Ingest Template'!D668</f>
        <v/>
      </c>
      <c r="N668" s="21"/>
      <c r="O668" s="21"/>
      <c r="P668" s="21"/>
      <c r="Q668" s="21"/>
      <c r="R668" s="21" t="str">
        <f>'Ingest Template'!E668</f>
        <v/>
      </c>
      <c r="S668" s="29" t="s">
        <v>153</v>
      </c>
      <c r="T668" s="21" t="str">
        <f>'Ingest Template'!T668</f>
        <v/>
      </c>
      <c r="U668" s="21" t="str">
        <f>'Ingest Template'!S668</f>
        <v/>
      </c>
      <c r="V668" s="21" t="str">
        <f>LOWER(SUBSTITUTE(SUBSTITUTE(SUBSTITUTE(SUBSTITUTE(SUBSTITUTE('Ingest Template'!U668,"https:",""),"www.",""),"/",""),"?hl=en",""),"instagram.com",""))</f>
        <v/>
      </c>
      <c r="W668" s="41" t="str">
        <f t="array" ref="W668">IF('Ingest Template'!V668="",(INDEX(DropDown!$L$2:$L$392,MATCH('Ingest Template'!E668,DropDown!$J$2:$J$392,0))&amp;"|"&amp;'Ingest Template'!B668),(INDEX(DropDown!$L$2:$L$392,MATCH('Ingest Template'!E668,DropDown!$J$2:$J$392,0))&amp;"|"&amp;'Ingest Template'!B668)&amp;CHAR(10)&amp;'Ingest Template'!V668)</f>
        <v>#N/A</v>
      </c>
      <c r="X668" s="41" t="str">
        <f>'Ingest Template'!W668</f>
        <v/>
      </c>
      <c r="Y668" s="21" t="str">
        <f>SUBSTITUTE(SUBSTITUTE(SUBSTITUTE('Ingest Template'!X668,"http:",""),"https:",""),"/","")</f>
        <v/>
      </c>
      <c r="Z668" s="21" t="str">
        <f t="array" ref="Z668">IF('Ingest Template'!A668="Standard",(IF(ISBLANK('Ingest Template'!AA668),"", 'Ingest Template'!AA668&amp;"|DAR")),(IF(ISBLANK('Ingest Template'!AA668),"", 'Ingest Template'!AA668&amp;"|Film Ops")))</f>
        <v/>
      </c>
      <c r="AA668" s="21"/>
      <c r="AB668" s="21" t="str">
        <f>'Ingest Template'!M668</f>
        <v/>
      </c>
      <c r="AC668" s="21" t="str">
        <f>'Ingest Template'!Y668</f>
        <v/>
      </c>
      <c r="AD668" s="21" t="str">
        <f>'Ingest Template'!C668</f>
        <v/>
      </c>
      <c r="AE668" s="21" t="str">
        <f>'Ingest Template'!Z668</f>
        <v/>
      </c>
      <c r="AF668" s="29"/>
      <c r="AG668" s="21" t="str">
        <f t="array" ref="AG668">IF('Ingest Template'!A668="Standard",(CONCATENATE(IF(ISBLANK('Ingest Template'!O668),"", 'Ingest Template'!O668&amp;"|DAR"),CHAR(10), IF(ISBLANK('Ingest Template'!P668),"", 'Ingest Template'!P668&amp;"|DAR"),CHAR(10), IF(ISBLANK('Ingest Template'!Q668),"", 'Ingest Template'!Q668&amp;"|DAR"))),(CONCATENATE(IF(ISBLANK('Ingest Template'!O668),"", 'Ingest Template'!O668&amp;"|Operations - Core Title"),CHAR(10), IF(ISBLANK('Ingest Template'!P668),"", 'Ingest Template'!P668&amp;"|Operations - Core Title"),CHAR(10), IF(ISBLANK('Ingest Template'!Q668),"", 'Ingest Template'!Q668&amp;"|Operations - Core Title"))))</f>
        <v>#|Operations - Core Title
#|Operations - Core Title
</v>
      </c>
      <c r="AH668" s="21"/>
      <c r="AI668" s="21"/>
      <c r="AJ668" s="53" t="str">
        <f>if('Ingest Template'!A668="Standard",'Ingest Template'!N668&amp; "|DAR|DAR|2021-01-01",'Ingest Template'!N668&amp; "|Operations - Core Title|Operations - Core Title")</f>
        <v>#N/A</v>
      </c>
      <c r="AK668" s="53" t="str">
        <f>if('Ingest Template'!A668="Standard",'Ingest Template'!R668&amp; "|2021-01-01",'Ingest Template'!R668)</f>
        <v>#N/A</v>
      </c>
      <c r="AL668" s="21"/>
      <c r="AM668" s="21"/>
    </row>
    <row r="669">
      <c r="A669" s="21"/>
      <c r="B669" s="21" t="str">
        <f>'Ingest Template'!B669&amp;IF('Ingest Template'!A669 = "Standard", " - DAR","")</f>
        <v/>
      </c>
      <c r="C669" s="26" t="s">
        <v>109</v>
      </c>
      <c r="D669" s="29" t="str">
        <f t="array" ref="D669">CONCATENATE(INDEX(DropDown!$H$2:$H$10,MATCH(1,COUNTIF('Ingest Template'!F669,"*"&amp;DropDown!$H$2:$H$10&amp;"*"),0)),CHAR(10),'Ingest Template'!G669)</f>
        <v>#N/A</v>
      </c>
      <c r="E669" s="21" t="str">
        <f>CONCATENATE('Ingest Template'!H669,CHAR(10),'Ingest Template'!I669,CHAR(10),'Ingest Template'!J669)</f>
        <v>
</v>
      </c>
      <c r="F669" s="26" t="str">
        <f>'Ingest Template'!H669</f>
        <v/>
      </c>
      <c r="G669" s="21"/>
      <c r="H669" s="29"/>
      <c r="I669" s="21"/>
      <c r="J669" s="29" t="str">
        <f t="array" ref="J669">iF('Ingest Template'!A669="Standard","Pristine Brand",INDEX(DropDown!$M$2:$M$392,MATCH('Ingest Template'!E669,DropDown!$J$2:$J$392,0)))</f>
        <v>#N/A</v>
      </c>
      <c r="K669" s="21" t="str">
        <f>iF('Ingest Template'!A669="Standard",'Ingest Template'!K669&amp;CHAR(10)&amp;'Ingest Template'!L669,"Competitive View")</f>
        <v>Competitive View</v>
      </c>
      <c r="L669" s="29" t="s">
        <v>146</v>
      </c>
      <c r="M669" s="37" t="str">
        <f>'Ingest Template'!D669</f>
        <v/>
      </c>
      <c r="N669" s="21"/>
      <c r="O669" s="21"/>
      <c r="P669" s="21"/>
      <c r="Q669" s="21"/>
      <c r="R669" s="21" t="str">
        <f>'Ingest Template'!E669</f>
        <v/>
      </c>
      <c r="S669" s="29" t="s">
        <v>153</v>
      </c>
      <c r="T669" s="21" t="str">
        <f>'Ingest Template'!T669</f>
        <v/>
      </c>
      <c r="U669" s="21" t="str">
        <f>'Ingest Template'!S669</f>
        <v/>
      </c>
      <c r="V669" s="21" t="str">
        <f>LOWER(SUBSTITUTE(SUBSTITUTE(SUBSTITUTE(SUBSTITUTE(SUBSTITUTE('Ingest Template'!U669,"https:",""),"www.",""),"/",""),"?hl=en",""),"instagram.com",""))</f>
        <v/>
      </c>
      <c r="W669" s="41" t="str">
        <f t="array" ref="W669">IF('Ingest Template'!V669="",(INDEX(DropDown!$L$2:$L$392,MATCH('Ingest Template'!E669,DropDown!$J$2:$J$392,0))&amp;"|"&amp;'Ingest Template'!B669),(INDEX(DropDown!$L$2:$L$392,MATCH('Ingest Template'!E669,DropDown!$J$2:$J$392,0))&amp;"|"&amp;'Ingest Template'!B669)&amp;CHAR(10)&amp;'Ingest Template'!V669)</f>
        <v>#N/A</v>
      </c>
      <c r="X669" s="41" t="str">
        <f>'Ingest Template'!W669</f>
        <v/>
      </c>
      <c r="Y669" s="21" t="str">
        <f>SUBSTITUTE(SUBSTITUTE(SUBSTITUTE('Ingest Template'!X669,"http:",""),"https:",""),"/","")</f>
        <v/>
      </c>
      <c r="Z669" s="21" t="str">
        <f t="array" ref="Z669">IF('Ingest Template'!A669="Standard",(IF(ISBLANK('Ingest Template'!AA669),"", 'Ingest Template'!AA669&amp;"|DAR")),(IF(ISBLANK('Ingest Template'!AA669),"", 'Ingest Template'!AA669&amp;"|Film Ops")))</f>
        <v/>
      </c>
      <c r="AA669" s="21"/>
      <c r="AB669" s="21" t="str">
        <f>'Ingest Template'!M669</f>
        <v/>
      </c>
      <c r="AC669" s="21" t="str">
        <f>'Ingest Template'!Y669</f>
        <v/>
      </c>
      <c r="AD669" s="21" t="str">
        <f>'Ingest Template'!C669</f>
        <v/>
      </c>
      <c r="AE669" s="21" t="str">
        <f>'Ingest Template'!Z669</f>
        <v/>
      </c>
      <c r="AF669" s="29"/>
      <c r="AG669" s="21" t="str">
        <f t="array" ref="AG669">IF('Ingest Template'!A669="Standard",(CONCATENATE(IF(ISBLANK('Ingest Template'!O669),"", 'Ingest Template'!O669&amp;"|DAR"),CHAR(10), IF(ISBLANK('Ingest Template'!P669),"", 'Ingest Template'!P669&amp;"|DAR"),CHAR(10), IF(ISBLANK('Ingest Template'!Q669),"", 'Ingest Template'!Q669&amp;"|DAR"))),(CONCATENATE(IF(ISBLANK('Ingest Template'!O669),"", 'Ingest Template'!O669&amp;"|Operations - Core Title"),CHAR(10), IF(ISBLANK('Ingest Template'!P669),"", 'Ingest Template'!P669&amp;"|Operations - Core Title"),CHAR(10), IF(ISBLANK('Ingest Template'!Q669),"", 'Ingest Template'!Q669&amp;"|Operations - Core Title"))))</f>
        <v>#|Operations - Core Title
#|Operations - Core Title
</v>
      </c>
      <c r="AH669" s="21"/>
      <c r="AI669" s="21"/>
      <c r="AJ669" s="53" t="str">
        <f>if('Ingest Template'!A669="Standard",'Ingest Template'!N669&amp; "|DAR|DAR|2021-01-01",'Ingest Template'!N669&amp; "|Operations - Core Title|Operations - Core Title")</f>
        <v>#N/A</v>
      </c>
      <c r="AK669" s="53" t="str">
        <f>if('Ingest Template'!A669="Standard",'Ingest Template'!R669&amp; "|2021-01-01",'Ingest Template'!R669)</f>
        <v>#N/A</v>
      </c>
      <c r="AL669" s="21"/>
      <c r="AM669" s="21"/>
    </row>
    <row r="670">
      <c r="A670" s="21"/>
      <c r="B670" s="21" t="str">
        <f>'Ingest Template'!B670&amp;IF('Ingest Template'!A670 = "Standard", " - DAR","")</f>
        <v/>
      </c>
      <c r="C670" s="26" t="s">
        <v>109</v>
      </c>
      <c r="D670" s="29" t="str">
        <f t="array" ref="D670">CONCATENATE(INDEX(DropDown!$H$2:$H$10,MATCH(1,COUNTIF('Ingest Template'!F670,"*"&amp;DropDown!$H$2:$H$10&amp;"*"),0)),CHAR(10),'Ingest Template'!G670)</f>
        <v>#N/A</v>
      </c>
      <c r="E670" s="21" t="str">
        <f>CONCATENATE('Ingest Template'!H670,CHAR(10),'Ingest Template'!I670,CHAR(10),'Ingest Template'!J670)</f>
        <v>
</v>
      </c>
      <c r="F670" s="26" t="str">
        <f>'Ingest Template'!H670</f>
        <v/>
      </c>
      <c r="G670" s="21"/>
      <c r="H670" s="29"/>
      <c r="I670" s="21"/>
      <c r="J670" s="29" t="str">
        <f t="array" ref="J670">iF('Ingest Template'!A670="Standard","Pristine Brand",INDEX(DropDown!$M$2:$M$392,MATCH('Ingest Template'!E670,DropDown!$J$2:$J$392,0)))</f>
        <v>#N/A</v>
      </c>
      <c r="K670" s="21" t="str">
        <f>iF('Ingest Template'!A670="Standard",'Ingest Template'!K670&amp;CHAR(10)&amp;'Ingest Template'!L670,"Competitive View")</f>
        <v>Competitive View</v>
      </c>
      <c r="L670" s="29" t="s">
        <v>146</v>
      </c>
      <c r="M670" s="37" t="str">
        <f>'Ingest Template'!D670</f>
        <v/>
      </c>
      <c r="N670" s="21"/>
      <c r="O670" s="21"/>
      <c r="P670" s="21"/>
      <c r="Q670" s="21"/>
      <c r="R670" s="21" t="str">
        <f>'Ingest Template'!E670</f>
        <v/>
      </c>
      <c r="S670" s="29" t="s">
        <v>153</v>
      </c>
      <c r="T670" s="21" t="str">
        <f>'Ingest Template'!T670</f>
        <v/>
      </c>
      <c r="U670" s="21" t="str">
        <f>'Ingest Template'!S670</f>
        <v/>
      </c>
      <c r="V670" s="21" t="str">
        <f>LOWER(SUBSTITUTE(SUBSTITUTE(SUBSTITUTE(SUBSTITUTE(SUBSTITUTE('Ingest Template'!U670,"https:",""),"www.",""),"/",""),"?hl=en",""),"instagram.com",""))</f>
        <v/>
      </c>
      <c r="W670" s="41" t="str">
        <f t="array" ref="W670">IF('Ingest Template'!V670="",(INDEX(DropDown!$L$2:$L$392,MATCH('Ingest Template'!E670,DropDown!$J$2:$J$392,0))&amp;"|"&amp;'Ingest Template'!B670),(INDEX(DropDown!$L$2:$L$392,MATCH('Ingest Template'!E670,DropDown!$J$2:$J$392,0))&amp;"|"&amp;'Ingest Template'!B670)&amp;CHAR(10)&amp;'Ingest Template'!V670)</f>
        <v>#N/A</v>
      </c>
      <c r="X670" s="41" t="str">
        <f>'Ingest Template'!W670</f>
        <v/>
      </c>
      <c r="Y670" s="21" t="str">
        <f>SUBSTITUTE(SUBSTITUTE(SUBSTITUTE('Ingest Template'!X670,"http:",""),"https:",""),"/","")</f>
        <v/>
      </c>
      <c r="Z670" s="21" t="str">
        <f t="array" ref="Z670">IF('Ingest Template'!A670="Standard",(IF(ISBLANK('Ingest Template'!AA670),"", 'Ingest Template'!AA670&amp;"|DAR")),(IF(ISBLANK('Ingest Template'!AA670),"", 'Ingest Template'!AA670&amp;"|Film Ops")))</f>
        <v/>
      </c>
      <c r="AA670" s="21"/>
      <c r="AB670" s="21" t="str">
        <f>'Ingest Template'!M670</f>
        <v/>
      </c>
      <c r="AC670" s="21" t="str">
        <f>'Ingest Template'!Y670</f>
        <v/>
      </c>
      <c r="AD670" s="21" t="str">
        <f>'Ingest Template'!C670</f>
        <v/>
      </c>
      <c r="AE670" s="21" t="str">
        <f>'Ingest Template'!Z670</f>
        <v/>
      </c>
      <c r="AF670" s="29"/>
      <c r="AG670" s="21" t="str">
        <f t="array" ref="AG670">IF('Ingest Template'!A670="Standard",(CONCATENATE(IF(ISBLANK('Ingest Template'!O670),"", 'Ingest Template'!O670&amp;"|DAR"),CHAR(10), IF(ISBLANK('Ingest Template'!P670),"", 'Ingest Template'!P670&amp;"|DAR"),CHAR(10), IF(ISBLANK('Ingest Template'!Q670),"", 'Ingest Template'!Q670&amp;"|DAR"))),(CONCATENATE(IF(ISBLANK('Ingest Template'!O670),"", 'Ingest Template'!O670&amp;"|Operations - Core Title"),CHAR(10), IF(ISBLANK('Ingest Template'!P670),"", 'Ingest Template'!P670&amp;"|Operations - Core Title"),CHAR(10), IF(ISBLANK('Ingest Template'!Q670),"", 'Ingest Template'!Q670&amp;"|Operations - Core Title"))))</f>
        <v>#|Operations - Core Title
#|Operations - Core Title
</v>
      </c>
      <c r="AH670" s="21"/>
      <c r="AI670" s="21"/>
      <c r="AJ670" s="53" t="str">
        <f>if('Ingest Template'!A670="Standard",'Ingest Template'!N670&amp; "|DAR|DAR|2021-01-01",'Ingest Template'!N670&amp; "|Operations - Core Title|Operations - Core Title")</f>
        <v>#N/A</v>
      </c>
      <c r="AK670" s="53" t="str">
        <f>if('Ingest Template'!A670="Standard",'Ingest Template'!R670&amp; "|2021-01-01",'Ingest Template'!R670)</f>
        <v>#N/A</v>
      </c>
      <c r="AL670" s="21"/>
      <c r="AM670" s="21"/>
    </row>
    <row r="671">
      <c r="A671" s="21"/>
      <c r="B671" s="21" t="str">
        <f>'Ingest Template'!B671&amp;IF('Ingest Template'!A671 = "Standard", " - DAR","")</f>
        <v/>
      </c>
      <c r="C671" s="26" t="s">
        <v>109</v>
      </c>
      <c r="D671" s="29" t="str">
        <f t="array" ref="D671">CONCATENATE(INDEX(DropDown!$H$2:$H$10,MATCH(1,COUNTIF('Ingest Template'!F671,"*"&amp;DropDown!$H$2:$H$10&amp;"*"),0)),CHAR(10),'Ingest Template'!G671)</f>
        <v>#N/A</v>
      </c>
      <c r="E671" s="21" t="str">
        <f>CONCATENATE('Ingest Template'!H671,CHAR(10),'Ingest Template'!I671,CHAR(10),'Ingest Template'!J671)</f>
        <v>
</v>
      </c>
      <c r="F671" s="26" t="str">
        <f>'Ingest Template'!H671</f>
        <v/>
      </c>
      <c r="G671" s="21"/>
      <c r="H671" s="29"/>
      <c r="I671" s="21"/>
      <c r="J671" s="29" t="str">
        <f t="array" ref="J671">iF('Ingest Template'!A671="Standard","Pristine Brand",INDEX(DropDown!$M$2:$M$392,MATCH('Ingest Template'!E671,DropDown!$J$2:$J$392,0)))</f>
        <v>#N/A</v>
      </c>
      <c r="K671" s="21" t="str">
        <f>iF('Ingest Template'!A671="Standard",'Ingest Template'!K671&amp;CHAR(10)&amp;'Ingest Template'!L671,"Competitive View")</f>
        <v>Competitive View</v>
      </c>
      <c r="L671" s="29" t="s">
        <v>146</v>
      </c>
      <c r="M671" s="37" t="str">
        <f>'Ingest Template'!D671</f>
        <v/>
      </c>
      <c r="N671" s="21"/>
      <c r="O671" s="21"/>
      <c r="P671" s="21"/>
      <c r="Q671" s="21"/>
      <c r="R671" s="21" t="str">
        <f>'Ingest Template'!E671</f>
        <v/>
      </c>
      <c r="S671" s="29" t="s">
        <v>153</v>
      </c>
      <c r="T671" s="21" t="str">
        <f>'Ingest Template'!T671</f>
        <v/>
      </c>
      <c r="U671" s="21" t="str">
        <f>'Ingest Template'!S671</f>
        <v/>
      </c>
      <c r="V671" s="21" t="str">
        <f>LOWER(SUBSTITUTE(SUBSTITUTE(SUBSTITUTE(SUBSTITUTE(SUBSTITUTE('Ingest Template'!U671,"https:",""),"www.",""),"/",""),"?hl=en",""),"instagram.com",""))</f>
        <v/>
      </c>
      <c r="W671" s="41" t="str">
        <f t="array" ref="W671">IF('Ingest Template'!V671="",(INDEX(DropDown!$L$2:$L$392,MATCH('Ingest Template'!E671,DropDown!$J$2:$J$392,0))&amp;"|"&amp;'Ingest Template'!B671),(INDEX(DropDown!$L$2:$L$392,MATCH('Ingest Template'!E671,DropDown!$J$2:$J$392,0))&amp;"|"&amp;'Ingest Template'!B671)&amp;CHAR(10)&amp;'Ingest Template'!V671)</f>
        <v>#N/A</v>
      </c>
      <c r="X671" s="41" t="str">
        <f>'Ingest Template'!W671</f>
        <v/>
      </c>
      <c r="Y671" s="21" t="str">
        <f>SUBSTITUTE(SUBSTITUTE(SUBSTITUTE('Ingest Template'!X671,"http:",""),"https:",""),"/","")</f>
        <v/>
      </c>
      <c r="Z671" s="21" t="str">
        <f t="array" ref="Z671">IF('Ingest Template'!A671="Standard",(IF(ISBLANK('Ingest Template'!AA671),"", 'Ingest Template'!AA671&amp;"|DAR")),(IF(ISBLANK('Ingest Template'!AA671),"", 'Ingest Template'!AA671&amp;"|Film Ops")))</f>
        <v/>
      </c>
      <c r="AA671" s="21"/>
      <c r="AB671" s="21" t="str">
        <f>'Ingest Template'!M671</f>
        <v/>
      </c>
      <c r="AC671" s="21" t="str">
        <f>'Ingest Template'!Y671</f>
        <v/>
      </c>
      <c r="AD671" s="21" t="str">
        <f>'Ingest Template'!C671</f>
        <v/>
      </c>
      <c r="AE671" s="21" t="str">
        <f>'Ingest Template'!Z671</f>
        <v/>
      </c>
      <c r="AF671" s="29"/>
      <c r="AG671" s="21" t="str">
        <f t="array" ref="AG671">IF('Ingest Template'!A671="Standard",(CONCATENATE(IF(ISBLANK('Ingest Template'!O671),"", 'Ingest Template'!O671&amp;"|DAR"),CHAR(10), IF(ISBLANK('Ingest Template'!P671),"", 'Ingest Template'!P671&amp;"|DAR"),CHAR(10), IF(ISBLANK('Ingest Template'!Q671),"", 'Ingest Template'!Q671&amp;"|DAR"))),(CONCATENATE(IF(ISBLANK('Ingest Template'!O671),"", 'Ingest Template'!O671&amp;"|Operations - Core Title"),CHAR(10), IF(ISBLANK('Ingest Template'!P671),"", 'Ingest Template'!P671&amp;"|Operations - Core Title"),CHAR(10), IF(ISBLANK('Ingest Template'!Q671),"", 'Ingest Template'!Q671&amp;"|Operations - Core Title"))))</f>
        <v>#|Operations - Core Title
#|Operations - Core Title
</v>
      </c>
      <c r="AH671" s="21"/>
      <c r="AI671" s="21"/>
      <c r="AJ671" s="53" t="str">
        <f>if('Ingest Template'!A671="Standard",'Ingest Template'!N671&amp; "|DAR|DAR|2021-01-01",'Ingest Template'!N671&amp; "|Operations - Core Title|Operations - Core Title")</f>
        <v>#N/A</v>
      </c>
      <c r="AK671" s="53" t="str">
        <f>if('Ingest Template'!A671="Standard",'Ingest Template'!R671&amp; "|2021-01-01",'Ingest Template'!R671)</f>
        <v>#N/A</v>
      </c>
      <c r="AL671" s="21"/>
      <c r="AM671" s="21"/>
    </row>
    <row r="672">
      <c r="A672" s="21"/>
      <c r="B672" s="21" t="str">
        <f>'Ingest Template'!B672&amp;IF('Ingest Template'!A672 = "Standard", " - DAR","")</f>
        <v/>
      </c>
      <c r="C672" s="26" t="s">
        <v>109</v>
      </c>
      <c r="D672" s="29" t="str">
        <f t="array" ref="D672">CONCATENATE(INDEX(DropDown!$H$2:$H$10,MATCH(1,COUNTIF('Ingest Template'!F672,"*"&amp;DropDown!$H$2:$H$10&amp;"*"),0)),CHAR(10),'Ingest Template'!G672)</f>
        <v>#N/A</v>
      </c>
      <c r="E672" s="21" t="str">
        <f>CONCATENATE('Ingest Template'!H672,CHAR(10),'Ingest Template'!I672,CHAR(10),'Ingest Template'!J672)</f>
        <v>
</v>
      </c>
      <c r="F672" s="26" t="str">
        <f>'Ingest Template'!H672</f>
        <v/>
      </c>
      <c r="G672" s="21"/>
      <c r="H672" s="29"/>
      <c r="I672" s="21"/>
      <c r="J672" s="29" t="str">
        <f t="array" ref="J672">iF('Ingest Template'!A672="Standard","Pristine Brand",INDEX(DropDown!$M$2:$M$392,MATCH('Ingest Template'!E672,DropDown!$J$2:$J$392,0)))</f>
        <v>#N/A</v>
      </c>
      <c r="K672" s="21" t="str">
        <f>iF('Ingest Template'!A672="Standard",'Ingest Template'!K672&amp;CHAR(10)&amp;'Ingest Template'!L672,"Competitive View")</f>
        <v>Competitive View</v>
      </c>
      <c r="L672" s="29" t="s">
        <v>146</v>
      </c>
      <c r="M672" s="37" t="str">
        <f>'Ingest Template'!D672</f>
        <v/>
      </c>
      <c r="N672" s="21"/>
      <c r="O672" s="21"/>
      <c r="P672" s="21"/>
      <c r="Q672" s="21"/>
      <c r="R672" s="21" t="str">
        <f>'Ingest Template'!E672</f>
        <v/>
      </c>
      <c r="S672" s="29" t="s">
        <v>153</v>
      </c>
      <c r="T672" s="21" t="str">
        <f>'Ingest Template'!T672</f>
        <v/>
      </c>
      <c r="U672" s="21" t="str">
        <f>'Ingest Template'!S672</f>
        <v/>
      </c>
      <c r="V672" s="21" t="str">
        <f>LOWER(SUBSTITUTE(SUBSTITUTE(SUBSTITUTE(SUBSTITUTE(SUBSTITUTE('Ingest Template'!U672,"https:",""),"www.",""),"/",""),"?hl=en",""),"instagram.com",""))</f>
        <v/>
      </c>
      <c r="W672" s="41" t="str">
        <f t="array" ref="W672">IF('Ingest Template'!V672="",(INDEX(DropDown!$L$2:$L$392,MATCH('Ingest Template'!E672,DropDown!$J$2:$J$392,0))&amp;"|"&amp;'Ingest Template'!B672),(INDEX(DropDown!$L$2:$L$392,MATCH('Ingest Template'!E672,DropDown!$J$2:$J$392,0))&amp;"|"&amp;'Ingest Template'!B672)&amp;CHAR(10)&amp;'Ingest Template'!V672)</f>
        <v>#N/A</v>
      </c>
      <c r="X672" s="41" t="str">
        <f>'Ingest Template'!W672</f>
        <v/>
      </c>
      <c r="Y672" s="21" t="str">
        <f>SUBSTITUTE(SUBSTITUTE(SUBSTITUTE('Ingest Template'!X672,"http:",""),"https:",""),"/","")</f>
        <v/>
      </c>
      <c r="Z672" s="21" t="str">
        <f t="array" ref="Z672">IF('Ingest Template'!A672="Standard",(IF(ISBLANK('Ingest Template'!AA672),"", 'Ingest Template'!AA672&amp;"|DAR")),(IF(ISBLANK('Ingest Template'!AA672),"", 'Ingest Template'!AA672&amp;"|Film Ops")))</f>
        <v/>
      </c>
      <c r="AA672" s="21"/>
      <c r="AB672" s="21" t="str">
        <f>'Ingest Template'!M672</f>
        <v/>
      </c>
      <c r="AC672" s="21" t="str">
        <f>'Ingest Template'!Y672</f>
        <v/>
      </c>
      <c r="AD672" s="21" t="str">
        <f>'Ingest Template'!C672</f>
        <v/>
      </c>
      <c r="AE672" s="21" t="str">
        <f>'Ingest Template'!Z672</f>
        <v/>
      </c>
      <c r="AF672" s="29"/>
      <c r="AG672" s="21" t="str">
        <f t="array" ref="AG672">IF('Ingest Template'!A672="Standard",(CONCATENATE(IF(ISBLANK('Ingest Template'!O672),"", 'Ingest Template'!O672&amp;"|DAR"),CHAR(10), IF(ISBLANK('Ingest Template'!P672),"", 'Ingest Template'!P672&amp;"|DAR"),CHAR(10), IF(ISBLANK('Ingest Template'!Q672),"", 'Ingest Template'!Q672&amp;"|DAR"))),(CONCATENATE(IF(ISBLANK('Ingest Template'!O672),"", 'Ingest Template'!O672&amp;"|Operations - Core Title"),CHAR(10), IF(ISBLANK('Ingest Template'!P672),"", 'Ingest Template'!P672&amp;"|Operations - Core Title"),CHAR(10), IF(ISBLANK('Ingest Template'!Q672),"", 'Ingest Template'!Q672&amp;"|Operations - Core Title"))))</f>
        <v>#|Operations - Core Title
#|Operations - Core Title
</v>
      </c>
      <c r="AH672" s="21"/>
      <c r="AI672" s="21"/>
      <c r="AJ672" s="53" t="str">
        <f>if('Ingest Template'!A672="Standard",'Ingest Template'!N672&amp; "|DAR|DAR|2021-01-01",'Ingest Template'!N672&amp; "|Operations - Core Title|Operations - Core Title")</f>
        <v>#N/A</v>
      </c>
      <c r="AK672" s="53" t="str">
        <f>if('Ingest Template'!A672="Standard",'Ingest Template'!R672&amp; "|2021-01-01",'Ingest Template'!R672)</f>
        <v>#N/A</v>
      </c>
      <c r="AL672" s="21"/>
      <c r="AM672" s="21"/>
    </row>
    <row r="673">
      <c r="A673" s="21"/>
      <c r="B673" s="21" t="str">
        <f>'Ingest Template'!B673&amp;IF('Ingest Template'!A673 = "Standard", " - DAR","")</f>
        <v/>
      </c>
      <c r="C673" s="26" t="s">
        <v>109</v>
      </c>
      <c r="D673" s="29" t="str">
        <f t="array" ref="D673">CONCATENATE(INDEX(DropDown!$H$2:$H$10,MATCH(1,COUNTIF('Ingest Template'!F673,"*"&amp;DropDown!$H$2:$H$10&amp;"*"),0)),CHAR(10),'Ingest Template'!G673)</f>
        <v>#N/A</v>
      </c>
      <c r="E673" s="21" t="str">
        <f>CONCATENATE('Ingest Template'!H673,CHAR(10),'Ingest Template'!I673,CHAR(10),'Ingest Template'!J673)</f>
        <v>
</v>
      </c>
      <c r="F673" s="26" t="str">
        <f>'Ingest Template'!H673</f>
        <v/>
      </c>
      <c r="G673" s="21"/>
      <c r="H673" s="29"/>
      <c r="I673" s="21"/>
      <c r="J673" s="29" t="str">
        <f t="array" ref="J673">iF('Ingest Template'!A673="Standard","Pristine Brand",INDEX(DropDown!$M$2:$M$392,MATCH('Ingest Template'!E673,DropDown!$J$2:$J$392,0)))</f>
        <v>#N/A</v>
      </c>
      <c r="K673" s="21" t="str">
        <f>iF('Ingest Template'!A673="Standard",'Ingest Template'!K673&amp;CHAR(10)&amp;'Ingest Template'!L673,"Competitive View")</f>
        <v>Competitive View</v>
      </c>
      <c r="L673" s="29" t="s">
        <v>146</v>
      </c>
      <c r="M673" s="37" t="str">
        <f>'Ingest Template'!D673</f>
        <v/>
      </c>
      <c r="N673" s="21"/>
      <c r="O673" s="21"/>
      <c r="P673" s="21"/>
      <c r="Q673" s="21"/>
      <c r="R673" s="21" t="str">
        <f>'Ingest Template'!E673</f>
        <v/>
      </c>
      <c r="S673" s="29" t="s">
        <v>153</v>
      </c>
      <c r="T673" s="21" t="str">
        <f>'Ingest Template'!T673</f>
        <v/>
      </c>
      <c r="U673" s="21" t="str">
        <f>'Ingest Template'!S673</f>
        <v/>
      </c>
      <c r="V673" s="21" t="str">
        <f>LOWER(SUBSTITUTE(SUBSTITUTE(SUBSTITUTE(SUBSTITUTE(SUBSTITUTE('Ingest Template'!U673,"https:",""),"www.",""),"/",""),"?hl=en",""),"instagram.com",""))</f>
        <v/>
      </c>
      <c r="W673" s="41" t="str">
        <f t="array" ref="W673">IF('Ingest Template'!V673="",(INDEX(DropDown!$L$2:$L$392,MATCH('Ingest Template'!E673,DropDown!$J$2:$J$392,0))&amp;"|"&amp;'Ingest Template'!B673),(INDEX(DropDown!$L$2:$L$392,MATCH('Ingest Template'!E673,DropDown!$J$2:$J$392,0))&amp;"|"&amp;'Ingest Template'!B673)&amp;CHAR(10)&amp;'Ingest Template'!V673)</f>
        <v>#N/A</v>
      </c>
      <c r="X673" s="41" t="str">
        <f>'Ingest Template'!W673</f>
        <v/>
      </c>
      <c r="Y673" s="21" t="str">
        <f>SUBSTITUTE(SUBSTITUTE(SUBSTITUTE('Ingest Template'!X673,"http:",""),"https:",""),"/","")</f>
        <v/>
      </c>
      <c r="Z673" s="21" t="str">
        <f t="array" ref="Z673">IF('Ingest Template'!A673="Standard",(IF(ISBLANK('Ingest Template'!AA673),"", 'Ingest Template'!AA673&amp;"|DAR")),(IF(ISBLANK('Ingest Template'!AA673),"", 'Ingest Template'!AA673&amp;"|Film Ops")))</f>
        <v/>
      </c>
      <c r="AA673" s="21"/>
      <c r="AB673" s="21" t="str">
        <f>'Ingest Template'!M673</f>
        <v/>
      </c>
      <c r="AC673" s="21" t="str">
        <f>'Ingest Template'!Y673</f>
        <v/>
      </c>
      <c r="AD673" s="21" t="str">
        <f>'Ingest Template'!C673</f>
        <v/>
      </c>
      <c r="AE673" s="21" t="str">
        <f>'Ingest Template'!Z673</f>
        <v/>
      </c>
      <c r="AF673" s="29"/>
      <c r="AG673" s="21" t="str">
        <f t="array" ref="AG673">IF('Ingest Template'!A673="Standard",(CONCATENATE(IF(ISBLANK('Ingest Template'!O673),"", 'Ingest Template'!O673&amp;"|DAR"),CHAR(10), IF(ISBLANK('Ingest Template'!P673),"", 'Ingest Template'!P673&amp;"|DAR"),CHAR(10), IF(ISBLANK('Ingest Template'!Q673),"", 'Ingest Template'!Q673&amp;"|DAR"))),(CONCATENATE(IF(ISBLANK('Ingest Template'!O673),"", 'Ingest Template'!O673&amp;"|Operations - Core Title"),CHAR(10), IF(ISBLANK('Ingest Template'!P673),"", 'Ingest Template'!P673&amp;"|Operations - Core Title"),CHAR(10), IF(ISBLANK('Ingest Template'!Q673),"", 'Ingest Template'!Q673&amp;"|Operations - Core Title"))))</f>
        <v>#|Operations - Core Title
#|Operations - Core Title
</v>
      </c>
      <c r="AH673" s="21"/>
      <c r="AI673" s="21"/>
      <c r="AJ673" s="53" t="str">
        <f>if('Ingest Template'!A673="Standard",'Ingest Template'!N673&amp; "|DAR|DAR|2021-01-01",'Ingest Template'!N673&amp; "|Operations - Core Title|Operations - Core Title")</f>
        <v>#N/A</v>
      </c>
      <c r="AK673" s="53" t="str">
        <f>if('Ingest Template'!A673="Standard",'Ingest Template'!R673&amp; "|2021-01-01",'Ingest Template'!R673)</f>
        <v>#N/A</v>
      </c>
      <c r="AL673" s="21"/>
      <c r="AM673" s="21"/>
    </row>
    <row r="674">
      <c r="A674" s="21"/>
      <c r="B674" s="21" t="str">
        <f>'Ingest Template'!B674&amp;IF('Ingest Template'!A674 = "Standard", " - DAR","")</f>
        <v/>
      </c>
      <c r="C674" s="26" t="s">
        <v>109</v>
      </c>
      <c r="D674" s="29" t="str">
        <f t="array" ref="D674">CONCATENATE(INDEX(DropDown!$H$2:$H$10,MATCH(1,COUNTIF('Ingest Template'!F674,"*"&amp;DropDown!$H$2:$H$10&amp;"*"),0)),CHAR(10),'Ingest Template'!G674)</f>
        <v>#N/A</v>
      </c>
      <c r="E674" s="21" t="str">
        <f>CONCATENATE('Ingest Template'!H674,CHAR(10),'Ingest Template'!I674,CHAR(10),'Ingest Template'!J674)</f>
        <v>
</v>
      </c>
      <c r="F674" s="26" t="str">
        <f>'Ingest Template'!H674</f>
        <v/>
      </c>
      <c r="G674" s="21"/>
      <c r="H674" s="29"/>
      <c r="I674" s="21"/>
      <c r="J674" s="29" t="str">
        <f t="array" ref="J674">iF('Ingest Template'!A674="Standard","Pristine Brand",INDEX(DropDown!$M$2:$M$392,MATCH('Ingest Template'!E674,DropDown!$J$2:$J$392,0)))</f>
        <v>#N/A</v>
      </c>
      <c r="K674" s="21" t="str">
        <f>iF('Ingest Template'!A674="Standard",'Ingest Template'!K674&amp;CHAR(10)&amp;'Ingest Template'!L674,"Competitive View")</f>
        <v>Competitive View</v>
      </c>
      <c r="L674" s="29" t="s">
        <v>146</v>
      </c>
      <c r="M674" s="37" t="str">
        <f>'Ingest Template'!D674</f>
        <v/>
      </c>
      <c r="N674" s="21"/>
      <c r="O674" s="21"/>
      <c r="P674" s="21"/>
      <c r="Q674" s="21"/>
      <c r="R674" s="21" t="str">
        <f>'Ingest Template'!E674</f>
        <v/>
      </c>
      <c r="S674" s="29" t="s">
        <v>153</v>
      </c>
      <c r="T674" s="21" t="str">
        <f>'Ingest Template'!T674</f>
        <v/>
      </c>
      <c r="U674" s="21" t="str">
        <f>'Ingest Template'!S674</f>
        <v/>
      </c>
      <c r="V674" s="21" t="str">
        <f>LOWER(SUBSTITUTE(SUBSTITUTE(SUBSTITUTE(SUBSTITUTE(SUBSTITUTE('Ingest Template'!U674,"https:",""),"www.",""),"/",""),"?hl=en",""),"instagram.com",""))</f>
        <v/>
      </c>
      <c r="W674" s="41" t="str">
        <f t="array" ref="W674">IF('Ingest Template'!V674="",(INDEX(DropDown!$L$2:$L$392,MATCH('Ingest Template'!E674,DropDown!$J$2:$J$392,0))&amp;"|"&amp;'Ingest Template'!B674),(INDEX(DropDown!$L$2:$L$392,MATCH('Ingest Template'!E674,DropDown!$J$2:$J$392,0))&amp;"|"&amp;'Ingest Template'!B674)&amp;CHAR(10)&amp;'Ingest Template'!V674)</f>
        <v>#N/A</v>
      </c>
      <c r="X674" s="41" t="str">
        <f>'Ingest Template'!W674</f>
        <v/>
      </c>
      <c r="Y674" s="21" t="str">
        <f>SUBSTITUTE(SUBSTITUTE(SUBSTITUTE('Ingest Template'!X674,"http:",""),"https:",""),"/","")</f>
        <v/>
      </c>
      <c r="Z674" s="21" t="str">
        <f t="array" ref="Z674">IF('Ingest Template'!A674="Standard",(IF(ISBLANK('Ingest Template'!AA674),"", 'Ingest Template'!AA674&amp;"|DAR")),(IF(ISBLANK('Ingest Template'!AA674),"", 'Ingest Template'!AA674&amp;"|Film Ops")))</f>
        <v/>
      </c>
      <c r="AA674" s="21"/>
      <c r="AB674" s="21" t="str">
        <f>'Ingest Template'!M674</f>
        <v/>
      </c>
      <c r="AC674" s="21" t="str">
        <f>'Ingest Template'!Y674</f>
        <v/>
      </c>
      <c r="AD674" s="21" t="str">
        <f>'Ingest Template'!C674</f>
        <v/>
      </c>
      <c r="AE674" s="21" t="str">
        <f>'Ingest Template'!Z674</f>
        <v/>
      </c>
      <c r="AF674" s="29"/>
      <c r="AG674" s="21" t="str">
        <f t="array" ref="AG674">IF('Ingest Template'!A674="Standard",(CONCATENATE(IF(ISBLANK('Ingest Template'!O674),"", 'Ingest Template'!O674&amp;"|DAR"),CHAR(10), IF(ISBLANK('Ingest Template'!P674),"", 'Ingest Template'!P674&amp;"|DAR"),CHAR(10), IF(ISBLANK('Ingest Template'!Q674),"", 'Ingest Template'!Q674&amp;"|DAR"))),(CONCATENATE(IF(ISBLANK('Ingest Template'!O674),"", 'Ingest Template'!O674&amp;"|Operations - Core Title"),CHAR(10), IF(ISBLANK('Ingest Template'!P674),"", 'Ingest Template'!P674&amp;"|Operations - Core Title"),CHAR(10), IF(ISBLANK('Ingest Template'!Q674),"", 'Ingest Template'!Q674&amp;"|Operations - Core Title"))))</f>
        <v>#|Operations - Core Title
#|Operations - Core Title
</v>
      </c>
      <c r="AH674" s="21"/>
      <c r="AI674" s="21"/>
      <c r="AJ674" s="53" t="str">
        <f>if('Ingest Template'!A674="Standard",'Ingest Template'!N674&amp; "|DAR|DAR|2021-01-01",'Ingest Template'!N674&amp; "|Operations - Core Title|Operations - Core Title")</f>
        <v>#N/A</v>
      </c>
      <c r="AK674" s="53" t="str">
        <f>if('Ingest Template'!A674="Standard",'Ingest Template'!R674&amp; "|2021-01-01",'Ingest Template'!R674)</f>
        <v>#N/A</v>
      </c>
      <c r="AL674" s="21"/>
      <c r="AM674" s="21"/>
    </row>
    <row r="675">
      <c r="A675" s="21"/>
      <c r="B675" s="21" t="str">
        <f>'Ingest Template'!B675&amp;IF('Ingest Template'!A675 = "Standard", " - DAR","")</f>
        <v/>
      </c>
      <c r="C675" s="26" t="s">
        <v>109</v>
      </c>
      <c r="D675" s="29" t="str">
        <f t="array" ref="D675">CONCATENATE(INDEX(DropDown!$H$2:$H$10,MATCH(1,COUNTIF('Ingest Template'!F675,"*"&amp;DropDown!$H$2:$H$10&amp;"*"),0)),CHAR(10),'Ingest Template'!G675)</f>
        <v>#N/A</v>
      </c>
      <c r="E675" s="21" t="str">
        <f>CONCATENATE('Ingest Template'!H675,CHAR(10),'Ingest Template'!I675,CHAR(10),'Ingest Template'!J675)</f>
        <v>
</v>
      </c>
      <c r="F675" s="26" t="str">
        <f>'Ingest Template'!H675</f>
        <v/>
      </c>
      <c r="G675" s="21"/>
      <c r="H675" s="29"/>
      <c r="I675" s="21"/>
      <c r="J675" s="29" t="str">
        <f t="array" ref="J675">iF('Ingest Template'!A675="Standard","Pristine Brand",INDEX(DropDown!$M$2:$M$392,MATCH('Ingest Template'!E675,DropDown!$J$2:$J$392,0)))</f>
        <v>#N/A</v>
      </c>
      <c r="K675" s="21" t="str">
        <f>iF('Ingest Template'!A675="Standard",'Ingest Template'!K675&amp;CHAR(10)&amp;'Ingest Template'!L675,"Competitive View")</f>
        <v>Competitive View</v>
      </c>
      <c r="L675" s="29" t="s">
        <v>146</v>
      </c>
      <c r="M675" s="37" t="str">
        <f>'Ingest Template'!D675</f>
        <v/>
      </c>
      <c r="N675" s="21"/>
      <c r="O675" s="21"/>
      <c r="P675" s="21"/>
      <c r="Q675" s="21"/>
      <c r="R675" s="21" t="str">
        <f>'Ingest Template'!E675</f>
        <v/>
      </c>
      <c r="S675" s="29" t="s">
        <v>153</v>
      </c>
      <c r="T675" s="21" t="str">
        <f>'Ingest Template'!T675</f>
        <v/>
      </c>
      <c r="U675" s="21" t="str">
        <f>'Ingest Template'!S675</f>
        <v/>
      </c>
      <c r="V675" s="21" t="str">
        <f>LOWER(SUBSTITUTE(SUBSTITUTE(SUBSTITUTE(SUBSTITUTE(SUBSTITUTE('Ingest Template'!U675,"https:",""),"www.",""),"/",""),"?hl=en",""),"instagram.com",""))</f>
        <v/>
      </c>
      <c r="W675" s="41" t="str">
        <f t="array" ref="W675">IF('Ingest Template'!V675="",(INDEX(DropDown!$L$2:$L$392,MATCH('Ingest Template'!E675,DropDown!$J$2:$J$392,0))&amp;"|"&amp;'Ingest Template'!B675),(INDEX(DropDown!$L$2:$L$392,MATCH('Ingest Template'!E675,DropDown!$J$2:$J$392,0))&amp;"|"&amp;'Ingest Template'!B675)&amp;CHAR(10)&amp;'Ingest Template'!V675)</f>
        <v>#N/A</v>
      </c>
      <c r="X675" s="41" t="str">
        <f>'Ingest Template'!W675</f>
        <v/>
      </c>
      <c r="Y675" s="21" t="str">
        <f>SUBSTITUTE(SUBSTITUTE(SUBSTITUTE('Ingest Template'!X675,"http:",""),"https:",""),"/","")</f>
        <v/>
      </c>
      <c r="Z675" s="21" t="str">
        <f t="array" ref="Z675">IF('Ingest Template'!A675="Standard",(IF(ISBLANK('Ingest Template'!AA675),"", 'Ingest Template'!AA675&amp;"|DAR")),(IF(ISBLANK('Ingest Template'!AA675),"", 'Ingest Template'!AA675&amp;"|Film Ops")))</f>
        <v/>
      </c>
      <c r="AA675" s="21"/>
      <c r="AB675" s="21" t="str">
        <f>'Ingest Template'!M675</f>
        <v/>
      </c>
      <c r="AC675" s="21" t="str">
        <f>'Ingest Template'!Y675</f>
        <v/>
      </c>
      <c r="AD675" s="21" t="str">
        <f>'Ingest Template'!C675</f>
        <v/>
      </c>
      <c r="AE675" s="21" t="str">
        <f>'Ingest Template'!Z675</f>
        <v/>
      </c>
      <c r="AF675" s="29"/>
      <c r="AG675" s="21" t="str">
        <f t="array" ref="AG675">IF('Ingest Template'!A675="Standard",(CONCATENATE(IF(ISBLANK('Ingest Template'!O675),"", 'Ingest Template'!O675&amp;"|DAR"),CHAR(10), IF(ISBLANK('Ingest Template'!P675),"", 'Ingest Template'!P675&amp;"|DAR"),CHAR(10), IF(ISBLANK('Ingest Template'!Q675),"", 'Ingest Template'!Q675&amp;"|DAR"))),(CONCATENATE(IF(ISBLANK('Ingest Template'!O675),"", 'Ingest Template'!O675&amp;"|Operations - Core Title"),CHAR(10), IF(ISBLANK('Ingest Template'!P675),"", 'Ingest Template'!P675&amp;"|Operations - Core Title"),CHAR(10), IF(ISBLANK('Ingest Template'!Q675),"", 'Ingest Template'!Q675&amp;"|Operations - Core Title"))))</f>
        <v>#|Operations - Core Title
#|Operations - Core Title
</v>
      </c>
      <c r="AH675" s="21"/>
      <c r="AI675" s="21"/>
      <c r="AJ675" s="53" t="str">
        <f>if('Ingest Template'!A675="Standard",'Ingest Template'!N675&amp; "|DAR|DAR|2021-01-01",'Ingest Template'!N675&amp; "|Operations - Core Title|Operations - Core Title")</f>
        <v>#N/A</v>
      </c>
      <c r="AK675" s="53" t="str">
        <f>if('Ingest Template'!A675="Standard",'Ingest Template'!R675&amp; "|2021-01-01",'Ingest Template'!R675)</f>
        <v>#N/A</v>
      </c>
      <c r="AL675" s="21"/>
      <c r="AM675" s="21"/>
    </row>
    <row r="676">
      <c r="A676" s="21"/>
      <c r="B676" s="21" t="str">
        <f>'Ingest Template'!B676&amp;IF('Ingest Template'!A676 = "Standard", " - DAR","")</f>
        <v/>
      </c>
      <c r="C676" s="26" t="s">
        <v>109</v>
      </c>
      <c r="D676" s="29" t="str">
        <f t="array" ref="D676">CONCATENATE(INDEX(DropDown!$H$2:$H$10,MATCH(1,COUNTIF('Ingest Template'!F676,"*"&amp;DropDown!$H$2:$H$10&amp;"*"),0)),CHAR(10),'Ingest Template'!G676)</f>
        <v>#N/A</v>
      </c>
      <c r="E676" s="21" t="str">
        <f>CONCATENATE('Ingest Template'!H676,CHAR(10),'Ingest Template'!I676,CHAR(10),'Ingest Template'!J676)</f>
        <v>
</v>
      </c>
      <c r="F676" s="26" t="str">
        <f>'Ingest Template'!H676</f>
        <v/>
      </c>
      <c r="G676" s="21"/>
      <c r="H676" s="29"/>
      <c r="I676" s="21"/>
      <c r="J676" s="29" t="str">
        <f t="array" ref="J676">iF('Ingest Template'!A676="Standard","Pristine Brand",INDEX(DropDown!$M$2:$M$392,MATCH('Ingest Template'!E676,DropDown!$J$2:$J$392,0)))</f>
        <v>#N/A</v>
      </c>
      <c r="K676" s="21" t="str">
        <f>iF('Ingest Template'!A676="Standard",'Ingest Template'!K676&amp;CHAR(10)&amp;'Ingest Template'!L676,"Competitive View")</f>
        <v>Competitive View</v>
      </c>
      <c r="L676" s="29" t="s">
        <v>146</v>
      </c>
      <c r="M676" s="37" t="str">
        <f>'Ingest Template'!D676</f>
        <v/>
      </c>
      <c r="N676" s="21"/>
      <c r="O676" s="21"/>
      <c r="P676" s="21"/>
      <c r="Q676" s="21"/>
      <c r="R676" s="21" t="str">
        <f>'Ingest Template'!E676</f>
        <v/>
      </c>
      <c r="S676" s="29" t="s">
        <v>153</v>
      </c>
      <c r="T676" s="21" t="str">
        <f>'Ingest Template'!T676</f>
        <v/>
      </c>
      <c r="U676" s="21" t="str">
        <f>'Ingest Template'!S676</f>
        <v/>
      </c>
      <c r="V676" s="21" t="str">
        <f>LOWER(SUBSTITUTE(SUBSTITUTE(SUBSTITUTE(SUBSTITUTE(SUBSTITUTE('Ingest Template'!U676,"https:",""),"www.",""),"/",""),"?hl=en",""),"instagram.com",""))</f>
        <v/>
      </c>
      <c r="W676" s="41" t="str">
        <f t="array" ref="W676">IF('Ingest Template'!V676="",(INDEX(DropDown!$L$2:$L$392,MATCH('Ingest Template'!E676,DropDown!$J$2:$J$392,0))&amp;"|"&amp;'Ingest Template'!B676),(INDEX(DropDown!$L$2:$L$392,MATCH('Ingest Template'!E676,DropDown!$J$2:$J$392,0))&amp;"|"&amp;'Ingest Template'!B676)&amp;CHAR(10)&amp;'Ingest Template'!V676)</f>
        <v>#N/A</v>
      </c>
      <c r="X676" s="41" t="str">
        <f>'Ingest Template'!W676</f>
        <v/>
      </c>
      <c r="Y676" s="21" t="str">
        <f>SUBSTITUTE(SUBSTITUTE(SUBSTITUTE('Ingest Template'!X676,"http:",""),"https:",""),"/","")</f>
        <v/>
      </c>
      <c r="Z676" s="21" t="str">
        <f t="array" ref="Z676">IF('Ingest Template'!A676="Standard",(IF(ISBLANK('Ingest Template'!AA676),"", 'Ingest Template'!AA676&amp;"|DAR")),(IF(ISBLANK('Ingest Template'!AA676),"", 'Ingest Template'!AA676&amp;"|Film Ops")))</f>
        <v/>
      </c>
      <c r="AA676" s="21"/>
      <c r="AB676" s="21" t="str">
        <f>'Ingest Template'!M676</f>
        <v/>
      </c>
      <c r="AC676" s="21" t="str">
        <f>'Ingest Template'!Y676</f>
        <v/>
      </c>
      <c r="AD676" s="21" t="str">
        <f>'Ingest Template'!C676</f>
        <v/>
      </c>
      <c r="AE676" s="21" t="str">
        <f>'Ingest Template'!Z676</f>
        <v/>
      </c>
      <c r="AF676" s="29"/>
      <c r="AG676" s="21" t="str">
        <f t="array" ref="AG676">IF('Ingest Template'!A676="Standard",(CONCATENATE(IF(ISBLANK('Ingest Template'!O676),"", 'Ingest Template'!O676&amp;"|DAR"),CHAR(10), IF(ISBLANK('Ingest Template'!P676),"", 'Ingest Template'!P676&amp;"|DAR"),CHAR(10), IF(ISBLANK('Ingest Template'!Q676),"", 'Ingest Template'!Q676&amp;"|DAR"))),(CONCATENATE(IF(ISBLANK('Ingest Template'!O676),"", 'Ingest Template'!O676&amp;"|Operations - Core Title"),CHAR(10), IF(ISBLANK('Ingest Template'!P676),"", 'Ingest Template'!P676&amp;"|Operations - Core Title"),CHAR(10), IF(ISBLANK('Ingest Template'!Q676),"", 'Ingest Template'!Q676&amp;"|Operations - Core Title"))))</f>
        <v>#|Operations - Core Title
#|Operations - Core Title
</v>
      </c>
      <c r="AH676" s="21"/>
      <c r="AI676" s="21"/>
      <c r="AJ676" s="53" t="str">
        <f>if('Ingest Template'!A676="Standard",'Ingest Template'!N676&amp; "|DAR|DAR|2021-01-01",'Ingest Template'!N676&amp; "|Operations - Core Title|Operations - Core Title")</f>
        <v>#N/A</v>
      </c>
      <c r="AK676" s="53" t="str">
        <f>if('Ingest Template'!A676="Standard",'Ingest Template'!R676&amp; "|2021-01-01",'Ingest Template'!R676)</f>
        <v>#N/A</v>
      </c>
      <c r="AL676" s="21"/>
      <c r="AM676" s="21"/>
    </row>
    <row r="677">
      <c r="A677" s="21"/>
      <c r="B677" s="21" t="str">
        <f>'Ingest Template'!B677&amp;IF('Ingest Template'!A677 = "Standard", " - DAR","")</f>
        <v/>
      </c>
      <c r="C677" s="26" t="s">
        <v>109</v>
      </c>
      <c r="D677" s="29" t="str">
        <f t="array" ref="D677">CONCATENATE(INDEX(DropDown!$H$2:$H$10,MATCH(1,COUNTIF('Ingest Template'!F677,"*"&amp;DropDown!$H$2:$H$10&amp;"*"),0)),CHAR(10),'Ingest Template'!G677)</f>
        <v>#N/A</v>
      </c>
      <c r="E677" s="21" t="str">
        <f>CONCATENATE('Ingest Template'!H677,CHAR(10),'Ingest Template'!I677,CHAR(10),'Ingest Template'!J677)</f>
        <v>
</v>
      </c>
      <c r="F677" s="26" t="str">
        <f>'Ingest Template'!H677</f>
        <v/>
      </c>
      <c r="G677" s="21"/>
      <c r="H677" s="29"/>
      <c r="I677" s="21"/>
      <c r="J677" s="29" t="str">
        <f t="array" ref="J677">iF('Ingest Template'!A677="Standard","Pristine Brand",INDEX(DropDown!$M$2:$M$392,MATCH('Ingest Template'!E677,DropDown!$J$2:$J$392,0)))</f>
        <v>#N/A</v>
      </c>
      <c r="K677" s="21" t="str">
        <f>iF('Ingest Template'!A677="Standard",'Ingest Template'!K677&amp;CHAR(10)&amp;'Ingest Template'!L677,"Competitive View")</f>
        <v>Competitive View</v>
      </c>
      <c r="L677" s="29" t="s">
        <v>146</v>
      </c>
      <c r="M677" s="37" t="str">
        <f>'Ingest Template'!D677</f>
        <v/>
      </c>
      <c r="N677" s="21"/>
      <c r="O677" s="21"/>
      <c r="P677" s="21"/>
      <c r="Q677" s="21"/>
      <c r="R677" s="21" t="str">
        <f>'Ingest Template'!E677</f>
        <v/>
      </c>
      <c r="S677" s="29" t="s">
        <v>153</v>
      </c>
      <c r="T677" s="21" t="str">
        <f>'Ingest Template'!T677</f>
        <v/>
      </c>
      <c r="U677" s="21" t="str">
        <f>'Ingest Template'!S677</f>
        <v/>
      </c>
      <c r="V677" s="21" t="str">
        <f>LOWER(SUBSTITUTE(SUBSTITUTE(SUBSTITUTE(SUBSTITUTE(SUBSTITUTE('Ingest Template'!U677,"https:",""),"www.",""),"/",""),"?hl=en",""),"instagram.com",""))</f>
        <v/>
      </c>
      <c r="W677" s="41" t="str">
        <f t="array" ref="W677">IF('Ingest Template'!V677="",(INDEX(DropDown!$L$2:$L$392,MATCH('Ingest Template'!E677,DropDown!$J$2:$J$392,0))&amp;"|"&amp;'Ingest Template'!B677),(INDEX(DropDown!$L$2:$L$392,MATCH('Ingest Template'!E677,DropDown!$J$2:$J$392,0))&amp;"|"&amp;'Ingest Template'!B677)&amp;CHAR(10)&amp;'Ingest Template'!V677)</f>
        <v>#N/A</v>
      </c>
      <c r="X677" s="41" t="str">
        <f>'Ingest Template'!W677</f>
        <v/>
      </c>
      <c r="Y677" s="21" t="str">
        <f>SUBSTITUTE(SUBSTITUTE(SUBSTITUTE('Ingest Template'!X677,"http:",""),"https:",""),"/","")</f>
        <v/>
      </c>
      <c r="Z677" s="21" t="str">
        <f t="array" ref="Z677">IF('Ingest Template'!A677="Standard",(IF(ISBLANK('Ingest Template'!AA677),"", 'Ingest Template'!AA677&amp;"|DAR")),(IF(ISBLANK('Ingest Template'!AA677),"", 'Ingest Template'!AA677&amp;"|Film Ops")))</f>
        <v/>
      </c>
      <c r="AA677" s="21"/>
      <c r="AB677" s="21" t="str">
        <f>'Ingest Template'!M677</f>
        <v/>
      </c>
      <c r="AC677" s="21" t="str">
        <f>'Ingest Template'!Y677</f>
        <v/>
      </c>
      <c r="AD677" s="21" t="str">
        <f>'Ingest Template'!C677</f>
        <v/>
      </c>
      <c r="AE677" s="21" t="str">
        <f>'Ingest Template'!Z677</f>
        <v/>
      </c>
      <c r="AF677" s="29"/>
      <c r="AG677" s="21" t="str">
        <f t="array" ref="AG677">IF('Ingest Template'!A677="Standard",(CONCATENATE(IF(ISBLANK('Ingest Template'!O677),"", 'Ingest Template'!O677&amp;"|DAR"),CHAR(10), IF(ISBLANK('Ingest Template'!P677),"", 'Ingest Template'!P677&amp;"|DAR"),CHAR(10), IF(ISBLANK('Ingest Template'!Q677),"", 'Ingest Template'!Q677&amp;"|DAR"))),(CONCATENATE(IF(ISBLANK('Ingest Template'!O677),"", 'Ingest Template'!O677&amp;"|Operations - Core Title"),CHAR(10), IF(ISBLANK('Ingest Template'!P677),"", 'Ingest Template'!P677&amp;"|Operations - Core Title"),CHAR(10), IF(ISBLANK('Ingest Template'!Q677),"", 'Ingest Template'!Q677&amp;"|Operations - Core Title"))))</f>
        <v>#|Operations - Core Title
#|Operations - Core Title
</v>
      </c>
      <c r="AH677" s="21"/>
      <c r="AI677" s="21"/>
      <c r="AJ677" s="53" t="str">
        <f>if('Ingest Template'!A677="Standard",'Ingest Template'!N677&amp; "|DAR|DAR|2021-01-01",'Ingest Template'!N677&amp; "|Operations - Core Title|Operations - Core Title")</f>
        <v>#N/A</v>
      </c>
      <c r="AK677" s="53" t="str">
        <f>if('Ingest Template'!A677="Standard",'Ingest Template'!R677&amp; "|2021-01-01",'Ingest Template'!R677)</f>
        <v>#N/A</v>
      </c>
      <c r="AL677" s="21"/>
      <c r="AM677" s="21"/>
    </row>
    <row r="678">
      <c r="A678" s="21"/>
      <c r="B678" s="21" t="str">
        <f>'Ingest Template'!B678&amp;IF('Ingest Template'!A678 = "Standard", " - DAR","")</f>
        <v/>
      </c>
      <c r="C678" s="26" t="s">
        <v>109</v>
      </c>
      <c r="D678" s="29" t="str">
        <f t="array" ref="D678">CONCATENATE(INDEX(DropDown!$H$2:$H$10,MATCH(1,COUNTIF('Ingest Template'!F678,"*"&amp;DropDown!$H$2:$H$10&amp;"*"),0)),CHAR(10),'Ingest Template'!G678)</f>
        <v>#N/A</v>
      </c>
      <c r="E678" s="21" t="str">
        <f>CONCATENATE('Ingest Template'!H678,CHAR(10),'Ingest Template'!I678,CHAR(10),'Ingest Template'!J678)</f>
        <v>
</v>
      </c>
      <c r="F678" s="26" t="str">
        <f>'Ingest Template'!H678</f>
        <v/>
      </c>
      <c r="G678" s="21"/>
      <c r="H678" s="29"/>
      <c r="I678" s="21"/>
      <c r="J678" s="29" t="str">
        <f t="array" ref="J678">iF('Ingest Template'!A678="Standard","Pristine Brand",INDEX(DropDown!$M$2:$M$392,MATCH('Ingest Template'!E678,DropDown!$J$2:$J$392,0)))</f>
        <v>#N/A</v>
      </c>
      <c r="K678" s="21" t="str">
        <f>iF('Ingest Template'!A678="Standard",'Ingest Template'!K678&amp;CHAR(10)&amp;'Ingest Template'!L678,"Competitive View")</f>
        <v>Competitive View</v>
      </c>
      <c r="L678" s="29" t="s">
        <v>146</v>
      </c>
      <c r="M678" s="37" t="str">
        <f>'Ingest Template'!D678</f>
        <v/>
      </c>
      <c r="N678" s="21"/>
      <c r="O678" s="21"/>
      <c r="P678" s="21"/>
      <c r="Q678" s="21"/>
      <c r="R678" s="21" t="str">
        <f>'Ingest Template'!E678</f>
        <v/>
      </c>
      <c r="S678" s="29" t="s">
        <v>153</v>
      </c>
      <c r="T678" s="21" t="str">
        <f>'Ingest Template'!T678</f>
        <v/>
      </c>
      <c r="U678" s="21" t="str">
        <f>'Ingest Template'!S678</f>
        <v/>
      </c>
      <c r="V678" s="21" t="str">
        <f>LOWER(SUBSTITUTE(SUBSTITUTE(SUBSTITUTE(SUBSTITUTE(SUBSTITUTE('Ingest Template'!U678,"https:",""),"www.",""),"/",""),"?hl=en",""),"instagram.com",""))</f>
        <v/>
      </c>
      <c r="W678" s="41" t="str">
        <f t="array" ref="W678">IF('Ingest Template'!V678="",(INDEX(DropDown!$L$2:$L$392,MATCH('Ingest Template'!E678,DropDown!$J$2:$J$392,0))&amp;"|"&amp;'Ingest Template'!B678),(INDEX(DropDown!$L$2:$L$392,MATCH('Ingest Template'!E678,DropDown!$J$2:$J$392,0))&amp;"|"&amp;'Ingest Template'!B678)&amp;CHAR(10)&amp;'Ingest Template'!V678)</f>
        <v>#N/A</v>
      </c>
      <c r="X678" s="41" t="str">
        <f>'Ingest Template'!W678</f>
        <v/>
      </c>
      <c r="Y678" s="21" t="str">
        <f>SUBSTITUTE(SUBSTITUTE(SUBSTITUTE('Ingest Template'!X678,"http:",""),"https:",""),"/","")</f>
        <v/>
      </c>
      <c r="Z678" s="21" t="str">
        <f t="array" ref="Z678">IF('Ingest Template'!A678="Standard",(IF(ISBLANK('Ingest Template'!AA678),"", 'Ingest Template'!AA678&amp;"|DAR")),(IF(ISBLANK('Ingest Template'!AA678),"", 'Ingest Template'!AA678&amp;"|Film Ops")))</f>
        <v/>
      </c>
      <c r="AA678" s="21"/>
      <c r="AB678" s="21" t="str">
        <f>'Ingest Template'!M678</f>
        <v/>
      </c>
      <c r="AC678" s="21" t="str">
        <f>'Ingest Template'!Y678</f>
        <v/>
      </c>
      <c r="AD678" s="21" t="str">
        <f>'Ingest Template'!C678</f>
        <v/>
      </c>
      <c r="AE678" s="21" t="str">
        <f>'Ingest Template'!Z678</f>
        <v/>
      </c>
      <c r="AF678" s="29"/>
      <c r="AG678" s="21" t="str">
        <f t="array" ref="AG678">IF('Ingest Template'!A678="Standard",(CONCATENATE(IF(ISBLANK('Ingest Template'!O678),"", 'Ingest Template'!O678&amp;"|DAR"),CHAR(10), IF(ISBLANK('Ingest Template'!P678),"", 'Ingest Template'!P678&amp;"|DAR"),CHAR(10), IF(ISBLANK('Ingest Template'!Q678),"", 'Ingest Template'!Q678&amp;"|DAR"))),(CONCATENATE(IF(ISBLANK('Ingest Template'!O678),"", 'Ingest Template'!O678&amp;"|Operations - Core Title"),CHAR(10), IF(ISBLANK('Ingest Template'!P678),"", 'Ingest Template'!P678&amp;"|Operations - Core Title"),CHAR(10), IF(ISBLANK('Ingest Template'!Q678),"", 'Ingest Template'!Q678&amp;"|Operations - Core Title"))))</f>
        <v>#|Operations - Core Title
#|Operations - Core Title
</v>
      </c>
      <c r="AH678" s="21"/>
      <c r="AI678" s="21"/>
      <c r="AJ678" s="53" t="str">
        <f>if('Ingest Template'!A678="Standard",'Ingest Template'!N678&amp; "|DAR|DAR|2021-01-01",'Ingest Template'!N678&amp; "|Operations - Core Title|Operations - Core Title")</f>
        <v>#N/A</v>
      </c>
      <c r="AK678" s="53" t="str">
        <f>if('Ingest Template'!A678="Standard",'Ingest Template'!R678&amp; "|2021-01-01",'Ingest Template'!R678)</f>
        <v>#N/A</v>
      </c>
      <c r="AL678" s="21"/>
      <c r="AM678" s="21"/>
    </row>
    <row r="679">
      <c r="A679" s="21"/>
      <c r="B679" s="21" t="str">
        <f>'Ingest Template'!B679&amp;IF('Ingest Template'!A679 = "Standard", " - DAR","")</f>
        <v/>
      </c>
      <c r="C679" s="26" t="s">
        <v>109</v>
      </c>
      <c r="D679" s="29" t="str">
        <f t="array" ref="D679">CONCATENATE(INDEX(DropDown!$H$2:$H$10,MATCH(1,COUNTIF('Ingest Template'!F679,"*"&amp;DropDown!$H$2:$H$10&amp;"*"),0)),CHAR(10),'Ingest Template'!G679)</f>
        <v>#N/A</v>
      </c>
      <c r="E679" s="21" t="str">
        <f>CONCATENATE('Ingest Template'!H679,CHAR(10),'Ingest Template'!I679,CHAR(10),'Ingest Template'!J679)</f>
        <v>
</v>
      </c>
      <c r="F679" s="26" t="str">
        <f>'Ingest Template'!H679</f>
        <v/>
      </c>
      <c r="G679" s="21"/>
      <c r="H679" s="29"/>
      <c r="I679" s="21"/>
      <c r="J679" s="29" t="str">
        <f t="array" ref="J679">iF('Ingest Template'!A679="Standard","Pristine Brand",INDEX(DropDown!$M$2:$M$392,MATCH('Ingest Template'!E679,DropDown!$J$2:$J$392,0)))</f>
        <v>#N/A</v>
      </c>
      <c r="K679" s="21" t="str">
        <f>iF('Ingest Template'!A679="Standard",'Ingest Template'!K679&amp;CHAR(10)&amp;'Ingest Template'!L679,"Competitive View")</f>
        <v>Competitive View</v>
      </c>
      <c r="L679" s="29" t="s">
        <v>146</v>
      </c>
      <c r="M679" s="37" t="str">
        <f>'Ingest Template'!D679</f>
        <v/>
      </c>
      <c r="N679" s="21"/>
      <c r="O679" s="21"/>
      <c r="P679" s="21"/>
      <c r="Q679" s="21"/>
      <c r="R679" s="21" t="str">
        <f>'Ingest Template'!E679</f>
        <v/>
      </c>
      <c r="S679" s="29" t="s">
        <v>153</v>
      </c>
      <c r="T679" s="21" t="str">
        <f>'Ingest Template'!T679</f>
        <v/>
      </c>
      <c r="U679" s="21" t="str">
        <f>'Ingest Template'!S679</f>
        <v/>
      </c>
      <c r="V679" s="21" t="str">
        <f>LOWER(SUBSTITUTE(SUBSTITUTE(SUBSTITUTE(SUBSTITUTE(SUBSTITUTE('Ingest Template'!U679,"https:",""),"www.",""),"/",""),"?hl=en",""),"instagram.com",""))</f>
        <v/>
      </c>
      <c r="W679" s="41" t="str">
        <f t="array" ref="W679">IF('Ingest Template'!V679="",(INDEX(DropDown!$L$2:$L$392,MATCH('Ingest Template'!E679,DropDown!$J$2:$J$392,0))&amp;"|"&amp;'Ingest Template'!B679),(INDEX(DropDown!$L$2:$L$392,MATCH('Ingest Template'!E679,DropDown!$J$2:$J$392,0))&amp;"|"&amp;'Ingest Template'!B679)&amp;CHAR(10)&amp;'Ingest Template'!V679)</f>
        <v>#N/A</v>
      </c>
      <c r="X679" s="41" t="str">
        <f>'Ingest Template'!W679</f>
        <v/>
      </c>
      <c r="Y679" s="21" t="str">
        <f>SUBSTITUTE(SUBSTITUTE(SUBSTITUTE('Ingest Template'!X679,"http:",""),"https:",""),"/","")</f>
        <v/>
      </c>
      <c r="Z679" s="21" t="str">
        <f t="array" ref="Z679">IF('Ingest Template'!A679="Standard",(IF(ISBLANK('Ingest Template'!AA679),"", 'Ingest Template'!AA679&amp;"|DAR")),(IF(ISBLANK('Ingest Template'!AA679),"", 'Ingest Template'!AA679&amp;"|Film Ops")))</f>
        <v/>
      </c>
      <c r="AA679" s="21"/>
      <c r="AB679" s="21" t="str">
        <f>'Ingest Template'!M679</f>
        <v/>
      </c>
      <c r="AC679" s="21" t="str">
        <f>'Ingest Template'!Y679</f>
        <v/>
      </c>
      <c r="AD679" s="21" t="str">
        <f>'Ingest Template'!C679</f>
        <v/>
      </c>
      <c r="AE679" s="21" t="str">
        <f>'Ingest Template'!Z679</f>
        <v/>
      </c>
      <c r="AF679" s="29"/>
      <c r="AG679" s="21" t="str">
        <f t="array" ref="AG679">IF('Ingest Template'!A679="Standard",(CONCATENATE(IF(ISBLANK('Ingest Template'!O679),"", 'Ingest Template'!O679&amp;"|DAR"),CHAR(10), IF(ISBLANK('Ingest Template'!P679),"", 'Ingest Template'!P679&amp;"|DAR"),CHAR(10), IF(ISBLANK('Ingest Template'!Q679),"", 'Ingest Template'!Q679&amp;"|DAR"))),(CONCATENATE(IF(ISBLANK('Ingest Template'!O679),"", 'Ingest Template'!O679&amp;"|Operations - Core Title"),CHAR(10), IF(ISBLANK('Ingest Template'!P679),"", 'Ingest Template'!P679&amp;"|Operations - Core Title"),CHAR(10), IF(ISBLANK('Ingest Template'!Q679),"", 'Ingest Template'!Q679&amp;"|Operations - Core Title"))))</f>
        <v>#|Operations - Core Title
#|Operations - Core Title
</v>
      </c>
      <c r="AH679" s="21"/>
      <c r="AI679" s="21"/>
      <c r="AJ679" s="53" t="str">
        <f>if('Ingest Template'!A679="Standard",'Ingest Template'!N679&amp; "|DAR|DAR|2021-01-01",'Ingest Template'!N679&amp; "|Operations - Core Title|Operations - Core Title")</f>
        <v>#N/A</v>
      </c>
      <c r="AK679" s="53" t="str">
        <f>if('Ingest Template'!A679="Standard",'Ingest Template'!R679&amp; "|2021-01-01",'Ingest Template'!R679)</f>
        <v>#N/A</v>
      </c>
      <c r="AL679" s="21"/>
      <c r="AM679" s="21"/>
    </row>
    <row r="680">
      <c r="A680" s="21"/>
      <c r="B680" s="21" t="str">
        <f>'Ingest Template'!B680&amp;IF('Ingest Template'!A680 = "Standard", " - DAR","")</f>
        <v/>
      </c>
      <c r="C680" s="26" t="s">
        <v>109</v>
      </c>
      <c r="D680" s="29" t="str">
        <f t="array" ref="D680">CONCATENATE(INDEX(DropDown!$H$2:$H$10,MATCH(1,COUNTIF('Ingest Template'!F680,"*"&amp;DropDown!$H$2:$H$10&amp;"*"),0)),CHAR(10),'Ingest Template'!G680)</f>
        <v>#N/A</v>
      </c>
      <c r="E680" s="21" t="str">
        <f>CONCATENATE('Ingest Template'!H680,CHAR(10),'Ingest Template'!I680,CHAR(10),'Ingest Template'!J680)</f>
        <v>
</v>
      </c>
      <c r="F680" s="26" t="str">
        <f>'Ingest Template'!H680</f>
        <v/>
      </c>
      <c r="G680" s="21"/>
      <c r="H680" s="29"/>
      <c r="I680" s="21"/>
      <c r="J680" s="29" t="str">
        <f t="array" ref="J680">iF('Ingest Template'!A680="Standard","Pristine Brand",INDEX(DropDown!$M$2:$M$392,MATCH('Ingest Template'!E680,DropDown!$J$2:$J$392,0)))</f>
        <v>#N/A</v>
      </c>
      <c r="K680" s="21" t="str">
        <f>iF('Ingest Template'!A680="Standard",'Ingest Template'!K680&amp;CHAR(10)&amp;'Ingest Template'!L680,"Competitive View")</f>
        <v>Competitive View</v>
      </c>
      <c r="L680" s="29" t="s">
        <v>146</v>
      </c>
      <c r="M680" s="37" t="str">
        <f>'Ingest Template'!D680</f>
        <v/>
      </c>
      <c r="N680" s="21"/>
      <c r="O680" s="21"/>
      <c r="P680" s="21"/>
      <c r="Q680" s="21"/>
      <c r="R680" s="21" t="str">
        <f>'Ingest Template'!E680</f>
        <v/>
      </c>
      <c r="S680" s="29" t="s">
        <v>153</v>
      </c>
      <c r="T680" s="21" t="str">
        <f>'Ingest Template'!T680</f>
        <v/>
      </c>
      <c r="U680" s="21" t="str">
        <f>'Ingest Template'!S680</f>
        <v/>
      </c>
      <c r="V680" s="21" t="str">
        <f>LOWER(SUBSTITUTE(SUBSTITUTE(SUBSTITUTE(SUBSTITUTE(SUBSTITUTE('Ingest Template'!U680,"https:",""),"www.",""),"/",""),"?hl=en",""),"instagram.com",""))</f>
        <v/>
      </c>
      <c r="W680" s="41" t="str">
        <f t="array" ref="W680">IF('Ingest Template'!V680="",(INDEX(DropDown!$L$2:$L$392,MATCH('Ingest Template'!E680,DropDown!$J$2:$J$392,0))&amp;"|"&amp;'Ingest Template'!B680),(INDEX(DropDown!$L$2:$L$392,MATCH('Ingest Template'!E680,DropDown!$J$2:$J$392,0))&amp;"|"&amp;'Ingest Template'!B680)&amp;CHAR(10)&amp;'Ingest Template'!V680)</f>
        <v>#N/A</v>
      </c>
      <c r="X680" s="41" t="str">
        <f>'Ingest Template'!W680</f>
        <v/>
      </c>
      <c r="Y680" s="21" t="str">
        <f>SUBSTITUTE(SUBSTITUTE(SUBSTITUTE('Ingest Template'!X680,"http:",""),"https:",""),"/","")</f>
        <v/>
      </c>
      <c r="Z680" s="21" t="str">
        <f t="array" ref="Z680">IF('Ingest Template'!A680="Standard",(IF(ISBLANK('Ingest Template'!AA680),"", 'Ingest Template'!AA680&amp;"|DAR")),(IF(ISBLANK('Ingest Template'!AA680),"", 'Ingest Template'!AA680&amp;"|Film Ops")))</f>
        <v/>
      </c>
      <c r="AA680" s="21"/>
      <c r="AB680" s="21" t="str">
        <f>'Ingest Template'!M680</f>
        <v/>
      </c>
      <c r="AC680" s="21" t="str">
        <f>'Ingest Template'!Y680</f>
        <v/>
      </c>
      <c r="AD680" s="21" t="str">
        <f>'Ingest Template'!C680</f>
        <v/>
      </c>
      <c r="AE680" s="21" t="str">
        <f>'Ingest Template'!Z680</f>
        <v/>
      </c>
      <c r="AF680" s="29"/>
      <c r="AG680" s="21" t="str">
        <f t="array" ref="AG680">IF('Ingest Template'!A680="Standard",(CONCATENATE(IF(ISBLANK('Ingest Template'!O680),"", 'Ingest Template'!O680&amp;"|DAR"),CHAR(10), IF(ISBLANK('Ingest Template'!P680),"", 'Ingest Template'!P680&amp;"|DAR"),CHAR(10), IF(ISBLANK('Ingest Template'!Q680),"", 'Ingest Template'!Q680&amp;"|DAR"))),(CONCATENATE(IF(ISBLANK('Ingest Template'!O680),"", 'Ingest Template'!O680&amp;"|Operations - Core Title"),CHAR(10), IF(ISBLANK('Ingest Template'!P680),"", 'Ingest Template'!P680&amp;"|Operations - Core Title"),CHAR(10), IF(ISBLANK('Ingest Template'!Q680),"", 'Ingest Template'!Q680&amp;"|Operations - Core Title"))))</f>
        <v>#|Operations - Core Title
#|Operations - Core Title
</v>
      </c>
      <c r="AH680" s="21"/>
      <c r="AI680" s="21"/>
      <c r="AJ680" s="53" t="str">
        <f>if('Ingest Template'!A680="Standard",'Ingest Template'!N680&amp; "|DAR|DAR|2021-01-01",'Ingest Template'!N680&amp; "|Operations - Core Title|Operations - Core Title")</f>
        <v>#N/A</v>
      </c>
      <c r="AK680" s="53" t="str">
        <f>if('Ingest Template'!A680="Standard",'Ingest Template'!R680&amp; "|2021-01-01",'Ingest Template'!R680)</f>
        <v>#N/A</v>
      </c>
      <c r="AL680" s="21"/>
      <c r="AM680" s="21"/>
    </row>
    <row r="681">
      <c r="A681" s="21"/>
      <c r="B681" s="21" t="str">
        <f>'Ingest Template'!B681&amp;IF('Ingest Template'!A681 = "Standard", " - DAR","")</f>
        <v/>
      </c>
      <c r="C681" s="26" t="s">
        <v>109</v>
      </c>
      <c r="D681" s="29" t="str">
        <f t="array" ref="D681">CONCATENATE(INDEX(DropDown!$H$2:$H$10,MATCH(1,COUNTIF('Ingest Template'!F681,"*"&amp;DropDown!$H$2:$H$10&amp;"*"),0)),CHAR(10),'Ingest Template'!G681)</f>
        <v>#N/A</v>
      </c>
      <c r="E681" s="21" t="str">
        <f>CONCATENATE('Ingest Template'!H681,CHAR(10),'Ingest Template'!I681,CHAR(10),'Ingest Template'!J681)</f>
        <v>
</v>
      </c>
      <c r="F681" s="26" t="str">
        <f>'Ingest Template'!H681</f>
        <v/>
      </c>
      <c r="G681" s="21"/>
      <c r="H681" s="29"/>
      <c r="I681" s="21"/>
      <c r="J681" s="29" t="str">
        <f t="array" ref="J681">iF('Ingest Template'!A681="Standard","Pristine Brand",INDEX(DropDown!$M$2:$M$392,MATCH('Ingest Template'!E681,DropDown!$J$2:$J$392,0)))</f>
        <v>#N/A</v>
      </c>
      <c r="K681" s="21" t="str">
        <f>iF('Ingest Template'!A681="Standard",'Ingest Template'!K681&amp;CHAR(10)&amp;'Ingest Template'!L681,"Competitive View")</f>
        <v>Competitive View</v>
      </c>
      <c r="L681" s="29" t="s">
        <v>146</v>
      </c>
      <c r="M681" s="37" t="str">
        <f>'Ingest Template'!D681</f>
        <v/>
      </c>
      <c r="N681" s="21"/>
      <c r="O681" s="21"/>
      <c r="P681" s="21"/>
      <c r="Q681" s="21"/>
      <c r="R681" s="21" t="str">
        <f>'Ingest Template'!E681</f>
        <v/>
      </c>
      <c r="S681" s="29" t="s">
        <v>153</v>
      </c>
      <c r="T681" s="21" t="str">
        <f>'Ingest Template'!T681</f>
        <v/>
      </c>
      <c r="U681" s="21" t="str">
        <f>'Ingest Template'!S681</f>
        <v/>
      </c>
      <c r="V681" s="21" t="str">
        <f>LOWER(SUBSTITUTE(SUBSTITUTE(SUBSTITUTE(SUBSTITUTE(SUBSTITUTE('Ingest Template'!U681,"https:",""),"www.",""),"/",""),"?hl=en",""),"instagram.com",""))</f>
        <v/>
      </c>
      <c r="W681" s="41" t="str">
        <f t="array" ref="W681">IF('Ingest Template'!V681="",(INDEX(DropDown!$L$2:$L$392,MATCH('Ingest Template'!E681,DropDown!$J$2:$J$392,0))&amp;"|"&amp;'Ingest Template'!B681),(INDEX(DropDown!$L$2:$L$392,MATCH('Ingest Template'!E681,DropDown!$J$2:$J$392,0))&amp;"|"&amp;'Ingest Template'!B681)&amp;CHAR(10)&amp;'Ingest Template'!V681)</f>
        <v>#N/A</v>
      </c>
      <c r="X681" s="41" t="str">
        <f>'Ingest Template'!W681</f>
        <v/>
      </c>
      <c r="Y681" s="21" t="str">
        <f>SUBSTITUTE(SUBSTITUTE(SUBSTITUTE('Ingest Template'!X681,"http:",""),"https:",""),"/","")</f>
        <v/>
      </c>
      <c r="Z681" s="21" t="str">
        <f t="array" ref="Z681">IF('Ingest Template'!A681="Standard",(IF(ISBLANK('Ingest Template'!AA681),"", 'Ingest Template'!AA681&amp;"|DAR")),(IF(ISBLANK('Ingest Template'!AA681),"", 'Ingest Template'!AA681&amp;"|Film Ops")))</f>
        <v/>
      </c>
      <c r="AA681" s="21"/>
      <c r="AB681" s="21" t="str">
        <f>'Ingest Template'!M681</f>
        <v/>
      </c>
      <c r="AC681" s="21" t="str">
        <f>'Ingest Template'!Y681</f>
        <v/>
      </c>
      <c r="AD681" s="21" t="str">
        <f>'Ingest Template'!C681</f>
        <v/>
      </c>
      <c r="AE681" s="21" t="str">
        <f>'Ingest Template'!Z681</f>
        <v/>
      </c>
      <c r="AF681" s="29"/>
      <c r="AG681" s="21" t="str">
        <f t="array" ref="AG681">IF('Ingest Template'!A681="Standard",(CONCATENATE(IF(ISBLANK('Ingest Template'!O681),"", 'Ingest Template'!O681&amp;"|DAR"),CHAR(10), IF(ISBLANK('Ingest Template'!P681),"", 'Ingest Template'!P681&amp;"|DAR"),CHAR(10), IF(ISBLANK('Ingest Template'!Q681),"", 'Ingest Template'!Q681&amp;"|DAR"))),(CONCATENATE(IF(ISBLANK('Ingest Template'!O681),"", 'Ingest Template'!O681&amp;"|Operations - Core Title"),CHAR(10), IF(ISBLANK('Ingest Template'!P681),"", 'Ingest Template'!P681&amp;"|Operations - Core Title"),CHAR(10), IF(ISBLANK('Ingest Template'!Q681),"", 'Ingest Template'!Q681&amp;"|Operations - Core Title"))))</f>
        <v>#|Operations - Core Title
#|Operations - Core Title
</v>
      </c>
      <c r="AH681" s="21"/>
      <c r="AI681" s="21"/>
      <c r="AJ681" s="53" t="str">
        <f>if('Ingest Template'!A681="Standard",'Ingest Template'!N681&amp; "|DAR|DAR|2021-01-01",'Ingest Template'!N681&amp; "|Operations - Core Title|Operations - Core Title")</f>
        <v>#N/A</v>
      </c>
      <c r="AK681" s="53" t="str">
        <f>if('Ingest Template'!A681="Standard",'Ingest Template'!R681&amp; "|2021-01-01",'Ingest Template'!R681)</f>
        <v>#N/A</v>
      </c>
      <c r="AL681" s="21"/>
      <c r="AM681" s="21"/>
    </row>
    <row r="682">
      <c r="A682" s="21"/>
      <c r="B682" s="21" t="str">
        <f>'Ingest Template'!B682&amp;IF('Ingest Template'!A682 = "Standard", " - DAR","")</f>
        <v/>
      </c>
      <c r="C682" s="26" t="s">
        <v>109</v>
      </c>
      <c r="D682" s="29" t="str">
        <f t="array" ref="D682">CONCATENATE(INDEX(DropDown!$H$2:$H$10,MATCH(1,COUNTIF('Ingest Template'!F682,"*"&amp;DropDown!$H$2:$H$10&amp;"*"),0)),CHAR(10),'Ingest Template'!G682)</f>
        <v>#N/A</v>
      </c>
      <c r="E682" s="21" t="str">
        <f>CONCATENATE('Ingest Template'!H682,CHAR(10),'Ingest Template'!I682,CHAR(10),'Ingest Template'!J682)</f>
        <v>
</v>
      </c>
      <c r="F682" s="26" t="str">
        <f>'Ingest Template'!H682</f>
        <v/>
      </c>
      <c r="G682" s="21"/>
      <c r="H682" s="29"/>
      <c r="I682" s="21"/>
      <c r="J682" s="29" t="str">
        <f t="array" ref="J682">iF('Ingest Template'!A682="Standard","Pristine Brand",INDEX(DropDown!$M$2:$M$392,MATCH('Ingest Template'!E682,DropDown!$J$2:$J$392,0)))</f>
        <v>#N/A</v>
      </c>
      <c r="K682" s="21" t="str">
        <f>iF('Ingest Template'!A682="Standard",'Ingest Template'!K682&amp;CHAR(10)&amp;'Ingest Template'!L682,"Competitive View")</f>
        <v>Competitive View</v>
      </c>
      <c r="L682" s="29" t="s">
        <v>146</v>
      </c>
      <c r="M682" s="37" t="str">
        <f>'Ingest Template'!D682</f>
        <v/>
      </c>
      <c r="N682" s="21"/>
      <c r="O682" s="21"/>
      <c r="P682" s="21"/>
      <c r="Q682" s="21"/>
      <c r="R682" s="21" t="str">
        <f>'Ingest Template'!E682</f>
        <v/>
      </c>
      <c r="S682" s="29" t="s">
        <v>153</v>
      </c>
      <c r="T682" s="21" t="str">
        <f>'Ingest Template'!T682</f>
        <v/>
      </c>
      <c r="U682" s="21" t="str">
        <f>'Ingest Template'!S682</f>
        <v/>
      </c>
      <c r="V682" s="21" t="str">
        <f>LOWER(SUBSTITUTE(SUBSTITUTE(SUBSTITUTE(SUBSTITUTE(SUBSTITUTE('Ingest Template'!U682,"https:",""),"www.",""),"/",""),"?hl=en",""),"instagram.com",""))</f>
        <v/>
      </c>
      <c r="W682" s="41" t="str">
        <f t="array" ref="W682">IF('Ingest Template'!V682="",(INDEX(DropDown!$L$2:$L$392,MATCH('Ingest Template'!E682,DropDown!$J$2:$J$392,0))&amp;"|"&amp;'Ingest Template'!B682),(INDEX(DropDown!$L$2:$L$392,MATCH('Ingest Template'!E682,DropDown!$J$2:$J$392,0))&amp;"|"&amp;'Ingest Template'!B682)&amp;CHAR(10)&amp;'Ingest Template'!V682)</f>
        <v>#N/A</v>
      </c>
      <c r="X682" s="41" t="str">
        <f>'Ingest Template'!W682</f>
        <v/>
      </c>
      <c r="Y682" s="21" t="str">
        <f>SUBSTITUTE(SUBSTITUTE(SUBSTITUTE('Ingest Template'!X682,"http:",""),"https:",""),"/","")</f>
        <v/>
      </c>
      <c r="Z682" s="21" t="str">
        <f t="array" ref="Z682">IF('Ingest Template'!A682="Standard",(IF(ISBLANK('Ingest Template'!AA682),"", 'Ingest Template'!AA682&amp;"|DAR")),(IF(ISBLANK('Ingest Template'!AA682),"", 'Ingest Template'!AA682&amp;"|Film Ops")))</f>
        <v/>
      </c>
      <c r="AA682" s="21"/>
      <c r="AB682" s="21" t="str">
        <f>'Ingest Template'!M682</f>
        <v/>
      </c>
      <c r="AC682" s="21" t="str">
        <f>'Ingest Template'!Y682</f>
        <v/>
      </c>
      <c r="AD682" s="21" t="str">
        <f>'Ingest Template'!C682</f>
        <v/>
      </c>
      <c r="AE682" s="21" t="str">
        <f>'Ingest Template'!Z682</f>
        <v/>
      </c>
      <c r="AF682" s="29"/>
      <c r="AG682" s="21" t="str">
        <f t="array" ref="AG682">IF('Ingest Template'!A682="Standard",(CONCATENATE(IF(ISBLANK('Ingest Template'!O682),"", 'Ingest Template'!O682&amp;"|DAR"),CHAR(10), IF(ISBLANK('Ingest Template'!P682),"", 'Ingest Template'!P682&amp;"|DAR"),CHAR(10), IF(ISBLANK('Ingest Template'!Q682),"", 'Ingest Template'!Q682&amp;"|DAR"))),(CONCATENATE(IF(ISBLANK('Ingest Template'!O682),"", 'Ingest Template'!O682&amp;"|Operations - Core Title"),CHAR(10), IF(ISBLANK('Ingest Template'!P682),"", 'Ingest Template'!P682&amp;"|Operations - Core Title"),CHAR(10), IF(ISBLANK('Ingest Template'!Q682),"", 'Ingest Template'!Q682&amp;"|Operations - Core Title"))))</f>
        <v>#|Operations - Core Title
#|Operations - Core Title
</v>
      </c>
      <c r="AH682" s="21"/>
      <c r="AI682" s="21"/>
      <c r="AJ682" s="53" t="str">
        <f>if('Ingest Template'!A682="Standard",'Ingest Template'!N682&amp; "|DAR|DAR|2021-01-01",'Ingest Template'!N682&amp; "|Operations - Core Title|Operations - Core Title")</f>
        <v>#N/A</v>
      </c>
      <c r="AK682" s="53" t="str">
        <f>if('Ingest Template'!A682="Standard",'Ingest Template'!R682&amp; "|2021-01-01",'Ingest Template'!R682)</f>
        <v>#N/A</v>
      </c>
      <c r="AL682" s="21"/>
      <c r="AM682" s="21"/>
    </row>
    <row r="683">
      <c r="A683" s="21"/>
      <c r="B683" s="21" t="str">
        <f>'Ingest Template'!B683&amp;IF('Ingest Template'!A683 = "Standard", " - DAR","")</f>
        <v/>
      </c>
      <c r="C683" s="26" t="s">
        <v>109</v>
      </c>
      <c r="D683" s="29" t="str">
        <f t="array" ref="D683">CONCATENATE(INDEX(DropDown!$H$2:$H$10,MATCH(1,COUNTIF('Ingest Template'!F683,"*"&amp;DropDown!$H$2:$H$10&amp;"*"),0)),CHAR(10),'Ingest Template'!G683)</f>
        <v>#N/A</v>
      </c>
      <c r="E683" s="21" t="str">
        <f>CONCATENATE('Ingest Template'!H683,CHAR(10),'Ingest Template'!I683,CHAR(10),'Ingest Template'!J683)</f>
        <v>
</v>
      </c>
      <c r="F683" s="26" t="str">
        <f>'Ingest Template'!H683</f>
        <v/>
      </c>
      <c r="G683" s="21"/>
      <c r="H683" s="29"/>
      <c r="I683" s="21"/>
      <c r="J683" s="29" t="str">
        <f t="array" ref="J683">iF('Ingest Template'!A683="Standard","Pristine Brand",INDEX(DropDown!$M$2:$M$392,MATCH('Ingest Template'!E683,DropDown!$J$2:$J$392,0)))</f>
        <v>#N/A</v>
      </c>
      <c r="K683" s="21" t="str">
        <f>iF('Ingest Template'!A683="Standard",'Ingest Template'!K683&amp;CHAR(10)&amp;'Ingest Template'!L683,"Competitive View")</f>
        <v>Competitive View</v>
      </c>
      <c r="L683" s="29" t="s">
        <v>146</v>
      </c>
      <c r="M683" s="37" t="str">
        <f>'Ingest Template'!D683</f>
        <v/>
      </c>
      <c r="N683" s="21"/>
      <c r="O683" s="21"/>
      <c r="P683" s="21"/>
      <c r="Q683" s="21"/>
      <c r="R683" s="21" t="str">
        <f>'Ingest Template'!E683</f>
        <v/>
      </c>
      <c r="S683" s="29" t="s">
        <v>153</v>
      </c>
      <c r="T683" s="21" t="str">
        <f>'Ingest Template'!T683</f>
        <v/>
      </c>
      <c r="U683" s="21" t="str">
        <f>'Ingest Template'!S683</f>
        <v/>
      </c>
      <c r="V683" s="21" t="str">
        <f>LOWER(SUBSTITUTE(SUBSTITUTE(SUBSTITUTE(SUBSTITUTE(SUBSTITUTE('Ingest Template'!U683,"https:",""),"www.",""),"/",""),"?hl=en",""),"instagram.com",""))</f>
        <v/>
      </c>
      <c r="W683" s="41" t="str">
        <f t="array" ref="W683">IF('Ingest Template'!V683="",(INDEX(DropDown!$L$2:$L$392,MATCH('Ingest Template'!E683,DropDown!$J$2:$J$392,0))&amp;"|"&amp;'Ingest Template'!B683),(INDEX(DropDown!$L$2:$L$392,MATCH('Ingest Template'!E683,DropDown!$J$2:$J$392,0))&amp;"|"&amp;'Ingest Template'!B683)&amp;CHAR(10)&amp;'Ingest Template'!V683)</f>
        <v>#N/A</v>
      </c>
      <c r="X683" s="41" t="str">
        <f>'Ingest Template'!W683</f>
        <v/>
      </c>
      <c r="Y683" s="21" t="str">
        <f>SUBSTITUTE(SUBSTITUTE(SUBSTITUTE('Ingest Template'!X683,"http:",""),"https:",""),"/","")</f>
        <v/>
      </c>
      <c r="Z683" s="21" t="str">
        <f t="array" ref="Z683">IF('Ingest Template'!A683="Standard",(IF(ISBLANK('Ingest Template'!AA683),"", 'Ingest Template'!AA683&amp;"|DAR")),(IF(ISBLANK('Ingest Template'!AA683),"", 'Ingest Template'!AA683&amp;"|Film Ops")))</f>
        <v/>
      </c>
      <c r="AA683" s="21"/>
      <c r="AB683" s="21" t="str">
        <f>'Ingest Template'!M683</f>
        <v/>
      </c>
      <c r="AC683" s="21" t="str">
        <f>'Ingest Template'!Y683</f>
        <v/>
      </c>
      <c r="AD683" s="21" t="str">
        <f>'Ingest Template'!C683</f>
        <v/>
      </c>
      <c r="AE683" s="21" t="str">
        <f>'Ingest Template'!Z683</f>
        <v/>
      </c>
      <c r="AF683" s="29"/>
      <c r="AG683" s="21" t="str">
        <f t="array" ref="AG683">IF('Ingest Template'!A683="Standard",(CONCATENATE(IF(ISBLANK('Ingest Template'!O683),"", 'Ingest Template'!O683&amp;"|DAR"),CHAR(10), IF(ISBLANK('Ingest Template'!P683),"", 'Ingest Template'!P683&amp;"|DAR"),CHAR(10), IF(ISBLANK('Ingest Template'!Q683),"", 'Ingest Template'!Q683&amp;"|DAR"))),(CONCATENATE(IF(ISBLANK('Ingest Template'!O683),"", 'Ingest Template'!O683&amp;"|Operations - Core Title"),CHAR(10), IF(ISBLANK('Ingest Template'!P683),"", 'Ingest Template'!P683&amp;"|Operations - Core Title"),CHAR(10), IF(ISBLANK('Ingest Template'!Q683),"", 'Ingest Template'!Q683&amp;"|Operations - Core Title"))))</f>
        <v>#|Operations - Core Title
#|Operations - Core Title
</v>
      </c>
      <c r="AH683" s="21"/>
      <c r="AI683" s="21"/>
      <c r="AJ683" s="53" t="str">
        <f>if('Ingest Template'!A683="Standard",'Ingest Template'!N683&amp; "|DAR|DAR|2021-01-01",'Ingest Template'!N683&amp; "|Operations - Core Title|Operations - Core Title")</f>
        <v>#N/A</v>
      </c>
      <c r="AK683" s="53" t="str">
        <f>if('Ingest Template'!A683="Standard",'Ingest Template'!R683&amp; "|2021-01-01",'Ingest Template'!R683)</f>
        <v>#N/A</v>
      </c>
      <c r="AL683" s="21"/>
      <c r="AM683" s="21"/>
    </row>
    <row r="684">
      <c r="A684" s="21"/>
      <c r="B684" s="21" t="str">
        <f>'Ingest Template'!B684&amp;IF('Ingest Template'!A684 = "Standard", " - DAR","")</f>
        <v/>
      </c>
      <c r="C684" s="26" t="s">
        <v>109</v>
      </c>
      <c r="D684" s="29" t="str">
        <f t="array" ref="D684">CONCATENATE(INDEX(DropDown!$H$2:$H$10,MATCH(1,COUNTIF('Ingest Template'!F684,"*"&amp;DropDown!$H$2:$H$10&amp;"*"),0)),CHAR(10),'Ingest Template'!G684)</f>
        <v>#N/A</v>
      </c>
      <c r="E684" s="21" t="str">
        <f>CONCATENATE('Ingest Template'!H684,CHAR(10),'Ingest Template'!I684,CHAR(10),'Ingest Template'!J684)</f>
        <v>
</v>
      </c>
      <c r="F684" s="26" t="str">
        <f>'Ingest Template'!H684</f>
        <v/>
      </c>
      <c r="G684" s="21"/>
      <c r="H684" s="29"/>
      <c r="I684" s="21"/>
      <c r="J684" s="29" t="str">
        <f t="array" ref="J684">iF('Ingest Template'!A684="Standard","Pristine Brand",INDEX(DropDown!$M$2:$M$392,MATCH('Ingest Template'!E684,DropDown!$J$2:$J$392,0)))</f>
        <v>#N/A</v>
      </c>
      <c r="K684" s="21" t="str">
        <f>iF('Ingest Template'!A684="Standard",'Ingest Template'!K684&amp;CHAR(10)&amp;'Ingest Template'!L684,"Competitive View")</f>
        <v>Competitive View</v>
      </c>
      <c r="L684" s="29" t="s">
        <v>146</v>
      </c>
      <c r="M684" s="37" t="str">
        <f>'Ingest Template'!D684</f>
        <v/>
      </c>
      <c r="N684" s="21"/>
      <c r="O684" s="21"/>
      <c r="P684" s="21"/>
      <c r="Q684" s="21"/>
      <c r="R684" s="21" t="str">
        <f>'Ingest Template'!E684</f>
        <v/>
      </c>
      <c r="S684" s="29" t="s">
        <v>153</v>
      </c>
      <c r="T684" s="21" t="str">
        <f>'Ingest Template'!T684</f>
        <v/>
      </c>
      <c r="U684" s="21" t="str">
        <f>'Ingest Template'!S684</f>
        <v/>
      </c>
      <c r="V684" s="21" t="str">
        <f>LOWER(SUBSTITUTE(SUBSTITUTE(SUBSTITUTE(SUBSTITUTE(SUBSTITUTE('Ingest Template'!U684,"https:",""),"www.",""),"/",""),"?hl=en",""),"instagram.com",""))</f>
        <v/>
      </c>
      <c r="W684" s="41" t="str">
        <f t="array" ref="W684">IF('Ingest Template'!V684="",(INDEX(DropDown!$L$2:$L$392,MATCH('Ingest Template'!E684,DropDown!$J$2:$J$392,0))&amp;"|"&amp;'Ingest Template'!B684),(INDEX(DropDown!$L$2:$L$392,MATCH('Ingest Template'!E684,DropDown!$J$2:$J$392,0))&amp;"|"&amp;'Ingest Template'!B684)&amp;CHAR(10)&amp;'Ingest Template'!V684)</f>
        <v>#N/A</v>
      </c>
      <c r="X684" s="41" t="str">
        <f>'Ingest Template'!W684</f>
        <v/>
      </c>
      <c r="Y684" s="21" t="str">
        <f>SUBSTITUTE(SUBSTITUTE(SUBSTITUTE('Ingest Template'!X684,"http:",""),"https:",""),"/","")</f>
        <v/>
      </c>
      <c r="Z684" s="21" t="str">
        <f t="array" ref="Z684">IF('Ingest Template'!A684="Standard",(IF(ISBLANK('Ingest Template'!AA684),"", 'Ingest Template'!AA684&amp;"|DAR")),(IF(ISBLANK('Ingest Template'!AA684),"", 'Ingest Template'!AA684&amp;"|Film Ops")))</f>
        <v/>
      </c>
      <c r="AA684" s="21"/>
      <c r="AB684" s="21" t="str">
        <f>'Ingest Template'!M684</f>
        <v/>
      </c>
      <c r="AC684" s="21" t="str">
        <f>'Ingest Template'!Y684</f>
        <v/>
      </c>
      <c r="AD684" s="21" t="str">
        <f>'Ingest Template'!C684</f>
        <v/>
      </c>
      <c r="AE684" s="21" t="str">
        <f>'Ingest Template'!Z684</f>
        <v/>
      </c>
      <c r="AF684" s="29"/>
      <c r="AG684" s="21" t="str">
        <f t="array" ref="AG684">IF('Ingest Template'!A684="Standard",(CONCATENATE(IF(ISBLANK('Ingest Template'!O684),"", 'Ingest Template'!O684&amp;"|DAR"),CHAR(10), IF(ISBLANK('Ingest Template'!P684),"", 'Ingest Template'!P684&amp;"|DAR"),CHAR(10), IF(ISBLANK('Ingest Template'!Q684),"", 'Ingest Template'!Q684&amp;"|DAR"))),(CONCATENATE(IF(ISBLANK('Ingest Template'!O684),"", 'Ingest Template'!O684&amp;"|Operations - Core Title"),CHAR(10), IF(ISBLANK('Ingest Template'!P684),"", 'Ingest Template'!P684&amp;"|Operations - Core Title"),CHAR(10), IF(ISBLANK('Ingest Template'!Q684),"", 'Ingest Template'!Q684&amp;"|Operations - Core Title"))))</f>
        <v>#|Operations - Core Title
#|Operations - Core Title
</v>
      </c>
      <c r="AH684" s="21"/>
      <c r="AI684" s="21"/>
      <c r="AJ684" s="53" t="str">
        <f>if('Ingest Template'!A684="Standard",'Ingest Template'!N684&amp; "|DAR|DAR|2021-01-01",'Ingest Template'!N684&amp; "|Operations - Core Title|Operations - Core Title")</f>
        <v>#N/A</v>
      </c>
      <c r="AK684" s="53" t="str">
        <f>if('Ingest Template'!A684="Standard",'Ingest Template'!R684&amp; "|2021-01-01",'Ingest Template'!R684)</f>
        <v>#N/A</v>
      </c>
      <c r="AL684" s="21"/>
      <c r="AM684" s="21"/>
    </row>
    <row r="685">
      <c r="A685" s="21"/>
      <c r="B685" s="21" t="str">
        <f>'Ingest Template'!B685&amp;IF('Ingest Template'!A685 = "Standard", " - DAR","")</f>
        <v/>
      </c>
      <c r="C685" s="26" t="s">
        <v>109</v>
      </c>
      <c r="D685" s="29" t="str">
        <f t="array" ref="D685">CONCATENATE(INDEX(DropDown!$H$2:$H$10,MATCH(1,COUNTIF('Ingest Template'!F685,"*"&amp;DropDown!$H$2:$H$10&amp;"*"),0)),CHAR(10),'Ingest Template'!G685)</f>
        <v>#N/A</v>
      </c>
      <c r="E685" s="21" t="str">
        <f>CONCATENATE('Ingest Template'!H685,CHAR(10),'Ingest Template'!I685,CHAR(10),'Ingest Template'!J685)</f>
        <v>
</v>
      </c>
      <c r="F685" s="26" t="str">
        <f>'Ingest Template'!H685</f>
        <v/>
      </c>
      <c r="G685" s="21"/>
      <c r="H685" s="29"/>
      <c r="I685" s="21"/>
      <c r="J685" s="29" t="str">
        <f t="array" ref="J685">iF('Ingest Template'!A685="Standard","Pristine Brand",INDEX(DropDown!$M$2:$M$392,MATCH('Ingest Template'!E685,DropDown!$J$2:$J$392,0)))</f>
        <v>#N/A</v>
      </c>
      <c r="K685" s="21" t="str">
        <f>iF('Ingest Template'!A685="Standard",'Ingest Template'!K685&amp;CHAR(10)&amp;'Ingest Template'!L685,"Competitive View")</f>
        <v>Competitive View</v>
      </c>
      <c r="L685" s="29" t="s">
        <v>146</v>
      </c>
      <c r="M685" s="37" t="str">
        <f>'Ingest Template'!D685</f>
        <v/>
      </c>
      <c r="N685" s="21"/>
      <c r="O685" s="21"/>
      <c r="P685" s="21"/>
      <c r="Q685" s="21"/>
      <c r="R685" s="21" t="str">
        <f>'Ingest Template'!E685</f>
        <v/>
      </c>
      <c r="S685" s="29" t="s">
        <v>153</v>
      </c>
      <c r="T685" s="21" t="str">
        <f>'Ingest Template'!T685</f>
        <v/>
      </c>
      <c r="U685" s="21" t="str">
        <f>'Ingest Template'!S685</f>
        <v/>
      </c>
      <c r="V685" s="21" t="str">
        <f>LOWER(SUBSTITUTE(SUBSTITUTE(SUBSTITUTE(SUBSTITUTE(SUBSTITUTE('Ingest Template'!U685,"https:",""),"www.",""),"/",""),"?hl=en",""),"instagram.com",""))</f>
        <v/>
      </c>
      <c r="W685" s="41" t="str">
        <f t="array" ref="W685">IF('Ingest Template'!V685="",(INDEX(DropDown!$L$2:$L$392,MATCH('Ingest Template'!E685,DropDown!$J$2:$J$392,0))&amp;"|"&amp;'Ingest Template'!B685),(INDEX(DropDown!$L$2:$L$392,MATCH('Ingest Template'!E685,DropDown!$J$2:$J$392,0))&amp;"|"&amp;'Ingest Template'!B685)&amp;CHAR(10)&amp;'Ingest Template'!V685)</f>
        <v>#N/A</v>
      </c>
      <c r="X685" s="41" t="str">
        <f>'Ingest Template'!W685</f>
        <v/>
      </c>
      <c r="Y685" s="21" t="str">
        <f>SUBSTITUTE(SUBSTITUTE(SUBSTITUTE('Ingest Template'!X685,"http:",""),"https:",""),"/","")</f>
        <v/>
      </c>
      <c r="Z685" s="21" t="str">
        <f t="array" ref="Z685">IF('Ingest Template'!A685="Standard",(IF(ISBLANK('Ingest Template'!AA685),"", 'Ingest Template'!AA685&amp;"|DAR")),(IF(ISBLANK('Ingest Template'!AA685),"", 'Ingest Template'!AA685&amp;"|Film Ops")))</f>
        <v/>
      </c>
      <c r="AA685" s="21"/>
      <c r="AB685" s="21" t="str">
        <f>'Ingest Template'!M685</f>
        <v/>
      </c>
      <c r="AC685" s="21" t="str">
        <f>'Ingest Template'!Y685</f>
        <v/>
      </c>
      <c r="AD685" s="21" t="str">
        <f>'Ingest Template'!C685</f>
        <v/>
      </c>
      <c r="AE685" s="21" t="str">
        <f>'Ingest Template'!Z685</f>
        <v/>
      </c>
      <c r="AF685" s="29"/>
      <c r="AG685" s="21" t="str">
        <f t="array" ref="AG685">IF('Ingest Template'!A685="Standard",(CONCATENATE(IF(ISBLANK('Ingest Template'!O685),"", 'Ingest Template'!O685&amp;"|DAR"),CHAR(10), IF(ISBLANK('Ingest Template'!P685),"", 'Ingest Template'!P685&amp;"|DAR"),CHAR(10), IF(ISBLANK('Ingest Template'!Q685),"", 'Ingest Template'!Q685&amp;"|DAR"))),(CONCATENATE(IF(ISBLANK('Ingest Template'!O685),"", 'Ingest Template'!O685&amp;"|Operations - Core Title"),CHAR(10), IF(ISBLANK('Ingest Template'!P685),"", 'Ingest Template'!P685&amp;"|Operations - Core Title"),CHAR(10), IF(ISBLANK('Ingest Template'!Q685),"", 'Ingest Template'!Q685&amp;"|Operations - Core Title"))))</f>
        <v>#|Operations - Core Title
#|Operations - Core Title
</v>
      </c>
      <c r="AH685" s="21"/>
      <c r="AI685" s="21"/>
      <c r="AJ685" s="53" t="str">
        <f>if('Ingest Template'!A685="Standard",'Ingest Template'!N685&amp; "|DAR|DAR|2021-01-01",'Ingest Template'!N685&amp; "|Operations - Core Title|Operations - Core Title")</f>
        <v>#N/A</v>
      </c>
      <c r="AK685" s="53" t="str">
        <f>if('Ingest Template'!A685="Standard",'Ingest Template'!R685&amp; "|2021-01-01",'Ingest Template'!R685)</f>
        <v>#N/A</v>
      </c>
      <c r="AL685" s="21"/>
      <c r="AM685" s="21"/>
    </row>
    <row r="686">
      <c r="A686" s="21"/>
      <c r="B686" s="21" t="str">
        <f>'Ingest Template'!B686&amp;IF('Ingest Template'!A686 = "Standard", " - DAR","")</f>
        <v/>
      </c>
      <c r="C686" s="26" t="s">
        <v>109</v>
      </c>
      <c r="D686" s="29" t="str">
        <f t="array" ref="D686">CONCATENATE(INDEX(DropDown!$H$2:$H$10,MATCH(1,COUNTIF('Ingest Template'!F686,"*"&amp;DropDown!$H$2:$H$10&amp;"*"),0)),CHAR(10),'Ingest Template'!G686)</f>
        <v>#N/A</v>
      </c>
      <c r="E686" s="21" t="str">
        <f>CONCATENATE('Ingest Template'!H686,CHAR(10),'Ingest Template'!I686,CHAR(10),'Ingest Template'!J686)</f>
        <v>
</v>
      </c>
      <c r="F686" s="26" t="str">
        <f>'Ingest Template'!H686</f>
        <v/>
      </c>
      <c r="G686" s="21"/>
      <c r="H686" s="29"/>
      <c r="I686" s="21"/>
      <c r="J686" s="29" t="str">
        <f t="array" ref="J686">iF('Ingest Template'!A686="Standard","Pristine Brand",INDEX(DropDown!$M$2:$M$392,MATCH('Ingest Template'!E686,DropDown!$J$2:$J$392,0)))</f>
        <v>#N/A</v>
      </c>
      <c r="K686" s="21" t="str">
        <f>iF('Ingest Template'!A686="Standard",'Ingest Template'!K686&amp;CHAR(10)&amp;'Ingest Template'!L686,"Competitive View")</f>
        <v>Competitive View</v>
      </c>
      <c r="L686" s="29" t="s">
        <v>146</v>
      </c>
      <c r="M686" s="37" t="str">
        <f>'Ingest Template'!D686</f>
        <v/>
      </c>
      <c r="N686" s="21"/>
      <c r="O686" s="21"/>
      <c r="P686" s="21"/>
      <c r="Q686" s="21"/>
      <c r="R686" s="21" t="str">
        <f>'Ingest Template'!E686</f>
        <v/>
      </c>
      <c r="S686" s="29" t="s">
        <v>153</v>
      </c>
      <c r="T686" s="21" t="str">
        <f>'Ingest Template'!T686</f>
        <v/>
      </c>
      <c r="U686" s="21" t="str">
        <f>'Ingest Template'!S686</f>
        <v/>
      </c>
      <c r="V686" s="21" t="str">
        <f>LOWER(SUBSTITUTE(SUBSTITUTE(SUBSTITUTE(SUBSTITUTE(SUBSTITUTE('Ingest Template'!U686,"https:",""),"www.",""),"/",""),"?hl=en",""),"instagram.com",""))</f>
        <v/>
      </c>
      <c r="W686" s="41" t="str">
        <f t="array" ref="W686">IF('Ingest Template'!V686="",(INDEX(DropDown!$L$2:$L$392,MATCH('Ingest Template'!E686,DropDown!$J$2:$J$392,0))&amp;"|"&amp;'Ingest Template'!B686),(INDEX(DropDown!$L$2:$L$392,MATCH('Ingest Template'!E686,DropDown!$J$2:$J$392,0))&amp;"|"&amp;'Ingest Template'!B686)&amp;CHAR(10)&amp;'Ingest Template'!V686)</f>
        <v>#N/A</v>
      </c>
      <c r="X686" s="41" t="str">
        <f>'Ingest Template'!W686</f>
        <v/>
      </c>
      <c r="Y686" s="21" t="str">
        <f>SUBSTITUTE(SUBSTITUTE(SUBSTITUTE('Ingest Template'!X686,"http:",""),"https:",""),"/","")</f>
        <v/>
      </c>
      <c r="Z686" s="21" t="str">
        <f t="array" ref="Z686">IF('Ingest Template'!A686="Standard",(IF(ISBLANK('Ingest Template'!AA686),"", 'Ingest Template'!AA686&amp;"|DAR")),(IF(ISBLANK('Ingest Template'!AA686),"", 'Ingest Template'!AA686&amp;"|Film Ops")))</f>
        <v/>
      </c>
      <c r="AA686" s="21"/>
      <c r="AB686" s="21" t="str">
        <f>'Ingest Template'!M686</f>
        <v/>
      </c>
      <c r="AC686" s="21" t="str">
        <f>'Ingest Template'!Y686</f>
        <v/>
      </c>
      <c r="AD686" s="21" t="str">
        <f>'Ingest Template'!C686</f>
        <v/>
      </c>
      <c r="AE686" s="21" t="str">
        <f>'Ingest Template'!Z686</f>
        <v/>
      </c>
      <c r="AF686" s="29"/>
      <c r="AG686" s="21" t="str">
        <f t="array" ref="AG686">IF('Ingest Template'!A686="Standard",(CONCATENATE(IF(ISBLANK('Ingest Template'!O686),"", 'Ingest Template'!O686&amp;"|DAR"),CHAR(10), IF(ISBLANK('Ingest Template'!P686),"", 'Ingest Template'!P686&amp;"|DAR"),CHAR(10), IF(ISBLANK('Ingest Template'!Q686),"", 'Ingest Template'!Q686&amp;"|DAR"))),(CONCATENATE(IF(ISBLANK('Ingest Template'!O686),"", 'Ingest Template'!O686&amp;"|Operations - Core Title"),CHAR(10), IF(ISBLANK('Ingest Template'!P686),"", 'Ingest Template'!P686&amp;"|Operations - Core Title"),CHAR(10), IF(ISBLANK('Ingest Template'!Q686),"", 'Ingest Template'!Q686&amp;"|Operations - Core Title"))))</f>
        <v>#|Operations - Core Title
#|Operations - Core Title
</v>
      </c>
      <c r="AH686" s="21"/>
      <c r="AI686" s="21"/>
      <c r="AJ686" s="53" t="str">
        <f>if('Ingest Template'!A686="Standard",'Ingest Template'!N686&amp; "|DAR|DAR|2021-01-01",'Ingest Template'!N686&amp; "|Operations - Core Title|Operations - Core Title")</f>
        <v>#N/A</v>
      </c>
      <c r="AK686" s="53" t="str">
        <f>if('Ingest Template'!A686="Standard",'Ingest Template'!R686&amp; "|2021-01-01",'Ingest Template'!R686)</f>
        <v>#N/A</v>
      </c>
      <c r="AL686" s="21"/>
      <c r="AM686" s="21"/>
    </row>
    <row r="687">
      <c r="A687" s="21"/>
      <c r="B687" s="21" t="str">
        <f>'Ingest Template'!B687&amp;IF('Ingest Template'!A687 = "Standard", " - DAR","")</f>
        <v/>
      </c>
      <c r="C687" s="26" t="s">
        <v>109</v>
      </c>
      <c r="D687" s="29" t="str">
        <f t="array" ref="D687">CONCATENATE(INDEX(DropDown!$H$2:$H$10,MATCH(1,COUNTIF('Ingest Template'!F687,"*"&amp;DropDown!$H$2:$H$10&amp;"*"),0)),CHAR(10),'Ingest Template'!G687)</f>
        <v>#N/A</v>
      </c>
      <c r="E687" s="21" t="str">
        <f>CONCATENATE('Ingest Template'!H687,CHAR(10),'Ingest Template'!I687,CHAR(10),'Ingest Template'!J687)</f>
        <v>
</v>
      </c>
      <c r="F687" s="26" t="str">
        <f>'Ingest Template'!H687</f>
        <v/>
      </c>
      <c r="G687" s="21"/>
      <c r="H687" s="29"/>
      <c r="I687" s="21"/>
      <c r="J687" s="29" t="str">
        <f t="array" ref="J687">iF('Ingest Template'!A687="Standard","Pristine Brand",INDEX(DropDown!$M$2:$M$392,MATCH('Ingest Template'!E687,DropDown!$J$2:$J$392,0)))</f>
        <v>#N/A</v>
      </c>
      <c r="K687" s="21" t="str">
        <f>iF('Ingest Template'!A687="Standard",'Ingest Template'!K687&amp;CHAR(10)&amp;'Ingest Template'!L687,"Competitive View")</f>
        <v>Competitive View</v>
      </c>
      <c r="L687" s="29" t="s">
        <v>146</v>
      </c>
      <c r="M687" s="37" t="str">
        <f>'Ingest Template'!D687</f>
        <v/>
      </c>
      <c r="N687" s="21"/>
      <c r="O687" s="21"/>
      <c r="P687" s="21"/>
      <c r="Q687" s="21"/>
      <c r="R687" s="21" t="str">
        <f>'Ingest Template'!E687</f>
        <v/>
      </c>
      <c r="S687" s="29" t="s">
        <v>153</v>
      </c>
      <c r="T687" s="21" t="str">
        <f>'Ingest Template'!T687</f>
        <v/>
      </c>
      <c r="U687" s="21" t="str">
        <f>'Ingest Template'!S687</f>
        <v/>
      </c>
      <c r="V687" s="21" t="str">
        <f>LOWER(SUBSTITUTE(SUBSTITUTE(SUBSTITUTE(SUBSTITUTE(SUBSTITUTE('Ingest Template'!U687,"https:",""),"www.",""),"/",""),"?hl=en",""),"instagram.com",""))</f>
        <v/>
      </c>
      <c r="W687" s="41" t="str">
        <f t="array" ref="W687">IF('Ingest Template'!V687="",(INDEX(DropDown!$L$2:$L$392,MATCH('Ingest Template'!E687,DropDown!$J$2:$J$392,0))&amp;"|"&amp;'Ingest Template'!B687),(INDEX(DropDown!$L$2:$L$392,MATCH('Ingest Template'!E687,DropDown!$J$2:$J$392,0))&amp;"|"&amp;'Ingest Template'!B687)&amp;CHAR(10)&amp;'Ingest Template'!V687)</f>
        <v>#N/A</v>
      </c>
      <c r="X687" s="41" t="str">
        <f>'Ingest Template'!W687</f>
        <v/>
      </c>
      <c r="Y687" s="21" t="str">
        <f>SUBSTITUTE(SUBSTITUTE(SUBSTITUTE('Ingest Template'!X687,"http:",""),"https:",""),"/","")</f>
        <v/>
      </c>
      <c r="Z687" s="21" t="str">
        <f t="array" ref="Z687">IF('Ingest Template'!A687="Standard",(IF(ISBLANK('Ingest Template'!AA687),"", 'Ingest Template'!AA687&amp;"|DAR")),(IF(ISBLANK('Ingest Template'!AA687),"", 'Ingest Template'!AA687&amp;"|Film Ops")))</f>
        <v/>
      </c>
      <c r="AA687" s="21"/>
      <c r="AB687" s="21" t="str">
        <f>'Ingest Template'!M687</f>
        <v/>
      </c>
      <c r="AC687" s="21" t="str">
        <f>'Ingest Template'!Y687</f>
        <v/>
      </c>
      <c r="AD687" s="21" t="str">
        <f>'Ingest Template'!C687</f>
        <v/>
      </c>
      <c r="AE687" s="21" t="str">
        <f>'Ingest Template'!Z687</f>
        <v/>
      </c>
      <c r="AF687" s="29"/>
      <c r="AG687" s="21" t="str">
        <f t="array" ref="AG687">IF('Ingest Template'!A687="Standard",(CONCATENATE(IF(ISBLANK('Ingest Template'!O687),"", 'Ingest Template'!O687&amp;"|DAR"),CHAR(10), IF(ISBLANK('Ingest Template'!P687),"", 'Ingest Template'!P687&amp;"|DAR"),CHAR(10), IF(ISBLANK('Ingest Template'!Q687),"", 'Ingest Template'!Q687&amp;"|DAR"))),(CONCATENATE(IF(ISBLANK('Ingest Template'!O687),"", 'Ingest Template'!O687&amp;"|Operations - Core Title"),CHAR(10), IF(ISBLANK('Ingest Template'!P687),"", 'Ingest Template'!P687&amp;"|Operations - Core Title"),CHAR(10), IF(ISBLANK('Ingest Template'!Q687),"", 'Ingest Template'!Q687&amp;"|Operations - Core Title"))))</f>
        <v>#|Operations - Core Title
#|Operations - Core Title
</v>
      </c>
      <c r="AH687" s="21"/>
      <c r="AI687" s="21"/>
      <c r="AJ687" s="53" t="str">
        <f>if('Ingest Template'!A687="Standard",'Ingest Template'!N687&amp; "|DAR|DAR|2021-01-01",'Ingest Template'!N687&amp; "|Operations - Core Title|Operations - Core Title")</f>
        <v>#N/A</v>
      </c>
      <c r="AK687" s="53" t="str">
        <f>if('Ingest Template'!A687="Standard",'Ingest Template'!R687&amp; "|2021-01-01",'Ingest Template'!R687)</f>
        <v>#N/A</v>
      </c>
      <c r="AL687" s="21"/>
      <c r="AM687" s="21"/>
    </row>
    <row r="688">
      <c r="A688" s="21"/>
      <c r="B688" s="21" t="str">
        <f>'Ingest Template'!B688&amp;IF('Ingest Template'!A688 = "Standard", " - DAR","")</f>
        <v/>
      </c>
      <c r="C688" s="26" t="s">
        <v>109</v>
      </c>
      <c r="D688" s="29" t="str">
        <f t="array" ref="D688">CONCATENATE(INDEX(DropDown!$H$2:$H$10,MATCH(1,COUNTIF('Ingest Template'!F688,"*"&amp;DropDown!$H$2:$H$10&amp;"*"),0)),CHAR(10),'Ingest Template'!G688)</f>
        <v>#N/A</v>
      </c>
      <c r="E688" s="21" t="str">
        <f>CONCATENATE('Ingest Template'!H688,CHAR(10),'Ingest Template'!I688,CHAR(10),'Ingest Template'!J688)</f>
        <v>
</v>
      </c>
      <c r="F688" s="26" t="str">
        <f>'Ingest Template'!H688</f>
        <v/>
      </c>
      <c r="G688" s="21"/>
      <c r="H688" s="29"/>
      <c r="I688" s="21"/>
      <c r="J688" s="29" t="str">
        <f t="array" ref="J688">iF('Ingest Template'!A688="Standard","Pristine Brand",INDEX(DropDown!$M$2:$M$392,MATCH('Ingest Template'!E688,DropDown!$J$2:$J$392,0)))</f>
        <v>#N/A</v>
      </c>
      <c r="K688" s="21" t="str">
        <f>iF('Ingest Template'!A688="Standard",'Ingest Template'!K688&amp;CHAR(10)&amp;'Ingest Template'!L688,"Competitive View")</f>
        <v>Competitive View</v>
      </c>
      <c r="L688" s="29" t="s">
        <v>146</v>
      </c>
      <c r="M688" s="37" t="str">
        <f>'Ingest Template'!D688</f>
        <v/>
      </c>
      <c r="N688" s="21"/>
      <c r="O688" s="21"/>
      <c r="P688" s="21"/>
      <c r="Q688" s="21"/>
      <c r="R688" s="21" t="str">
        <f>'Ingest Template'!E688</f>
        <v/>
      </c>
      <c r="S688" s="29" t="s">
        <v>153</v>
      </c>
      <c r="T688" s="21" t="str">
        <f>'Ingest Template'!T688</f>
        <v/>
      </c>
      <c r="U688" s="21" t="str">
        <f>'Ingest Template'!S688</f>
        <v/>
      </c>
      <c r="V688" s="21" t="str">
        <f>LOWER(SUBSTITUTE(SUBSTITUTE(SUBSTITUTE(SUBSTITUTE(SUBSTITUTE('Ingest Template'!U688,"https:",""),"www.",""),"/",""),"?hl=en",""),"instagram.com",""))</f>
        <v/>
      </c>
      <c r="W688" s="41" t="str">
        <f t="array" ref="W688">IF('Ingest Template'!V688="",(INDEX(DropDown!$L$2:$L$392,MATCH('Ingest Template'!E688,DropDown!$J$2:$J$392,0))&amp;"|"&amp;'Ingest Template'!B688),(INDEX(DropDown!$L$2:$L$392,MATCH('Ingest Template'!E688,DropDown!$J$2:$J$392,0))&amp;"|"&amp;'Ingest Template'!B688)&amp;CHAR(10)&amp;'Ingest Template'!V688)</f>
        <v>#N/A</v>
      </c>
      <c r="X688" s="41" t="str">
        <f>'Ingest Template'!W688</f>
        <v/>
      </c>
      <c r="Y688" s="21" t="str">
        <f>SUBSTITUTE(SUBSTITUTE(SUBSTITUTE('Ingest Template'!X688,"http:",""),"https:",""),"/","")</f>
        <v/>
      </c>
      <c r="Z688" s="21" t="str">
        <f t="array" ref="Z688">IF('Ingest Template'!A688="Standard",(IF(ISBLANK('Ingest Template'!AA688),"", 'Ingest Template'!AA688&amp;"|DAR")),(IF(ISBLANK('Ingest Template'!AA688),"", 'Ingest Template'!AA688&amp;"|Film Ops")))</f>
        <v/>
      </c>
      <c r="AA688" s="21"/>
      <c r="AB688" s="21" t="str">
        <f>'Ingest Template'!M688</f>
        <v/>
      </c>
      <c r="AC688" s="21" t="str">
        <f>'Ingest Template'!Y688</f>
        <v/>
      </c>
      <c r="AD688" s="21" t="str">
        <f>'Ingest Template'!C688</f>
        <v/>
      </c>
      <c r="AE688" s="21" t="str">
        <f>'Ingest Template'!Z688</f>
        <v/>
      </c>
      <c r="AF688" s="29"/>
      <c r="AG688" s="21" t="str">
        <f t="array" ref="AG688">IF('Ingest Template'!A688="Standard",(CONCATENATE(IF(ISBLANK('Ingest Template'!O688),"", 'Ingest Template'!O688&amp;"|DAR"),CHAR(10), IF(ISBLANK('Ingest Template'!P688),"", 'Ingest Template'!P688&amp;"|DAR"),CHAR(10), IF(ISBLANK('Ingest Template'!Q688),"", 'Ingest Template'!Q688&amp;"|DAR"))),(CONCATENATE(IF(ISBLANK('Ingest Template'!O688),"", 'Ingest Template'!O688&amp;"|Operations - Core Title"),CHAR(10), IF(ISBLANK('Ingest Template'!P688),"", 'Ingest Template'!P688&amp;"|Operations - Core Title"),CHAR(10), IF(ISBLANK('Ingest Template'!Q688),"", 'Ingest Template'!Q688&amp;"|Operations - Core Title"))))</f>
        <v>#|Operations - Core Title
#|Operations - Core Title
</v>
      </c>
      <c r="AH688" s="21"/>
      <c r="AI688" s="21"/>
      <c r="AJ688" s="53" t="str">
        <f>if('Ingest Template'!A688="Standard",'Ingest Template'!N688&amp; "|DAR|DAR|2021-01-01",'Ingest Template'!N688&amp; "|Operations - Core Title|Operations - Core Title")</f>
        <v>#N/A</v>
      </c>
      <c r="AK688" s="53" t="str">
        <f>if('Ingest Template'!A688="Standard",'Ingest Template'!R688&amp; "|2021-01-01",'Ingest Template'!R688)</f>
        <v>#N/A</v>
      </c>
      <c r="AL688" s="21"/>
      <c r="AM688" s="21"/>
    </row>
    <row r="689">
      <c r="A689" s="21"/>
      <c r="B689" s="21" t="str">
        <f>'Ingest Template'!B689&amp;IF('Ingest Template'!A689 = "Standard", " - DAR","")</f>
        <v/>
      </c>
      <c r="C689" s="26" t="s">
        <v>109</v>
      </c>
      <c r="D689" s="29" t="str">
        <f t="array" ref="D689">CONCATENATE(INDEX(DropDown!$H$2:$H$10,MATCH(1,COUNTIF('Ingest Template'!F689,"*"&amp;DropDown!$H$2:$H$10&amp;"*"),0)),CHAR(10),'Ingest Template'!G689)</f>
        <v>#N/A</v>
      </c>
      <c r="E689" s="21" t="str">
        <f>CONCATENATE('Ingest Template'!H689,CHAR(10),'Ingest Template'!I689,CHAR(10),'Ingest Template'!J689)</f>
        <v>
</v>
      </c>
      <c r="F689" s="26" t="str">
        <f>'Ingest Template'!H689</f>
        <v/>
      </c>
      <c r="G689" s="21"/>
      <c r="H689" s="29"/>
      <c r="I689" s="21"/>
      <c r="J689" s="29" t="str">
        <f t="array" ref="J689">iF('Ingest Template'!A689="Standard","Pristine Brand",INDEX(DropDown!$M$2:$M$392,MATCH('Ingest Template'!E689,DropDown!$J$2:$J$392,0)))</f>
        <v>#N/A</v>
      </c>
      <c r="K689" s="21" t="str">
        <f>iF('Ingest Template'!A689="Standard",'Ingest Template'!K689&amp;CHAR(10)&amp;'Ingest Template'!L689,"Competitive View")</f>
        <v>Competitive View</v>
      </c>
      <c r="L689" s="29" t="s">
        <v>146</v>
      </c>
      <c r="M689" s="37" t="str">
        <f>'Ingest Template'!D689</f>
        <v/>
      </c>
      <c r="N689" s="21"/>
      <c r="O689" s="21"/>
      <c r="P689" s="21"/>
      <c r="Q689" s="21"/>
      <c r="R689" s="21" t="str">
        <f>'Ingest Template'!E689</f>
        <v/>
      </c>
      <c r="S689" s="29" t="s">
        <v>153</v>
      </c>
      <c r="T689" s="21" t="str">
        <f>'Ingest Template'!T689</f>
        <v/>
      </c>
      <c r="U689" s="21" t="str">
        <f>'Ingest Template'!S689</f>
        <v/>
      </c>
      <c r="V689" s="21" t="str">
        <f>LOWER(SUBSTITUTE(SUBSTITUTE(SUBSTITUTE(SUBSTITUTE(SUBSTITUTE('Ingest Template'!U689,"https:",""),"www.",""),"/",""),"?hl=en",""),"instagram.com",""))</f>
        <v/>
      </c>
      <c r="W689" s="41" t="str">
        <f t="array" ref="W689">IF('Ingest Template'!V689="",(INDEX(DropDown!$L$2:$L$392,MATCH('Ingest Template'!E689,DropDown!$J$2:$J$392,0))&amp;"|"&amp;'Ingest Template'!B689),(INDEX(DropDown!$L$2:$L$392,MATCH('Ingest Template'!E689,DropDown!$J$2:$J$392,0))&amp;"|"&amp;'Ingest Template'!B689)&amp;CHAR(10)&amp;'Ingest Template'!V689)</f>
        <v>#N/A</v>
      </c>
      <c r="X689" s="41" t="str">
        <f>'Ingest Template'!W689</f>
        <v/>
      </c>
      <c r="Y689" s="21" t="str">
        <f>SUBSTITUTE(SUBSTITUTE(SUBSTITUTE('Ingest Template'!X689,"http:",""),"https:",""),"/","")</f>
        <v/>
      </c>
      <c r="Z689" s="21" t="str">
        <f t="array" ref="Z689">IF('Ingest Template'!A689="Standard",(IF(ISBLANK('Ingest Template'!AA689),"", 'Ingest Template'!AA689&amp;"|DAR")),(IF(ISBLANK('Ingest Template'!AA689),"", 'Ingest Template'!AA689&amp;"|Film Ops")))</f>
        <v/>
      </c>
      <c r="AA689" s="21"/>
      <c r="AB689" s="21" t="str">
        <f>'Ingest Template'!M689</f>
        <v/>
      </c>
      <c r="AC689" s="21" t="str">
        <f>'Ingest Template'!Y689</f>
        <v/>
      </c>
      <c r="AD689" s="21" t="str">
        <f>'Ingest Template'!C689</f>
        <v/>
      </c>
      <c r="AE689" s="21" t="str">
        <f>'Ingest Template'!Z689</f>
        <v/>
      </c>
      <c r="AF689" s="29"/>
      <c r="AG689" s="21" t="str">
        <f t="array" ref="AG689">IF('Ingest Template'!A689="Standard",(CONCATENATE(IF(ISBLANK('Ingest Template'!O689),"", 'Ingest Template'!O689&amp;"|DAR"),CHAR(10), IF(ISBLANK('Ingest Template'!P689),"", 'Ingest Template'!P689&amp;"|DAR"),CHAR(10), IF(ISBLANK('Ingest Template'!Q689),"", 'Ingest Template'!Q689&amp;"|DAR"))),(CONCATENATE(IF(ISBLANK('Ingest Template'!O689),"", 'Ingest Template'!O689&amp;"|Operations - Core Title"),CHAR(10), IF(ISBLANK('Ingest Template'!P689),"", 'Ingest Template'!P689&amp;"|Operations - Core Title"),CHAR(10), IF(ISBLANK('Ingest Template'!Q689),"", 'Ingest Template'!Q689&amp;"|Operations - Core Title"))))</f>
        <v>#|Operations - Core Title
#|Operations - Core Title
</v>
      </c>
      <c r="AH689" s="21"/>
      <c r="AI689" s="21"/>
      <c r="AJ689" s="53" t="str">
        <f>if('Ingest Template'!A689="Standard",'Ingest Template'!N689&amp; "|DAR|DAR|2021-01-01",'Ingest Template'!N689&amp; "|Operations - Core Title|Operations - Core Title")</f>
        <v>#N/A</v>
      </c>
      <c r="AK689" s="53" t="str">
        <f>if('Ingest Template'!A689="Standard",'Ingest Template'!R689&amp; "|2021-01-01",'Ingest Template'!R689)</f>
        <v>#N/A</v>
      </c>
      <c r="AL689" s="21"/>
      <c r="AM689" s="21"/>
    </row>
    <row r="690">
      <c r="A690" s="21"/>
      <c r="B690" s="21" t="str">
        <f>'Ingest Template'!B690&amp;IF('Ingest Template'!A690 = "Standard", " - DAR","")</f>
        <v/>
      </c>
      <c r="C690" s="26" t="s">
        <v>109</v>
      </c>
      <c r="D690" s="29" t="str">
        <f t="array" ref="D690">CONCATENATE(INDEX(DropDown!$H$2:$H$10,MATCH(1,COUNTIF('Ingest Template'!F690,"*"&amp;DropDown!$H$2:$H$10&amp;"*"),0)),CHAR(10),'Ingest Template'!G690)</f>
        <v>#N/A</v>
      </c>
      <c r="E690" s="21" t="str">
        <f>CONCATENATE('Ingest Template'!H690,CHAR(10),'Ingest Template'!I690,CHAR(10),'Ingest Template'!J690)</f>
        <v>
</v>
      </c>
      <c r="F690" s="26" t="str">
        <f>'Ingest Template'!H690</f>
        <v/>
      </c>
      <c r="G690" s="21"/>
      <c r="H690" s="29"/>
      <c r="I690" s="21"/>
      <c r="J690" s="29" t="str">
        <f t="array" ref="J690">iF('Ingest Template'!A690="Standard","Pristine Brand",INDEX(DropDown!$M$2:$M$392,MATCH('Ingest Template'!E690,DropDown!$J$2:$J$392,0)))</f>
        <v>#N/A</v>
      </c>
      <c r="K690" s="21" t="str">
        <f>iF('Ingest Template'!A690="Standard",'Ingest Template'!K690&amp;CHAR(10)&amp;'Ingest Template'!L690,"Competitive View")</f>
        <v>Competitive View</v>
      </c>
      <c r="L690" s="29" t="s">
        <v>146</v>
      </c>
      <c r="M690" s="37" t="str">
        <f>'Ingest Template'!D690</f>
        <v/>
      </c>
      <c r="N690" s="21"/>
      <c r="O690" s="21"/>
      <c r="P690" s="21"/>
      <c r="Q690" s="21"/>
      <c r="R690" s="21" t="str">
        <f>'Ingest Template'!E690</f>
        <v/>
      </c>
      <c r="S690" s="29" t="s">
        <v>153</v>
      </c>
      <c r="T690" s="21" t="str">
        <f>'Ingest Template'!T690</f>
        <v/>
      </c>
      <c r="U690" s="21" t="str">
        <f>'Ingest Template'!S690</f>
        <v/>
      </c>
      <c r="V690" s="21" t="str">
        <f>LOWER(SUBSTITUTE(SUBSTITUTE(SUBSTITUTE(SUBSTITUTE(SUBSTITUTE('Ingest Template'!U690,"https:",""),"www.",""),"/",""),"?hl=en",""),"instagram.com",""))</f>
        <v/>
      </c>
      <c r="W690" s="41" t="str">
        <f t="array" ref="W690">IF('Ingest Template'!V690="",(INDEX(DropDown!$L$2:$L$392,MATCH('Ingest Template'!E690,DropDown!$J$2:$J$392,0))&amp;"|"&amp;'Ingest Template'!B690),(INDEX(DropDown!$L$2:$L$392,MATCH('Ingest Template'!E690,DropDown!$J$2:$J$392,0))&amp;"|"&amp;'Ingest Template'!B690)&amp;CHAR(10)&amp;'Ingest Template'!V690)</f>
        <v>#N/A</v>
      </c>
      <c r="X690" s="41" t="str">
        <f>'Ingest Template'!W690</f>
        <v/>
      </c>
      <c r="Y690" s="21" t="str">
        <f>SUBSTITUTE(SUBSTITUTE(SUBSTITUTE('Ingest Template'!X690,"http:",""),"https:",""),"/","")</f>
        <v/>
      </c>
      <c r="Z690" s="21" t="str">
        <f t="array" ref="Z690">IF('Ingest Template'!A690="Standard",(IF(ISBLANK('Ingest Template'!AA690),"", 'Ingest Template'!AA690&amp;"|DAR")),(IF(ISBLANK('Ingest Template'!AA690),"", 'Ingest Template'!AA690&amp;"|Film Ops")))</f>
        <v/>
      </c>
      <c r="AA690" s="21"/>
      <c r="AB690" s="21" t="str">
        <f>'Ingest Template'!M690</f>
        <v/>
      </c>
      <c r="AC690" s="21" t="str">
        <f>'Ingest Template'!Y690</f>
        <v/>
      </c>
      <c r="AD690" s="21" t="str">
        <f>'Ingest Template'!C690</f>
        <v/>
      </c>
      <c r="AE690" s="21" t="str">
        <f>'Ingest Template'!Z690</f>
        <v/>
      </c>
      <c r="AF690" s="29"/>
      <c r="AG690" s="21" t="str">
        <f t="array" ref="AG690">IF('Ingest Template'!A690="Standard",(CONCATENATE(IF(ISBLANK('Ingest Template'!O690),"", 'Ingest Template'!O690&amp;"|DAR"),CHAR(10), IF(ISBLANK('Ingest Template'!P690),"", 'Ingest Template'!P690&amp;"|DAR"),CHAR(10), IF(ISBLANK('Ingest Template'!Q690),"", 'Ingest Template'!Q690&amp;"|DAR"))),(CONCATENATE(IF(ISBLANK('Ingest Template'!O690),"", 'Ingest Template'!O690&amp;"|Operations - Core Title"),CHAR(10), IF(ISBLANK('Ingest Template'!P690),"", 'Ingest Template'!P690&amp;"|Operations - Core Title"),CHAR(10), IF(ISBLANK('Ingest Template'!Q690),"", 'Ingest Template'!Q690&amp;"|Operations - Core Title"))))</f>
        <v>#|Operations - Core Title
#|Operations - Core Title
</v>
      </c>
      <c r="AH690" s="21"/>
      <c r="AI690" s="21"/>
      <c r="AJ690" s="53" t="str">
        <f>if('Ingest Template'!A690="Standard",'Ingest Template'!N690&amp; "|DAR|DAR|2021-01-01",'Ingest Template'!N690&amp; "|Operations - Core Title|Operations - Core Title")</f>
        <v>#N/A</v>
      </c>
      <c r="AK690" s="53" t="str">
        <f>if('Ingest Template'!A690="Standard",'Ingest Template'!R690&amp; "|2021-01-01",'Ingest Template'!R690)</f>
        <v>#N/A</v>
      </c>
      <c r="AL690" s="21"/>
      <c r="AM690" s="21"/>
    </row>
    <row r="691">
      <c r="A691" s="21"/>
      <c r="B691" s="21" t="str">
        <f>'Ingest Template'!B691&amp;IF('Ingest Template'!A691 = "Standard", " - DAR","")</f>
        <v/>
      </c>
      <c r="C691" s="26" t="s">
        <v>109</v>
      </c>
      <c r="D691" s="29" t="str">
        <f t="array" ref="D691">CONCATENATE(INDEX(DropDown!$H$2:$H$10,MATCH(1,COUNTIF('Ingest Template'!F691,"*"&amp;DropDown!$H$2:$H$10&amp;"*"),0)),CHAR(10),'Ingest Template'!G691)</f>
        <v>#N/A</v>
      </c>
      <c r="E691" s="21" t="str">
        <f>CONCATENATE('Ingest Template'!H691,CHAR(10),'Ingest Template'!I691,CHAR(10),'Ingest Template'!J691)</f>
        <v>
</v>
      </c>
      <c r="F691" s="26" t="str">
        <f>'Ingest Template'!H691</f>
        <v/>
      </c>
      <c r="G691" s="21"/>
      <c r="H691" s="29"/>
      <c r="I691" s="21"/>
      <c r="J691" s="29" t="str">
        <f t="array" ref="J691">iF('Ingest Template'!A691="Standard","Pristine Brand",INDEX(DropDown!$M$2:$M$392,MATCH('Ingest Template'!E691,DropDown!$J$2:$J$392,0)))</f>
        <v>#N/A</v>
      </c>
      <c r="K691" s="21" t="str">
        <f>iF('Ingest Template'!A691="Standard",'Ingest Template'!K691&amp;CHAR(10)&amp;'Ingest Template'!L691,"Competitive View")</f>
        <v>Competitive View</v>
      </c>
      <c r="L691" s="29" t="s">
        <v>146</v>
      </c>
      <c r="M691" s="37" t="str">
        <f>'Ingest Template'!D691</f>
        <v/>
      </c>
      <c r="N691" s="21"/>
      <c r="O691" s="21"/>
      <c r="P691" s="21"/>
      <c r="Q691" s="21"/>
      <c r="R691" s="21" t="str">
        <f>'Ingest Template'!E691</f>
        <v/>
      </c>
      <c r="S691" s="29" t="s">
        <v>153</v>
      </c>
      <c r="T691" s="21" t="str">
        <f>'Ingest Template'!T691</f>
        <v/>
      </c>
      <c r="U691" s="21" t="str">
        <f>'Ingest Template'!S691</f>
        <v/>
      </c>
      <c r="V691" s="21" t="str">
        <f>LOWER(SUBSTITUTE(SUBSTITUTE(SUBSTITUTE(SUBSTITUTE(SUBSTITUTE('Ingest Template'!U691,"https:",""),"www.",""),"/",""),"?hl=en",""),"instagram.com",""))</f>
        <v/>
      </c>
      <c r="W691" s="41" t="str">
        <f t="array" ref="W691">IF('Ingest Template'!V691="",(INDEX(DropDown!$L$2:$L$392,MATCH('Ingest Template'!E691,DropDown!$J$2:$J$392,0))&amp;"|"&amp;'Ingest Template'!B691),(INDEX(DropDown!$L$2:$L$392,MATCH('Ingest Template'!E691,DropDown!$J$2:$J$392,0))&amp;"|"&amp;'Ingest Template'!B691)&amp;CHAR(10)&amp;'Ingest Template'!V691)</f>
        <v>#N/A</v>
      </c>
      <c r="X691" s="41" t="str">
        <f>'Ingest Template'!W691</f>
        <v/>
      </c>
      <c r="Y691" s="21" t="str">
        <f>SUBSTITUTE(SUBSTITUTE(SUBSTITUTE('Ingest Template'!X691,"http:",""),"https:",""),"/","")</f>
        <v/>
      </c>
      <c r="Z691" s="21" t="str">
        <f t="array" ref="Z691">IF('Ingest Template'!A691="Standard",(IF(ISBLANK('Ingest Template'!AA691),"", 'Ingest Template'!AA691&amp;"|DAR")),(IF(ISBLANK('Ingest Template'!AA691),"", 'Ingest Template'!AA691&amp;"|Film Ops")))</f>
        <v/>
      </c>
      <c r="AA691" s="21"/>
      <c r="AB691" s="21" t="str">
        <f>'Ingest Template'!M691</f>
        <v/>
      </c>
      <c r="AC691" s="21" t="str">
        <f>'Ingest Template'!Y691</f>
        <v/>
      </c>
      <c r="AD691" s="21" t="str">
        <f>'Ingest Template'!C691</f>
        <v/>
      </c>
      <c r="AE691" s="21" t="str">
        <f>'Ingest Template'!Z691</f>
        <v/>
      </c>
      <c r="AF691" s="29"/>
      <c r="AG691" s="21" t="str">
        <f t="array" ref="AG691">IF('Ingest Template'!A691="Standard",(CONCATENATE(IF(ISBLANK('Ingest Template'!O691),"", 'Ingest Template'!O691&amp;"|DAR"),CHAR(10), IF(ISBLANK('Ingest Template'!P691),"", 'Ingest Template'!P691&amp;"|DAR"),CHAR(10), IF(ISBLANK('Ingest Template'!Q691),"", 'Ingest Template'!Q691&amp;"|DAR"))),(CONCATENATE(IF(ISBLANK('Ingest Template'!O691),"", 'Ingest Template'!O691&amp;"|Operations - Core Title"),CHAR(10), IF(ISBLANK('Ingest Template'!P691),"", 'Ingest Template'!P691&amp;"|Operations - Core Title"),CHAR(10), IF(ISBLANK('Ingest Template'!Q691),"", 'Ingest Template'!Q691&amp;"|Operations - Core Title"))))</f>
        <v>#|Operations - Core Title
#|Operations - Core Title
</v>
      </c>
      <c r="AH691" s="21"/>
      <c r="AI691" s="21"/>
      <c r="AJ691" s="53" t="str">
        <f>if('Ingest Template'!A691="Standard",'Ingest Template'!N691&amp; "|DAR|DAR|2021-01-01",'Ingest Template'!N691&amp; "|Operations - Core Title|Operations - Core Title")</f>
        <v>#N/A</v>
      </c>
      <c r="AK691" s="53" t="str">
        <f>if('Ingest Template'!A691="Standard",'Ingest Template'!R691&amp; "|2021-01-01",'Ingest Template'!R691)</f>
        <v>#N/A</v>
      </c>
      <c r="AL691" s="21"/>
      <c r="AM691" s="21"/>
    </row>
    <row r="692">
      <c r="A692" s="21"/>
      <c r="B692" s="21" t="str">
        <f>'Ingest Template'!B692&amp;IF('Ingest Template'!A692 = "Standard", " - DAR","")</f>
        <v/>
      </c>
      <c r="C692" s="26" t="s">
        <v>109</v>
      </c>
      <c r="D692" s="29" t="str">
        <f t="array" ref="D692">CONCATENATE(INDEX(DropDown!$H$2:$H$10,MATCH(1,COUNTIF('Ingest Template'!F692,"*"&amp;DropDown!$H$2:$H$10&amp;"*"),0)),CHAR(10),'Ingest Template'!G692)</f>
        <v>#N/A</v>
      </c>
      <c r="E692" s="21" t="str">
        <f>CONCATENATE('Ingest Template'!H692,CHAR(10),'Ingest Template'!I692,CHAR(10),'Ingest Template'!J692)</f>
        <v>
</v>
      </c>
      <c r="F692" s="26" t="str">
        <f>'Ingest Template'!H692</f>
        <v/>
      </c>
      <c r="G692" s="21"/>
      <c r="H692" s="29"/>
      <c r="I692" s="21"/>
      <c r="J692" s="29" t="str">
        <f t="array" ref="J692">iF('Ingest Template'!A692="Standard","Pristine Brand",INDEX(DropDown!$M$2:$M$392,MATCH('Ingest Template'!E692,DropDown!$J$2:$J$392,0)))</f>
        <v>#N/A</v>
      </c>
      <c r="K692" s="21" t="str">
        <f>iF('Ingest Template'!A692="Standard",'Ingest Template'!K692&amp;CHAR(10)&amp;'Ingest Template'!L692,"Competitive View")</f>
        <v>Competitive View</v>
      </c>
      <c r="L692" s="29" t="s">
        <v>146</v>
      </c>
      <c r="M692" s="37" t="str">
        <f>'Ingest Template'!D692</f>
        <v/>
      </c>
      <c r="N692" s="21"/>
      <c r="O692" s="21"/>
      <c r="P692" s="21"/>
      <c r="Q692" s="21"/>
      <c r="R692" s="21" t="str">
        <f>'Ingest Template'!E692</f>
        <v/>
      </c>
      <c r="S692" s="29" t="s">
        <v>153</v>
      </c>
      <c r="T692" s="21" t="str">
        <f>'Ingest Template'!T692</f>
        <v/>
      </c>
      <c r="U692" s="21" t="str">
        <f>'Ingest Template'!S692</f>
        <v/>
      </c>
      <c r="V692" s="21" t="str">
        <f>LOWER(SUBSTITUTE(SUBSTITUTE(SUBSTITUTE(SUBSTITUTE(SUBSTITUTE('Ingest Template'!U692,"https:",""),"www.",""),"/",""),"?hl=en",""),"instagram.com",""))</f>
        <v/>
      </c>
      <c r="W692" s="41" t="str">
        <f t="array" ref="W692">IF('Ingest Template'!V692="",(INDEX(DropDown!$L$2:$L$392,MATCH('Ingest Template'!E692,DropDown!$J$2:$J$392,0))&amp;"|"&amp;'Ingest Template'!B692),(INDEX(DropDown!$L$2:$L$392,MATCH('Ingest Template'!E692,DropDown!$J$2:$J$392,0))&amp;"|"&amp;'Ingest Template'!B692)&amp;CHAR(10)&amp;'Ingest Template'!V692)</f>
        <v>#N/A</v>
      </c>
      <c r="X692" s="41" t="str">
        <f>'Ingest Template'!W692</f>
        <v/>
      </c>
      <c r="Y692" s="21" t="str">
        <f>SUBSTITUTE(SUBSTITUTE(SUBSTITUTE('Ingest Template'!X692,"http:",""),"https:",""),"/","")</f>
        <v/>
      </c>
      <c r="Z692" s="21" t="str">
        <f t="array" ref="Z692">IF('Ingest Template'!A692="Standard",(IF(ISBLANK('Ingest Template'!AA692),"", 'Ingest Template'!AA692&amp;"|DAR")),(IF(ISBLANK('Ingest Template'!AA692),"", 'Ingest Template'!AA692&amp;"|Film Ops")))</f>
        <v/>
      </c>
      <c r="AA692" s="21"/>
      <c r="AB692" s="21" t="str">
        <f>'Ingest Template'!M692</f>
        <v/>
      </c>
      <c r="AC692" s="21" t="str">
        <f>'Ingest Template'!Y692</f>
        <v/>
      </c>
      <c r="AD692" s="21" t="str">
        <f>'Ingest Template'!C692</f>
        <v/>
      </c>
      <c r="AE692" s="21" t="str">
        <f>'Ingest Template'!Z692</f>
        <v/>
      </c>
      <c r="AF692" s="29"/>
      <c r="AG692" s="21" t="str">
        <f t="array" ref="AG692">IF('Ingest Template'!A692="Standard",(CONCATENATE(IF(ISBLANK('Ingest Template'!O692),"", 'Ingest Template'!O692&amp;"|DAR"),CHAR(10), IF(ISBLANK('Ingest Template'!P692),"", 'Ingest Template'!P692&amp;"|DAR"),CHAR(10), IF(ISBLANK('Ingest Template'!Q692),"", 'Ingest Template'!Q692&amp;"|DAR"))),(CONCATENATE(IF(ISBLANK('Ingest Template'!O692),"", 'Ingest Template'!O692&amp;"|Operations - Core Title"),CHAR(10), IF(ISBLANK('Ingest Template'!P692),"", 'Ingest Template'!P692&amp;"|Operations - Core Title"),CHAR(10), IF(ISBLANK('Ingest Template'!Q692),"", 'Ingest Template'!Q692&amp;"|Operations - Core Title"))))</f>
        <v>#|Operations - Core Title
#|Operations - Core Title
</v>
      </c>
      <c r="AH692" s="21"/>
      <c r="AI692" s="21"/>
      <c r="AJ692" s="53" t="str">
        <f>if('Ingest Template'!A692="Standard",'Ingest Template'!N692&amp; "|DAR|DAR|2021-01-01",'Ingest Template'!N692&amp; "|Operations - Core Title|Operations - Core Title")</f>
        <v>#N/A</v>
      </c>
      <c r="AK692" s="53" t="str">
        <f>if('Ingest Template'!A692="Standard",'Ingest Template'!R692&amp; "|2021-01-01",'Ingest Template'!R692)</f>
        <v>#N/A</v>
      </c>
      <c r="AL692" s="21"/>
      <c r="AM692" s="21"/>
    </row>
    <row r="693">
      <c r="A693" s="21"/>
      <c r="B693" s="21" t="str">
        <f>'Ingest Template'!B693&amp;IF('Ingest Template'!A693 = "Standard", " - DAR","")</f>
        <v/>
      </c>
      <c r="C693" s="26" t="s">
        <v>109</v>
      </c>
      <c r="D693" s="29" t="str">
        <f t="array" ref="D693">CONCATENATE(INDEX(DropDown!$H$2:$H$10,MATCH(1,COUNTIF('Ingest Template'!F693,"*"&amp;DropDown!$H$2:$H$10&amp;"*"),0)),CHAR(10),'Ingest Template'!G693)</f>
        <v>#N/A</v>
      </c>
      <c r="E693" s="21" t="str">
        <f>CONCATENATE('Ingest Template'!H693,CHAR(10),'Ingest Template'!I693,CHAR(10),'Ingest Template'!J693)</f>
        <v>
</v>
      </c>
      <c r="F693" s="26" t="str">
        <f>'Ingest Template'!H693</f>
        <v/>
      </c>
      <c r="G693" s="21"/>
      <c r="H693" s="29"/>
      <c r="I693" s="21"/>
      <c r="J693" s="29" t="str">
        <f t="array" ref="J693">iF('Ingest Template'!A693="Standard","Pristine Brand",INDEX(DropDown!$M$2:$M$392,MATCH('Ingest Template'!E693,DropDown!$J$2:$J$392,0)))</f>
        <v>#N/A</v>
      </c>
      <c r="K693" s="21" t="str">
        <f>iF('Ingest Template'!A693="Standard",'Ingest Template'!K693&amp;CHAR(10)&amp;'Ingest Template'!L693,"Competitive View")</f>
        <v>Competitive View</v>
      </c>
      <c r="L693" s="29" t="s">
        <v>146</v>
      </c>
      <c r="M693" s="37" t="str">
        <f>'Ingest Template'!D693</f>
        <v/>
      </c>
      <c r="N693" s="21"/>
      <c r="O693" s="21"/>
      <c r="P693" s="21"/>
      <c r="Q693" s="21"/>
      <c r="R693" s="21" t="str">
        <f>'Ingest Template'!E693</f>
        <v/>
      </c>
      <c r="S693" s="29" t="s">
        <v>153</v>
      </c>
      <c r="T693" s="21" t="str">
        <f>'Ingest Template'!T693</f>
        <v/>
      </c>
      <c r="U693" s="21" t="str">
        <f>'Ingest Template'!S693</f>
        <v/>
      </c>
      <c r="V693" s="21" t="str">
        <f>LOWER(SUBSTITUTE(SUBSTITUTE(SUBSTITUTE(SUBSTITUTE(SUBSTITUTE('Ingest Template'!U693,"https:",""),"www.",""),"/",""),"?hl=en",""),"instagram.com",""))</f>
        <v/>
      </c>
      <c r="W693" s="41" t="str">
        <f t="array" ref="W693">IF('Ingest Template'!V693="",(INDEX(DropDown!$L$2:$L$392,MATCH('Ingest Template'!E693,DropDown!$J$2:$J$392,0))&amp;"|"&amp;'Ingest Template'!B693),(INDEX(DropDown!$L$2:$L$392,MATCH('Ingest Template'!E693,DropDown!$J$2:$J$392,0))&amp;"|"&amp;'Ingest Template'!B693)&amp;CHAR(10)&amp;'Ingest Template'!V693)</f>
        <v>#N/A</v>
      </c>
      <c r="X693" s="41" t="str">
        <f>'Ingest Template'!W693</f>
        <v/>
      </c>
      <c r="Y693" s="21" t="str">
        <f>SUBSTITUTE(SUBSTITUTE(SUBSTITUTE('Ingest Template'!X693,"http:",""),"https:",""),"/","")</f>
        <v/>
      </c>
      <c r="Z693" s="21" t="str">
        <f t="array" ref="Z693">IF('Ingest Template'!A693="Standard",(IF(ISBLANK('Ingest Template'!AA693),"", 'Ingest Template'!AA693&amp;"|DAR")),(IF(ISBLANK('Ingest Template'!AA693),"", 'Ingest Template'!AA693&amp;"|Film Ops")))</f>
        <v/>
      </c>
      <c r="AA693" s="21"/>
      <c r="AB693" s="21" t="str">
        <f>'Ingest Template'!M693</f>
        <v/>
      </c>
      <c r="AC693" s="21" t="str">
        <f>'Ingest Template'!Y693</f>
        <v/>
      </c>
      <c r="AD693" s="21" t="str">
        <f>'Ingest Template'!C693</f>
        <v/>
      </c>
      <c r="AE693" s="21" t="str">
        <f>'Ingest Template'!Z693</f>
        <v/>
      </c>
      <c r="AF693" s="29"/>
      <c r="AG693" s="21" t="str">
        <f t="array" ref="AG693">IF('Ingest Template'!A693="Standard",(CONCATENATE(IF(ISBLANK('Ingest Template'!O693),"", 'Ingest Template'!O693&amp;"|DAR"),CHAR(10), IF(ISBLANK('Ingest Template'!P693),"", 'Ingest Template'!P693&amp;"|DAR"),CHAR(10), IF(ISBLANK('Ingest Template'!Q693),"", 'Ingest Template'!Q693&amp;"|DAR"))),(CONCATENATE(IF(ISBLANK('Ingest Template'!O693),"", 'Ingest Template'!O693&amp;"|Operations - Core Title"),CHAR(10), IF(ISBLANK('Ingest Template'!P693),"", 'Ingest Template'!P693&amp;"|Operations - Core Title"),CHAR(10), IF(ISBLANK('Ingest Template'!Q693),"", 'Ingest Template'!Q693&amp;"|Operations - Core Title"))))</f>
        <v>#|Operations - Core Title
#|Operations - Core Title
</v>
      </c>
      <c r="AH693" s="21"/>
      <c r="AI693" s="21"/>
      <c r="AJ693" s="53" t="str">
        <f>if('Ingest Template'!A693="Standard",'Ingest Template'!N693&amp; "|DAR|DAR|2021-01-01",'Ingest Template'!N693&amp; "|Operations - Core Title|Operations - Core Title")</f>
        <v>#N/A</v>
      </c>
      <c r="AK693" s="53" t="str">
        <f>if('Ingest Template'!A693="Standard",'Ingest Template'!R693&amp; "|2021-01-01",'Ingest Template'!R693)</f>
        <v>#N/A</v>
      </c>
      <c r="AL693" s="21"/>
      <c r="AM693" s="21"/>
    </row>
    <row r="694">
      <c r="A694" s="21"/>
      <c r="B694" s="21" t="str">
        <f>'Ingest Template'!B694&amp;IF('Ingest Template'!A694 = "Standard", " - DAR","")</f>
        <v/>
      </c>
      <c r="C694" s="26" t="s">
        <v>109</v>
      </c>
      <c r="D694" s="29" t="str">
        <f t="array" ref="D694">CONCATENATE(INDEX(DropDown!$H$2:$H$10,MATCH(1,COUNTIF('Ingest Template'!F694,"*"&amp;DropDown!$H$2:$H$10&amp;"*"),0)),CHAR(10),'Ingest Template'!G694)</f>
        <v>#N/A</v>
      </c>
      <c r="E694" s="21" t="str">
        <f>CONCATENATE('Ingest Template'!H694,CHAR(10),'Ingest Template'!I694,CHAR(10),'Ingest Template'!J694)</f>
        <v>
</v>
      </c>
      <c r="F694" s="26" t="str">
        <f>'Ingest Template'!H694</f>
        <v/>
      </c>
      <c r="G694" s="21"/>
      <c r="H694" s="29"/>
      <c r="I694" s="21"/>
      <c r="J694" s="29" t="str">
        <f t="array" ref="J694">iF('Ingest Template'!A694="Standard","Pristine Brand",INDEX(DropDown!$M$2:$M$392,MATCH('Ingest Template'!E694,DropDown!$J$2:$J$392,0)))</f>
        <v>#N/A</v>
      </c>
      <c r="K694" s="21" t="str">
        <f>iF('Ingest Template'!A694="Standard",'Ingest Template'!K694&amp;CHAR(10)&amp;'Ingest Template'!L694,"Competitive View")</f>
        <v>Competitive View</v>
      </c>
      <c r="L694" s="29" t="s">
        <v>146</v>
      </c>
      <c r="M694" s="37" t="str">
        <f>'Ingest Template'!D694</f>
        <v/>
      </c>
      <c r="N694" s="21"/>
      <c r="O694" s="21"/>
      <c r="P694" s="21"/>
      <c r="Q694" s="21"/>
      <c r="R694" s="21" t="str">
        <f>'Ingest Template'!E694</f>
        <v/>
      </c>
      <c r="S694" s="29" t="s">
        <v>153</v>
      </c>
      <c r="T694" s="21" t="str">
        <f>'Ingest Template'!T694</f>
        <v/>
      </c>
      <c r="U694" s="21" t="str">
        <f>'Ingest Template'!S694</f>
        <v/>
      </c>
      <c r="V694" s="21" t="str">
        <f>LOWER(SUBSTITUTE(SUBSTITUTE(SUBSTITUTE(SUBSTITUTE(SUBSTITUTE('Ingest Template'!U694,"https:",""),"www.",""),"/",""),"?hl=en",""),"instagram.com",""))</f>
        <v/>
      </c>
      <c r="W694" s="41" t="str">
        <f t="array" ref="W694">IF('Ingest Template'!V694="",(INDEX(DropDown!$L$2:$L$392,MATCH('Ingest Template'!E694,DropDown!$J$2:$J$392,0))&amp;"|"&amp;'Ingest Template'!B694),(INDEX(DropDown!$L$2:$L$392,MATCH('Ingest Template'!E694,DropDown!$J$2:$J$392,0))&amp;"|"&amp;'Ingest Template'!B694)&amp;CHAR(10)&amp;'Ingest Template'!V694)</f>
        <v>#N/A</v>
      </c>
      <c r="X694" s="41" t="str">
        <f>'Ingest Template'!W694</f>
        <v/>
      </c>
      <c r="Y694" s="21" t="str">
        <f>SUBSTITUTE(SUBSTITUTE(SUBSTITUTE('Ingest Template'!X694,"http:",""),"https:",""),"/","")</f>
        <v/>
      </c>
      <c r="Z694" s="21" t="str">
        <f t="array" ref="Z694">IF('Ingest Template'!A694="Standard",(IF(ISBLANK('Ingest Template'!AA694),"", 'Ingest Template'!AA694&amp;"|DAR")),(IF(ISBLANK('Ingest Template'!AA694),"", 'Ingest Template'!AA694&amp;"|Film Ops")))</f>
        <v/>
      </c>
      <c r="AA694" s="21"/>
      <c r="AB694" s="21" t="str">
        <f>'Ingest Template'!M694</f>
        <v/>
      </c>
      <c r="AC694" s="21" t="str">
        <f>'Ingest Template'!Y694</f>
        <v/>
      </c>
      <c r="AD694" s="21" t="str">
        <f>'Ingest Template'!C694</f>
        <v/>
      </c>
      <c r="AE694" s="21" t="str">
        <f>'Ingest Template'!Z694</f>
        <v/>
      </c>
      <c r="AF694" s="29"/>
      <c r="AG694" s="21" t="str">
        <f t="array" ref="AG694">IF('Ingest Template'!A694="Standard",(CONCATENATE(IF(ISBLANK('Ingest Template'!O694),"", 'Ingest Template'!O694&amp;"|DAR"),CHAR(10), IF(ISBLANK('Ingest Template'!P694),"", 'Ingest Template'!P694&amp;"|DAR"),CHAR(10), IF(ISBLANK('Ingest Template'!Q694),"", 'Ingest Template'!Q694&amp;"|DAR"))),(CONCATENATE(IF(ISBLANK('Ingest Template'!O694),"", 'Ingest Template'!O694&amp;"|Operations - Core Title"),CHAR(10), IF(ISBLANK('Ingest Template'!P694),"", 'Ingest Template'!P694&amp;"|Operations - Core Title"),CHAR(10), IF(ISBLANK('Ingest Template'!Q694),"", 'Ingest Template'!Q694&amp;"|Operations - Core Title"))))</f>
        <v>#|Operations - Core Title
#|Operations - Core Title
</v>
      </c>
      <c r="AH694" s="21"/>
      <c r="AI694" s="21"/>
      <c r="AJ694" s="53" t="str">
        <f>if('Ingest Template'!A694="Standard",'Ingest Template'!N694&amp; "|DAR|DAR|2021-01-01",'Ingest Template'!N694&amp; "|Operations - Core Title|Operations - Core Title")</f>
        <v>#N/A</v>
      </c>
      <c r="AK694" s="53" t="str">
        <f>if('Ingest Template'!A694="Standard",'Ingest Template'!R694&amp; "|2021-01-01",'Ingest Template'!R694)</f>
        <v>#N/A</v>
      </c>
      <c r="AL694" s="21"/>
      <c r="AM694" s="21"/>
    </row>
    <row r="695">
      <c r="A695" s="21"/>
      <c r="B695" s="21" t="str">
        <f>'Ingest Template'!B695&amp;IF('Ingest Template'!A695 = "Standard", " - DAR","")</f>
        <v/>
      </c>
      <c r="C695" s="26" t="s">
        <v>109</v>
      </c>
      <c r="D695" s="29" t="str">
        <f t="array" ref="D695">CONCATENATE(INDEX(DropDown!$H$2:$H$10,MATCH(1,COUNTIF('Ingest Template'!F695,"*"&amp;DropDown!$H$2:$H$10&amp;"*"),0)),CHAR(10),'Ingest Template'!G695)</f>
        <v>#N/A</v>
      </c>
      <c r="E695" s="21" t="str">
        <f>CONCATENATE('Ingest Template'!H695,CHAR(10),'Ingest Template'!I695,CHAR(10),'Ingest Template'!J695)</f>
        <v>
</v>
      </c>
      <c r="F695" s="26" t="str">
        <f>'Ingest Template'!H695</f>
        <v/>
      </c>
      <c r="G695" s="21"/>
      <c r="H695" s="29"/>
      <c r="I695" s="21"/>
      <c r="J695" s="29" t="str">
        <f t="array" ref="J695">iF('Ingest Template'!A695="Standard","Pristine Brand",INDEX(DropDown!$M$2:$M$392,MATCH('Ingest Template'!E695,DropDown!$J$2:$J$392,0)))</f>
        <v>#N/A</v>
      </c>
      <c r="K695" s="21" t="str">
        <f>iF('Ingest Template'!A695="Standard",'Ingest Template'!K695&amp;CHAR(10)&amp;'Ingest Template'!L695,"Competitive View")</f>
        <v>Competitive View</v>
      </c>
      <c r="L695" s="29" t="s">
        <v>146</v>
      </c>
      <c r="M695" s="37" t="str">
        <f>'Ingest Template'!D695</f>
        <v/>
      </c>
      <c r="N695" s="21"/>
      <c r="O695" s="21"/>
      <c r="P695" s="21"/>
      <c r="Q695" s="21"/>
      <c r="R695" s="21" t="str">
        <f>'Ingest Template'!E695</f>
        <v/>
      </c>
      <c r="S695" s="29" t="s">
        <v>153</v>
      </c>
      <c r="T695" s="21" t="str">
        <f>'Ingest Template'!T695</f>
        <v/>
      </c>
      <c r="U695" s="21" t="str">
        <f>'Ingest Template'!S695</f>
        <v/>
      </c>
      <c r="V695" s="21" t="str">
        <f>LOWER(SUBSTITUTE(SUBSTITUTE(SUBSTITUTE(SUBSTITUTE(SUBSTITUTE('Ingest Template'!U695,"https:",""),"www.",""),"/",""),"?hl=en",""),"instagram.com",""))</f>
        <v/>
      </c>
      <c r="W695" s="41" t="str">
        <f t="array" ref="W695">IF('Ingest Template'!V695="",(INDEX(DropDown!$L$2:$L$392,MATCH('Ingest Template'!E695,DropDown!$J$2:$J$392,0))&amp;"|"&amp;'Ingest Template'!B695),(INDEX(DropDown!$L$2:$L$392,MATCH('Ingest Template'!E695,DropDown!$J$2:$J$392,0))&amp;"|"&amp;'Ingest Template'!B695)&amp;CHAR(10)&amp;'Ingest Template'!V695)</f>
        <v>#N/A</v>
      </c>
      <c r="X695" s="41" t="str">
        <f>'Ingest Template'!W695</f>
        <v/>
      </c>
      <c r="Y695" s="21" t="str">
        <f>SUBSTITUTE(SUBSTITUTE(SUBSTITUTE('Ingest Template'!X695,"http:",""),"https:",""),"/","")</f>
        <v/>
      </c>
      <c r="Z695" s="21" t="str">
        <f t="array" ref="Z695">IF('Ingest Template'!A695="Standard",(IF(ISBLANK('Ingest Template'!AA695),"", 'Ingest Template'!AA695&amp;"|DAR")),(IF(ISBLANK('Ingest Template'!AA695),"", 'Ingest Template'!AA695&amp;"|Film Ops")))</f>
        <v/>
      </c>
      <c r="AA695" s="21"/>
      <c r="AB695" s="21" t="str">
        <f>'Ingest Template'!M695</f>
        <v/>
      </c>
      <c r="AC695" s="21" t="str">
        <f>'Ingest Template'!Y695</f>
        <v/>
      </c>
      <c r="AD695" s="21" t="str">
        <f>'Ingest Template'!C695</f>
        <v/>
      </c>
      <c r="AE695" s="21" t="str">
        <f>'Ingest Template'!Z695</f>
        <v/>
      </c>
      <c r="AF695" s="29"/>
      <c r="AG695" s="21" t="str">
        <f t="array" ref="AG695">IF('Ingest Template'!A695="Standard",(CONCATENATE(IF(ISBLANK('Ingest Template'!O695),"", 'Ingest Template'!O695&amp;"|DAR"),CHAR(10), IF(ISBLANK('Ingest Template'!P695),"", 'Ingest Template'!P695&amp;"|DAR"),CHAR(10), IF(ISBLANK('Ingest Template'!Q695),"", 'Ingest Template'!Q695&amp;"|DAR"))),(CONCATENATE(IF(ISBLANK('Ingest Template'!O695),"", 'Ingest Template'!O695&amp;"|Operations - Core Title"),CHAR(10), IF(ISBLANK('Ingest Template'!P695),"", 'Ingest Template'!P695&amp;"|Operations - Core Title"),CHAR(10), IF(ISBLANK('Ingest Template'!Q695),"", 'Ingest Template'!Q695&amp;"|Operations - Core Title"))))</f>
        <v>#|Operations - Core Title
#|Operations - Core Title
</v>
      </c>
      <c r="AH695" s="21"/>
      <c r="AI695" s="21"/>
      <c r="AJ695" s="53" t="str">
        <f>if('Ingest Template'!A695="Standard",'Ingest Template'!N695&amp; "|DAR|DAR|2021-01-01",'Ingest Template'!N695&amp; "|Operations - Core Title|Operations - Core Title")</f>
        <v>#N/A</v>
      </c>
      <c r="AK695" s="53" t="str">
        <f>if('Ingest Template'!A695="Standard",'Ingest Template'!R695&amp; "|2021-01-01",'Ingest Template'!R695)</f>
        <v>#N/A</v>
      </c>
      <c r="AL695" s="21"/>
      <c r="AM695" s="21"/>
    </row>
    <row r="696">
      <c r="A696" s="21"/>
      <c r="B696" s="21" t="str">
        <f>'Ingest Template'!B696&amp;IF('Ingest Template'!A696 = "Standard", " - DAR","")</f>
        <v/>
      </c>
      <c r="C696" s="26" t="s">
        <v>109</v>
      </c>
      <c r="D696" s="29" t="str">
        <f t="array" ref="D696">CONCATENATE(INDEX(DropDown!$H$2:$H$10,MATCH(1,COUNTIF('Ingest Template'!F696,"*"&amp;DropDown!$H$2:$H$10&amp;"*"),0)),CHAR(10),'Ingest Template'!G696)</f>
        <v>#N/A</v>
      </c>
      <c r="E696" s="21" t="str">
        <f>CONCATENATE('Ingest Template'!H696,CHAR(10),'Ingest Template'!I696,CHAR(10),'Ingest Template'!J696)</f>
        <v>
</v>
      </c>
      <c r="F696" s="26" t="str">
        <f>'Ingest Template'!H696</f>
        <v/>
      </c>
      <c r="G696" s="21"/>
      <c r="H696" s="29"/>
      <c r="I696" s="21"/>
      <c r="J696" s="29" t="str">
        <f t="array" ref="J696">iF('Ingest Template'!A696="Standard","Pristine Brand",INDEX(DropDown!$M$2:$M$392,MATCH('Ingest Template'!E696,DropDown!$J$2:$J$392,0)))</f>
        <v>#N/A</v>
      </c>
      <c r="K696" s="21" t="str">
        <f>iF('Ingest Template'!A696="Standard",'Ingest Template'!K696&amp;CHAR(10)&amp;'Ingest Template'!L696,"Competitive View")</f>
        <v>Competitive View</v>
      </c>
      <c r="L696" s="29" t="s">
        <v>146</v>
      </c>
      <c r="M696" s="37" t="str">
        <f>'Ingest Template'!D696</f>
        <v/>
      </c>
      <c r="N696" s="21"/>
      <c r="O696" s="21"/>
      <c r="P696" s="21"/>
      <c r="Q696" s="21"/>
      <c r="R696" s="21" t="str">
        <f>'Ingest Template'!E696</f>
        <v/>
      </c>
      <c r="S696" s="29" t="s">
        <v>153</v>
      </c>
      <c r="T696" s="21" t="str">
        <f>'Ingest Template'!T696</f>
        <v/>
      </c>
      <c r="U696" s="21" t="str">
        <f>'Ingest Template'!S696</f>
        <v/>
      </c>
      <c r="V696" s="21" t="str">
        <f>LOWER(SUBSTITUTE(SUBSTITUTE(SUBSTITUTE(SUBSTITUTE(SUBSTITUTE('Ingest Template'!U696,"https:",""),"www.",""),"/",""),"?hl=en",""),"instagram.com",""))</f>
        <v/>
      </c>
      <c r="W696" s="41" t="str">
        <f t="array" ref="W696">IF('Ingest Template'!V696="",(INDEX(DropDown!$L$2:$L$392,MATCH('Ingest Template'!E696,DropDown!$J$2:$J$392,0))&amp;"|"&amp;'Ingest Template'!B696),(INDEX(DropDown!$L$2:$L$392,MATCH('Ingest Template'!E696,DropDown!$J$2:$J$392,0))&amp;"|"&amp;'Ingest Template'!B696)&amp;CHAR(10)&amp;'Ingest Template'!V696)</f>
        <v>#N/A</v>
      </c>
      <c r="X696" s="41" t="str">
        <f>'Ingest Template'!W696</f>
        <v/>
      </c>
      <c r="Y696" s="21" t="str">
        <f>SUBSTITUTE(SUBSTITUTE(SUBSTITUTE('Ingest Template'!X696,"http:",""),"https:",""),"/","")</f>
        <v/>
      </c>
      <c r="Z696" s="21" t="str">
        <f t="array" ref="Z696">IF('Ingest Template'!A696="Standard",(IF(ISBLANK('Ingest Template'!AA696),"", 'Ingest Template'!AA696&amp;"|DAR")),(IF(ISBLANK('Ingest Template'!AA696),"", 'Ingest Template'!AA696&amp;"|Film Ops")))</f>
        <v/>
      </c>
      <c r="AA696" s="21"/>
      <c r="AB696" s="21" t="str">
        <f>'Ingest Template'!M696</f>
        <v/>
      </c>
      <c r="AC696" s="21" t="str">
        <f>'Ingest Template'!Y696</f>
        <v/>
      </c>
      <c r="AD696" s="21" t="str">
        <f>'Ingest Template'!C696</f>
        <v/>
      </c>
      <c r="AE696" s="21" t="str">
        <f>'Ingest Template'!Z696</f>
        <v/>
      </c>
      <c r="AF696" s="29"/>
      <c r="AG696" s="21" t="str">
        <f t="array" ref="AG696">IF('Ingest Template'!A696="Standard",(CONCATENATE(IF(ISBLANK('Ingest Template'!O696),"", 'Ingest Template'!O696&amp;"|DAR"),CHAR(10), IF(ISBLANK('Ingest Template'!P696),"", 'Ingest Template'!P696&amp;"|DAR"),CHAR(10), IF(ISBLANK('Ingest Template'!Q696),"", 'Ingest Template'!Q696&amp;"|DAR"))),(CONCATENATE(IF(ISBLANK('Ingest Template'!O696),"", 'Ingest Template'!O696&amp;"|Operations - Core Title"),CHAR(10), IF(ISBLANK('Ingest Template'!P696),"", 'Ingest Template'!P696&amp;"|Operations - Core Title"),CHAR(10), IF(ISBLANK('Ingest Template'!Q696),"", 'Ingest Template'!Q696&amp;"|Operations - Core Title"))))</f>
        <v>#|Operations - Core Title
#|Operations - Core Title
</v>
      </c>
      <c r="AH696" s="21"/>
      <c r="AI696" s="21"/>
      <c r="AJ696" s="53" t="str">
        <f>if('Ingest Template'!A696="Standard",'Ingest Template'!N696&amp; "|DAR|DAR|2021-01-01",'Ingest Template'!N696&amp; "|Operations - Core Title|Operations - Core Title")</f>
        <v>#N/A</v>
      </c>
      <c r="AK696" s="53" t="str">
        <f>if('Ingest Template'!A696="Standard",'Ingest Template'!R696&amp; "|2021-01-01",'Ingest Template'!R696)</f>
        <v>#N/A</v>
      </c>
      <c r="AL696" s="21"/>
      <c r="AM696" s="21"/>
    </row>
    <row r="697">
      <c r="A697" s="21"/>
      <c r="B697" s="21" t="str">
        <f>'Ingest Template'!B697&amp;IF('Ingest Template'!A697 = "Standard", " - DAR","")</f>
        <v/>
      </c>
      <c r="C697" s="26" t="s">
        <v>109</v>
      </c>
      <c r="D697" s="29" t="str">
        <f t="array" ref="D697">CONCATENATE(INDEX(DropDown!$H$2:$H$10,MATCH(1,COUNTIF('Ingest Template'!F697,"*"&amp;DropDown!$H$2:$H$10&amp;"*"),0)),CHAR(10),'Ingest Template'!G697)</f>
        <v>#N/A</v>
      </c>
      <c r="E697" s="21" t="str">
        <f>CONCATENATE('Ingest Template'!H697,CHAR(10),'Ingest Template'!I697,CHAR(10),'Ingest Template'!J697)</f>
        <v>
</v>
      </c>
      <c r="F697" s="26" t="str">
        <f>'Ingest Template'!H697</f>
        <v/>
      </c>
      <c r="G697" s="21"/>
      <c r="H697" s="29"/>
      <c r="I697" s="21"/>
      <c r="J697" s="29" t="str">
        <f t="array" ref="J697">iF('Ingest Template'!A697="Standard","Pristine Brand",INDEX(DropDown!$M$2:$M$392,MATCH('Ingest Template'!E697,DropDown!$J$2:$J$392,0)))</f>
        <v>#N/A</v>
      </c>
      <c r="K697" s="21" t="str">
        <f>iF('Ingest Template'!A697="Standard",'Ingest Template'!K697&amp;CHAR(10)&amp;'Ingest Template'!L697,"Competitive View")</f>
        <v>Competitive View</v>
      </c>
      <c r="L697" s="29" t="s">
        <v>146</v>
      </c>
      <c r="M697" s="37" t="str">
        <f>'Ingest Template'!D697</f>
        <v/>
      </c>
      <c r="N697" s="21"/>
      <c r="O697" s="21"/>
      <c r="P697" s="21"/>
      <c r="Q697" s="21"/>
      <c r="R697" s="21" t="str">
        <f>'Ingest Template'!E697</f>
        <v/>
      </c>
      <c r="S697" s="29" t="s">
        <v>153</v>
      </c>
      <c r="T697" s="21" t="str">
        <f>'Ingest Template'!T697</f>
        <v/>
      </c>
      <c r="U697" s="21" t="str">
        <f>'Ingest Template'!S697</f>
        <v/>
      </c>
      <c r="V697" s="21" t="str">
        <f>LOWER(SUBSTITUTE(SUBSTITUTE(SUBSTITUTE(SUBSTITUTE(SUBSTITUTE('Ingest Template'!U697,"https:",""),"www.",""),"/",""),"?hl=en",""),"instagram.com",""))</f>
        <v/>
      </c>
      <c r="W697" s="41" t="str">
        <f t="array" ref="W697">IF('Ingest Template'!V697="",(INDEX(DropDown!$L$2:$L$392,MATCH('Ingest Template'!E697,DropDown!$J$2:$J$392,0))&amp;"|"&amp;'Ingest Template'!B697),(INDEX(DropDown!$L$2:$L$392,MATCH('Ingest Template'!E697,DropDown!$J$2:$J$392,0))&amp;"|"&amp;'Ingest Template'!B697)&amp;CHAR(10)&amp;'Ingest Template'!V697)</f>
        <v>#N/A</v>
      </c>
      <c r="X697" s="41" t="str">
        <f>'Ingest Template'!W697</f>
        <v/>
      </c>
      <c r="Y697" s="21" t="str">
        <f>SUBSTITUTE(SUBSTITUTE(SUBSTITUTE('Ingest Template'!X697,"http:",""),"https:",""),"/","")</f>
        <v/>
      </c>
      <c r="Z697" s="21" t="str">
        <f t="array" ref="Z697">IF('Ingest Template'!A697="Standard",(IF(ISBLANK('Ingest Template'!AA697),"", 'Ingest Template'!AA697&amp;"|DAR")),(IF(ISBLANK('Ingest Template'!AA697),"", 'Ingest Template'!AA697&amp;"|Film Ops")))</f>
        <v/>
      </c>
      <c r="AA697" s="21"/>
      <c r="AB697" s="21" t="str">
        <f>'Ingest Template'!M697</f>
        <v/>
      </c>
      <c r="AC697" s="21" t="str">
        <f>'Ingest Template'!Y697</f>
        <v/>
      </c>
      <c r="AD697" s="21" t="str">
        <f>'Ingest Template'!C697</f>
        <v/>
      </c>
      <c r="AE697" s="21" t="str">
        <f>'Ingest Template'!Z697</f>
        <v/>
      </c>
      <c r="AF697" s="29"/>
      <c r="AG697" s="21" t="str">
        <f t="array" ref="AG697">IF('Ingest Template'!A697="Standard",(CONCATENATE(IF(ISBLANK('Ingest Template'!O697),"", 'Ingest Template'!O697&amp;"|DAR"),CHAR(10), IF(ISBLANK('Ingest Template'!P697),"", 'Ingest Template'!P697&amp;"|DAR"),CHAR(10), IF(ISBLANK('Ingest Template'!Q697),"", 'Ingest Template'!Q697&amp;"|DAR"))),(CONCATENATE(IF(ISBLANK('Ingest Template'!O697),"", 'Ingest Template'!O697&amp;"|Operations - Core Title"),CHAR(10), IF(ISBLANK('Ingest Template'!P697),"", 'Ingest Template'!P697&amp;"|Operations - Core Title"),CHAR(10), IF(ISBLANK('Ingest Template'!Q697),"", 'Ingest Template'!Q697&amp;"|Operations - Core Title"))))</f>
        <v>#|Operations - Core Title
#|Operations - Core Title
</v>
      </c>
      <c r="AH697" s="21"/>
      <c r="AI697" s="21"/>
      <c r="AJ697" s="53" t="str">
        <f>if('Ingest Template'!A697="Standard",'Ingest Template'!N697&amp; "|DAR|DAR|2021-01-01",'Ingest Template'!N697&amp; "|Operations - Core Title|Operations - Core Title")</f>
        <v>#N/A</v>
      </c>
      <c r="AK697" s="53" t="str">
        <f>if('Ingest Template'!A697="Standard",'Ingest Template'!R697&amp; "|2021-01-01",'Ingest Template'!R697)</f>
        <v>#N/A</v>
      </c>
      <c r="AL697" s="21"/>
      <c r="AM697" s="21"/>
    </row>
    <row r="698">
      <c r="A698" s="21"/>
      <c r="B698" s="21" t="str">
        <f>'Ingest Template'!B698&amp;IF('Ingest Template'!A698 = "Standard", " - DAR","")</f>
        <v/>
      </c>
      <c r="C698" s="26" t="s">
        <v>109</v>
      </c>
      <c r="D698" s="29" t="str">
        <f t="array" ref="D698">CONCATENATE(INDEX(DropDown!$H$2:$H$10,MATCH(1,COUNTIF('Ingest Template'!F698,"*"&amp;DropDown!$H$2:$H$10&amp;"*"),0)),CHAR(10),'Ingest Template'!G698)</f>
        <v>#N/A</v>
      </c>
      <c r="E698" s="21" t="str">
        <f>CONCATENATE('Ingest Template'!H698,CHAR(10),'Ingest Template'!I698,CHAR(10),'Ingest Template'!J698)</f>
        <v>
</v>
      </c>
      <c r="F698" s="26" t="str">
        <f>'Ingest Template'!H698</f>
        <v/>
      </c>
      <c r="G698" s="21"/>
      <c r="H698" s="29"/>
      <c r="I698" s="21"/>
      <c r="J698" s="29" t="str">
        <f t="array" ref="J698">iF('Ingest Template'!A698="Standard","Pristine Brand",INDEX(DropDown!$M$2:$M$392,MATCH('Ingest Template'!E698,DropDown!$J$2:$J$392,0)))</f>
        <v>#N/A</v>
      </c>
      <c r="K698" s="21" t="str">
        <f>iF('Ingest Template'!A698="Standard",'Ingest Template'!K698&amp;CHAR(10)&amp;'Ingest Template'!L698,"Competitive View")</f>
        <v>Competitive View</v>
      </c>
      <c r="L698" s="29" t="s">
        <v>146</v>
      </c>
      <c r="M698" s="37" t="str">
        <f>'Ingest Template'!D698</f>
        <v/>
      </c>
      <c r="N698" s="21"/>
      <c r="O698" s="21"/>
      <c r="P698" s="21"/>
      <c r="Q698" s="21"/>
      <c r="R698" s="21" t="str">
        <f>'Ingest Template'!E698</f>
        <v/>
      </c>
      <c r="S698" s="29" t="s">
        <v>153</v>
      </c>
      <c r="T698" s="21" t="str">
        <f>'Ingest Template'!T698</f>
        <v/>
      </c>
      <c r="U698" s="21" t="str">
        <f>'Ingest Template'!S698</f>
        <v/>
      </c>
      <c r="V698" s="21" t="str">
        <f>LOWER(SUBSTITUTE(SUBSTITUTE(SUBSTITUTE(SUBSTITUTE(SUBSTITUTE('Ingest Template'!U698,"https:",""),"www.",""),"/",""),"?hl=en",""),"instagram.com",""))</f>
        <v/>
      </c>
      <c r="W698" s="41" t="str">
        <f t="array" ref="W698">IF('Ingest Template'!V698="",(INDEX(DropDown!$L$2:$L$392,MATCH('Ingest Template'!E698,DropDown!$J$2:$J$392,0))&amp;"|"&amp;'Ingest Template'!B698),(INDEX(DropDown!$L$2:$L$392,MATCH('Ingest Template'!E698,DropDown!$J$2:$J$392,0))&amp;"|"&amp;'Ingest Template'!B698)&amp;CHAR(10)&amp;'Ingest Template'!V698)</f>
        <v>#N/A</v>
      </c>
      <c r="X698" s="41" t="str">
        <f>'Ingest Template'!W698</f>
        <v/>
      </c>
      <c r="Y698" s="21" t="str">
        <f>SUBSTITUTE(SUBSTITUTE(SUBSTITUTE('Ingest Template'!X698,"http:",""),"https:",""),"/","")</f>
        <v/>
      </c>
      <c r="Z698" s="21" t="str">
        <f t="array" ref="Z698">IF('Ingest Template'!A698="Standard",(IF(ISBLANK('Ingest Template'!AA698),"", 'Ingest Template'!AA698&amp;"|DAR")),(IF(ISBLANK('Ingest Template'!AA698),"", 'Ingest Template'!AA698&amp;"|Film Ops")))</f>
        <v/>
      </c>
      <c r="AA698" s="21"/>
      <c r="AB698" s="21" t="str">
        <f>'Ingest Template'!M698</f>
        <v/>
      </c>
      <c r="AC698" s="21" t="str">
        <f>'Ingest Template'!Y698</f>
        <v/>
      </c>
      <c r="AD698" s="21" t="str">
        <f>'Ingest Template'!C698</f>
        <v/>
      </c>
      <c r="AE698" s="21" t="str">
        <f>'Ingest Template'!Z698</f>
        <v/>
      </c>
      <c r="AF698" s="29"/>
      <c r="AG698" s="21" t="str">
        <f t="array" ref="AG698">IF('Ingest Template'!A698="Standard",(CONCATENATE(IF(ISBLANK('Ingest Template'!O698),"", 'Ingest Template'!O698&amp;"|DAR"),CHAR(10), IF(ISBLANK('Ingest Template'!P698),"", 'Ingest Template'!P698&amp;"|DAR"),CHAR(10), IF(ISBLANK('Ingest Template'!Q698),"", 'Ingest Template'!Q698&amp;"|DAR"))),(CONCATENATE(IF(ISBLANK('Ingest Template'!O698),"", 'Ingest Template'!O698&amp;"|Operations - Core Title"),CHAR(10), IF(ISBLANK('Ingest Template'!P698),"", 'Ingest Template'!P698&amp;"|Operations - Core Title"),CHAR(10), IF(ISBLANK('Ingest Template'!Q698),"", 'Ingest Template'!Q698&amp;"|Operations - Core Title"))))</f>
        <v>#|Operations - Core Title
#|Operations - Core Title
</v>
      </c>
      <c r="AH698" s="21"/>
      <c r="AI698" s="21"/>
      <c r="AJ698" s="53" t="str">
        <f>if('Ingest Template'!A698="Standard",'Ingest Template'!N698&amp; "|DAR|DAR|2021-01-01",'Ingest Template'!N698&amp; "|Operations - Core Title|Operations - Core Title")</f>
        <v>#N/A</v>
      </c>
      <c r="AK698" s="53" t="str">
        <f>if('Ingest Template'!A698="Standard",'Ingest Template'!R698&amp; "|2021-01-01",'Ingest Template'!R698)</f>
        <v>#N/A</v>
      </c>
      <c r="AL698" s="21"/>
      <c r="AM698" s="21"/>
    </row>
    <row r="699">
      <c r="A699" s="21"/>
      <c r="B699" s="21" t="str">
        <f>'Ingest Template'!B699&amp;IF('Ingest Template'!A699 = "Standard", " - DAR","")</f>
        <v/>
      </c>
      <c r="C699" s="26" t="s">
        <v>109</v>
      </c>
      <c r="D699" s="29" t="str">
        <f t="array" ref="D699">CONCATENATE(INDEX(DropDown!$H$2:$H$10,MATCH(1,COUNTIF('Ingest Template'!F699,"*"&amp;DropDown!$H$2:$H$10&amp;"*"),0)),CHAR(10),'Ingest Template'!G699)</f>
        <v>#N/A</v>
      </c>
      <c r="E699" s="21" t="str">
        <f>CONCATENATE('Ingest Template'!H699,CHAR(10),'Ingest Template'!I699,CHAR(10),'Ingest Template'!J699)</f>
        <v>
</v>
      </c>
      <c r="F699" s="26" t="str">
        <f>'Ingest Template'!H699</f>
        <v/>
      </c>
      <c r="G699" s="21"/>
      <c r="H699" s="29"/>
      <c r="I699" s="21"/>
      <c r="J699" s="29" t="str">
        <f t="array" ref="J699">iF('Ingest Template'!A699="Standard","Pristine Brand",INDEX(DropDown!$M$2:$M$392,MATCH('Ingest Template'!E699,DropDown!$J$2:$J$392,0)))</f>
        <v>#N/A</v>
      </c>
      <c r="K699" s="21" t="str">
        <f>iF('Ingest Template'!A699="Standard",'Ingest Template'!K699&amp;CHAR(10)&amp;'Ingest Template'!L699,"Competitive View")</f>
        <v>Competitive View</v>
      </c>
      <c r="L699" s="29" t="s">
        <v>146</v>
      </c>
      <c r="M699" s="37" t="str">
        <f>'Ingest Template'!D699</f>
        <v/>
      </c>
      <c r="N699" s="21"/>
      <c r="O699" s="21"/>
      <c r="P699" s="21"/>
      <c r="Q699" s="21"/>
      <c r="R699" s="21" t="str">
        <f>'Ingest Template'!E699</f>
        <v/>
      </c>
      <c r="S699" s="29" t="s">
        <v>153</v>
      </c>
      <c r="T699" s="21" t="str">
        <f>'Ingest Template'!T699</f>
        <v/>
      </c>
      <c r="U699" s="21" t="str">
        <f>'Ingest Template'!S699</f>
        <v/>
      </c>
      <c r="V699" s="21" t="str">
        <f>LOWER(SUBSTITUTE(SUBSTITUTE(SUBSTITUTE(SUBSTITUTE(SUBSTITUTE('Ingest Template'!U699,"https:",""),"www.",""),"/",""),"?hl=en",""),"instagram.com",""))</f>
        <v/>
      </c>
      <c r="W699" s="41" t="str">
        <f t="array" ref="W699">IF('Ingest Template'!V699="",(INDEX(DropDown!$L$2:$L$392,MATCH('Ingest Template'!E699,DropDown!$J$2:$J$392,0))&amp;"|"&amp;'Ingest Template'!B699),(INDEX(DropDown!$L$2:$L$392,MATCH('Ingest Template'!E699,DropDown!$J$2:$J$392,0))&amp;"|"&amp;'Ingest Template'!B699)&amp;CHAR(10)&amp;'Ingest Template'!V699)</f>
        <v>#N/A</v>
      </c>
      <c r="X699" s="41" t="str">
        <f>'Ingest Template'!W699</f>
        <v/>
      </c>
      <c r="Y699" s="21" t="str">
        <f>SUBSTITUTE(SUBSTITUTE(SUBSTITUTE('Ingest Template'!X699,"http:",""),"https:",""),"/","")</f>
        <v/>
      </c>
      <c r="Z699" s="21" t="str">
        <f t="array" ref="Z699">IF('Ingest Template'!A699="Standard",(IF(ISBLANK('Ingest Template'!AA699),"", 'Ingest Template'!AA699&amp;"|DAR")),(IF(ISBLANK('Ingest Template'!AA699),"", 'Ingest Template'!AA699&amp;"|Film Ops")))</f>
        <v/>
      </c>
      <c r="AA699" s="21"/>
      <c r="AB699" s="21" t="str">
        <f>'Ingest Template'!M699</f>
        <v/>
      </c>
      <c r="AC699" s="21" t="str">
        <f>'Ingest Template'!Y699</f>
        <v/>
      </c>
      <c r="AD699" s="21" t="str">
        <f>'Ingest Template'!C699</f>
        <v/>
      </c>
      <c r="AE699" s="21" t="str">
        <f>'Ingest Template'!Z699</f>
        <v/>
      </c>
      <c r="AF699" s="29"/>
      <c r="AG699" s="21" t="str">
        <f t="array" ref="AG699">IF('Ingest Template'!A699="Standard",(CONCATENATE(IF(ISBLANK('Ingest Template'!O699),"", 'Ingest Template'!O699&amp;"|DAR"),CHAR(10), IF(ISBLANK('Ingest Template'!P699),"", 'Ingest Template'!P699&amp;"|DAR"),CHAR(10), IF(ISBLANK('Ingest Template'!Q699),"", 'Ingest Template'!Q699&amp;"|DAR"))),(CONCATENATE(IF(ISBLANK('Ingest Template'!O699),"", 'Ingest Template'!O699&amp;"|Operations - Core Title"),CHAR(10), IF(ISBLANK('Ingest Template'!P699),"", 'Ingest Template'!P699&amp;"|Operations - Core Title"),CHAR(10), IF(ISBLANK('Ingest Template'!Q699),"", 'Ingest Template'!Q699&amp;"|Operations - Core Title"))))</f>
        <v>#|Operations - Core Title
#|Operations - Core Title
</v>
      </c>
      <c r="AH699" s="21"/>
      <c r="AI699" s="21"/>
      <c r="AJ699" s="53" t="str">
        <f>if('Ingest Template'!A699="Standard",'Ingest Template'!N699&amp; "|DAR|DAR|2021-01-01",'Ingest Template'!N699&amp; "|Operations - Core Title|Operations - Core Title")</f>
        <v>#N/A</v>
      </c>
      <c r="AK699" s="53" t="str">
        <f>if('Ingest Template'!A699="Standard",'Ingest Template'!R699&amp; "|2021-01-01",'Ingest Template'!R699)</f>
        <v>#N/A</v>
      </c>
      <c r="AL699" s="21"/>
      <c r="AM699" s="21"/>
    </row>
    <row r="700">
      <c r="A700" s="21"/>
      <c r="B700" s="21" t="str">
        <f>'Ingest Template'!B700&amp;IF('Ingest Template'!A700 = "Standard", " - DAR","")</f>
        <v/>
      </c>
      <c r="C700" s="26" t="s">
        <v>109</v>
      </c>
      <c r="D700" s="29" t="str">
        <f t="array" ref="D700">CONCATENATE(INDEX(DropDown!$H$2:$H$10,MATCH(1,COUNTIF('Ingest Template'!F700,"*"&amp;DropDown!$H$2:$H$10&amp;"*"),0)),CHAR(10),'Ingest Template'!G700)</f>
        <v>#N/A</v>
      </c>
      <c r="E700" s="21" t="str">
        <f>CONCATENATE('Ingest Template'!H700,CHAR(10),'Ingest Template'!I700,CHAR(10),'Ingest Template'!J700)</f>
        <v>
</v>
      </c>
      <c r="F700" s="26" t="str">
        <f>'Ingest Template'!H700</f>
        <v/>
      </c>
      <c r="G700" s="21"/>
      <c r="H700" s="29"/>
      <c r="I700" s="21"/>
      <c r="J700" s="29" t="str">
        <f t="array" ref="J700">iF('Ingest Template'!A700="Standard","Pristine Brand",INDEX(DropDown!$M$2:$M$392,MATCH('Ingest Template'!E700,DropDown!$J$2:$J$392,0)))</f>
        <v>#N/A</v>
      </c>
      <c r="K700" s="21" t="str">
        <f>iF('Ingest Template'!A700="Standard",'Ingest Template'!K700&amp;CHAR(10)&amp;'Ingest Template'!L700,"Competitive View")</f>
        <v>Competitive View</v>
      </c>
      <c r="L700" s="29" t="s">
        <v>146</v>
      </c>
      <c r="M700" s="37" t="str">
        <f>'Ingest Template'!D700</f>
        <v/>
      </c>
      <c r="N700" s="21"/>
      <c r="O700" s="21"/>
      <c r="P700" s="21"/>
      <c r="Q700" s="21"/>
      <c r="R700" s="21" t="str">
        <f>'Ingest Template'!E700</f>
        <v/>
      </c>
      <c r="S700" s="29" t="s">
        <v>153</v>
      </c>
      <c r="T700" s="21" t="str">
        <f>'Ingest Template'!T700</f>
        <v/>
      </c>
      <c r="U700" s="21" t="str">
        <f>'Ingest Template'!S700</f>
        <v/>
      </c>
      <c r="V700" s="21" t="str">
        <f>LOWER(SUBSTITUTE(SUBSTITUTE(SUBSTITUTE(SUBSTITUTE(SUBSTITUTE('Ingest Template'!U700,"https:",""),"www.",""),"/",""),"?hl=en",""),"instagram.com",""))</f>
        <v/>
      </c>
      <c r="W700" s="41" t="str">
        <f t="array" ref="W700">IF('Ingest Template'!V700="",(INDEX(DropDown!$L$2:$L$392,MATCH('Ingest Template'!E700,DropDown!$J$2:$J$392,0))&amp;"|"&amp;'Ingest Template'!B700),(INDEX(DropDown!$L$2:$L$392,MATCH('Ingest Template'!E700,DropDown!$J$2:$J$392,0))&amp;"|"&amp;'Ingest Template'!B700)&amp;CHAR(10)&amp;'Ingest Template'!V700)</f>
        <v>#N/A</v>
      </c>
      <c r="X700" s="41" t="str">
        <f>'Ingest Template'!W700</f>
        <v/>
      </c>
      <c r="Y700" s="21" t="str">
        <f>SUBSTITUTE(SUBSTITUTE(SUBSTITUTE('Ingest Template'!X700,"http:",""),"https:",""),"/","")</f>
        <v/>
      </c>
      <c r="Z700" s="21" t="str">
        <f t="array" ref="Z700">IF('Ingest Template'!A700="Standard",(IF(ISBLANK('Ingest Template'!AA700),"", 'Ingest Template'!AA700&amp;"|DAR")),(IF(ISBLANK('Ingest Template'!AA700),"", 'Ingest Template'!AA700&amp;"|Film Ops")))</f>
        <v/>
      </c>
      <c r="AA700" s="21"/>
      <c r="AB700" s="21" t="str">
        <f>'Ingest Template'!M700</f>
        <v/>
      </c>
      <c r="AC700" s="21" t="str">
        <f>'Ingest Template'!Y700</f>
        <v/>
      </c>
      <c r="AD700" s="21" t="str">
        <f>'Ingest Template'!C700</f>
        <v/>
      </c>
      <c r="AE700" s="21" t="str">
        <f>'Ingest Template'!Z700</f>
        <v/>
      </c>
      <c r="AF700" s="29"/>
      <c r="AG700" s="21" t="str">
        <f t="array" ref="AG700">IF('Ingest Template'!A700="Standard",(CONCATENATE(IF(ISBLANK('Ingest Template'!O700),"", 'Ingest Template'!O700&amp;"|DAR"),CHAR(10), IF(ISBLANK('Ingest Template'!P700),"", 'Ingest Template'!P700&amp;"|DAR"),CHAR(10), IF(ISBLANK('Ingest Template'!Q700),"", 'Ingest Template'!Q700&amp;"|DAR"))),(CONCATENATE(IF(ISBLANK('Ingest Template'!O700),"", 'Ingest Template'!O700&amp;"|Operations - Core Title"),CHAR(10), IF(ISBLANK('Ingest Template'!P700),"", 'Ingest Template'!P700&amp;"|Operations - Core Title"),CHAR(10), IF(ISBLANK('Ingest Template'!Q700),"", 'Ingest Template'!Q700&amp;"|Operations - Core Title"))))</f>
        <v>#|Operations - Core Title
#|Operations - Core Title
</v>
      </c>
      <c r="AH700" s="21"/>
      <c r="AI700" s="21"/>
      <c r="AJ700" s="53" t="str">
        <f>if('Ingest Template'!A700="Standard",'Ingest Template'!N700&amp; "|DAR|DAR|2021-01-01",'Ingest Template'!N700&amp; "|Operations - Core Title|Operations - Core Title")</f>
        <v>#N/A</v>
      </c>
      <c r="AK700" s="53" t="str">
        <f>if('Ingest Template'!A700="Standard",'Ingest Template'!R700&amp; "|2021-01-01",'Ingest Template'!R700)</f>
        <v>#N/A</v>
      </c>
      <c r="AL700" s="21"/>
      <c r="AM700" s="21"/>
    </row>
    <row r="701">
      <c r="A701" s="21"/>
      <c r="B701" s="21" t="str">
        <f>'Ingest Template'!B701&amp;IF('Ingest Template'!A701 = "Standard", " - DAR","")</f>
        <v/>
      </c>
      <c r="C701" s="26" t="s">
        <v>109</v>
      </c>
      <c r="D701" s="29" t="str">
        <f t="array" ref="D701">CONCATENATE(INDEX(DropDown!$H$2:$H$10,MATCH(1,COUNTIF('Ingest Template'!F701,"*"&amp;DropDown!$H$2:$H$10&amp;"*"),0)),CHAR(10),'Ingest Template'!G701)</f>
        <v>#N/A</v>
      </c>
      <c r="E701" s="21" t="str">
        <f>CONCATENATE('Ingest Template'!H701,CHAR(10),'Ingest Template'!I701,CHAR(10),'Ingest Template'!J701)</f>
        <v>
</v>
      </c>
      <c r="F701" s="26" t="str">
        <f>'Ingest Template'!H701</f>
        <v/>
      </c>
      <c r="G701" s="21"/>
      <c r="H701" s="29"/>
      <c r="I701" s="21"/>
      <c r="J701" s="29" t="str">
        <f t="array" ref="J701">iF('Ingest Template'!A701="Standard","Pristine Brand",INDEX(DropDown!$M$2:$M$392,MATCH('Ingest Template'!E701,DropDown!$J$2:$J$392,0)))</f>
        <v>#N/A</v>
      </c>
      <c r="K701" s="21" t="str">
        <f>iF('Ingest Template'!A701="Standard",'Ingest Template'!K701&amp;CHAR(10)&amp;'Ingest Template'!L701,"Competitive View")</f>
        <v>Competitive View</v>
      </c>
      <c r="L701" s="29" t="s">
        <v>146</v>
      </c>
      <c r="M701" s="37" t="str">
        <f>'Ingest Template'!D701</f>
        <v/>
      </c>
      <c r="N701" s="21"/>
      <c r="O701" s="21"/>
      <c r="P701" s="21"/>
      <c r="Q701" s="21"/>
      <c r="R701" s="21" t="str">
        <f>'Ingest Template'!E701</f>
        <v/>
      </c>
      <c r="S701" s="29" t="s">
        <v>153</v>
      </c>
      <c r="T701" s="21" t="str">
        <f>'Ingest Template'!T701</f>
        <v/>
      </c>
      <c r="U701" s="21" t="str">
        <f>'Ingest Template'!S701</f>
        <v/>
      </c>
      <c r="V701" s="21" t="str">
        <f>LOWER(SUBSTITUTE(SUBSTITUTE(SUBSTITUTE(SUBSTITUTE(SUBSTITUTE('Ingest Template'!U701,"https:",""),"www.",""),"/",""),"?hl=en",""),"instagram.com",""))</f>
        <v/>
      </c>
      <c r="W701" s="41" t="str">
        <f t="array" ref="W701">IF('Ingest Template'!V701="",(INDEX(DropDown!$L$2:$L$392,MATCH('Ingest Template'!E701,DropDown!$J$2:$J$392,0))&amp;"|"&amp;'Ingest Template'!B701),(INDEX(DropDown!$L$2:$L$392,MATCH('Ingest Template'!E701,DropDown!$J$2:$J$392,0))&amp;"|"&amp;'Ingest Template'!B701)&amp;CHAR(10)&amp;'Ingest Template'!V701)</f>
        <v>#N/A</v>
      </c>
      <c r="X701" s="41" t="str">
        <f>'Ingest Template'!W701</f>
        <v/>
      </c>
      <c r="Y701" s="21" t="str">
        <f>SUBSTITUTE(SUBSTITUTE(SUBSTITUTE('Ingest Template'!X701,"http:",""),"https:",""),"/","")</f>
        <v/>
      </c>
      <c r="Z701" s="21" t="str">
        <f t="array" ref="Z701">IF('Ingest Template'!A701="Standard",(IF(ISBLANK('Ingest Template'!AA701),"", 'Ingest Template'!AA701&amp;"|DAR")),(IF(ISBLANK('Ingest Template'!AA701),"", 'Ingest Template'!AA701&amp;"|Film Ops")))</f>
        <v/>
      </c>
      <c r="AA701" s="21"/>
      <c r="AB701" s="21" t="str">
        <f>'Ingest Template'!M701</f>
        <v/>
      </c>
      <c r="AC701" s="21" t="str">
        <f>'Ingest Template'!Y701</f>
        <v/>
      </c>
      <c r="AD701" s="21" t="str">
        <f>'Ingest Template'!C701</f>
        <v/>
      </c>
      <c r="AE701" s="21" t="str">
        <f>'Ingest Template'!Z701</f>
        <v/>
      </c>
      <c r="AF701" s="29"/>
      <c r="AG701" s="21" t="str">
        <f t="array" ref="AG701">IF('Ingest Template'!A701="Standard",(CONCATENATE(IF(ISBLANK('Ingest Template'!O701),"", 'Ingest Template'!O701&amp;"|DAR"),CHAR(10), IF(ISBLANK('Ingest Template'!P701),"", 'Ingest Template'!P701&amp;"|DAR"),CHAR(10), IF(ISBLANK('Ingest Template'!Q701),"", 'Ingest Template'!Q701&amp;"|DAR"))),(CONCATENATE(IF(ISBLANK('Ingest Template'!O701),"", 'Ingest Template'!O701&amp;"|Operations - Core Title"),CHAR(10), IF(ISBLANK('Ingest Template'!P701),"", 'Ingest Template'!P701&amp;"|Operations - Core Title"),CHAR(10), IF(ISBLANK('Ingest Template'!Q701),"", 'Ingest Template'!Q701&amp;"|Operations - Core Title"))))</f>
        <v>#|Operations - Core Title
#|Operations - Core Title
</v>
      </c>
      <c r="AH701" s="21"/>
      <c r="AI701" s="21"/>
      <c r="AJ701" s="53" t="str">
        <f>if('Ingest Template'!A701="Standard",'Ingest Template'!N701&amp; "|DAR|DAR|2021-01-01",'Ingest Template'!N701&amp; "|Operations - Core Title|Operations - Core Title")</f>
        <v>#N/A</v>
      </c>
      <c r="AK701" s="53" t="str">
        <f>if('Ingest Template'!A701="Standard",'Ingest Template'!R701&amp; "|2021-01-01",'Ingest Template'!R701)</f>
        <v>#N/A</v>
      </c>
      <c r="AL701" s="21"/>
      <c r="AM701" s="21"/>
    </row>
    <row r="702">
      <c r="A702" s="21"/>
      <c r="B702" s="21" t="str">
        <f>'Ingest Template'!B702&amp;IF('Ingest Template'!A702 = "Standard", " - DAR","")</f>
        <v/>
      </c>
      <c r="C702" s="26" t="s">
        <v>109</v>
      </c>
      <c r="D702" s="29" t="str">
        <f t="array" ref="D702">CONCATENATE(INDEX(DropDown!$H$2:$H$10,MATCH(1,COUNTIF('Ingest Template'!F702,"*"&amp;DropDown!$H$2:$H$10&amp;"*"),0)),CHAR(10),'Ingest Template'!G702)</f>
        <v>#N/A</v>
      </c>
      <c r="E702" s="21" t="str">
        <f>CONCATENATE('Ingest Template'!H702,CHAR(10),'Ingest Template'!I702,CHAR(10),'Ingest Template'!J702)</f>
        <v>
</v>
      </c>
      <c r="F702" s="26" t="str">
        <f>'Ingest Template'!H702</f>
        <v/>
      </c>
      <c r="G702" s="21"/>
      <c r="H702" s="29"/>
      <c r="I702" s="21"/>
      <c r="J702" s="29" t="str">
        <f t="array" ref="J702">iF('Ingest Template'!A702="Standard","Pristine Brand",INDEX(DropDown!$M$2:$M$392,MATCH('Ingest Template'!E702,DropDown!$J$2:$J$392,0)))</f>
        <v>#N/A</v>
      </c>
      <c r="K702" s="21" t="str">
        <f>iF('Ingest Template'!A702="Standard",'Ingest Template'!K702&amp;CHAR(10)&amp;'Ingest Template'!L702,"Competitive View")</f>
        <v>Competitive View</v>
      </c>
      <c r="L702" s="29" t="s">
        <v>146</v>
      </c>
      <c r="M702" s="37" t="str">
        <f>'Ingest Template'!D702</f>
        <v/>
      </c>
      <c r="N702" s="21"/>
      <c r="O702" s="21"/>
      <c r="P702" s="21"/>
      <c r="Q702" s="21"/>
      <c r="R702" s="21" t="str">
        <f>'Ingest Template'!E702</f>
        <v/>
      </c>
      <c r="S702" s="29" t="s">
        <v>153</v>
      </c>
      <c r="T702" s="21" t="str">
        <f>'Ingest Template'!T702</f>
        <v/>
      </c>
      <c r="U702" s="21" t="str">
        <f>'Ingest Template'!S702</f>
        <v/>
      </c>
      <c r="V702" s="21" t="str">
        <f>LOWER(SUBSTITUTE(SUBSTITUTE(SUBSTITUTE(SUBSTITUTE(SUBSTITUTE('Ingest Template'!U702,"https:",""),"www.",""),"/",""),"?hl=en",""),"instagram.com",""))</f>
        <v/>
      </c>
      <c r="W702" s="41" t="str">
        <f t="array" ref="W702">IF('Ingest Template'!V702="",(INDEX(DropDown!$L$2:$L$392,MATCH('Ingest Template'!E702,DropDown!$J$2:$J$392,0))&amp;"|"&amp;'Ingest Template'!B702),(INDEX(DropDown!$L$2:$L$392,MATCH('Ingest Template'!E702,DropDown!$J$2:$J$392,0))&amp;"|"&amp;'Ingest Template'!B702)&amp;CHAR(10)&amp;'Ingest Template'!V702)</f>
        <v>#N/A</v>
      </c>
      <c r="X702" s="41" t="str">
        <f>'Ingest Template'!W702</f>
        <v/>
      </c>
      <c r="Y702" s="21" t="str">
        <f>SUBSTITUTE(SUBSTITUTE(SUBSTITUTE('Ingest Template'!X702,"http:",""),"https:",""),"/","")</f>
        <v/>
      </c>
      <c r="Z702" s="21" t="str">
        <f t="array" ref="Z702">IF('Ingest Template'!A702="Standard",(IF(ISBLANK('Ingest Template'!AA702),"", 'Ingest Template'!AA702&amp;"|DAR")),(IF(ISBLANK('Ingest Template'!AA702),"", 'Ingest Template'!AA702&amp;"|Film Ops")))</f>
        <v/>
      </c>
      <c r="AA702" s="21"/>
      <c r="AB702" s="21" t="str">
        <f>'Ingest Template'!M702</f>
        <v/>
      </c>
      <c r="AC702" s="21" t="str">
        <f>'Ingest Template'!Y702</f>
        <v/>
      </c>
      <c r="AD702" s="21" t="str">
        <f>'Ingest Template'!C702</f>
        <v/>
      </c>
      <c r="AE702" s="21" t="str">
        <f>'Ingest Template'!Z702</f>
        <v/>
      </c>
      <c r="AF702" s="29"/>
      <c r="AG702" s="21" t="str">
        <f t="array" ref="AG702">IF('Ingest Template'!A702="Standard",(CONCATENATE(IF(ISBLANK('Ingest Template'!O702),"", 'Ingest Template'!O702&amp;"|DAR"),CHAR(10), IF(ISBLANK('Ingest Template'!P702),"", 'Ingest Template'!P702&amp;"|DAR"),CHAR(10), IF(ISBLANK('Ingest Template'!Q702),"", 'Ingest Template'!Q702&amp;"|DAR"))),(CONCATENATE(IF(ISBLANK('Ingest Template'!O702),"", 'Ingest Template'!O702&amp;"|Operations - Core Title"),CHAR(10), IF(ISBLANK('Ingest Template'!P702),"", 'Ingest Template'!P702&amp;"|Operations - Core Title"),CHAR(10), IF(ISBLANK('Ingest Template'!Q702),"", 'Ingest Template'!Q702&amp;"|Operations - Core Title"))))</f>
        <v>#|Operations - Core Title
#|Operations - Core Title
</v>
      </c>
      <c r="AH702" s="21"/>
      <c r="AI702" s="21"/>
      <c r="AJ702" s="53" t="str">
        <f>if('Ingest Template'!A702="Standard",'Ingest Template'!N702&amp; "|DAR|DAR|2021-01-01",'Ingest Template'!N702&amp; "|Operations - Core Title|Operations - Core Title")</f>
        <v>#N/A</v>
      </c>
      <c r="AK702" s="53" t="str">
        <f>if('Ingest Template'!A702="Standard",'Ingest Template'!R702&amp; "|2021-01-01",'Ingest Template'!R702)</f>
        <v>#N/A</v>
      </c>
      <c r="AL702" s="21"/>
      <c r="AM702" s="21"/>
    </row>
    <row r="703">
      <c r="A703" s="21"/>
      <c r="B703" s="21" t="str">
        <f>'Ingest Template'!B703&amp;IF('Ingest Template'!A703 = "Standard", " - DAR","")</f>
        <v/>
      </c>
      <c r="C703" s="26" t="s">
        <v>109</v>
      </c>
      <c r="D703" s="29" t="str">
        <f t="array" ref="D703">CONCATENATE(INDEX(DropDown!$H$2:$H$10,MATCH(1,COUNTIF('Ingest Template'!F703,"*"&amp;DropDown!$H$2:$H$10&amp;"*"),0)),CHAR(10),'Ingest Template'!G703)</f>
        <v>#N/A</v>
      </c>
      <c r="E703" s="21" t="str">
        <f>CONCATENATE('Ingest Template'!H703,CHAR(10),'Ingest Template'!I703,CHAR(10),'Ingest Template'!J703)</f>
        <v>
</v>
      </c>
      <c r="F703" s="26" t="str">
        <f>'Ingest Template'!H703</f>
        <v/>
      </c>
      <c r="G703" s="21"/>
      <c r="H703" s="29"/>
      <c r="I703" s="21"/>
      <c r="J703" s="29" t="str">
        <f t="array" ref="J703">iF('Ingest Template'!A703="Standard","Pristine Brand",INDEX(DropDown!$M$2:$M$392,MATCH('Ingest Template'!E703,DropDown!$J$2:$J$392,0)))</f>
        <v>#N/A</v>
      </c>
      <c r="K703" s="21" t="str">
        <f>iF('Ingest Template'!A703="Standard",'Ingest Template'!K703&amp;CHAR(10)&amp;'Ingest Template'!L703,"Competitive View")</f>
        <v>Competitive View</v>
      </c>
      <c r="L703" s="29" t="s">
        <v>146</v>
      </c>
      <c r="M703" s="37" t="str">
        <f>'Ingest Template'!D703</f>
        <v/>
      </c>
      <c r="N703" s="21"/>
      <c r="O703" s="21"/>
      <c r="P703" s="21"/>
      <c r="Q703" s="21"/>
      <c r="R703" s="21" t="str">
        <f>'Ingest Template'!E703</f>
        <v/>
      </c>
      <c r="S703" s="29" t="s">
        <v>153</v>
      </c>
      <c r="T703" s="21" t="str">
        <f>'Ingest Template'!T703</f>
        <v/>
      </c>
      <c r="U703" s="21" t="str">
        <f>'Ingest Template'!S703</f>
        <v/>
      </c>
      <c r="V703" s="21" t="str">
        <f>LOWER(SUBSTITUTE(SUBSTITUTE(SUBSTITUTE(SUBSTITUTE(SUBSTITUTE('Ingest Template'!U703,"https:",""),"www.",""),"/",""),"?hl=en",""),"instagram.com",""))</f>
        <v/>
      </c>
      <c r="W703" s="41" t="str">
        <f t="array" ref="W703">IF('Ingest Template'!V703="",(INDEX(DropDown!$L$2:$L$392,MATCH('Ingest Template'!E703,DropDown!$J$2:$J$392,0))&amp;"|"&amp;'Ingest Template'!B703),(INDEX(DropDown!$L$2:$L$392,MATCH('Ingest Template'!E703,DropDown!$J$2:$J$392,0))&amp;"|"&amp;'Ingest Template'!B703)&amp;CHAR(10)&amp;'Ingest Template'!V703)</f>
        <v>#N/A</v>
      </c>
      <c r="X703" s="41" t="str">
        <f>'Ingest Template'!W703</f>
        <v/>
      </c>
      <c r="Y703" s="21" t="str">
        <f>SUBSTITUTE(SUBSTITUTE(SUBSTITUTE('Ingest Template'!X703,"http:",""),"https:",""),"/","")</f>
        <v/>
      </c>
      <c r="Z703" s="21" t="str">
        <f t="array" ref="Z703">IF('Ingest Template'!A703="Standard",(IF(ISBLANK('Ingest Template'!AA703),"", 'Ingest Template'!AA703&amp;"|DAR")),(IF(ISBLANK('Ingest Template'!AA703),"", 'Ingest Template'!AA703&amp;"|Film Ops")))</f>
        <v/>
      </c>
      <c r="AA703" s="21"/>
      <c r="AB703" s="21" t="str">
        <f>'Ingest Template'!M703</f>
        <v/>
      </c>
      <c r="AC703" s="21" t="str">
        <f>'Ingest Template'!Y703</f>
        <v/>
      </c>
      <c r="AD703" s="21" t="str">
        <f>'Ingest Template'!C703</f>
        <v/>
      </c>
      <c r="AE703" s="21" t="str">
        <f>'Ingest Template'!Z703</f>
        <v/>
      </c>
      <c r="AF703" s="29"/>
      <c r="AG703" s="21" t="str">
        <f t="array" ref="AG703">IF('Ingest Template'!A703="Standard",(CONCATENATE(IF(ISBLANK('Ingest Template'!O703),"", 'Ingest Template'!O703&amp;"|DAR"),CHAR(10), IF(ISBLANK('Ingest Template'!P703),"", 'Ingest Template'!P703&amp;"|DAR"),CHAR(10), IF(ISBLANK('Ingest Template'!Q703),"", 'Ingest Template'!Q703&amp;"|DAR"))),(CONCATENATE(IF(ISBLANK('Ingest Template'!O703),"", 'Ingest Template'!O703&amp;"|Operations - Core Title"),CHAR(10), IF(ISBLANK('Ingest Template'!P703),"", 'Ingest Template'!P703&amp;"|Operations - Core Title"),CHAR(10), IF(ISBLANK('Ingest Template'!Q703),"", 'Ingest Template'!Q703&amp;"|Operations - Core Title"))))</f>
        <v>#|Operations - Core Title
#|Operations - Core Title
</v>
      </c>
      <c r="AH703" s="21"/>
      <c r="AI703" s="21"/>
      <c r="AJ703" s="53" t="str">
        <f>if('Ingest Template'!A703="Standard",'Ingest Template'!N703&amp; "|DAR|DAR|2021-01-01",'Ingest Template'!N703&amp; "|Operations - Core Title|Operations - Core Title")</f>
        <v>#N/A</v>
      </c>
      <c r="AK703" s="53" t="str">
        <f>if('Ingest Template'!A703="Standard",'Ingest Template'!R703&amp; "|2021-01-01",'Ingest Template'!R703)</f>
        <v>#N/A</v>
      </c>
      <c r="AL703" s="21"/>
      <c r="AM703" s="21"/>
    </row>
    <row r="704">
      <c r="A704" s="21"/>
      <c r="B704" s="21" t="str">
        <f>'Ingest Template'!B704&amp;IF('Ingest Template'!A704 = "Standard", " - DAR","")</f>
        <v/>
      </c>
      <c r="C704" s="26" t="s">
        <v>109</v>
      </c>
      <c r="D704" s="29" t="str">
        <f t="array" ref="D704">CONCATENATE(INDEX(DropDown!$H$2:$H$10,MATCH(1,COUNTIF('Ingest Template'!F704,"*"&amp;DropDown!$H$2:$H$10&amp;"*"),0)),CHAR(10),'Ingest Template'!G704)</f>
        <v>#N/A</v>
      </c>
      <c r="E704" s="21" t="str">
        <f>CONCATENATE('Ingest Template'!H704,CHAR(10),'Ingest Template'!I704,CHAR(10),'Ingest Template'!J704)</f>
        <v>
</v>
      </c>
      <c r="F704" s="26" t="str">
        <f>'Ingest Template'!H704</f>
        <v/>
      </c>
      <c r="G704" s="21"/>
      <c r="H704" s="29"/>
      <c r="I704" s="21"/>
      <c r="J704" s="29" t="str">
        <f t="array" ref="J704">iF('Ingest Template'!A704="Standard","Pristine Brand",INDEX(DropDown!$M$2:$M$392,MATCH('Ingest Template'!E704,DropDown!$J$2:$J$392,0)))</f>
        <v>#N/A</v>
      </c>
      <c r="K704" s="21" t="str">
        <f>iF('Ingest Template'!A704="Standard",'Ingest Template'!K704&amp;CHAR(10)&amp;'Ingest Template'!L704,"Competitive View")</f>
        <v>Competitive View</v>
      </c>
      <c r="L704" s="29" t="s">
        <v>146</v>
      </c>
      <c r="M704" s="37" t="str">
        <f>'Ingest Template'!D704</f>
        <v/>
      </c>
      <c r="N704" s="21"/>
      <c r="O704" s="21"/>
      <c r="P704" s="21"/>
      <c r="Q704" s="21"/>
      <c r="R704" s="21" t="str">
        <f>'Ingest Template'!E704</f>
        <v/>
      </c>
      <c r="S704" s="29" t="s">
        <v>153</v>
      </c>
      <c r="T704" s="21" t="str">
        <f>'Ingest Template'!T704</f>
        <v/>
      </c>
      <c r="U704" s="21" t="str">
        <f>'Ingest Template'!S704</f>
        <v/>
      </c>
      <c r="V704" s="21" t="str">
        <f>LOWER(SUBSTITUTE(SUBSTITUTE(SUBSTITUTE(SUBSTITUTE(SUBSTITUTE('Ingest Template'!U704,"https:",""),"www.",""),"/",""),"?hl=en",""),"instagram.com",""))</f>
        <v/>
      </c>
      <c r="W704" s="41" t="str">
        <f t="array" ref="W704">IF('Ingest Template'!V704="",(INDEX(DropDown!$L$2:$L$392,MATCH('Ingest Template'!E704,DropDown!$J$2:$J$392,0))&amp;"|"&amp;'Ingest Template'!B704),(INDEX(DropDown!$L$2:$L$392,MATCH('Ingest Template'!E704,DropDown!$J$2:$J$392,0))&amp;"|"&amp;'Ingest Template'!B704)&amp;CHAR(10)&amp;'Ingest Template'!V704)</f>
        <v>#N/A</v>
      </c>
      <c r="X704" s="41" t="str">
        <f>'Ingest Template'!W704</f>
        <v/>
      </c>
      <c r="Y704" s="21" t="str">
        <f>SUBSTITUTE(SUBSTITUTE(SUBSTITUTE('Ingest Template'!X704,"http:",""),"https:",""),"/","")</f>
        <v/>
      </c>
      <c r="Z704" s="21" t="str">
        <f t="array" ref="Z704">IF('Ingest Template'!A704="Standard",(IF(ISBLANK('Ingest Template'!AA704),"", 'Ingest Template'!AA704&amp;"|DAR")),(IF(ISBLANK('Ingest Template'!AA704),"", 'Ingest Template'!AA704&amp;"|Film Ops")))</f>
        <v/>
      </c>
      <c r="AA704" s="21"/>
      <c r="AB704" s="21" t="str">
        <f>'Ingest Template'!M704</f>
        <v/>
      </c>
      <c r="AC704" s="21" t="str">
        <f>'Ingest Template'!Y704</f>
        <v/>
      </c>
      <c r="AD704" s="21" t="str">
        <f>'Ingest Template'!C704</f>
        <v/>
      </c>
      <c r="AE704" s="21" t="str">
        <f>'Ingest Template'!Z704</f>
        <v/>
      </c>
      <c r="AF704" s="29"/>
      <c r="AG704" s="21" t="str">
        <f t="array" ref="AG704">IF('Ingest Template'!A704="Standard",(CONCATENATE(IF(ISBLANK('Ingest Template'!O704),"", 'Ingest Template'!O704&amp;"|DAR"),CHAR(10), IF(ISBLANK('Ingest Template'!P704),"", 'Ingest Template'!P704&amp;"|DAR"),CHAR(10), IF(ISBLANK('Ingest Template'!Q704),"", 'Ingest Template'!Q704&amp;"|DAR"))),(CONCATENATE(IF(ISBLANK('Ingest Template'!O704),"", 'Ingest Template'!O704&amp;"|Operations - Core Title"),CHAR(10), IF(ISBLANK('Ingest Template'!P704),"", 'Ingest Template'!P704&amp;"|Operations - Core Title"),CHAR(10), IF(ISBLANK('Ingest Template'!Q704),"", 'Ingest Template'!Q704&amp;"|Operations - Core Title"))))</f>
        <v>#|Operations - Core Title
#|Operations - Core Title
</v>
      </c>
      <c r="AH704" s="21"/>
      <c r="AI704" s="21"/>
      <c r="AJ704" s="53" t="str">
        <f>if('Ingest Template'!A704="Standard",'Ingest Template'!N704&amp; "|DAR|DAR|2021-01-01",'Ingest Template'!N704&amp; "|Operations - Core Title|Operations - Core Title")</f>
        <v>#N/A</v>
      </c>
      <c r="AK704" s="53" t="str">
        <f>if('Ingest Template'!A704="Standard",'Ingest Template'!R704&amp; "|2021-01-01",'Ingest Template'!R704)</f>
        <v>#N/A</v>
      </c>
      <c r="AL704" s="21"/>
      <c r="AM704" s="21"/>
    </row>
    <row r="705">
      <c r="A705" s="21"/>
      <c r="B705" s="21" t="str">
        <f>'Ingest Template'!B705&amp;IF('Ingest Template'!A705 = "Standard", " - DAR","")</f>
        <v/>
      </c>
      <c r="C705" s="26" t="s">
        <v>109</v>
      </c>
      <c r="D705" s="29" t="str">
        <f t="array" ref="D705">CONCATENATE(INDEX(DropDown!$H$2:$H$10,MATCH(1,COUNTIF('Ingest Template'!F705,"*"&amp;DropDown!$H$2:$H$10&amp;"*"),0)),CHAR(10),'Ingest Template'!G705)</f>
        <v>#N/A</v>
      </c>
      <c r="E705" s="21" t="str">
        <f>CONCATENATE('Ingest Template'!H705,CHAR(10),'Ingest Template'!I705,CHAR(10),'Ingest Template'!J705)</f>
        <v>
</v>
      </c>
      <c r="F705" s="26" t="str">
        <f>'Ingest Template'!H705</f>
        <v/>
      </c>
      <c r="G705" s="21"/>
      <c r="H705" s="29"/>
      <c r="I705" s="21"/>
      <c r="J705" s="29" t="str">
        <f t="array" ref="J705">iF('Ingest Template'!A705="Standard","Pristine Brand",INDEX(DropDown!$M$2:$M$392,MATCH('Ingest Template'!E705,DropDown!$J$2:$J$392,0)))</f>
        <v>#N/A</v>
      </c>
      <c r="K705" s="21" t="str">
        <f>iF('Ingest Template'!A705="Standard",'Ingest Template'!K705&amp;CHAR(10)&amp;'Ingest Template'!L705,"Competitive View")</f>
        <v>Competitive View</v>
      </c>
      <c r="L705" s="29" t="s">
        <v>146</v>
      </c>
      <c r="M705" s="37" t="str">
        <f>'Ingest Template'!D705</f>
        <v/>
      </c>
      <c r="N705" s="21"/>
      <c r="O705" s="21"/>
      <c r="P705" s="21"/>
      <c r="Q705" s="21"/>
      <c r="R705" s="21" t="str">
        <f>'Ingest Template'!E705</f>
        <v/>
      </c>
      <c r="S705" s="29" t="s">
        <v>153</v>
      </c>
      <c r="T705" s="21" t="str">
        <f>'Ingest Template'!T705</f>
        <v/>
      </c>
      <c r="U705" s="21" t="str">
        <f>'Ingest Template'!S705</f>
        <v/>
      </c>
      <c r="V705" s="21" t="str">
        <f>LOWER(SUBSTITUTE(SUBSTITUTE(SUBSTITUTE(SUBSTITUTE(SUBSTITUTE('Ingest Template'!U705,"https:",""),"www.",""),"/",""),"?hl=en",""),"instagram.com",""))</f>
        <v/>
      </c>
      <c r="W705" s="41" t="str">
        <f t="array" ref="W705">IF('Ingest Template'!V705="",(INDEX(DropDown!$L$2:$L$392,MATCH('Ingest Template'!E705,DropDown!$J$2:$J$392,0))&amp;"|"&amp;'Ingest Template'!B705),(INDEX(DropDown!$L$2:$L$392,MATCH('Ingest Template'!E705,DropDown!$J$2:$J$392,0))&amp;"|"&amp;'Ingest Template'!B705)&amp;CHAR(10)&amp;'Ingest Template'!V705)</f>
        <v>#N/A</v>
      </c>
      <c r="X705" s="41" t="str">
        <f>'Ingest Template'!W705</f>
        <v/>
      </c>
      <c r="Y705" s="21" t="str">
        <f>SUBSTITUTE(SUBSTITUTE(SUBSTITUTE('Ingest Template'!X705,"http:",""),"https:",""),"/","")</f>
        <v/>
      </c>
      <c r="Z705" s="21" t="str">
        <f t="array" ref="Z705">IF('Ingest Template'!A705="Standard",(IF(ISBLANK('Ingest Template'!AA705),"", 'Ingest Template'!AA705&amp;"|DAR")),(IF(ISBLANK('Ingest Template'!AA705),"", 'Ingest Template'!AA705&amp;"|Film Ops")))</f>
        <v/>
      </c>
      <c r="AA705" s="21"/>
      <c r="AB705" s="21" t="str">
        <f>'Ingest Template'!M705</f>
        <v/>
      </c>
      <c r="AC705" s="21" t="str">
        <f>'Ingest Template'!Y705</f>
        <v/>
      </c>
      <c r="AD705" s="21" t="str">
        <f>'Ingest Template'!C705</f>
        <v/>
      </c>
      <c r="AE705" s="21" t="str">
        <f>'Ingest Template'!Z705</f>
        <v/>
      </c>
      <c r="AF705" s="29"/>
      <c r="AG705" s="21" t="str">
        <f t="array" ref="AG705">IF('Ingest Template'!A705="Standard",(CONCATENATE(IF(ISBLANK('Ingest Template'!O705),"", 'Ingest Template'!O705&amp;"|DAR"),CHAR(10), IF(ISBLANK('Ingest Template'!P705),"", 'Ingest Template'!P705&amp;"|DAR"),CHAR(10), IF(ISBLANK('Ingest Template'!Q705),"", 'Ingest Template'!Q705&amp;"|DAR"))),(CONCATENATE(IF(ISBLANK('Ingest Template'!O705),"", 'Ingest Template'!O705&amp;"|Operations - Core Title"),CHAR(10), IF(ISBLANK('Ingest Template'!P705),"", 'Ingest Template'!P705&amp;"|Operations - Core Title"),CHAR(10), IF(ISBLANK('Ingest Template'!Q705),"", 'Ingest Template'!Q705&amp;"|Operations - Core Title"))))</f>
        <v>#|Operations - Core Title
#|Operations - Core Title
</v>
      </c>
      <c r="AH705" s="21"/>
      <c r="AI705" s="21"/>
      <c r="AJ705" s="53" t="str">
        <f>if('Ingest Template'!A705="Standard",'Ingest Template'!N705&amp; "|DAR|DAR|2021-01-01",'Ingest Template'!N705&amp; "|Operations - Core Title|Operations - Core Title")</f>
        <v>#N/A</v>
      </c>
      <c r="AK705" s="53" t="str">
        <f>if('Ingest Template'!A705="Standard",'Ingest Template'!R705&amp; "|2021-01-01",'Ingest Template'!R705)</f>
        <v>#N/A</v>
      </c>
      <c r="AL705" s="21"/>
      <c r="AM705" s="21"/>
    </row>
    <row r="706">
      <c r="A706" s="21"/>
      <c r="B706" s="21" t="str">
        <f>'Ingest Template'!B706&amp;IF('Ingest Template'!A706 = "Standard", " - DAR","")</f>
        <v/>
      </c>
      <c r="C706" s="26" t="s">
        <v>109</v>
      </c>
      <c r="D706" s="29" t="str">
        <f t="array" ref="D706">CONCATENATE(INDEX(DropDown!$H$2:$H$10,MATCH(1,COUNTIF('Ingest Template'!F706,"*"&amp;DropDown!$H$2:$H$10&amp;"*"),0)),CHAR(10),'Ingest Template'!G706)</f>
        <v>#N/A</v>
      </c>
      <c r="E706" s="21" t="str">
        <f>CONCATENATE('Ingest Template'!H706,CHAR(10),'Ingest Template'!I706,CHAR(10),'Ingest Template'!J706)</f>
        <v>
</v>
      </c>
      <c r="F706" s="26" t="str">
        <f>'Ingest Template'!H706</f>
        <v/>
      </c>
      <c r="G706" s="21"/>
      <c r="H706" s="29"/>
      <c r="I706" s="21"/>
      <c r="J706" s="29" t="str">
        <f t="array" ref="J706">iF('Ingest Template'!A706="Standard","Pristine Brand",INDEX(DropDown!$M$2:$M$392,MATCH('Ingest Template'!E706,DropDown!$J$2:$J$392,0)))</f>
        <v>#N/A</v>
      </c>
      <c r="K706" s="21" t="str">
        <f>iF('Ingest Template'!A706="Standard",'Ingest Template'!K706&amp;CHAR(10)&amp;'Ingest Template'!L706,"Competitive View")</f>
        <v>Competitive View</v>
      </c>
      <c r="L706" s="29" t="s">
        <v>146</v>
      </c>
      <c r="M706" s="37" t="str">
        <f>'Ingest Template'!D706</f>
        <v/>
      </c>
      <c r="N706" s="21"/>
      <c r="O706" s="21"/>
      <c r="P706" s="21"/>
      <c r="Q706" s="21"/>
      <c r="R706" s="21" t="str">
        <f>'Ingest Template'!E706</f>
        <v/>
      </c>
      <c r="S706" s="29" t="s">
        <v>153</v>
      </c>
      <c r="T706" s="21" t="str">
        <f>'Ingest Template'!T706</f>
        <v/>
      </c>
      <c r="U706" s="21" t="str">
        <f>'Ingest Template'!S706</f>
        <v/>
      </c>
      <c r="V706" s="21" t="str">
        <f>LOWER(SUBSTITUTE(SUBSTITUTE(SUBSTITUTE(SUBSTITUTE(SUBSTITUTE('Ingest Template'!U706,"https:",""),"www.",""),"/",""),"?hl=en",""),"instagram.com",""))</f>
        <v/>
      </c>
      <c r="W706" s="41" t="str">
        <f t="array" ref="W706">IF('Ingest Template'!V706="",(INDEX(DropDown!$L$2:$L$392,MATCH('Ingest Template'!E706,DropDown!$J$2:$J$392,0))&amp;"|"&amp;'Ingest Template'!B706),(INDEX(DropDown!$L$2:$L$392,MATCH('Ingest Template'!E706,DropDown!$J$2:$J$392,0))&amp;"|"&amp;'Ingest Template'!B706)&amp;CHAR(10)&amp;'Ingest Template'!V706)</f>
        <v>#N/A</v>
      </c>
      <c r="X706" s="41" t="str">
        <f>'Ingest Template'!W706</f>
        <v/>
      </c>
      <c r="Y706" s="21" t="str">
        <f>SUBSTITUTE(SUBSTITUTE(SUBSTITUTE('Ingest Template'!X706,"http:",""),"https:",""),"/","")</f>
        <v/>
      </c>
      <c r="Z706" s="21" t="str">
        <f t="array" ref="Z706">IF('Ingest Template'!A706="Standard",(IF(ISBLANK('Ingest Template'!AA706),"", 'Ingest Template'!AA706&amp;"|DAR")),(IF(ISBLANK('Ingest Template'!AA706),"", 'Ingest Template'!AA706&amp;"|Film Ops")))</f>
        <v/>
      </c>
      <c r="AA706" s="21"/>
      <c r="AB706" s="21" t="str">
        <f>'Ingest Template'!M706</f>
        <v/>
      </c>
      <c r="AC706" s="21" t="str">
        <f>'Ingest Template'!Y706</f>
        <v/>
      </c>
      <c r="AD706" s="21" t="str">
        <f>'Ingest Template'!C706</f>
        <v/>
      </c>
      <c r="AE706" s="21" t="str">
        <f>'Ingest Template'!Z706</f>
        <v/>
      </c>
      <c r="AF706" s="29"/>
      <c r="AG706" s="21" t="str">
        <f t="array" ref="AG706">IF('Ingest Template'!A706="Standard",(CONCATENATE(IF(ISBLANK('Ingest Template'!O706),"", 'Ingest Template'!O706&amp;"|DAR"),CHAR(10), IF(ISBLANK('Ingest Template'!P706),"", 'Ingest Template'!P706&amp;"|DAR"),CHAR(10), IF(ISBLANK('Ingest Template'!Q706),"", 'Ingest Template'!Q706&amp;"|DAR"))),(CONCATENATE(IF(ISBLANK('Ingest Template'!O706),"", 'Ingest Template'!O706&amp;"|Operations - Core Title"),CHAR(10), IF(ISBLANK('Ingest Template'!P706),"", 'Ingest Template'!P706&amp;"|Operations - Core Title"),CHAR(10), IF(ISBLANK('Ingest Template'!Q706),"", 'Ingest Template'!Q706&amp;"|Operations - Core Title"))))</f>
        <v>#|Operations - Core Title
#|Operations - Core Title
</v>
      </c>
      <c r="AH706" s="21"/>
      <c r="AI706" s="21"/>
      <c r="AJ706" s="53" t="str">
        <f>if('Ingest Template'!A706="Standard",'Ingest Template'!N706&amp; "|DAR|DAR|2021-01-01",'Ingest Template'!N706&amp; "|Operations - Core Title|Operations - Core Title")</f>
        <v>#N/A</v>
      </c>
      <c r="AK706" s="53" t="str">
        <f>if('Ingest Template'!A706="Standard",'Ingest Template'!R706&amp; "|2021-01-01",'Ingest Template'!R706)</f>
        <v>#N/A</v>
      </c>
      <c r="AL706" s="21"/>
      <c r="AM706" s="21"/>
    </row>
    <row r="707">
      <c r="A707" s="21"/>
      <c r="B707" s="21" t="str">
        <f>'Ingest Template'!B707&amp;IF('Ingest Template'!A707 = "Standard", " - DAR","")</f>
        <v/>
      </c>
      <c r="C707" s="26" t="s">
        <v>109</v>
      </c>
      <c r="D707" s="29" t="str">
        <f t="array" ref="D707">CONCATENATE(INDEX(DropDown!$H$2:$H$10,MATCH(1,COUNTIF('Ingest Template'!F707,"*"&amp;DropDown!$H$2:$H$10&amp;"*"),0)),CHAR(10),'Ingest Template'!G707)</f>
        <v>#N/A</v>
      </c>
      <c r="E707" s="21" t="str">
        <f>CONCATENATE('Ingest Template'!H707,CHAR(10),'Ingest Template'!I707,CHAR(10),'Ingest Template'!J707)</f>
        <v>
</v>
      </c>
      <c r="F707" s="26" t="str">
        <f>'Ingest Template'!H707</f>
        <v/>
      </c>
      <c r="G707" s="21"/>
      <c r="H707" s="29"/>
      <c r="I707" s="21"/>
      <c r="J707" s="29" t="str">
        <f t="array" ref="J707">iF('Ingest Template'!A707="Standard","Pristine Brand",INDEX(DropDown!$M$2:$M$392,MATCH('Ingest Template'!E707,DropDown!$J$2:$J$392,0)))</f>
        <v>#N/A</v>
      </c>
      <c r="K707" s="21" t="str">
        <f>iF('Ingest Template'!A707="Standard",'Ingest Template'!K707&amp;CHAR(10)&amp;'Ingest Template'!L707,"Competitive View")</f>
        <v>Competitive View</v>
      </c>
      <c r="L707" s="29" t="s">
        <v>146</v>
      </c>
      <c r="M707" s="37" t="str">
        <f>'Ingest Template'!D707</f>
        <v/>
      </c>
      <c r="N707" s="21"/>
      <c r="O707" s="21"/>
      <c r="P707" s="21"/>
      <c r="Q707" s="21"/>
      <c r="R707" s="21" t="str">
        <f>'Ingest Template'!E707</f>
        <v/>
      </c>
      <c r="S707" s="29" t="s">
        <v>153</v>
      </c>
      <c r="T707" s="21" t="str">
        <f>'Ingest Template'!T707</f>
        <v/>
      </c>
      <c r="U707" s="21" t="str">
        <f>'Ingest Template'!S707</f>
        <v/>
      </c>
      <c r="V707" s="21" t="str">
        <f>LOWER(SUBSTITUTE(SUBSTITUTE(SUBSTITUTE(SUBSTITUTE(SUBSTITUTE('Ingest Template'!U707,"https:",""),"www.",""),"/",""),"?hl=en",""),"instagram.com",""))</f>
        <v/>
      </c>
      <c r="W707" s="41" t="str">
        <f t="array" ref="W707">IF('Ingest Template'!V707="",(INDEX(DropDown!$L$2:$L$392,MATCH('Ingest Template'!E707,DropDown!$J$2:$J$392,0))&amp;"|"&amp;'Ingest Template'!B707),(INDEX(DropDown!$L$2:$L$392,MATCH('Ingest Template'!E707,DropDown!$J$2:$J$392,0))&amp;"|"&amp;'Ingest Template'!B707)&amp;CHAR(10)&amp;'Ingest Template'!V707)</f>
        <v>#N/A</v>
      </c>
      <c r="X707" s="41" t="str">
        <f>'Ingest Template'!W707</f>
        <v/>
      </c>
      <c r="Y707" s="21" t="str">
        <f>SUBSTITUTE(SUBSTITUTE(SUBSTITUTE('Ingest Template'!X707,"http:",""),"https:",""),"/","")</f>
        <v/>
      </c>
      <c r="Z707" s="21" t="str">
        <f t="array" ref="Z707">IF('Ingest Template'!A707="Standard",(IF(ISBLANK('Ingest Template'!AA707),"", 'Ingest Template'!AA707&amp;"|DAR")),(IF(ISBLANK('Ingest Template'!AA707),"", 'Ingest Template'!AA707&amp;"|Film Ops")))</f>
        <v/>
      </c>
      <c r="AA707" s="21"/>
      <c r="AB707" s="21" t="str">
        <f>'Ingest Template'!M707</f>
        <v/>
      </c>
      <c r="AC707" s="21" t="str">
        <f>'Ingest Template'!Y707</f>
        <v/>
      </c>
      <c r="AD707" s="21" t="str">
        <f>'Ingest Template'!C707</f>
        <v/>
      </c>
      <c r="AE707" s="21" t="str">
        <f>'Ingest Template'!Z707</f>
        <v/>
      </c>
      <c r="AF707" s="29"/>
      <c r="AG707" s="21" t="str">
        <f t="array" ref="AG707">IF('Ingest Template'!A707="Standard",(CONCATENATE(IF(ISBLANK('Ingest Template'!O707),"", 'Ingest Template'!O707&amp;"|DAR"),CHAR(10), IF(ISBLANK('Ingest Template'!P707),"", 'Ingest Template'!P707&amp;"|DAR"),CHAR(10), IF(ISBLANK('Ingest Template'!Q707),"", 'Ingest Template'!Q707&amp;"|DAR"))),(CONCATENATE(IF(ISBLANK('Ingest Template'!O707),"", 'Ingest Template'!O707&amp;"|Operations - Core Title"),CHAR(10), IF(ISBLANK('Ingest Template'!P707),"", 'Ingest Template'!P707&amp;"|Operations - Core Title"),CHAR(10), IF(ISBLANK('Ingest Template'!Q707),"", 'Ingest Template'!Q707&amp;"|Operations - Core Title"))))</f>
        <v>#|Operations - Core Title
#|Operations - Core Title
</v>
      </c>
      <c r="AH707" s="21"/>
      <c r="AI707" s="21"/>
      <c r="AJ707" s="53" t="str">
        <f>if('Ingest Template'!A707="Standard",'Ingest Template'!N707&amp; "|DAR|DAR|2021-01-01",'Ingest Template'!N707&amp; "|Operations - Core Title|Operations - Core Title")</f>
        <v>#N/A</v>
      </c>
      <c r="AK707" s="53" t="str">
        <f>if('Ingest Template'!A707="Standard",'Ingest Template'!R707&amp; "|2021-01-01",'Ingest Template'!R707)</f>
        <v>#N/A</v>
      </c>
      <c r="AL707" s="21"/>
      <c r="AM707" s="21"/>
    </row>
    <row r="708">
      <c r="A708" s="21"/>
      <c r="B708" s="21" t="str">
        <f>'Ingest Template'!B708&amp;IF('Ingest Template'!A708 = "Standard", " - DAR","")</f>
        <v/>
      </c>
      <c r="C708" s="26" t="s">
        <v>109</v>
      </c>
      <c r="D708" s="29" t="str">
        <f t="array" ref="D708">CONCATENATE(INDEX(DropDown!$H$2:$H$10,MATCH(1,COUNTIF('Ingest Template'!F708,"*"&amp;DropDown!$H$2:$H$10&amp;"*"),0)),CHAR(10),'Ingest Template'!G708)</f>
        <v>#N/A</v>
      </c>
      <c r="E708" s="21" t="str">
        <f>CONCATENATE('Ingest Template'!H708,CHAR(10),'Ingest Template'!I708,CHAR(10),'Ingest Template'!J708)</f>
        <v>
</v>
      </c>
      <c r="F708" s="26" t="str">
        <f>'Ingest Template'!H708</f>
        <v/>
      </c>
      <c r="G708" s="21"/>
      <c r="H708" s="29"/>
      <c r="I708" s="21"/>
      <c r="J708" s="29" t="str">
        <f t="array" ref="J708">iF('Ingest Template'!A708="Standard","Pristine Brand",INDEX(DropDown!$M$2:$M$392,MATCH('Ingest Template'!E708,DropDown!$J$2:$J$392,0)))</f>
        <v>#N/A</v>
      </c>
      <c r="K708" s="21" t="str">
        <f>iF('Ingest Template'!A708="Standard",'Ingest Template'!K708&amp;CHAR(10)&amp;'Ingest Template'!L708,"Competitive View")</f>
        <v>Competitive View</v>
      </c>
      <c r="L708" s="29" t="s">
        <v>146</v>
      </c>
      <c r="M708" s="37" t="str">
        <f>'Ingest Template'!D708</f>
        <v/>
      </c>
      <c r="N708" s="21"/>
      <c r="O708" s="21"/>
      <c r="P708" s="21"/>
      <c r="Q708" s="21"/>
      <c r="R708" s="21" t="str">
        <f>'Ingest Template'!E708</f>
        <v/>
      </c>
      <c r="S708" s="29" t="s">
        <v>153</v>
      </c>
      <c r="T708" s="21" t="str">
        <f>'Ingest Template'!T708</f>
        <v/>
      </c>
      <c r="U708" s="21" t="str">
        <f>'Ingest Template'!S708</f>
        <v/>
      </c>
      <c r="V708" s="21" t="str">
        <f>LOWER(SUBSTITUTE(SUBSTITUTE(SUBSTITUTE(SUBSTITUTE(SUBSTITUTE('Ingest Template'!U708,"https:",""),"www.",""),"/",""),"?hl=en",""),"instagram.com",""))</f>
        <v/>
      </c>
      <c r="W708" s="41" t="str">
        <f t="array" ref="W708">IF('Ingest Template'!V708="",(INDEX(DropDown!$L$2:$L$392,MATCH('Ingest Template'!E708,DropDown!$J$2:$J$392,0))&amp;"|"&amp;'Ingest Template'!B708),(INDEX(DropDown!$L$2:$L$392,MATCH('Ingest Template'!E708,DropDown!$J$2:$J$392,0))&amp;"|"&amp;'Ingest Template'!B708)&amp;CHAR(10)&amp;'Ingest Template'!V708)</f>
        <v>#N/A</v>
      </c>
      <c r="X708" s="41" t="str">
        <f>'Ingest Template'!W708</f>
        <v/>
      </c>
      <c r="Y708" s="21" t="str">
        <f>SUBSTITUTE(SUBSTITUTE(SUBSTITUTE('Ingest Template'!X708,"http:",""),"https:",""),"/","")</f>
        <v/>
      </c>
      <c r="Z708" s="21" t="str">
        <f t="array" ref="Z708">IF('Ingest Template'!A708="Standard",(IF(ISBLANK('Ingest Template'!AA708),"", 'Ingest Template'!AA708&amp;"|DAR")),(IF(ISBLANK('Ingest Template'!AA708),"", 'Ingest Template'!AA708&amp;"|Film Ops")))</f>
        <v/>
      </c>
      <c r="AA708" s="21"/>
      <c r="AB708" s="21" t="str">
        <f>'Ingest Template'!M708</f>
        <v/>
      </c>
      <c r="AC708" s="21" t="str">
        <f>'Ingest Template'!Y708</f>
        <v/>
      </c>
      <c r="AD708" s="21" t="str">
        <f>'Ingest Template'!C708</f>
        <v/>
      </c>
      <c r="AE708" s="21" t="str">
        <f>'Ingest Template'!Z708</f>
        <v/>
      </c>
      <c r="AF708" s="29"/>
      <c r="AG708" s="21" t="str">
        <f t="array" ref="AG708">IF('Ingest Template'!A708="Standard",(CONCATENATE(IF(ISBLANK('Ingest Template'!O708),"", 'Ingest Template'!O708&amp;"|DAR"),CHAR(10), IF(ISBLANK('Ingest Template'!P708),"", 'Ingest Template'!P708&amp;"|DAR"),CHAR(10), IF(ISBLANK('Ingest Template'!Q708),"", 'Ingest Template'!Q708&amp;"|DAR"))),(CONCATENATE(IF(ISBLANK('Ingest Template'!O708),"", 'Ingest Template'!O708&amp;"|Operations - Core Title"),CHAR(10), IF(ISBLANK('Ingest Template'!P708),"", 'Ingest Template'!P708&amp;"|Operations - Core Title"),CHAR(10), IF(ISBLANK('Ingest Template'!Q708),"", 'Ingest Template'!Q708&amp;"|Operations - Core Title"))))</f>
        <v>#|Operations - Core Title
#|Operations - Core Title
</v>
      </c>
      <c r="AH708" s="21"/>
      <c r="AI708" s="21"/>
      <c r="AJ708" s="53" t="str">
        <f>if('Ingest Template'!A708="Standard",'Ingest Template'!N708&amp; "|DAR|DAR|2021-01-01",'Ingest Template'!N708&amp; "|Operations - Core Title|Operations - Core Title")</f>
        <v>#N/A</v>
      </c>
      <c r="AK708" s="53" t="str">
        <f>if('Ingest Template'!A708="Standard",'Ingest Template'!R708&amp; "|2021-01-01",'Ingest Template'!R708)</f>
        <v>#N/A</v>
      </c>
      <c r="AL708" s="21"/>
      <c r="AM708" s="21"/>
    </row>
    <row r="709">
      <c r="A709" s="21"/>
      <c r="B709" s="21" t="str">
        <f>'Ingest Template'!B709&amp;IF('Ingest Template'!A709 = "Standard", " - DAR","")</f>
        <v/>
      </c>
      <c r="C709" s="26" t="s">
        <v>109</v>
      </c>
      <c r="D709" s="29" t="str">
        <f t="array" ref="D709">CONCATENATE(INDEX(DropDown!$H$2:$H$10,MATCH(1,COUNTIF('Ingest Template'!F709,"*"&amp;DropDown!$H$2:$H$10&amp;"*"),0)),CHAR(10),'Ingest Template'!G709)</f>
        <v>#N/A</v>
      </c>
      <c r="E709" s="21" t="str">
        <f>CONCATENATE('Ingest Template'!H709,CHAR(10),'Ingest Template'!I709,CHAR(10),'Ingest Template'!J709)</f>
        <v>
</v>
      </c>
      <c r="F709" s="26" t="str">
        <f>'Ingest Template'!H709</f>
        <v/>
      </c>
      <c r="G709" s="21"/>
      <c r="H709" s="29"/>
      <c r="I709" s="21"/>
      <c r="J709" s="29" t="str">
        <f t="array" ref="J709">iF('Ingest Template'!A709="Standard","Pristine Brand",INDEX(DropDown!$M$2:$M$392,MATCH('Ingest Template'!E709,DropDown!$J$2:$J$392,0)))</f>
        <v>#N/A</v>
      </c>
      <c r="K709" s="21" t="str">
        <f>iF('Ingest Template'!A709="Standard",'Ingest Template'!K709&amp;CHAR(10)&amp;'Ingest Template'!L709,"Competitive View")</f>
        <v>Competitive View</v>
      </c>
      <c r="L709" s="29" t="s">
        <v>146</v>
      </c>
      <c r="M709" s="37" t="str">
        <f>'Ingest Template'!D709</f>
        <v/>
      </c>
      <c r="N709" s="21"/>
      <c r="O709" s="21"/>
      <c r="P709" s="21"/>
      <c r="Q709" s="21"/>
      <c r="R709" s="21" t="str">
        <f>'Ingest Template'!E709</f>
        <v/>
      </c>
      <c r="S709" s="29" t="s">
        <v>153</v>
      </c>
      <c r="T709" s="21" t="str">
        <f>'Ingest Template'!T709</f>
        <v/>
      </c>
      <c r="U709" s="21" t="str">
        <f>'Ingest Template'!S709</f>
        <v/>
      </c>
      <c r="V709" s="21" t="str">
        <f>LOWER(SUBSTITUTE(SUBSTITUTE(SUBSTITUTE(SUBSTITUTE(SUBSTITUTE('Ingest Template'!U709,"https:",""),"www.",""),"/",""),"?hl=en",""),"instagram.com",""))</f>
        <v/>
      </c>
      <c r="W709" s="41" t="str">
        <f t="array" ref="W709">IF('Ingest Template'!V709="",(INDEX(DropDown!$L$2:$L$392,MATCH('Ingest Template'!E709,DropDown!$J$2:$J$392,0))&amp;"|"&amp;'Ingest Template'!B709),(INDEX(DropDown!$L$2:$L$392,MATCH('Ingest Template'!E709,DropDown!$J$2:$J$392,0))&amp;"|"&amp;'Ingest Template'!B709)&amp;CHAR(10)&amp;'Ingest Template'!V709)</f>
        <v>#N/A</v>
      </c>
      <c r="X709" s="41" t="str">
        <f>'Ingest Template'!W709</f>
        <v/>
      </c>
      <c r="Y709" s="21" t="str">
        <f>SUBSTITUTE(SUBSTITUTE(SUBSTITUTE('Ingest Template'!X709,"http:",""),"https:",""),"/","")</f>
        <v/>
      </c>
      <c r="Z709" s="21" t="str">
        <f t="array" ref="Z709">IF('Ingest Template'!A709="Standard",(IF(ISBLANK('Ingest Template'!AA709),"", 'Ingest Template'!AA709&amp;"|DAR")),(IF(ISBLANK('Ingest Template'!AA709),"", 'Ingest Template'!AA709&amp;"|Film Ops")))</f>
        <v/>
      </c>
      <c r="AA709" s="21"/>
      <c r="AB709" s="21" t="str">
        <f>'Ingest Template'!M709</f>
        <v/>
      </c>
      <c r="AC709" s="21" t="str">
        <f>'Ingest Template'!Y709</f>
        <v/>
      </c>
      <c r="AD709" s="21" t="str">
        <f>'Ingest Template'!C709</f>
        <v/>
      </c>
      <c r="AE709" s="21" t="str">
        <f>'Ingest Template'!Z709</f>
        <v/>
      </c>
      <c r="AF709" s="29"/>
      <c r="AG709" s="21" t="str">
        <f t="array" ref="AG709">IF('Ingest Template'!A709="Standard",(CONCATENATE(IF(ISBLANK('Ingest Template'!O709),"", 'Ingest Template'!O709&amp;"|DAR"),CHAR(10), IF(ISBLANK('Ingest Template'!P709),"", 'Ingest Template'!P709&amp;"|DAR"),CHAR(10), IF(ISBLANK('Ingest Template'!Q709),"", 'Ingest Template'!Q709&amp;"|DAR"))),(CONCATENATE(IF(ISBLANK('Ingest Template'!O709),"", 'Ingest Template'!O709&amp;"|Operations - Core Title"),CHAR(10), IF(ISBLANK('Ingest Template'!P709),"", 'Ingest Template'!P709&amp;"|Operations - Core Title"),CHAR(10), IF(ISBLANK('Ingest Template'!Q709),"", 'Ingest Template'!Q709&amp;"|Operations - Core Title"))))</f>
        <v>#|Operations - Core Title
#|Operations - Core Title
</v>
      </c>
      <c r="AH709" s="21"/>
      <c r="AI709" s="21"/>
      <c r="AJ709" s="53" t="str">
        <f>if('Ingest Template'!A709="Standard",'Ingest Template'!N709&amp; "|DAR|DAR|2021-01-01",'Ingest Template'!N709&amp; "|Operations - Core Title|Operations - Core Title")</f>
        <v>#N/A</v>
      </c>
      <c r="AK709" s="53" t="str">
        <f>if('Ingest Template'!A709="Standard",'Ingest Template'!R709&amp; "|2021-01-01",'Ingest Template'!R709)</f>
        <v>#N/A</v>
      </c>
      <c r="AL709" s="21"/>
      <c r="AM709" s="21"/>
    </row>
    <row r="710">
      <c r="A710" s="21"/>
      <c r="B710" s="21" t="str">
        <f>'Ingest Template'!B710&amp;IF('Ingest Template'!A710 = "Standard", " - DAR","")</f>
        <v/>
      </c>
      <c r="C710" s="26" t="s">
        <v>109</v>
      </c>
      <c r="D710" s="29" t="str">
        <f t="array" ref="D710">CONCATENATE(INDEX(DropDown!$H$2:$H$10,MATCH(1,COUNTIF('Ingest Template'!F710,"*"&amp;DropDown!$H$2:$H$10&amp;"*"),0)),CHAR(10),'Ingest Template'!G710)</f>
        <v>#N/A</v>
      </c>
      <c r="E710" s="21" t="str">
        <f>CONCATENATE('Ingest Template'!H710,CHAR(10),'Ingest Template'!I710,CHAR(10),'Ingest Template'!J710)</f>
        <v>
</v>
      </c>
      <c r="F710" s="26" t="str">
        <f>'Ingest Template'!H710</f>
        <v/>
      </c>
      <c r="G710" s="21"/>
      <c r="H710" s="29"/>
      <c r="I710" s="21"/>
      <c r="J710" s="29" t="str">
        <f t="array" ref="J710">iF('Ingest Template'!A710="Standard","Pristine Brand",INDEX(DropDown!$M$2:$M$392,MATCH('Ingest Template'!E710,DropDown!$J$2:$J$392,0)))</f>
        <v>#N/A</v>
      </c>
      <c r="K710" s="21" t="str">
        <f>iF('Ingest Template'!A710="Standard",'Ingest Template'!K710&amp;CHAR(10)&amp;'Ingest Template'!L710,"Competitive View")</f>
        <v>Competitive View</v>
      </c>
      <c r="L710" s="29" t="s">
        <v>146</v>
      </c>
      <c r="M710" s="37" t="str">
        <f>'Ingest Template'!D710</f>
        <v/>
      </c>
      <c r="N710" s="21"/>
      <c r="O710" s="21"/>
      <c r="P710" s="21"/>
      <c r="Q710" s="21"/>
      <c r="R710" s="21" t="str">
        <f>'Ingest Template'!E710</f>
        <v/>
      </c>
      <c r="S710" s="29" t="s">
        <v>153</v>
      </c>
      <c r="T710" s="21" t="str">
        <f>'Ingest Template'!T710</f>
        <v/>
      </c>
      <c r="U710" s="21" t="str">
        <f>'Ingest Template'!S710</f>
        <v/>
      </c>
      <c r="V710" s="21" t="str">
        <f>LOWER(SUBSTITUTE(SUBSTITUTE(SUBSTITUTE(SUBSTITUTE(SUBSTITUTE('Ingest Template'!U710,"https:",""),"www.",""),"/",""),"?hl=en",""),"instagram.com",""))</f>
        <v/>
      </c>
      <c r="W710" s="41" t="str">
        <f t="array" ref="W710">IF('Ingest Template'!V710="",(INDEX(DropDown!$L$2:$L$392,MATCH('Ingest Template'!E710,DropDown!$J$2:$J$392,0))&amp;"|"&amp;'Ingest Template'!B710),(INDEX(DropDown!$L$2:$L$392,MATCH('Ingest Template'!E710,DropDown!$J$2:$J$392,0))&amp;"|"&amp;'Ingest Template'!B710)&amp;CHAR(10)&amp;'Ingest Template'!V710)</f>
        <v>#N/A</v>
      </c>
      <c r="X710" s="41" t="str">
        <f>'Ingest Template'!W710</f>
        <v/>
      </c>
      <c r="Y710" s="21" t="str">
        <f>SUBSTITUTE(SUBSTITUTE(SUBSTITUTE('Ingest Template'!X710,"http:",""),"https:",""),"/","")</f>
        <v/>
      </c>
      <c r="Z710" s="21" t="str">
        <f t="array" ref="Z710">IF('Ingest Template'!A710="Standard",(IF(ISBLANK('Ingest Template'!AA710),"", 'Ingest Template'!AA710&amp;"|DAR")),(IF(ISBLANK('Ingest Template'!AA710),"", 'Ingest Template'!AA710&amp;"|Film Ops")))</f>
        <v/>
      </c>
      <c r="AA710" s="21"/>
      <c r="AB710" s="21" t="str">
        <f>'Ingest Template'!M710</f>
        <v/>
      </c>
      <c r="AC710" s="21" t="str">
        <f>'Ingest Template'!Y710</f>
        <v/>
      </c>
      <c r="AD710" s="21" t="str">
        <f>'Ingest Template'!C710</f>
        <v/>
      </c>
      <c r="AE710" s="21" t="str">
        <f>'Ingest Template'!Z710</f>
        <v/>
      </c>
      <c r="AF710" s="29"/>
      <c r="AG710" s="21" t="str">
        <f t="array" ref="AG710">IF('Ingest Template'!A710="Standard",(CONCATENATE(IF(ISBLANK('Ingest Template'!O710),"", 'Ingest Template'!O710&amp;"|DAR"),CHAR(10), IF(ISBLANK('Ingest Template'!P710),"", 'Ingest Template'!P710&amp;"|DAR"),CHAR(10), IF(ISBLANK('Ingest Template'!Q710),"", 'Ingest Template'!Q710&amp;"|DAR"))),(CONCATENATE(IF(ISBLANK('Ingest Template'!O710),"", 'Ingest Template'!O710&amp;"|Operations - Core Title"),CHAR(10), IF(ISBLANK('Ingest Template'!P710),"", 'Ingest Template'!P710&amp;"|Operations - Core Title"),CHAR(10), IF(ISBLANK('Ingest Template'!Q710),"", 'Ingest Template'!Q710&amp;"|Operations - Core Title"))))</f>
        <v>#|Operations - Core Title
#|Operations - Core Title
</v>
      </c>
      <c r="AH710" s="21"/>
      <c r="AI710" s="21"/>
      <c r="AJ710" s="53" t="str">
        <f>if('Ingest Template'!A710="Standard",'Ingest Template'!N710&amp; "|DAR|DAR|2021-01-01",'Ingest Template'!N710&amp; "|Operations - Core Title|Operations - Core Title")</f>
        <v>#N/A</v>
      </c>
      <c r="AK710" s="53" t="str">
        <f>if('Ingest Template'!A710="Standard",'Ingest Template'!R710&amp; "|2021-01-01",'Ingest Template'!R710)</f>
        <v>#N/A</v>
      </c>
      <c r="AL710" s="21"/>
      <c r="AM710" s="21"/>
    </row>
    <row r="711">
      <c r="A711" s="21"/>
      <c r="B711" s="21" t="str">
        <f>'Ingest Template'!B711&amp;IF('Ingest Template'!A711 = "Standard", " - DAR","")</f>
        <v/>
      </c>
      <c r="C711" s="26" t="s">
        <v>109</v>
      </c>
      <c r="D711" s="29" t="str">
        <f t="array" ref="D711">CONCATENATE(INDEX(DropDown!$H$2:$H$10,MATCH(1,COUNTIF('Ingest Template'!F711,"*"&amp;DropDown!$H$2:$H$10&amp;"*"),0)),CHAR(10),'Ingest Template'!G711)</f>
        <v>#N/A</v>
      </c>
      <c r="E711" s="21" t="str">
        <f>CONCATENATE('Ingest Template'!H711,CHAR(10),'Ingest Template'!I711,CHAR(10),'Ingest Template'!J711)</f>
        <v>
</v>
      </c>
      <c r="F711" s="26" t="str">
        <f>'Ingest Template'!H711</f>
        <v/>
      </c>
      <c r="G711" s="21"/>
      <c r="H711" s="29"/>
      <c r="I711" s="21"/>
      <c r="J711" s="29" t="str">
        <f t="array" ref="J711">iF('Ingest Template'!A711="Standard","Pristine Brand",INDEX(DropDown!$M$2:$M$392,MATCH('Ingest Template'!E711,DropDown!$J$2:$J$392,0)))</f>
        <v>#N/A</v>
      </c>
      <c r="K711" s="21" t="str">
        <f>iF('Ingest Template'!A711="Standard",'Ingest Template'!K711&amp;CHAR(10)&amp;'Ingest Template'!L711,"Competitive View")</f>
        <v>Competitive View</v>
      </c>
      <c r="L711" s="29" t="s">
        <v>146</v>
      </c>
      <c r="M711" s="37" t="str">
        <f>'Ingest Template'!D711</f>
        <v/>
      </c>
      <c r="N711" s="21"/>
      <c r="O711" s="21"/>
      <c r="P711" s="21"/>
      <c r="Q711" s="21"/>
      <c r="R711" s="21" t="str">
        <f>'Ingest Template'!E711</f>
        <v/>
      </c>
      <c r="S711" s="29" t="s">
        <v>153</v>
      </c>
      <c r="T711" s="21" t="str">
        <f>'Ingest Template'!T711</f>
        <v/>
      </c>
      <c r="U711" s="21" t="str">
        <f>'Ingest Template'!S711</f>
        <v/>
      </c>
      <c r="V711" s="21" t="str">
        <f>LOWER(SUBSTITUTE(SUBSTITUTE(SUBSTITUTE(SUBSTITUTE(SUBSTITUTE('Ingest Template'!U711,"https:",""),"www.",""),"/",""),"?hl=en",""),"instagram.com",""))</f>
        <v/>
      </c>
      <c r="W711" s="41" t="str">
        <f t="array" ref="W711">IF('Ingest Template'!V711="",(INDEX(DropDown!$L$2:$L$392,MATCH('Ingest Template'!E711,DropDown!$J$2:$J$392,0))&amp;"|"&amp;'Ingest Template'!B711),(INDEX(DropDown!$L$2:$L$392,MATCH('Ingest Template'!E711,DropDown!$J$2:$J$392,0))&amp;"|"&amp;'Ingest Template'!B711)&amp;CHAR(10)&amp;'Ingest Template'!V711)</f>
        <v>#N/A</v>
      </c>
      <c r="X711" s="41" t="str">
        <f>'Ingest Template'!W711</f>
        <v/>
      </c>
      <c r="Y711" s="21" t="str">
        <f>SUBSTITUTE(SUBSTITUTE(SUBSTITUTE('Ingest Template'!X711,"http:",""),"https:",""),"/","")</f>
        <v/>
      </c>
      <c r="Z711" s="21" t="str">
        <f t="array" ref="Z711">IF('Ingest Template'!A711="Standard",(IF(ISBLANK('Ingest Template'!AA711),"", 'Ingest Template'!AA711&amp;"|DAR")),(IF(ISBLANK('Ingest Template'!AA711),"", 'Ingest Template'!AA711&amp;"|Film Ops")))</f>
        <v/>
      </c>
      <c r="AA711" s="21"/>
      <c r="AB711" s="21" t="str">
        <f>'Ingest Template'!M711</f>
        <v/>
      </c>
      <c r="AC711" s="21" t="str">
        <f>'Ingest Template'!Y711</f>
        <v/>
      </c>
      <c r="AD711" s="21" t="str">
        <f>'Ingest Template'!C711</f>
        <v/>
      </c>
      <c r="AE711" s="21" t="str">
        <f>'Ingest Template'!Z711</f>
        <v/>
      </c>
      <c r="AF711" s="29"/>
      <c r="AG711" s="21" t="str">
        <f t="array" ref="AG711">IF('Ingest Template'!A711="Standard",(CONCATENATE(IF(ISBLANK('Ingest Template'!O711),"", 'Ingest Template'!O711&amp;"|DAR"),CHAR(10), IF(ISBLANK('Ingest Template'!P711),"", 'Ingest Template'!P711&amp;"|DAR"),CHAR(10), IF(ISBLANK('Ingest Template'!Q711),"", 'Ingest Template'!Q711&amp;"|DAR"))),(CONCATENATE(IF(ISBLANK('Ingest Template'!O711),"", 'Ingest Template'!O711&amp;"|Operations - Core Title"),CHAR(10), IF(ISBLANK('Ingest Template'!P711),"", 'Ingest Template'!P711&amp;"|Operations - Core Title"),CHAR(10), IF(ISBLANK('Ingest Template'!Q711),"", 'Ingest Template'!Q711&amp;"|Operations - Core Title"))))</f>
        <v>#|Operations - Core Title
#|Operations - Core Title
</v>
      </c>
      <c r="AH711" s="21"/>
      <c r="AI711" s="21"/>
      <c r="AJ711" s="53" t="str">
        <f>if('Ingest Template'!A711="Standard",'Ingest Template'!N711&amp; "|DAR|DAR|2021-01-01",'Ingest Template'!N711&amp; "|Operations - Core Title|Operations - Core Title")</f>
        <v>#N/A</v>
      </c>
      <c r="AK711" s="53" t="str">
        <f>if('Ingest Template'!A711="Standard",'Ingest Template'!R711&amp; "|2021-01-01",'Ingest Template'!R711)</f>
        <v>#N/A</v>
      </c>
      <c r="AL711" s="21"/>
      <c r="AM711" s="21"/>
    </row>
    <row r="712">
      <c r="A712" s="21"/>
      <c r="B712" s="21" t="str">
        <f>'Ingest Template'!B712&amp;IF('Ingest Template'!A712 = "Standard", " - DAR","")</f>
        <v/>
      </c>
      <c r="C712" s="26" t="s">
        <v>109</v>
      </c>
      <c r="D712" s="29" t="str">
        <f t="array" ref="D712">CONCATENATE(INDEX(DropDown!$H$2:$H$10,MATCH(1,COUNTIF('Ingest Template'!F712,"*"&amp;DropDown!$H$2:$H$10&amp;"*"),0)),CHAR(10),'Ingest Template'!G712)</f>
        <v>#N/A</v>
      </c>
      <c r="E712" s="21" t="str">
        <f>CONCATENATE('Ingest Template'!H712,CHAR(10),'Ingest Template'!I712,CHAR(10),'Ingest Template'!J712)</f>
        <v>
</v>
      </c>
      <c r="F712" s="26" t="str">
        <f>'Ingest Template'!H712</f>
        <v/>
      </c>
      <c r="G712" s="21"/>
      <c r="H712" s="29"/>
      <c r="I712" s="21"/>
      <c r="J712" s="29" t="str">
        <f t="array" ref="J712">iF('Ingest Template'!A712="Standard","Pristine Brand",INDEX(DropDown!$M$2:$M$392,MATCH('Ingest Template'!E712,DropDown!$J$2:$J$392,0)))</f>
        <v>#N/A</v>
      </c>
      <c r="K712" s="21" t="str">
        <f>iF('Ingest Template'!A712="Standard",'Ingest Template'!K712&amp;CHAR(10)&amp;'Ingest Template'!L712,"Competitive View")</f>
        <v>Competitive View</v>
      </c>
      <c r="L712" s="29" t="s">
        <v>146</v>
      </c>
      <c r="M712" s="37" t="str">
        <f>'Ingest Template'!D712</f>
        <v/>
      </c>
      <c r="N712" s="21"/>
      <c r="O712" s="21"/>
      <c r="P712" s="21"/>
      <c r="Q712" s="21"/>
      <c r="R712" s="21" t="str">
        <f>'Ingest Template'!E712</f>
        <v/>
      </c>
      <c r="S712" s="29" t="s">
        <v>153</v>
      </c>
      <c r="T712" s="21" t="str">
        <f>'Ingest Template'!T712</f>
        <v/>
      </c>
      <c r="U712" s="21" t="str">
        <f>'Ingest Template'!S712</f>
        <v/>
      </c>
      <c r="V712" s="21" t="str">
        <f>LOWER(SUBSTITUTE(SUBSTITUTE(SUBSTITUTE(SUBSTITUTE(SUBSTITUTE('Ingest Template'!U712,"https:",""),"www.",""),"/",""),"?hl=en",""),"instagram.com",""))</f>
        <v/>
      </c>
      <c r="W712" s="41" t="str">
        <f t="array" ref="W712">IF('Ingest Template'!V712="",(INDEX(DropDown!$L$2:$L$392,MATCH('Ingest Template'!E712,DropDown!$J$2:$J$392,0))&amp;"|"&amp;'Ingest Template'!B712),(INDEX(DropDown!$L$2:$L$392,MATCH('Ingest Template'!E712,DropDown!$J$2:$J$392,0))&amp;"|"&amp;'Ingest Template'!B712)&amp;CHAR(10)&amp;'Ingest Template'!V712)</f>
        <v>#N/A</v>
      </c>
      <c r="X712" s="41" t="str">
        <f>'Ingest Template'!W712</f>
        <v/>
      </c>
      <c r="Y712" s="21" t="str">
        <f>SUBSTITUTE(SUBSTITUTE(SUBSTITUTE('Ingest Template'!X712,"http:",""),"https:",""),"/","")</f>
        <v/>
      </c>
      <c r="Z712" s="21" t="str">
        <f t="array" ref="Z712">IF('Ingest Template'!A712="Standard",(IF(ISBLANK('Ingest Template'!AA712),"", 'Ingest Template'!AA712&amp;"|DAR")),(IF(ISBLANK('Ingest Template'!AA712),"", 'Ingest Template'!AA712&amp;"|Film Ops")))</f>
        <v/>
      </c>
      <c r="AA712" s="21"/>
      <c r="AB712" s="21" t="str">
        <f>'Ingest Template'!M712</f>
        <v/>
      </c>
      <c r="AC712" s="21" t="str">
        <f>'Ingest Template'!Y712</f>
        <v/>
      </c>
      <c r="AD712" s="21" t="str">
        <f>'Ingest Template'!C712</f>
        <v/>
      </c>
      <c r="AE712" s="21" t="str">
        <f>'Ingest Template'!Z712</f>
        <v/>
      </c>
      <c r="AF712" s="29"/>
      <c r="AG712" s="21" t="str">
        <f t="array" ref="AG712">IF('Ingest Template'!A712="Standard",(CONCATENATE(IF(ISBLANK('Ingest Template'!O712),"", 'Ingest Template'!O712&amp;"|DAR"),CHAR(10), IF(ISBLANK('Ingest Template'!P712),"", 'Ingest Template'!P712&amp;"|DAR"),CHAR(10), IF(ISBLANK('Ingest Template'!Q712),"", 'Ingest Template'!Q712&amp;"|DAR"))),(CONCATENATE(IF(ISBLANK('Ingest Template'!O712),"", 'Ingest Template'!O712&amp;"|Operations - Core Title"),CHAR(10), IF(ISBLANK('Ingest Template'!P712),"", 'Ingest Template'!P712&amp;"|Operations - Core Title"),CHAR(10), IF(ISBLANK('Ingest Template'!Q712),"", 'Ingest Template'!Q712&amp;"|Operations - Core Title"))))</f>
        <v>#|Operations - Core Title
#|Operations - Core Title
</v>
      </c>
      <c r="AH712" s="21"/>
      <c r="AI712" s="21"/>
      <c r="AJ712" s="53" t="str">
        <f>if('Ingest Template'!A712="Standard",'Ingest Template'!N712&amp; "|DAR|DAR|2021-01-01",'Ingest Template'!N712&amp; "|Operations - Core Title|Operations - Core Title")</f>
        <v>#N/A</v>
      </c>
      <c r="AK712" s="53" t="str">
        <f>if('Ingest Template'!A712="Standard",'Ingest Template'!R712&amp; "|2021-01-01",'Ingest Template'!R712)</f>
        <v>#N/A</v>
      </c>
      <c r="AL712" s="21"/>
      <c r="AM712" s="21"/>
    </row>
    <row r="713">
      <c r="A713" s="21"/>
      <c r="B713" s="21" t="str">
        <f>'Ingest Template'!B713&amp;IF('Ingest Template'!A713 = "Standard", " - DAR","")</f>
        <v/>
      </c>
      <c r="C713" s="26" t="s">
        <v>109</v>
      </c>
      <c r="D713" s="29" t="str">
        <f t="array" ref="D713">CONCATENATE(INDEX(DropDown!$H$2:$H$10,MATCH(1,COUNTIF('Ingest Template'!F713,"*"&amp;DropDown!$H$2:$H$10&amp;"*"),0)),CHAR(10),'Ingest Template'!G713)</f>
        <v>#N/A</v>
      </c>
      <c r="E713" s="21" t="str">
        <f>CONCATENATE('Ingest Template'!H713,CHAR(10),'Ingest Template'!I713,CHAR(10),'Ingest Template'!J713)</f>
        <v>
</v>
      </c>
      <c r="F713" s="26" t="str">
        <f>'Ingest Template'!H713</f>
        <v/>
      </c>
      <c r="G713" s="21"/>
      <c r="H713" s="29"/>
      <c r="I713" s="21"/>
      <c r="J713" s="29" t="str">
        <f t="array" ref="J713">iF('Ingest Template'!A713="Standard","Pristine Brand",INDEX(DropDown!$M$2:$M$392,MATCH('Ingest Template'!E713,DropDown!$J$2:$J$392,0)))</f>
        <v>#N/A</v>
      </c>
      <c r="K713" s="21" t="str">
        <f>iF('Ingest Template'!A713="Standard",'Ingest Template'!K713&amp;CHAR(10)&amp;'Ingest Template'!L713,"Competitive View")</f>
        <v>Competitive View</v>
      </c>
      <c r="L713" s="29" t="s">
        <v>146</v>
      </c>
      <c r="M713" s="37" t="str">
        <f>'Ingest Template'!D713</f>
        <v/>
      </c>
      <c r="N713" s="21"/>
      <c r="O713" s="21"/>
      <c r="P713" s="21"/>
      <c r="Q713" s="21"/>
      <c r="R713" s="21" t="str">
        <f>'Ingest Template'!E713</f>
        <v/>
      </c>
      <c r="S713" s="29" t="s">
        <v>153</v>
      </c>
      <c r="T713" s="21" t="str">
        <f>'Ingest Template'!T713</f>
        <v/>
      </c>
      <c r="U713" s="21" t="str">
        <f>'Ingest Template'!S713</f>
        <v/>
      </c>
      <c r="V713" s="21" t="str">
        <f>LOWER(SUBSTITUTE(SUBSTITUTE(SUBSTITUTE(SUBSTITUTE(SUBSTITUTE('Ingest Template'!U713,"https:",""),"www.",""),"/",""),"?hl=en",""),"instagram.com",""))</f>
        <v/>
      </c>
      <c r="W713" s="41" t="str">
        <f t="array" ref="W713">IF('Ingest Template'!V713="",(INDEX(DropDown!$L$2:$L$392,MATCH('Ingest Template'!E713,DropDown!$J$2:$J$392,0))&amp;"|"&amp;'Ingest Template'!B713),(INDEX(DropDown!$L$2:$L$392,MATCH('Ingest Template'!E713,DropDown!$J$2:$J$392,0))&amp;"|"&amp;'Ingest Template'!B713)&amp;CHAR(10)&amp;'Ingest Template'!V713)</f>
        <v>#N/A</v>
      </c>
      <c r="X713" s="41" t="str">
        <f>'Ingest Template'!W713</f>
        <v/>
      </c>
      <c r="Y713" s="21" t="str">
        <f>SUBSTITUTE(SUBSTITUTE(SUBSTITUTE('Ingest Template'!X713,"http:",""),"https:",""),"/","")</f>
        <v/>
      </c>
      <c r="Z713" s="21" t="str">
        <f t="array" ref="Z713">IF('Ingest Template'!A713="Standard",(IF(ISBLANK('Ingest Template'!AA713),"", 'Ingest Template'!AA713&amp;"|DAR")),(IF(ISBLANK('Ingest Template'!AA713),"", 'Ingest Template'!AA713&amp;"|Film Ops")))</f>
        <v/>
      </c>
      <c r="AA713" s="21"/>
      <c r="AB713" s="21" t="str">
        <f>'Ingest Template'!M713</f>
        <v/>
      </c>
      <c r="AC713" s="21" t="str">
        <f>'Ingest Template'!Y713</f>
        <v/>
      </c>
      <c r="AD713" s="21" t="str">
        <f>'Ingest Template'!C713</f>
        <v/>
      </c>
      <c r="AE713" s="21" t="str">
        <f>'Ingest Template'!Z713</f>
        <v/>
      </c>
      <c r="AF713" s="29"/>
      <c r="AG713" s="21" t="str">
        <f t="array" ref="AG713">IF('Ingest Template'!A713="Standard",(CONCATENATE(IF(ISBLANK('Ingest Template'!O713),"", 'Ingest Template'!O713&amp;"|DAR"),CHAR(10), IF(ISBLANK('Ingest Template'!P713),"", 'Ingest Template'!P713&amp;"|DAR"),CHAR(10), IF(ISBLANK('Ingest Template'!Q713),"", 'Ingest Template'!Q713&amp;"|DAR"))),(CONCATENATE(IF(ISBLANK('Ingest Template'!O713),"", 'Ingest Template'!O713&amp;"|Operations - Core Title"),CHAR(10), IF(ISBLANK('Ingest Template'!P713),"", 'Ingest Template'!P713&amp;"|Operations - Core Title"),CHAR(10), IF(ISBLANK('Ingest Template'!Q713),"", 'Ingest Template'!Q713&amp;"|Operations - Core Title"))))</f>
        <v>#|Operations - Core Title
#|Operations - Core Title
</v>
      </c>
      <c r="AH713" s="21"/>
      <c r="AI713" s="21"/>
      <c r="AJ713" s="53" t="str">
        <f>if('Ingest Template'!A713="Standard",'Ingest Template'!N713&amp; "|DAR|DAR|2021-01-01",'Ingest Template'!N713&amp; "|Operations - Core Title|Operations - Core Title")</f>
        <v>#N/A</v>
      </c>
      <c r="AK713" s="53" t="str">
        <f>if('Ingest Template'!A713="Standard",'Ingest Template'!R713&amp; "|2021-01-01",'Ingest Template'!R713)</f>
        <v>#N/A</v>
      </c>
      <c r="AL713" s="21"/>
      <c r="AM713" s="21"/>
    </row>
    <row r="714">
      <c r="A714" s="21"/>
      <c r="B714" s="21" t="str">
        <f>'Ingest Template'!B714&amp;IF('Ingest Template'!A714 = "Standard", " - DAR","")</f>
        <v/>
      </c>
      <c r="C714" s="26" t="s">
        <v>109</v>
      </c>
      <c r="D714" s="29" t="str">
        <f t="array" ref="D714">CONCATENATE(INDEX(DropDown!$H$2:$H$10,MATCH(1,COUNTIF('Ingest Template'!F714,"*"&amp;DropDown!$H$2:$H$10&amp;"*"),0)),CHAR(10),'Ingest Template'!G714)</f>
        <v>#N/A</v>
      </c>
      <c r="E714" s="21" t="str">
        <f>CONCATENATE('Ingest Template'!H714,CHAR(10),'Ingest Template'!I714,CHAR(10),'Ingest Template'!J714)</f>
        <v>
</v>
      </c>
      <c r="F714" s="26" t="str">
        <f>'Ingest Template'!H714</f>
        <v/>
      </c>
      <c r="G714" s="21"/>
      <c r="H714" s="29"/>
      <c r="I714" s="21"/>
      <c r="J714" s="29" t="str">
        <f t="array" ref="J714">iF('Ingest Template'!A714="Standard","Pristine Brand",INDEX(DropDown!$M$2:$M$392,MATCH('Ingest Template'!E714,DropDown!$J$2:$J$392,0)))</f>
        <v>#N/A</v>
      </c>
      <c r="K714" s="21" t="str">
        <f>iF('Ingest Template'!A714="Standard",'Ingest Template'!K714&amp;CHAR(10)&amp;'Ingest Template'!L714,"Competitive View")</f>
        <v>Competitive View</v>
      </c>
      <c r="L714" s="29" t="s">
        <v>146</v>
      </c>
      <c r="M714" s="37" t="str">
        <f>'Ingest Template'!D714</f>
        <v/>
      </c>
      <c r="N714" s="21"/>
      <c r="O714" s="21"/>
      <c r="P714" s="21"/>
      <c r="Q714" s="21"/>
      <c r="R714" s="21" t="str">
        <f>'Ingest Template'!E714</f>
        <v/>
      </c>
      <c r="S714" s="29" t="s">
        <v>153</v>
      </c>
      <c r="T714" s="21" t="str">
        <f>'Ingest Template'!T714</f>
        <v/>
      </c>
      <c r="U714" s="21" t="str">
        <f>'Ingest Template'!S714</f>
        <v/>
      </c>
      <c r="V714" s="21" t="str">
        <f>LOWER(SUBSTITUTE(SUBSTITUTE(SUBSTITUTE(SUBSTITUTE(SUBSTITUTE('Ingest Template'!U714,"https:",""),"www.",""),"/",""),"?hl=en",""),"instagram.com",""))</f>
        <v/>
      </c>
      <c r="W714" s="41" t="str">
        <f t="array" ref="W714">IF('Ingest Template'!V714="",(INDEX(DropDown!$L$2:$L$392,MATCH('Ingest Template'!E714,DropDown!$J$2:$J$392,0))&amp;"|"&amp;'Ingest Template'!B714),(INDEX(DropDown!$L$2:$L$392,MATCH('Ingest Template'!E714,DropDown!$J$2:$J$392,0))&amp;"|"&amp;'Ingest Template'!B714)&amp;CHAR(10)&amp;'Ingest Template'!V714)</f>
        <v>#N/A</v>
      </c>
      <c r="X714" s="41" t="str">
        <f>'Ingest Template'!W714</f>
        <v/>
      </c>
      <c r="Y714" s="21" t="str">
        <f>SUBSTITUTE(SUBSTITUTE(SUBSTITUTE('Ingest Template'!X714,"http:",""),"https:",""),"/","")</f>
        <v/>
      </c>
      <c r="Z714" s="21" t="str">
        <f t="array" ref="Z714">IF('Ingest Template'!A714="Standard",(IF(ISBLANK('Ingest Template'!AA714),"", 'Ingest Template'!AA714&amp;"|DAR")),(IF(ISBLANK('Ingest Template'!AA714),"", 'Ingest Template'!AA714&amp;"|Film Ops")))</f>
        <v/>
      </c>
      <c r="AA714" s="21"/>
      <c r="AB714" s="21" t="str">
        <f>'Ingest Template'!M714</f>
        <v/>
      </c>
      <c r="AC714" s="21" t="str">
        <f>'Ingest Template'!Y714</f>
        <v/>
      </c>
      <c r="AD714" s="21" t="str">
        <f>'Ingest Template'!C714</f>
        <v/>
      </c>
      <c r="AE714" s="21" t="str">
        <f>'Ingest Template'!Z714</f>
        <v/>
      </c>
      <c r="AF714" s="29"/>
      <c r="AG714" s="21" t="str">
        <f t="array" ref="AG714">IF('Ingest Template'!A714="Standard",(CONCATENATE(IF(ISBLANK('Ingest Template'!O714),"", 'Ingest Template'!O714&amp;"|DAR"),CHAR(10), IF(ISBLANK('Ingest Template'!P714),"", 'Ingest Template'!P714&amp;"|DAR"),CHAR(10), IF(ISBLANK('Ingest Template'!Q714),"", 'Ingest Template'!Q714&amp;"|DAR"))),(CONCATENATE(IF(ISBLANK('Ingest Template'!O714),"", 'Ingest Template'!O714&amp;"|Operations - Core Title"),CHAR(10), IF(ISBLANK('Ingest Template'!P714),"", 'Ingest Template'!P714&amp;"|Operations - Core Title"),CHAR(10), IF(ISBLANK('Ingest Template'!Q714),"", 'Ingest Template'!Q714&amp;"|Operations - Core Title"))))</f>
        <v>#|Operations - Core Title
#|Operations - Core Title
</v>
      </c>
      <c r="AH714" s="21"/>
      <c r="AI714" s="21"/>
      <c r="AJ714" s="53" t="str">
        <f>if('Ingest Template'!A714="Standard",'Ingest Template'!N714&amp; "|DAR|DAR|2021-01-01",'Ingest Template'!N714&amp; "|Operations - Core Title|Operations - Core Title")</f>
        <v>#N/A</v>
      </c>
      <c r="AK714" s="53" t="str">
        <f>if('Ingest Template'!A714="Standard",'Ingest Template'!R714&amp; "|2021-01-01",'Ingest Template'!R714)</f>
        <v>#N/A</v>
      </c>
      <c r="AL714" s="21"/>
      <c r="AM714" s="21"/>
    </row>
    <row r="715">
      <c r="A715" s="21"/>
      <c r="B715" s="21" t="str">
        <f>'Ingest Template'!B715&amp;IF('Ingest Template'!A715 = "Standard", " - DAR","")</f>
        <v/>
      </c>
      <c r="C715" s="26" t="s">
        <v>109</v>
      </c>
      <c r="D715" s="29" t="str">
        <f t="array" ref="D715">CONCATENATE(INDEX(DropDown!$H$2:$H$10,MATCH(1,COUNTIF('Ingest Template'!F715,"*"&amp;DropDown!$H$2:$H$10&amp;"*"),0)),CHAR(10),'Ingest Template'!G715)</f>
        <v>#N/A</v>
      </c>
      <c r="E715" s="21" t="str">
        <f>CONCATENATE('Ingest Template'!H715,CHAR(10),'Ingest Template'!I715,CHAR(10),'Ingest Template'!J715)</f>
        <v>
</v>
      </c>
      <c r="F715" s="26" t="str">
        <f>'Ingest Template'!H715</f>
        <v/>
      </c>
      <c r="G715" s="21"/>
      <c r="H715" s="29"/>
      <c r="I715" s="21"/>
      <c r="J715" s="29" t="str">
        <f t="array" ref="J715">iF('Ingest Template'!A715="Standard","Pristine Brand",INDEX(DropDown!$M$2:$M$392,MATCH('Ingest Template'!E715,DropDown!$J$2:$J$392,0)))</f>
        <v>#N/A</v>
      </c>
      <c r="K715" s="21" t="str">
        <f>iF('Ingest Template'!A715="Standard",'Ingest Template'!K715&amp;CHAR(10)&amp;'Ingest Template'!L715,"Competitive View")</f>
        <v>Competitive View</v>
      </c>
      <c r="L715" s="29" t="s">
        <v>146</v>
      </c>
      <c r="M715" s="37" t="str">
        <f>'Ingest Template'!D715</f>
        <v/>
      </c>
      <c r="N715" s="21"/>
      <c r="O715" s="21"/>
      <c r="P715" s="21"/>
      <c r="Q715" s="21"/>
      <c r="R715" s="21" t="str">
        <f>'Ingest Template'!E715</f>
        <v/>
      </c>
      <c r="S715" s="29" t="s">
        <v>153</v>
      </c>
      <c r="T715" s="21" t="str">
        <f>'Ingest Template'!T715</f>
        <v/>
      </c>
      <c r="U715" s="21" t="str">
        <f>'Ingest Template'!S715</f>
        <v/>
      </c>
      <c r="V715" s="21" t="str">
        <f>LOWER(SUBSTITUTE(SUBSTITUTE(SUBSTITUTE(SUBSTITUTE(SUBSTITUTE('Ingest Template'!U715,"https:",""),"www.",""),"/",""),"?hl=en",""),"instagram.com",""))</f>
        <v/>
      </c>
      <c r="W715" s="41" t="str">
        <f t="array" ref="W715">IF('Ingest Template'!V715="",(INDEX(DropDown!$L$2:$L$392,MATCH('Ingest Template'!E715,DropDown!$J$2:$J$392,0))&amp;"|"&amp;'Ingest Template'!B715),(INDEX(DropDown!$L$2:$L$392,MATCH('Ingest Template'!E715,DropDown!$J$2:$J$392,0))&amp;"|"&amp;'Ingest Template'!B715)&amp;CHAR(10)&amp;'Ingest Template'!V715)</f>
        <v>#N/A</v>
      </c>
      <c r="X715" s="41" t="str">
        <f>'Ingest Template'!W715</f>
        <v/>
      </c>
      <c r="Y715" s="21" t="str">
        <f>SUBSTITUTE(SUBSTITUTE(SUBSTITUTE('Ingest Template'!X715,"http:",""),"https:",""),"/","")</f>
        <v/>
      </c>
      <c r="Z715" s="21" t="str">
        <f t="array" ref="Z715">IF('Ingest Template'!A715="Standard",(IF(ISBLANK('Ingest Template'!AA715),"", 'Ingest Template'!AA715&amp;"|DAR")),(IF(ISBLANK('Ingest Template'!AA715),"", 'Ingest Template'!AA715&amp;"|Film Ops")))</f>
        <v/>
      </c>
      <c r="AA715" s="21"/>
      <c r="AB715" s="21" t="str">
        <f>'Ingest Template'!M715</f>
        <v/>
      </c>
      <c r="AC715" s="21" t="str">
        <f>'Ingest Template'!Y715</f>
        <v/>
      </c>
      <c r="AD715" s="21" t="str">
        <f>'Ingest Template'!C715</f>
        <v/>
      </c>
      <c r="AE715" s="21" t="str">
        <f>'Ingest Template'!Z715</f>
        <v/>
      </c>
      <c r="AF715" s="29"/>
      <c r="AG715" s="21" t="str">
        <f t="array" ref="AG715">IF('Ingest Template'!A715="Standard",(CONCATENATE(IF(ISBLANK('Ingest Template'!O715),"", 'Ingest Template'!O715&amp;"|DAR"),CHAR(10), IF(ISBLANK('Ingest Template'!P715),"", 'Ingest Template'!P715&amp;"|DAR"),CHAR(10), IF(ISBLANK('Ingest Template'!Q715),"", 'Ingest Template'!Q715&amp;"|DAR"))),(CONCATENATE(IF(ISBLANK('Ingest Template'!O715),"", 'Ingest Template'!O715&amp;"|Operations - Core Title"),CHAR(10), IF(ISBLANK('Ingest Template'!P715),"", 'Ingest Template'!P715&amp;"|Operations - Core Title"),CHAR(10), IF(ISBLANK('Ingest Template'!Q715),"", 'Ingest Template'!Q715&amp;"|Operations - Core Title"))))</f>
        <v>#|Operations - Core Title
#|Operations - Core Title
</v>
      </c>
      <c r="AH715" s="21"/>
      <c r="AI715" s="21"/>
      <c r="AJ715" s="53" t="str">
        <f>if('Ingest Template'!A715="Standard",'Ingest Template'!N715&amp; "|DAR|DAR|2021-01-01",'Ingest Template'!N715&amp; "|Operations - Core Title|Operations - Core Title")</f>
        <v>#N/A</v>
      </c>
      <c r="AK715" s="53" t="str">
        <f>if('Ingest Template'!A715="Standard",'Ingest Template'!R715&amp; "|2021-01-01",'Ingest Template'!R715)</f>
        <v>#N/A</v>
      </c>
      <c r="AL715" s="21"/>
      <c r="AM715" s="21"/>
    </row>
    <row r="716">
      <c r="A716" s="21"/>
      <c r="B716" s="21" t="str">
        <f>'Ingest Template'!B716&amp;IF('Ingest Template'!A716 = "Standard", " - DAR","")</f>
        <v/>
      </c>
      <c r="C716" s="26" t="s">
        <v>109</v>
      </c>
      <c r="D716" s="29" t="str">
        <f t="array" ref="D716">CONCATENATE(INDEX(DropDown!$H$2:$H$10,MATCH(1,COUNTIF('Ingest Template'!F716,"*"&amp;DropDown!$H$2:$H$10&amp;"*"),0)),CHAR(10),'Ingest Template'!G716)</f>
        <v>#N/A</v>
      </c>
      <c r="E716" s="21" t="str">
        <f>CONCATENATE('Ingest Template'!H716,CHAR(10),'Ingest Template'!I716,CHAR(10),'Ingest Template'!J716)</f>
        <v>
</v>
      </c>
      <c r="F716" s="26" t="str">
        <f>'Ingest Template'!H716</f>
        <v/>
      </c>
      <c r="G716" s="21"/>
      <c r="H716" s="29"/>
      <c r="I716" s="21"/>
      <c r="J716" s="29" t="str">
        <f t="array" ref="J716">iF('Ingest Template'!A716="Standard","Pristine Brand",INDEX(DropDown!$M$2:$M$392,MATCH('Ingest Template'!E716,DropDown!$J$2:$J$392,0)))</f>
        <v>#N/A</v>
      </c>
      <c r="K716" s="21" t="str">
        <f>iF('Ingest Template'!A716="Standard",'Ingest Template'!K716&amp;CHAR(10)&amp;'Ingest Template'!L716,"Competitive View")</f>
        <v>Competitive View</v>
      </c>
      <c r="L716" s="29" t="s">
        <v>146</v>
      </c>
      <c r="M716" s="37" t="str">
        <f>'Ingest Template'!D716</f>
        <v/>
      </c>
      <c r="N716" s="21"/>
      <c r="O716" s="21"/>
      <c r="P716" s="21"/>
      <c r="Q716" s="21"/>
      <c r="R716" s="21" t="str">
        <f>'Ingest Template'!E716</f>
        <v/>
      </c>
      <c r="S716" s="29" t="s">
        <v>153</v>
      </c>
      <c r="T716" s="21" t="str">
        <f>'Ingest Template'!T716</f>
        <v/>
      </c>
      <c r="U716" s="21" t="str">
        <f>'Ingest Template'!S716</f>
        <v/>
      </c>
      <c r="V716" s="21" t="str">
        <f>LOWER(SUBSTITUTE(SUBSTITUTE(SUBSTITUTE(SUBSTITUTE(SUBSTITUTE('Ingest Template'!U716,"https:",""),"www.",""),"/",""),"?hl=en",""),"instagram.com",""))</f>
        <v/>
      </c>
      <c r="W716" s="41" t="str">
        <f t="array" ref="W716">IF('Ingest Template'!V716="",(INDEX(DropDown!$L$2:$L$392,MATCH('Ingest Template'!E716,DropDown!$J$2:$J$392,0))&amp;"|"&amp;'Ingest Template'!B716),(INDEX(DropDown!$L$2:$L$392,MATCH('Ingest Template'!E716,DropDown!$J$2:$J$392,0))&amp;"|"&amp;'Ingest Template'!B716)&amp;CHAR(10)&amp;'Ingest Template'!V716)</f>
        <v>#N/A</v>
      </c>
      <c r="X716" s="41" t="str">
        <f>'Ingest Template'!W716</f>
        <v/>
      </c>
      <c r="Y716" s="21" t="str">
        <f>SUBSTITUTE(SUBSTITUTE(SUBSTITUTE('Ingest Template'!X716,"http:",""),"https:",""),"/","")</f>
        <v/>
      </c>
      <c r="Z716" s="21" t="str">
        <f t="array" ref="Z716">IF('Ingest Template'!A716="Standard",(IF(ISBLANK('Ingest Template'!AA716),"", 'Ingest Template'!AA716&amp;"|DAR")),(IF(ISBLANK('Ingest Template'!AA716),"", 'Ingest Template'!AA716&amp;"|Film Ops")))</f>
        <v/>
      </c>
      <c r="AA716" s="21"/>
      <c r="AB716" s="21" t="str">
        <f>'Ingest Template'!M716</f>
        <v/>
      </c>
      <c r="AC716" s="21" t="str">
        <f>'Ingest Template'!Y716</f>
        <v/>
      </c>
      <c r="AD716" s="21" t="str">
        <f>'Ingest Template'!C716</f>
        <v/>
      </c>
      <c r="AE716" s="21" t="str">
        <f>'Ingest Template'!Z716</f>
        <v/>
      </c>
      <c r="AF716" s="29"/>
      <c r="AG716" s="21" t="str">
        <f t="array" ref="AG716">IF('Ingest Template'!A716="Standard",(CONCATENATE(IF(ISBLANK('Ingest Template'!O716),"", 'Ingest Template'!O716&amp;"|DAR"),CHAR(10), IF(ISBLANK('Ingest Template'!P716),"", 'Ingest Template'!P716&amp;"|DAR"),CHAR(10), IF(ISBLANK('Ingest Template'!Q716),"", 'Ingest Template'!Q716&amp;"|DAR"))),(CONCATENATE(IF(ISBLANK('Ingest Template'!O716),"", 'Ingest Template'!O716&amp;"|Operations - Core Title"),CHAR(10), IF(ISBLANK('Ingest Template'!P716),"", 'Ingest Template'!P716&amp;"|Operations - Core Title"),CHAR(10), IF(ISBLANK('Ingest Template'!Q716),"", 'Ingest Template'!Q716&amp;"|Operations - Core Title"))))</f>
        <v>#|Operations - Core Title
#|Operations - Core Title
</v>
      </c>
      <c r="AH716" s="21"/>
      <c r="AI716" s="21"/>
      <c r="AJ716" s="53" t="str">
        <f>if('Ingest Template'!A716="Standard",'Ingest Template'!N716&amp; "|DAR|DAR|2021-01-01",'Ingest Template'!N716&amp; "|Operations - Core Title|Operations - Core Title")</f>
        <v>#N/A</v>
      </c>
      <c r="AK716" s="53" t="str">
        <f>if('Ingest Template'!A716="Standard",'Ingest Template'!R716&amp; "|2021-01-01",'Ingest Template'!R716)</f>
        <v>#N/A</v>
      </c>
      <c r="AL716" s="21"/>
      <c r="AM716" s="21"/>
    </row>
    <row r="717">
      <c r="A717" s="21"/>
      <c r="B717" s="21" t="str">
        <f>'Ingest Template'!B717&amp;IF('Ingest Template'!A717 = "Standard", " - DAR","")</f>
        <v/>
      </c>
      <c r="C717" s="26" t="s">
        <v>109</v>
      </c>
      <c r="D717" s="29" t="str">
        <f t="array" ref="D717">CONCATENATE(INDEX(DropDown!$H$2:$H$10,MATCH(1,COUNTIF('Ingest Template'!F717,"*"&amp;DropDown!$H$2:$H$10&amp;"*"),0)),CHAR(10),'Ingest Template'!G717)</f>
        <v>#N/A</v>
      </c>
      <c r="E717" s="21" t="str">
        <f>CONCATENATE('Ingest Template'!H717,CHAR(10),'Ingest Template'!I717,CHAR(10),'Ingest Template'!J717)</f>
        <v>
</v>
      </c>
      <c r="F717" s="26" t="str">
        <f>'Ingest Template'!H717</f>
        <v/>
      </c>
      <c r="G717" s="21"/>
      <c r="H717" s="29"/>
      <c r="I717" s="21"/>
      <c r="J717" s="29" t="str">
        <f t="array" ref="J717">iF('Ingest Template'!A717="Standard","Pristine Brand",INDEX(DropDown!$M$2:$M$392,MATCH('Ingest Template'!E717,DropDown!$J$2:$J$392,0)))</f>
        <v>#N/A</v>
      </c>
      <c r="K717" s="21" t="str">
        <f>iF('Ingest Template'!A717="Standard",'Ingest Template'!K717&amp;CHAR(10)&amp;'Ingest Template'!L717,"Competitive View")</f>
        <v>Competitive View</v>
      </c>
      <c r="L717" s="29" t="s">
        <v>146</v>
      </c>
      <c r="M717" s="37" t="str">
        <f>'Ingest Template'!D717</f>
        <v/>
      </c>
      <c r="N717" s="21"/>
      <c r="O717" s="21"/>
      <c r="P717" s="21"/>
      <c r="Q717" s="21"/>
      <c r="R717" s="21" t="str">
        <f>'Ingest Template'!E717</f>
        <v/>
      </c>
      <c r="S717" s="29" t="s">
        <v>153</v>
      </c>
      <c r="T717" s="21" t="str">
        <f>'Ingest Template'!T717</f>
        <v/>
      </c>
      <c r="U717" s="21" t="str">
        <f>'Ingest Template'!S717</f>
        <v/>
      </c>
      <c r="V717" s="21" t="str">
        <f>LOWER(SUBSTITUTE(SUBSTITUTE(SUBSTITUTE(SUBSTITUTE(SUBSTITUTE('Ingest Template'!U717,"https:",""),"www.",""),"/",""),"?hl=en",""),"instagram.com",""))</f>
        <v/>
      </c>
      <c r="W717" s="41" t="str">
        <f t="array" ref="W717">IF('Ingest Template'!V717="",(INDEX(DropDown!$L$2:$L$392,MATCH('Ingest Template'!E717,DropDown!$J$2:$J$392,0))&amp;"|"&amp;'Ingest Template'!B717),(INDEX(DropDown!$L$2:$L$392,MATCH('Ingest Template'!E717,DropDown!$J$2:$J$392,0))&amp;"|"&amp;'Ingest Template'!B717)&amp;CHAR(10)&amp;'Ingest Template'!V717)</f>
        <v>#N/A</v>
      </c>
      <c r="X717" s="41" t="str">
        <f>'Ingest Template'!W717</f>
        <v/>
      </c>
      <c r="Y717" s="21" t="str">
        <f>SUBSTITUTE(SUBSTITUTE(SUBSTITUTE('Ingest Template'!X717,"http:",""),"https:",""),"/","")</f>
        <v/>
      </c>
      <c r="Z717" s="21" t="str">
        <f t="array" ref="Z717">IF('Ingest Template'!A717="Standard",(IF(ISBLANK('Ingest Template'!AA717),"", 'Ingest Template'!AA717&amp;"|DAR")),(IF(ISBLANK('Ingest Template'!AA717),"", 'Ingest Template'!AA717&amp;"|Film Ops")))</f>
        <v/>
      </c>
      <c r="AA717" s="21"/>
      <c r="AB717" s="21" t="str">
        <f>'Ingest Template'!M717</f>
        <v/>
      </c>
      <c r="AC717" s="21" t="str">
        <f>'Ingest Template'!Y717</f>
        <v/>
      </c>
      <c r="AD717" s="21" t="str">
        <f>'Ingest Template'!C717</f>
        <v/>
      </c>
      <c r="AE717" s="21" t="str">
        <f>'Ingest Template'!Z717</f>
        <v/>
      </c>
      <c r="AF717" s="29"/>
      <c r="AG717" s="21" t="str">
        <f t="array" ref="AG717">IF('Ingest Template'!A717="Standard",(CONCATENATE(IF(ISBLANK('Ingest Template'!O717),"", 'Ingest Template'!O717&amp;"|DAR"),CHAR(10), IF(ISBLANK('Ingest Template'!P717),"", 'Ingest Template'!P717&amp;"|DAR"),CHAR(10), IF(ISBLANK('Ingest Template'!Q717),"", 'Ingest Template'!Q717&amp;"|DAR"))),(CONCATENATE(IF(ISBLANK('Ingest Template'!O717),"", 'Ingest Template'!O717&amp;"|Operations - Core Title"),CHAR(10), IF(ISBLANK('Ingest Template'!P717),"", 'Ingest Template'!P717&amp;"|Operations - Core Title"),CHAR(10), IF(ISBLANK('Ingest Template'!Q717),"", 'Ingest Template'!Q717&amp;"|Operations - Core Title"))))</f>
        <v>#|Operations - Core Title
#|Operations - Core Title
</v>
      </c>
      <c r="AH717" s="21"/>
      <c r="AI717" s="21"/>
      <c r="AJ717" s="53" t="str">
        <f>if('Ingest Template'!A717="Standard",'Ingest Template'!N717&amp; "|DAR|DAR|2021-01-01",'Ingest Template'!N717&amp; "|Operations - Core Title|Operations - Core Title")</f>
        <v>#N/A</v>
      </c>
      <c r="AK717" s="53" t="str">
        <f>if('Ingest Template'!A717="Standard",'Ingest Template'!R717&amp; "|2021-01-01",'Ingest Template'!R717)</f>
        <v>#N/A</v>
      </c>
      <c r="AL717" s="21"/>
      <c r="AM717" s="21"/>
    </row>
    <row r="718">
      <c r="A718" s="21"/>
      <c r="B718" s="21" t="str">
        <f>'Ingest Template'!B718&amp;IF('Ingest Template'!A718 = "Standard", " - DAR","")</f>
        <v/>
      </c>
      <c r="C718" s="26" t="s">
        <v>109</v>
      </c>
      <c r="D718" s="29" t="str">
        <f t="array" ref="D718">CONCATENATE(INDEX(DropDown!$H$2:$H$10,MATCH(1,COUNTIF('Ingest Template'!F718,"*"&amp;DropDown!$H$2:$H$10&amp;"*"),0)),CHAR(10),'Ingest Template'!G718)</f>
        <v>#N/A</v>
      </c>
      <c r="E718" s="21" t="str">
        <f>CONCATENATE('Ingest Template'!H718,CHAR(10),'Ingest Template'!I718,CHAR(10),'Ingest Template'!J718)</f>
        <v>
</v>
      </c>
      <c r="F718" s="26" t="str">
        <f>'Ingest Template'!H718</f>
        <v/>
      </c>
      <c r="G718" s="21"/>
      <c r="H718" s="29"/>
      <c r="I718" s="21"/>
      <c r="J718" s="29" t="str">
        <f t="array" ref="J718">iF('Ingest Template'!A718="Standard","Pristine Brand",INDEX(DropDown!$M$2:$M$392,MATCH('Ingest Template'!E718,DropDown!$J$2:$J$392,0)))</f>
        <v>#N/A</v>
      </c>
      <c r="K718" s="21" t="str">
        <f>iF('Ingest Template'!A718="Standard",'Ingest Template'!K718&amp;CHAR(10)&amp;'Ingest Template'!L718,"Competitive View")</f>
        <v>Competitive View</v>
      </c>
      <c r="L718" s="29" t="s">
        <v>146</v>
      </c>
      <c r="M718" s="37" t="str">
        <f>'Ingest Template'!D718</f>
        <v/>
      </c>
      <c r="N718" s="21"/>
      <c r="O718" s="21"/>
      <c r="P718" s="21"/>
      <c r="Q718" s="21"/>
      <c r="R718" s="21" t="str">
        <f>'Ingest Template'!E718</f>
        <v/>
      </c>
      <c r="S718" s="29" t="s">
        <v>153</v>
      </c>
      <c r="T718" s="21" t="str">
        <f>'Ingest Template'!T718</f>
        <v/>
      </c>
      <c r="U718" s="21" t="str">
        <f>'Ingest Template'!S718</f>
        <v/>
      </c>
      <c r="V718" s="21" t="str">
        <f>LOWER(SUBSTITUTE(SUBSTITUTE(SUBSTITUTE(SUBSTITUTE(SUBSTITUTE('Ingest Template'!U718,"https:",""),"www.",""),"/",""),"?hl=en",""),"instagram.com",""))</f>
        <v/>
      </c>
      <c r="W718" s="41" t="str">
        <f t="array" ref="W718">IF('Ingest Template'!V718="",(INDEX(DropDown!$L$2:$L$392,MATCH('Ingest Template'!E718,DropDown!$J$2:$J$392,0))&amp;"|"&amp;'Ingest Template'!B718),(INDEX(DropDown!$L$2:$L$392,MATCH('Ingest Template'!E718,DropDown!$J$2:$J$392,0))&amp;"|"&amp;'Ingest Template'!B718)&amp;CHAR(10)&amp;'Ingest Template'!V718)</f>
        <v>#N/A</v>
      </c>
      <c r="X718" s="41" t="str">
        <f>'Ingest Template'!W718</f>
        <v/>
      </c>
      <c r="Y718" s="21" t="str">
        <f>SUBSTITUTE(SUBSTITUTE(SUBSTITUTE('Ingest Template'!X718,"http:",""),"https:",""),"/","")</f>
        <v/>
      </c>
      <c r="Z718" s="21" t="str">
        <f t="array" ref="Z718">IF('Ingest Template'!A718="Standard",(IF(ISBLANK('Ingest Template'!AA718),"", 'Ingest Template'!AA718&amp;"|DAR")),(IF(ISBLANK('Ingest Template'!AA718),"", 'Ingest Template'!AA718&amp;"|Film Ops")))</f>
        <v/>
      </c>
      <c r="AA718" s="21"/>
      <c r="AB718" s="21" t="str">
        <f>'Ingest Template'!M718</f>
        <v/>
      </c>
      <c r="AC718" s="21" t="str">
        <f>'Ingest Template'!Y718</f>
        <v/>
      </c>
      <c r="AD718" s="21" t="str">
        <f>'Ingest Template'!C718</f>
        <v/>
      </c>
      <c r="AE718" s="21" t="str">
        <f>'Ingest Template'!Z718</f>
        <v/>
      </c>
      <c r="AF718" s="29"/>
      <c r="AG718" s="21" t="str">
        <f t="array" ref="AG718">IF('Ingest Template'!A718="Standard",(CONCATENATE(IF(ISBLANK('Ingest Template'!O718),"", 'Ingest Template'!O718&amp;"|DAR"),CHAR(10), IF(ISBLANK('Ingest Template'!P718),"", 'Ingest Template'!P718&amp;"|DAR"),CHAR(10), IF(ISBLANK('Ingest Template'!Q718),"", 'Ingest Template'!Q718&amp;"|DAR"))),(CONCATENATE(IF(ISBLANK('Ingest Template'!O718),"", 'Ingest Template'!O718&amp;"|Operations - Core Title"),CHAR(10), IF(ISBLANK('Ingest Template'!P718),"", 'Ingest Template'!P718&amp;"|Operations - Core Title"),CHAR(10), IF(ISBLANK('Ingest Template'!Q718),"", 'Ingest Template'!Q718&amp;"|Operations - Core Title"))))</f>
        <v>#|Operations - Core Title
#|Operations - Core Title
</v>
      </c>
      <c r="AH718" s="21"/>
      <c r="AI718" s="21"/>
      <c r="AJ718" s="53" t="str">
        <f>if('Ingest Template'!A718="Standard",'Ingest Template'!N718&amp; "|DAR|DAR|2021-01-01",'Ingest Template'!N718&amp; "|Operations - Core Title|Operations - Core Title")</f>
        <v>#N/A</v>
      </c>
      <c r="AK718" s="53" t="str">
        <f>if('Ingest Template'!A718="Standard",'Ingest Template'!R718&amp; "|2021-01-01",'Ingest Template'!R718)</f>
        <v>#N/A</v>
      </c>
      <c r="AL718" s="21"/>
      <c r="AM718" s="21"/>
    </row>
    <row r="719">
      <c r="A719" s="21"/>
      <c r="B719" s="21" t="str">
        <f>'Ingest Template'!B719&amp;IF('Ingest Template'!A719 = "Standard", " - DAR","")</f>
        <v/>
      </c>
      <c r="C719" s="26" t="s">
        <v>109</v>
      </c>
      <c r="D719" s="29" t="str">
        <f t="array" ref="D719">CONCATENATE(INDEX(DropDown!$H$2:$H$10,MATCH(1,COUNTIF('Ingest Template'!F719,"*"&amp;DropDown!$H$2:$H$10&amp;"*"),0)),CHAR(10),'Ingest Template'!G719)</f>
        <v>#N/A</v>
      </c>
      <c r="E719" s="21" t="str">
        <f>CONCATENATE('Ingest Template'!H719,CHAR(10),'Ingest Template'!I719,CHAR(10),'Ingest Template'!J719)</f>
        <v>
</v>
      </c>
      <c r="F719" s="26" t="str">
        <f>'Ingest Template'!H719</f>
        <v/>
      </c>
      <c r="G719" s="21"/>
      <c r="H719" s="29"/>
      <c r="I719" s="21"/>
      <c r="J719" s="29" t="str">
        <f t="array" ref="J719">iF('Ingest Template'!A719="Standard","Pristine Brand",INDEX(DropDown!$M$2:$M$392,MATCH('Ingest Template'!E719,DropDown!$J$2:$J$392,0)))</f>
        <v>#N/A</v>
      </c>
      <c r="K719" s="21" t="str">
        <f>iF('Ingest Template'!A719="Standard",'Ingest Template'!K719&amp;CHAR(10)&amp;'Ingest Template'!L719,"Competitive View")</f>
        <v>Competitive View</v>
      </c>
      <c r="L719" s="29" t="s">
        <v>146</v>
      </c>
      <c r="M719" s="37" t="str">
        <f>'Ingest Template'!D719</f>
        <v/>
      </c>
      <c r="N719" s="21"/>
      <c r="O719" s="21"/>
      <c r="P719" s="21"/>
      <c r="Q719" s="21"/>
      <c r="R719" s="21" t="str">
        <f>'Ingest Template'!E719</f>
        <v/>
      </c>
      <c r="S719" s="29" t="s">
        <v>153</v>
      </c>
      <c r="T719" s="21" t="str">
        <f>'Ingest Template'!T719</f>
        <v/>
      </c>
      <c r="U719" s="21" t="str">
        <f>'Ingest Template'!S719</f>
        <v/>
      </c>
      <c r="V719" s="21" t="str">
        <f>LOWER(SUBSTITUTE(SUBSTITUTE(SUBSTITUTE(SUBSTITUTE(SUBSTITUTE('Ingest Template'!U719,"https:",""),"www.",""),"/",""),"?hl=en",""),"instagram.com",""))</f>
        <v/>
      </c>
      <c r="W719" s="41" t="str">
        <f t="array" ref="W719">IF('Ingest Template'!V719="",(INDEX(DropDown!$L$2:$L$392,MATCH('Ingest Template'!E719,DropDown!$J$2:$J$392,0))&amp;"|"&amp;'Ingest Template'!B719),(INDEX(DropDown!$L$2:$L$392,MATCH('Ingest Template'!E719,DropDown!$J$2:$J$392,0))&amp;"|"&amp;'Ingest Template'!B719)&amp;CHAR(10)&amp;'Ingest Template'!V719)</f>
        <v>#N/A</v>
      </c>
      <c r="X719" s="41" t="str">
        <f>'Ingest Template'!W719</f>
        <v/>
      </c>
      <c r="Y719" s="21" t="str">
        <f>SUBSTITUTE(SUBSTITUTE(SUBSTITUTE('Ingest Template'!X719,"http:",""),"https:",""),"/","")</f>
        <v/>
      </c>
      <c r="Z719" s="21" t="str">
        <f t="array" ref="Z719">IF('Ingest Template'!A719="Standard",(IF(ISBLANK('Ingest Template'!AA719),"", 'Ingest Template'!AA719&amp;"|DAR")),(IF(ISBLANK('Ingest Template'!AA719),"", 'Ingest Template'!AA719&amp;"|Film Ops")))</f>
        <v/>
      </c>
      <c r="AA719" s="21"/>
      <c r="AB719" s="21" t="str">
        <f>'Ingest Template'!M719</f>
        <v/>
      </c>
      <c r="AC719" s="21" t="str">
        <f>'Ingest Template'!Y719</f>
        <v/>
      </c>
      <c r="AD719" s="21" t="str">
        <f>'Ingest Template'!C719</f>
        <v/>
      </c>
      <c r="AE719" s="21" t="str">
        <f>'Ingest Template'!Z719</f>
        <v/>
      </c>
      <c r="AF719" s="29"/>
      <c r="AG719" s="21" t="str">
        <f t="array" ref="AG719">IF('Ingest Template'!A719="Standard",(CONCATENATE(IF(ISBLANK('Ingest Template'!O719),"", 'Ingest Template'!O719&amp;"|DAR"),CHAR(10), IF(ISBLANK('Ingest Template'!P719),"", 'Ingest Template'!P719&amp;"|DAR"),CHAR(10), IF(ISBLANK('Ingest Template'!Q719),"", 'Ingest Template'!Q719&amp;"|DAR"))),(CONCATENATE(IF(ISBLANK('Ingest Template'!O719),"", 'Ingest Template'!O719&amp;"|Operations - Core Title"),CHAR(10), IF(ISBLANK('Ingest Template'!P719),"", 'Ingest Template'!P719&amp;"|Operations - Core Title"),CHAR(10), IF(ISBLANK('Ingest Template'!Q719),"", 'Ingest Template'!Q719&amp;"|Operations - Core Title"))))</f>
        <v>#|Operations - Core Title
#|Operations - Core Title
</v>
      </c>
      <c r="AH719" s="21"/>
      <c r="AI719" s="21"/>
      <c r="AJ719" s="53" t="str">
        <f>if('Ingest Template'!A719="Standard",'Ingest Template'!N719&amp; "|DAR|DAR|2021-01-01",'Ingest Template'!N719&amp; "|Operations - Core Title|Operations - Core Title")</f>
        <v>#N/A</v>
      </c>
      <c r="AK719" s="53" t="str">
        <f>if('Ingest Template'!A719="Standard",'Ingest Template'!R719&amp; "|2021-01-01",'Ingest Template'!R719)</f>
        <v>#N/A</v>
      </c>
      <c r="AL719" s="21"/>
      <c r="AM719" s="21"/>
    </row>
    <row r="720">
      <c r="A720" s="21"/>
      <c r="B720" s="21" t="str">
        <f>'Ingest Template'!B720&amp;IF('Ingest Template'!A720 = "Standard", " - DAR","")</f>
        <v/>
      </c>
      <c r="C720" s="26" t="s">
        <v>109</v>
      </c>
      <c r="D720" s="29" t="str">
        <f t="array" ref="D720">CONCATENATE(INDEX(DropDown!$H$2:$H$10,MATCH(1,COUNTIF('Ingest Template'!F720,"*"&amp;DropDown!$H$2:$H$10&amp;"*"),0)),CHAR(10),'Ingest Template'!G720)</f>
        <v>#N/A</v>
      </c>
      <c r="E720" s="21" t="str">
        <f>CONCATENATE('Ingest Template'!H720,CHAR(10),'Ingest Template'!I720,CHAR(10),'Ingest Template'!J720)</f>
        <v>
</v>
      </c>
      <c r="F720" s="26" t="str">
        <f>'Ingest Template'!H720</f>
        <v/>
      </c>
      <c r="G720" s="21"/>
      <c r="H720" s="29"/>
      <c r="I720" s="21"/>
      <c r="J720" s="29" t="str">
        <f t="array" ref="J720">iF('Ingest Template'!A720="Standard","Pristine Brand",INDEX(DropDown!$M$2:$M$392,MATCH('Ingest Template'!E720,DropDown!$J$2:$J$392,0)))</f>
        <v>#N/A</v>
      </c>
      <c r="K720" s="21" t="str">
        <f>iF('Ingest Template'!A720="Standard",'Ingest Template'!K720&amp;CHAR(10)&amp;'Ingest Template'!L720,"Competitive View")</f>
        <v>Competitive View</v>
      </c>
      <c r="L720" s="29" t="s">
        <v>146</v>
      </c>
      <c r="M720" s="37" t="str">
        <f>'Ingest Template'!D720</f>
        <v/>
      </c>
      <c r="N720" s="21"/>
      <c r="O720" s="21"/>
      <c r="P720" s="21"/>
      <c r="Q720" s="21"/>
      <c r="R720" s="21" t="str">
        <f>'Ingest Template'!E720</f>
        <v/>
      </c>
      <c r="S720" s="29" t="s">
        <v>153</v>
      </c>
      <c r="T720" s="21" t="str">
        <f>'Ingest Template'!T720</f>
        <v/>
      </c>
      <c r="U720" s="21" t="str">
        <f>'Ingest Template'!S720</f>
        <v/>
      </c>
      <c r="V720" s="21" t="str">
        <f>LOWER(SUBSTITUTE(SUBSTITUTE(SUBSTITUTE(SUBSTITUTE(SUBSTITUTE('Ingest Template'!U720,"https:",""),"www.",""),"/",""),"?hl=en",""),"instagram.com",""))</f>
        <v/>
      </c>
      <c r="W720" s="41" t="str">
        <f t="array" ref="W720">IF('Ingest Template'!V720="",(INDEX(DropDown!$L$2:$L$392,MATCH('Ingest Template'!E720,DropDown!$J$2:$J$392,0))&amp;"|"&amp;'Ingest Template'!B720),(INDEX(DropDown!$L$2:$L$392,MATCH('Ingest Template'!E720,DropDown!$J$2:$J$392,0))&amp;"|"&amp;'Ingest Template'!B720)&amp;CHAR(10)&amp;'Ingest Template'!V720)</f>
        <v>#N/A</v>
      </c>
      <c r="X720" s="41" t="str">
        <f>'Ingest Template'!W720</f>
        <v/>
      </c>
      <c r="Y720" s="21" t="str">
        <f>SUBSTITUTE(SUBSTITUTE(SUBSTITUTE('Ingest Template'!X720,"http:",""),"https:",""),"/","")</f>
        <v/>
      </c>
      <c r="Z720" s="21" t="str">
        <f t="array" ref="Z720">IF('Ingest Template'!A720="Standard",(IF(ISBLANK('Ingest Template'!AA720),"", 'Ingest Template'!AA720&amp;"|DAR")),(IF(ISBLANK('Ingest Template'!AA720),"", 'Ingest Template'!AA720&amp;"|Film Ops")))</f>
        <v/>
      </c>
      <c r="AA720" s="21"/>
      <c r="AB720" s="21" t="str">
        <f>'Ingest Template'!M720</f>
        <v/>
      </c>
      <c r="AC720" s="21" t="str">
        <f>'Ingest Template'!Y720</f>
        <v/>
      </c>
      <c r="AD720" s="21" t="str">
        <f>'Ingest Template'!C720</f>
        <v/>
      </c>
      <c r="AE720" s="21" t="str">
        <f>'Ingest Template'!Z720</f>
        <v/>
      </c>
      <c r="AF720" s="29"/>
      <c r="AG720" s="21" t="str">
        <f t="array" ref="AG720">IF('Ingest Template'!A720="Standard",(CONCATENATE(IF(ISBLANK('Ingest Template'!O720),"", 'Ingest Template'!O720&amp;"|DAR"),CHAR(10), IF(ISBLANK('Ingest Template'!P720),"", 'Ingest Template'!P720&amp;"|DAR"),CHAR(10), IF(ISBLANK('Ingest Template'!Q720),"", 'Ingest Template'!Q720&amp;"|DAR"))),(CONCATENATE(IF(ISBLANK('Ingest Template'!O720),"", 'Ingest Template'!O720&amp;"|Operations - Core Title"),CHAR(10), IF(ISBLANK('Ingest Template'!P720),"", 'Ingest Template'!P720&amp;"|Operations - Core Title"),CHAR(10), IF(ISBLANK('Ingest Template'!Q720),"", 'Ingest Template'!Q720&amp;"|Operations - Core Title"))))</f>
        <v>#|Operations - Core Title
#|Operations - Core Title
</v>
      </c>
      <c r="AH720" s="21"/>
      <c r="AI720" s="21"/>
      <c r="AJ720" s="53" t="str">
        <f>if('Ingest Template'!A720="Standard",'Ingest Template'!N720&amp; "|DAR|DAR|2021-01-01",'Ingest Template'!N720&amp; "|Operations - Core Title|Operations - Core Title")</f>
        <v>#N/A</v>
      </c>
      <c r="AK720" s="53" t="str">
        <f>if('Ingest Template'!A720="Standard",'Ingest Template'!R720&amp; "|2021-01-01",'Ingest Template'!R720)</f>
        <v>#N/A</v>
      </c>
      <c r="AL720" s="21"/>
      <c r="AM720" s="21"/>
    </row>
    <row r="721">
      <c r="A721" s="21"/>
      <c r="B721" s="21" t="str">
        <f>'Ingest Template'!B721&amp;IF('Ingest Template'!A721 = "Standard", " - DAR","")</f>
        <v/>
      </c>
      <c r="C721" s="26" t="s">
        <v>109</v>
      </c>
      <c r="D721" s="29" t="str">
        <f t="array" ref="D721">CONCATENATE(INDEX(DropDown!$H$2:$H$10,MATCH(1,COUNTIF('Ingest Template'!F721,"*"&amp;DropDown!$H$2:$H$10&amp;"*"),0)),CHAR(10),'Ingest Template'!G721)</f>
        <v>#N/A</v>
      </c>
      <c r="E721" s="21" t="str">
        <f>CONCATENATE('Ingest Template'!H721,CHAR(10),'Ingest Template'!I721,CHAR(10),'Ingest Template'!J721)</f>
        <v>
</v>
      </c>
      <c r="F721" s="26" t="str">
        <f>'Ingest Template'!H721</f>
        <v/>
      </c>
      <c r="G721" s="21"/>
      <c r="H721" s="29"/>
      <c r="I721" s="21"/>
      <c r="J721" s="29" t="str">
        <f t="array" ref="J721">iF('Ingest Template'!A721="Standard","Pristine Brand",INDEX(DropDown!$M$2:$M$392,MATCH('Ingest Template'!E721,DropDown!$J$2:$J$392,0)))</f>
        <v>#N/A</v>
      </c>
      <c r="K721" s="21" t="str">
        <f>iF('Ingest Template'!A721="Standard",'Ingest Template'!K721&amp;CHAR(10)&amp;'Ingest Template'!L721,"Competitive View")</f>
        <v>Competitive View</v>
      </c>
      <c r="L721" s="29" t="s">
        <v>146</v>
      </c>
      <c r="M721" s="37" t="str">
        <f>'Ingest Template'!D721</f>
        <v/>
      </c>
      <c r="N721" s="21"/>
      <c r="O721" s="21"/>
      <c r="P721" s="21"/>
      <c r="Q721" s="21"/>
      <c r="R721" s="21" t="str">
        <f>'Ingest Template'!E721</f>
        <v/>
      </c>
      <c r="S721" s="29" t="s">
        <v>153</v>
      </c>
      <c r="T721" s="21" t="str">
        <f>'Ingest Template'!T721</f>
        <v/>
      </c>
      <c r="U721" s="21" t="str">
        <f>'Ingest Template'!S721</f>
        <v/>
      </c>
      <c r="V721" s="21" t="str">
        <f>LOWER(SUBSTITUTE(SUBSTITUTE(SUBSTITUTE(SUBSTITUTE(SUBSTITUTE('Ingest Template'!U721,"https:",""),"www.",""),"/",""),"?hl=en",""),"instagram.com",""))</f>
        <v/>
      </c>
      <c r="W721" s="41" t="str">
        <f t="array" ref="W721">IF('Ingest Template'!V721="",(INDEX(DropDown!$L$2:$L$392,MATCH('Ingest Template'!E721,DropDown!$J$2:$J$392,0))&amp;"|"&amp;'Ingest Template'!B721),(INDEX(DropDown!$L$2:$L$392,MATCH('Ingest Template'!E721,DropDown!$J$2:$J$392,0))&amp;"|"&amp;'Ingest Template'!B721)&amp;CHAR(10)&amp;'Ingest Template'!V721)</f>
        <v>#N/A</v>
      </c>
      <c r="X721" s="41" t="str">
        <f>'Ingest Template'!W721</f>
        <v/>
      </c>
      <c r="Y721" s="21" t="str">
        <f>SUBSTITUTE(SUBSTITUTE(SUBSTITUTE('Ingest Template'!X721,"http:",""),"https:",""),"/","")</f>
        <v/>
      </c>
      <c r="Z721" s="21" t="str">
        <f t="array" ref="Z721">IF('Ingest Template'!A721="Standard",(IF(ISBLANK('Ingest Template'!AA721),"", 'Ingest Template'!AA721&amp;"|DAR")),(IF(ISBLANK('Ingest Template'!AA721),"", 'Ingest Template'!AA721&amp;"|Film Ops")))</f>
        <v/>
      </c>
      <c r="AA721" s="21"/>
      <c r="AB721" s="21" t="str">
        <f>'Ingest Template'!M721</f>
        <v/>
      </c>
      <c r="AC721" s="21" t="str">
        <f>'Ingest Template'!Y721</f>
        <v/>
      </c>
      <c r="AD721" s="21" t="str">
        <f>'Ingest Template'!C721</f>
        <v/>
      </c>
      <c r="AE721" s="21" t="str">
        <f>'Ingest Template'!Z721</f>
        <v/>
      </c>
      <c r="AF721" s="29"/>
      <c r="AG721" s="21" t="str">
        <f t="array" ref="AG721">IF('Ingest Template'!A721="Standard",(CONCATENATE(IF(ISBLANK('Ingest Template'!O721),"", 'Ingest Template'!O721&amp;"|DAR"),CHAR(10), IF(ISBLANK('Ingest Template'!P721),"", 'Ingest Template'!P721&amp;"|DAR"),CHAR(10), IF(ISBLANK('Ingest Template'!Q721),"", 'Ingest Template'!Q721&amp;"|DAR"))),(CONCATENATE(IF(ISBLANK('Ingest Template'!O721),"", 'Ingest Template'!O721&amp;"|Operations - Core Title"),CHAR(10), IF(ISBLANK('Ingest Template'!P721),"", 'Ingest Template'!P721&amp;"|Operations - Core Title"),CHAR(10), IF(ISBLANK('Ingest Template'!Q721),"", 'Ingest Template'!Q721&amp;"|Operations - Core Title"))))</f>
        <v>#|Operations - Core Title
#|Operations - Core Title
</v>
      </c>
      <c r="AH721" s="21"/>
      <c r="AI721" s="21"/>
      <c r="AJ721" s="53" t="str">
        <f>if('Ingest Template'!A721="Standard",'Ingest Template'!N721&amp; "|DAR|DAR|2021-01-01",'Ingest Template'!N721&amp; "|Operations - Core Title|Operations - Core Title")</f>
        <v>#N/A</v>
      </c>
      <c r="AK721" s="53" t="str">
        <f>if('Ingest Template'!A721="Standard",'Ingest Template'!R721&amp; "|2021-01-01",'Ingest Template'!R721)</f>
        <v>#N/A</v>
      </c>
      <c r="AL721" s="21"/>
      <c r="AM721" s="21"/>
    </row>
    <row r="722">
      <c r="A722" s="21"/>
      <c r="B722" s="21" t="str">
        <f>'Ingest Template'!B722&amp;IF('Ingest Template'!A722 = "Standard", " - DAR","")</f>
        <v/>
      </c>
      <c r="C722" s="26" t="s">
        <v>109</v>
      </c>
      <c r="D722" s="29" t="str">
        <f t="array" ref="D722">CONCATENATE(INDEX(DropDown!$H$2:$H$10,MATCH(1,COUNTIF('Ingest Template'!F722,"*"&amp;DropDown!$H$2:$H$10&amp;"*"),0)),CHAR(10),'Ingest Template'!G722)</f>
        <v>#N/A</v>
      </c>
      <c r="E722" s="21" t="str">
        <f>CONCATENATE('Ingest Template'!H722,CHAR(10),'Ingest Template'!I722,CHAR(10),'Ingest Template'!J722)</f>
        <v>
</v>
      </c>
      <c r="F722" s="26" t="str">
        <f>'Ingest Template'!H722</f>
        <v/>
      </c>
      <c r="G722" s="21"/>
      <c r="H722" s="29"/>
      <c r="I722" s="21"/>
      <c r="J722" s="29" t="str">
        <f t="array" ref="J722">iF('Ingest Template'!A722="Standard","Pristine Brand",INDEX(DropDown!$M$2:$M$392,MATCH('Ingest Template'!E722,DropDown!$J$2:$J$392,0)))</f>
        <v>#N/A</v>
      </c>
      <c r="K722" s="21" t="str">
        <f>iF('Ingest Template'!A722="Standard",'Ingest Template'!K722&amp;CHAR(10)&amp;'Ingest Template'!L722,"Competitive View")</f>
        <v>Competitive View</v>
      </c>
      <c r="L722" s="29" t="s">
        <v>146</v>
      </c>
      <c r="M722" s="37" t="str">
        <f>'Ingest Template'!D722</f>
        <v/>
      </c>
      <c r="N722" s="21"/>
      <c r="O722" s="21"/>
      <c r="P722" s="21"/>
      <c r="Q722" s="21"/>
      <c r="R722" s="21" t="str">
        <f>'Ingest Template'!E722</f>
        <v/>
      </c>
      <c r="S722" s="29" t="s">
        <v>153</v>
      </c>
      <c r="T722" s="21" t="str">
        <f>'Ingest Template'!T722</f>
        <v/>
      </c>
      <c r="U722" s="21" t="str">
        <f>'Ingest Template'!S722</f>
        <v/>
      </c>
      <c r="V722" s="21" t="str">
        <f>LOWER(SUBSTITUTE(SUBSTITUTE(SUBSTITUTE(SUBSTITUTE(SUBSTITUTE('Ingest Template'!U722,"https:",""),"www.",""),"/",""),"?hl=en",""),"instagram.com",""))</f>
        <v/>
      </c>
      <c r="W722" s="41" t="str">
        <f t="array" ref="W722">IF('Ingest Template'!V722="",(INDEX(DropDown!$L$2:$L$392,MATCH('Ingest Template'!E722,DropDown!$J$2:$J$392,0))&amp;"|"&amp;'Ingest Template'!B722),(INDEX(DropDown!$L$2:$L$392,MATCH('Ingest Template'!E722,DropDown!$J$2:$J$392,0))&amp;"|"&amp;'Ingest Template'!B722)&amp;CHAR(10)&amp;'Ingest Template'!V722)</f>
        <v>#N/A</v>
      </c>
      <c r="X722" s="41" t="str">
        <f>'Ingest Template'!W722</f>
        <v/>
      </c>
      <c r="Y722" s="21" t="str">
        <f>SUBSTITUTE(SUBSTITUTE(SUBSTITUTE('Ingest Template'!X722,"http:",""),"https:",""),"/","")</f>
        <v/>
      </c>
      <c r="Z722" s="21" t="str">
        <f t="array" ref="Z722">IF('Ingest Template'!A722="Standard",(IF(ISBLANK('Ingest Template'!AA722),"", 'Ingest Template'!AA722&amp;"|DAR")),(IF(ISBLANK('Ingest Template'!AA722),"", 'Ingest Template'!AA722&amp;"|Film Ops")))</f>
        <v/>
      </c>
      <c r="AA722" s="21"/>
      <c r="AB722" s="21" t="str">
        <f>'Ingest Template'!M722</f>
        <v/>
      </c>
      <c r="AC722" s="21" t="str">
        <f>'Ingest Template'!Y722</f>
        <v/>
      </c>
      <c r="AD722" s="21" t="str">
        <f>'Ingest Template'!C722</f>
        <v/>
      </c>
      <c r="AE722" s="21" t="str">
        <f>'Ingest Template'!Z722</f>
        <v/>
      </c>
      <c r="AF722" s="29"/>
      <c r="AG722" s="21" t="str">
        <f t="array" ref="AG722">IF('Ingest Template'!A722="Standard",(CONCATENATE(IF(ISBLANK('Ingest Template'!O722),"", 'Ingest Template'!O722&amp;"|DAR"),CHAR(10), IF(ISBLANK('Ingest Template'!P722),"", 'Ingest Template'!P722&amp;"|DAR"),CHAR(10), IF(ISBLANK('Ingest Template'!Q722),"", 'Ingest Template'!Q722&amp;"|DAR"))),(CONCATENATE(IF(ISBLANK('Ingest Template'!O722),"", 'Ingest Template'!O722&amp;"|Operations - Core Title"),CHAR(10), IF(ISBLANK('Ingest Template'!P722),"", 'Ingest Template'!P722&amp;"|Operations - Core Title"),CHAR(10), IF(ISBLANK('Ingest Template'!Q722),"", 'Ingest Template'!Q722&amp;"|Operations - Core Title"))))</f>
        <v>#|Operations - Core Title
#|Operations - Core Title
</v>
      </c>
      <c r="AH722" s="21"/>
      <c r="AI722" s="21"/>
      <c r="AJ722" s="53" t="str">
        <f>if('Ingest Template'!A722="Standard",'Ingest Template'!N722&amp; "|DAR|DAR|2021-01-01",'Ingest Template'!N722&amp; "|Operations - Core Title|Operations - Core Title")</f>
        <v>#N/A</v>
      </c>
      <c r="AK722" s="53" t="str">
        <f>if('Ingest Template'!A722="Standard",'Ingest Template'!R722&amp; "|2021-01-01",'Ingest Template'!R722)</f>
        <v>#N/A</v>
      </c>
      <c r="AL722" s="21"/>
      <c r="AM722" s="21"/>
    </row>
    <row r="723">
      <c r="A723" s="21"/>
      <c r="B723" s="21" t="str">
        <f>'Ingest Template'!B723&amp;IF('Ingest Template'!A723 = "Standard", " - DAR","")</f>
        <v/>
      </c>
      <c r="C723" s="26" t="s">
        <v>109</v>
      </c>
      <c r="D723" s="29" t="str">
        <f t="array" ref="D723">CONCATENATE(INDEX(DropDown!$H$2:$H$10,MATCH(1,COUNTIF('Ingest Template'!F723,"*"&amp;DropDown!$H$2:$H$10&amp;"*"),0)),CHAR(10),'Ingest Template'!G723)</f>
        <v>#N/A</v>
      </c>
      <c r="E723" s="21" t="str">
        <f>CONCATENATE('Ingest Template'!H723,CHAR(10),'Ingest Template'!I723,CHAR(10),'Ingest Template'!J723)</f>
        <v>
</v>
      </c>
      <c r="F723" s="26" t="str">
        <f>'Ingest Template'!H723</f>
        <v/>
      </c>
      <c r="G723" s="21"/>
      <c r="H723" s="29"/>
      <c r="I723" s="21"/>
      <c r="J723" s="29" t="str">
        <f t="array" ref="J723">iF('Ingest Template'!A723="Standard","Pristine Brand",INDEX(DropDown!$M$2:$M$392,MATCH('Ingest Template'!E723,DropDown!$J$2:$J$392,0)))</f>
        <v>#N/A</v>
      </c>
      <c r="K723" s="21" t="str">
        <f>iF('Ingest Template'!A723="Standard",'Ingest Template'!K723&amp;CHAR(10)&amp;'Ingest Template'!L723,"Competitive View")</f>
        <v>Competitive View</v>
      </c>
      <c r="L723" s="29" t="s">
        <v>146</v>
      </c>
      <c r="M723" s="37" t="str">
        <f>'Ingest Template'!D723</f>
        <v/>
      </c>
      <c r="N723" s="21"/>
      <c r="O723" s="21"/>
      <c r="P723" s="21"/>
      <c r="Q723" s="21"/>
      <c r="R723" s="21" t="str">
        <f>'Ingest Template'!E723</f>
        <v/>
      </c>
      <c r="S723" s="29" t="s">
        <v>153</v>
      </c>
      <c r="T723" s="21" t="str">
        <f>'Ingest Template'!T723</f>
        <v/>
      </c>
      <c r="U723" s="21" t="str">
        <f>'Ingest Template'!S723</f>
        <v/>
      </c>
      <c r="V723" s="21" t="str">
        <f>LOWER(SUBSTITUTE(SUBSTITUTE(SUBSTITUTE(SUBSTITUTE(SUBSTITUTE('Ingest Template'!U723,"https:",""),"www.",""),"/",""),"?hl=en",""),"instagram.com",""))</f>
        <v/>
      </c>
      <c r="W723" s="41" t="str">
        <f t="array" ref="W723">IF('Ingest Template'!V723="",(INDEX(DropDown!$L$2:$L$392,MATCH('Ingest Template'!E723,DropDown!$J$2:$J$392,0))&amp;"|"&amp;'Ingest Template'!B723),(INDEX(DropDown!$L$2:$L$392,MATCH('Ingest Template'!E723,DropDown!$J$2:$J$392,0))&amp;"|"&amp;'Ingest Template'!B723)&amp;CHAR(10)&amp;'Ingest Template'!V723)</f>
        <v>#N/A</v>
      </c>
      <c r="X723" s="41" t="str">
        <f>'Ingest Template'!W723</f>
        <v/>
      </c>
      <c r="Y723" s="21" t="str">
        <f>SUBSTITUTE(SUBSTITUTE(SUBSTITUTE('Ingest Template'!X723,"http:",""),"https:",""),"/","")</f>
        <v/>
      </c>
      <c r="Z723" s="21" t="str">
        <f t="array" ref="Z723">IF('Ingest Template'!A723="Standard",(IF(ISBLANK('Ingest Template'!AA723),"", 'Ingest Template'!AA723&amp;"|DAR")),(IF(ISBLANK('Ingest Template'!AA723),"", 'Ingest Template'!AA723&amp;"|Film Ops")))</f>
        <v/>
      </c>
      <c r="AA723" s="21"/>
      <c r="AB723" s="21" t="str">
        <f>'Ingest Template'!M723</f>
        <v/>
      </c>
      <c r="AC723" s="21" t="str">
        <f>'Ingest Template'!Y723</f>
        <v/>
      </c>
      <c r="AD723" s="21" t="str">
        <f>'Ingest Template'!C723</f>
        <v/>
      </c>
      <c r="AE723" s="21" t="str">
        <f>'Ingest Template'!Z723</f>
        <v/>
      </c>
      <c r="AF723" s="29"/>
      <c r="AG723" s="21" t="str">
        <f t="array" ref="AG723">IF('Ingest Template'!A723="Standard",(CONCATENATE(IF(ISBLANK('Ingest Template'!O723),"", 'Ingest Template'!O723&amp;"|DAR"),CHAR(10), IF(ISBLANK('Ingest Template'!P723),"", 'Ingest Template'!P723&amp;"|DAR"),CHAR(10), IF(ISBLANK('Ingest Template'!Q723),"", 'Ingest Template'!Q723&amp;"|DAR"))),(CONCATENATE(IF(ISBLANK('Ingest Template'!O723),"", 'Ingest Template'!O723&amp;"|Operations - Core Title"),CHAR(10), IF(ISBLANK('Ingest Template'!P723),"", 'Ingest Template'!P723&amp;"|Operations - Core Title"),CHAR(10), IF(ISBLANK('Ingest Template'!Q723),"", 'Ingest Template'!Q723&amp;"|Operations - Core Title"))))</f>
        <v>#|Operations - Core Title
#|Operations - Core Title
</v>
      </c>
      <c r="AH723" s="21"/>
      <c r="AI723" s="21"/>
      <c r="AJ723" s="53" t="str">
        <f>if('Ingest Template'!A723="Standard",'Ingest Template'!N723&amp; "|DAR|DAR|2021-01-01",'Ingest Template'!N723&amp; "|Operations - Core Title|Operations - Core Title")</f>
        <v>#N/A</v>
      </c>
      <c r="AK723" s="53" t="str">
        <f>if('Ingest Template'!A723="Standard",'Ingest Template'!R723&amp; "|2021-01-01",'Ingest Template'!R723)</f>
        <v>#N/A</v>
      </c>
      <c r="AL723" s="21"/>
      <c r="AM723" s="21"/>
    </row>
    <row r="724">
      <c r="A724" s="21"/>
      <c r="B724" s="21" t="str">
        <f>'Ingest Template'!B724&amp;IF('Ingest Template'!A724 = "Standard", " - DAR","")</f>
        <v/>
      </c>
      <c r="C724" s="26" t="s">
        <v>109</v>
      </c>
      <c r="D724" s="29" t="str">
        <f t="array" ref="D724">CONCATENATE(INDEX(DropDown!$H$2:$H$10,MATCH(1,COUNTIF('Ingest Template'!F724,"*"&amp;DropDown!$H$2:$H$10&amp;"*"),0)),CHAR(10),'Ingest Template'!G724)</f>
        <v>#N/A</v>
      </c>
      <c r="E724" s="21" t="str">
        <f>CONCATENATE('Ingest Template'!H724,CHAR(10),'Ingest Template'!I724,CHAR(10),'Ingest Template'!J724)</f>
        <v>
</v>
      </c>
      <c r="F724" s="26" t="str">
        <f>'Ingest Template'!H724</f>
        <v/>
      </c>
      <c r="G724" s="21"/>
      <c r="H724" s="29"/>
      <c r="I724" s="21"/>
      <c r="J724" s="29" t="str">
        <f t="array" ref="J724">iF('Ingest Template'!A724="Standard","Pristine Brand",INDEX(DropDown!$M$2:$M$392,MATCH('Ingest Template'!E724,DropDown!$J$2:$J$392,0)))</f>
        <v>#N/A</v>
      </c>
      <c r="K724" s="21" t="str">
        <f>iF('Ingest Template'!A724="Standard",'Ingest Template'!K724&amp;CHAR(10)&amp;'Ingest Template'!L724,"Competitive View")</f>
        <v>Competitive View</v>
      </c>
      <c r="L724" s="29" t="s">
        <v>146</v>
      </c>
      <c r="M724" s="37" t="str">
        <f>'Ingest Template'!D724</f>
        <v/>
      </c>
      <c r="N724" s="21"/>
      <c r="O724" s="21"/>
      <c r="P724" s="21"/>
      <c r="Q724" s="21"/>
      <c r="R724" s="21" t="str">
        <f>'Ingest Template'!E724</f>
        <v/>
      </c>
      <c r="S724" s="29" t="s">
        <v>153</v>
      </c>
      <c r="T724" s="21" t="str">
        <f>'Ingest Template'!T724</f>
        <v/>
      </c>
      <c r="U724" s="21" t="str">
        <f>'Ingest Template'!S724</f>
        <v/>
      </c>
      <c r="V724" s="21" t="str">
        <f>LOWER(SUBSTITUTE(SUBSTITUTE(SUBSTITUTE(SUBSTITUTE(SUBSTITUTE('Ingest Template'!U724,"https:",""),"www.",""),"/",""),"?hl=en",""),"instagram.com",""))</f>
        <v/>
      </c>
      <c r="W724" s="41" t="str">
        <f t="array" ref="W724">IF('Ingest Template'!V724="",(INDEX(DropDown!$L$2:$L$392,MATCH('Ingest Template'!E724,DropDown!$J$2:$J$392,0))&amp;"|"&amp;'Ingest Template'!B724),(INDEX(DropDown!$L$2:$L$392,MATCH('Ingest Template'!E724,DropDown!$J$2:$J$392,0))&amp;"|"&amp;'Ingest Template'!B724)&amp;CHAR(10)&amp;'Ingest Template'!V724)</f>
        <v>#N/A</v>
      </c>
      <c r="X724" s="41" t="str">
        <f>'Ingest Template'!W724</f>
        <v/>
      </c>
      <c r="Y724" s="21" t="str">
        <f>SUBSTITUTE(SUBSTITUTE(SUBSTITUTE('Ingest Template'!X724,"http:",""),"https:",""),"/","")</f>
        <v/>
      </c>
      <c r="Z724" s="21" t="str">
        <f t="array" ref="Z724">IF('Ingest Template'!A724="Standard",(IF(ISBLANK('Ingest Template'!AA724),"", 'Ingest Template'!AA724&amp;"|DAR")),(IF(ISBLANK('Ingest Template'!AA724),"", 'Ingest Template'!AA724&amp;"|Film Ops")))</f>
        <v/>
      </c>
      <c r="AA724" s="21"/>
      <c r="AB724" s="21" t="str">
        <f>'Ingest Template'!M724</f>
        <v/>
      </c>
      <c r="AC724" s="21" t="str">
        <f>'Ingest Template'!Y724</f>
        <v/>
      </c>
      <c r="AD724" s="21" t="str">
        <f>'Ingest Template'!C724</f>
        <v/>
      </c>
      <c r="AE724" s="21" t="str">
        <f>'Ingest Template'!Z724</f>
        <v/>
      </c>
      <c r="AF724" s="29"/>
      <c r="AG724" s="21" t="str">
        <f t="array" ref="AG724">IF('Ingest Template'!A724="Standard",(CONCATENATE(IF(ISBLANK('Ingest Template'!O724),"", 'Ingest Template'!O724&amp;"|DAR"),CHAR(10), IF(ISBLANK('Ingest Template'!P724),"", 'Ingest Template'!P724&amp;"|DAR"),CHAR(10), IF(ISBLANK('Ingest Template'!Q724),"", 'Ingest Template'!Q724&amp;"|DAR"))),(CONCATENATE(IF(ISBLANK('Ingest Template'!O724),"", 'Ingest Template'!O724&amp;"|Operations - Core Title"),CHAR(10), IF(ISBLANK('Ingest Template'!P724),"", 'Ingest Template'!P724&amp;"|Operations - Core Title"),CHAR(10), IF(ISBLANK('Ingest Template'!Q724),"", 'Ingest Template'!Q724&amp;"|Operations - Core Title"))))</f>
        <v>#|Operations - Core Title
#|Operations - Core Title
</v>
      </c>
      <c r="AH724" s="21"/>
      <c r="AI724" s="21"/>
      <c r="AJ724" s="53" t="str">
        <f>if('Ingest Template'!A724="Standard",'Ingest Template'!N724&amp; "|DAR|DAR|2021-01-01",'Ingest Template'!N724&amp; "|Operations - Core Title|Operations - Core Title")</f>
        <v>#N/A</v>
      </c>
      <c r="AK724" s="53" t="str">
        <f>if('Ingest Template'!A724="Standard",'Ingest Template'!R724&amp; "|2021-01-01",'Ingest Template'!R724)</f>
        <v>#N/A</v>
      </c>
      <c r="AL724" s="21"/>
      <c r="AM724" s="21"/>
    </row>
    <row r="725">
      <c r="A725" s="21"/>
      <c r="B725" s="21" t="str">
        <f>'Ingest Template'!B725&amp;IF('Ingest Template'!A725 = "Standard", " - DAR","")</f>
        <v/>
      </c>
      <c r="C725" s="26" t="s">
        <v>109</v>
      </c>
      <c r="D725" s="29" t="str">
        <f t="array" ref="D725">CONCATENATE(INDEX(DropDown!$H$2:$H$10,MATCH(1,COUNTIF('Ingest Template'!F725,"*"&amp;DropDown!$H$2:$H$10&amp;"*"),0)),CHAR(10),'Ingest Template'!G725)</f>
        <v>#N/A</v>
      </c>
      <c r="E725" s="21" t="str">
        <f>CONCATENATE('Ingest Template'!H725,CHAR(10),'Ingest Template'!I725,CHAR(10),'Ingest Template'!J725)</f>
        <v>
</v>
      </c>
      <c r="F725" s="26" t="str">
        <f>'Ingest Template'!H725</f>
        <v/>
      </c>
      <c r="G725" s="21"/>
      <c r="H725" s="29"/>
      <c r="I725" s="21"/>
      <c r="J725" s="29" t="str">
        <f t="array" ref="J725">iF('Ingest Template'!A725="Standard","Pristine Brand",INDEX(DropDown!$M$2:$M$392,MATCH('Ingest Template'!E725,DropDown!$J$2:$J$392,0)))</f>
        <v>#N/A</v>
      </c>
      <c r="K725" s="21" t="str">
        <f>iF('Ingest Template'!A725="Standard",'Ingest Template'!K725&amp;CHAR(10)&amp;'Ingest Template'!L725,"Competitive View")</f>
        <v>Competitive View</v>
      </c>
      <c r="L725" s="29" t="s">
        <v>146</v>
      </c>
      <c r="M725" s="37" t="str">
        <f>'Ingest Template'!D725</f>
        <v/>
      </c>
      <c r="N725" s="21"/>
      <c r="O725" s="21"/>
      <c r="P725" s="21"/>
      <c r="Q725" s="21"/>
      <c r="R725" s="21" t="str">
        <f>'Ingest Template'!E725</f>
        <v/>
      </c>
      <c r="S725" s="29" t="s">
        <v>153</v>
      </c>
      <c r="T725" s="21" t="str">
        <f>'Ingest Template'!T725</f>
        <v/>
      </c>
      <c r="U725" s="21" t="str">
        <f>'Ingest Template'!S725</f>
        <v/>
      </c>
      <c r="V725" s="21" t="str">
        <f>LOWER(SUBSTITUTE(SUBSTITUTE(SUBSTITUTE(SUBSTITUTE(SUBSTITUTE('Ingest Template'!U725,"https:",""),"www.",""),"/",""),"?hl=en",""),"instagram.com",""))</f>
        <v/>
      </c>
      <c r="W725" s="41" t="str">
        <f t="array" ref="W725">IF('Ingest Template'!V725="",(INDEX(DropDown!$L$2:$L$392,MATCH('Ingest Template'!E725,DropDown!$J$2:$J$392,0))&amp;"|"&amp;'Ingest Template'!B725),(INDEX(DropDown!$L$2:$L$392,MATCH('Ingest Template'!E725,DropDown!$J$2:$J$392,0))&amp;"|"&amp;'Ingest Template'!B725)&amp;CHAR(10)&amp;'Ingest Template'!V725)</f>
        <v>#N/A</v>
      </c>
      <c r="X725" s="41" t="str">
        <f>'Ingest Template'!W725</f>
        <v/>
      </c>
      <c r="Y725" s="21" t="str">
        <f>SUBSTITUTE(SUBSTITUTE(SUBSTITUTE('Ingest Template'!X725,"http:",""),"https:",""),"/","")</f>
        <v/>
      </c>
      <c r="Z725" s="21" t="str">
        <f t="array" ref="Z725">IF('Ingest Template'!A725="Standard",(IF(ISBLANK('Ingest Template'!AA725),"", 'Ingest Template'!AA725&amp;"|DAR")),(IF(ISBLANK('Ingest Template'!AA725),"", 'Ingest Template'!AA725&amp;"|Film Ops")))</f>
        <v/>
      </c>
      <c r="AA725" s="21"/>
      <c r="AB725" s="21" t="str">
        <f>'Ingest Template'!M725</f>
        <v/>
      </c>
      <c r="AC725" s="21" t="str">
        <f>'Ingest Template'!Y725</f>
        <v/>
      </c>
      <c r="AD725" s="21" t="str">
        <f>'Ingest Template'!C725</f>
        <v/>
      </c>
      <c r="AE725" s="21" t="str">
        <f>'Ingest Template'!Z725</f>
        <v/>
      </c>
      <c r="AF725" s="29"/>
      <c r="AG725" s="21" t="str">
        <f t="array" ref="AG725">IF('Ingest Template'!A725="Standard",(CONCATENATE(IF(ISBLANK('Ingest Template'!O725),"", 'Ingest Template'!O725&amp;"|DAR"),CHAR(10), IF(ISBLANK('Ingest Template'!P725),"", 'Ingest Template'!P725&amp;"|DAR"),CHAR(10), IF(ISBLANK('Ingest Template'!Q725),"", 'Ingest Template'!Q725&amp;"|DAR"))),(CONCATENATE(IF(ISBLANK('Ingest Template'!O725),"", 'Ingest Template'!O725&amp;"|Operations - Core Title"),CHAR(10), IF(ISBLANK('Ingest Template'!P725),"", 'Ingest Template'!P725&amp;"|Operations - Core Title"),CHAR(10), IF(ISBLANK('Ingest Template'!Q725),"", 'Ingest Template'!Q725&amp;"|Operations - Core Title"))))</f>
        <v>#|Operations - Core Title
#|Operations - Core Title
</v>
      </c>
      <c r="AH725" s="21"/>
      <c r="AI725" s="21"/>
      <c r="AJ725" s="53" t="str">
        <f>if('Ingest Template'!A725="Standard",'Ingest Template'!N725&amp; "|DAR|DAR|2021-01-01",'Ingest Template'!N725&amp; "|Operations - Core Title|Operations - Core Title")</f>
        <v>#N/A</v>
      </c>
      <c r="AK725" s="53" t="str">
        <f>if('Ingest Template'!A725="Standard",'Ingest Template'!R725&amp; "|2021-01-01",'Ingest Template'!R725)</f>
        <v>#N/A</v>
      </c>
      <c r="AL725" s="21"/>
      <c r="AM725" s="21"/>
    </row>
    <row r="726">
      <c r="A726" s="21"/>
      <c r="B726" s="21" t="str">
        <f>'Ingest Template'!B726&amp;IF('Ingest Template'!A726 = "Standard", " - DAR","")</f>
        <v/>
      </c>
      <c r="C726" s="26" t="s">
        <v>109</v>
      </c>
      <c r="D726" s="29" t="str">
        <f t="array" ref="D726">CONCATENATE(INDEX(DropDown!$H$2:$H$10,MATCH(1,COUNTIF('Ingest Template'!F726,"*"&amp;DropDown!$H$2:$H$10&amp;"*"),0)),CHAR(10),'Ingest Template'!G726)</f>
        <v>#N/A</v>
      </c>
      <c r="E726" s="21" t="str">
        <f>CONCATENATE('Ingest Template'!H726,CHAR(10),'Ingest Template'!I726,CHAR(10),'Ingest Template'!J726)</f>
        <v>
</v>
      </c>
      <c r="F726" s="26" t="str">
        <f>'Ingest Template'!H726</f>
        <v/>
      </c>
      <c r="G726" s="21"/>
      <c r="H726" s="29"/>
      <c r="I726" s="21"/>
      <c r="J726" s="29" t="str">
        <f t="array" ref="J726">iF('Ingest Template'!A726="Standard","Pristine Brand",INDEX(DropDown!$M$2:$M$392,MATCH('Ingest Template'!E726,DropDown!$J$2:$J$392,0)))</f>
        <v>#N/A</v>
      </c>
      <c r="K726" s="21" t="str">
        <f>iF('Ingest Template'!A726="Standard",'Ingest Template'!K726&amp;CHAR(10)&amp;'Ingest Template'!L726,"Competitive View")</f>
        <v>Competitive View</v>
      </c>
      <c r="L726" s="29" t="s">
        <v>146</v>
      </c>
      <c r="M726" s="37" t="str">
        <f>'Ingest Template'!D726</f>
        <v/>
      </c>
      <c r="N726" s="21"/>
      <c r="O726" s="21"/>
      <c r="P726" s="21"/>
      <c r="Q726" s="21"/>
      <c r="R726" s="21" t="str">
        <f>'Ingest Template'!E726</f>
        <v/>
      </c>
      <c r="S726" s="29" t="s">
        <v>153</v>
      </c>
      <c r="T726" s="21" t="str">
        <f>'Ingest Template'!T726</f>
        <v/>
      </c>
      <c r="U726" s="21" t="str">
        <f>'Ingest Template'!S726</f>
        <v/>
      </c>
      <c r="V726" s="21" t="str">
        <f>LOWER(SUBSTITUTE(SUBSTITUTE(SUBSTITUTE(SUBSTITUTE(SUBSTITUTE('Ingest Template'!U726,"https:",""),"www.",""),"/",""),"?hl=en",""),"instagram.com",""))</f>
        <v/>
      </c>
      <c r="W726" s="41" t="str">
        <f t="array" ref="W726">IF('Ingest Template'!V726="",(INDEX(DropDown!$L$2:$L$392,MATCH('Ingest Template'!E726,DropDown!$J$2:$J$392,0))&amp;"|"&amp;'Ingest Template'!B726),(INDEX(DropDown!$L$2:$L$392,MATCH('Ingest Template'!E726,DropDown!$J$2:$J$392,0))&amp;"|"&amp;'Ingest Template'!B726)&amp;CHAR(10)&amp;'Ingest Template'!V726)</f>
        <v>#N/A</v>
      </c>
      <c r="X726" s="41" t="str">
        <f>'Ingest Template'!W726</f>
        <v/>
      </c>
      <c r="Y726" s="21" t="str">
        <f>SUBSTITUTE(SUBSTITUTE(SUBSTITUTE('Ingest Template'!X726,"http:",""),"https:",""),"/","")</f>
        <v/>
      </c>
      <c r="Z726" s="21" t="str">
        <f t="array" ref="Z726">IF('Ingest Template'!A726="Standard",(IF(ISBLANK('Ingest Template'!AA726),"", 'Ingest Template'!AA726&amp;"|DAR")),(IF(ISBLANK('Ingest Template'!AA726),"", 'Ingest Template'!AA726&amp;"|Film Ops")))</f>
        <v/>
      </c>
      <c r="AA726" s="21"/>
      <c r="AB726" s="21" t="str">
        <f>'Ingest Template'!M726</f>
        <v/>
      </c>
      <c r="AC726" s="21" t="str">
        <f>'Ingest Template'!Y726</f>
        <v/>
      </c>
      <c r="AD726" s="21" t="str">
        <f>'Ingest Template'!C726</f>
        <v/>
      </c>
      <c r="AE726" s="21" t="str">
        <f>'Ingest Template'!Z726</f>
        <v/>
      </c>
      <c r="AF726" s="29"/>
      <c r="AG726" s="21" t="str">
        <f t="array" ref="AG726">IF('Ingest Template'!A726="Standard",(CONCATENATE(IF(ISBLANK('Ingest Template'!O726),"", 'Ingest Template'!O726&amp;"|DAR"),CHAR(10), IF(ISBLANK('Ingest Template'!P726),"", 'Ingest Template'!P726&amp;"|DAR"),CHAR(10), IF(ISBLANK('Ingest Template'!Q726),"", 'Ingest Template'!Q726&amp;"|DAR"))),(CONCATENATE(IF(ISBLANK('Ingest Template'!O726),"", 'Ingest Template'!O726&amp;"|Operations - Core Title"),CHAR(10), IF(ISBLANK('Ingest Template'!P726),"", 'Ingest Template'!P726&amp;"|Operations - Core Title"),CHAR(10), IF(ISBLANK('Ingest Template'!Q726),"", 'Ingest Template'!Q726&amp;"|Operations - Core Title"))))</f>
        <v>#|Operations - Core Title
#|Operations - Core Title
</v>
      </c>
      <c r="AH726" s="21"/>
      <c r="AI726" s="21"/>
      <c r="AJ726" s="53" t="str">
        <f>if('Ingest Template'!A726="Standard",'Ingest Template'!N726&amp; "|DAR|DAR|2021-01-01",'Ingest Template'!N726&amp; "|Operations - Core Title|Operations - Core Title")</f>
        <v>#N/A</v>
      </c>
      <c r="AK726" s="53" t="str">
        <f>if('Ingest Template'!A726="Standard",'Ingest Template'!R726&amp; "|2021-01-01",'Ingest Template'!R726)</f>
        <v>#N/A</v>
      </c>
      <c r="AL726" s="21"/>
      <c r="AM726" s="21"/>
    </row>
    <row r="727">
      <c r="A727" s="21"/>
      <c r="B727" s="21" t="str">
        <f>'Ingest Template'!B727&amp;IF('Ingest Template'!A727 = "Standard", " - DAR","")</f>
        <v/>
      </c>
      <c r="C727" s="26" t="s">
        <v>109</v>
      </c>
      <c r="D727" s="29" t="str">
        <f t="array" ref="D727">CONCATENATE(INDEX(DropDown!$H$2:$H$10,MATCH(1,COUNTIF('Ingest Template'!F727,"*"&amp;DropDown!$H$2:$H$10&amp;"*"),0)),CHAR(10),'Ingest Template'!G727)</f>
        <v>#N/A</v>
      </c>
      <c r="E727" s="21" t="str">
        <f>CONCATENATE('Ingest Template'!H727,CHAR(10),'Ingest Template'!I727,CHAR(10),'Ingest Template'!J727)</f>
        <v>
</v>
      </c>
      <c r="F727" s="26" t="str">
        <f>'Ingest Template'!H727</f>
        <v/>
      </c>
      <c r="G727" s="21"/>
      <c r="H727" s="29"/>
      <c r="I727" s="21"/>
      <c r="J727" s="29" t="str">
        <f t="array" ref="J727">iF('Ingest Template'!A727="Standard","Pristine Brand",INDEX(DropDown!$M$2:$M$392,MATCH('Ingest Template'!E727,DropDown!$J$2:$J$392,0)))</f>
        <v>#N/A</v>
      </c>
      <c r="K727" s="21" t="str">
        <f>iF('Ingest Template'!A727="Standard",'Ingest Template'!K727&amp;CHAR(10)&amp;'Ingest Template'!L727,"Competitive View")</f>
        <v>Competitive View</v>
      </c>
      <c r="L727" s="29" t="s">
        <v>146</v>
      </c>
      <c r="M727" s="37" t="str">
        <f>'Ingest Template'!D727</f>
        <v/>
      </c>
      <c r="N727" s="21"/>
      <c r="O727" s="21"/>
      <c r="P727" s="21"/>
      <c r="Q727" s="21"/>
      <c r="R727" s="21" t="str">
        <f>'Ingest Template'!E727</f>
        <v/>
      </c>
      <c r="S727" s="29" t="s">
        <v>153</v>
      </c>
      <c r="T727" s="21" t="str">
        <f>'Ingest Template'!T727</f>
        <v/>
      </c>
      <c r="U727" s="21" t="str">
        <f>'Ingest Template'!S727</f>
        <v/>
      </c>
      <c r="V727" s="21" t="str">
        <f>LOWER(SUBSTITUTE(SUBSTITUTE(SUBSTITUTE(SUBSTITUTE(SUBSTITUTE('Ingest Template'!U727,"https:",""),"www.",""),"/",""),"?hl=en",""),"instagram.com",""))</f>
        <v/>
      </c>
      <c r="W727" s="41" t="str">
        <f t="array" ref="W727">IF('Ingest Template'!V727="",(INDEX(DropDown!$L$2:$L$392,MATCH('Ingest Template'!E727,DropDown!$J$2:$J$392,0))&amp;"|"&amp;'Ingest Template'!B727),(INDEX(DropDown!$L$2:$L$392,MATCH('Ingest Template'!E727,DropDown!$J$2:$J$392,0))&amp;"|"&amp;'Ingest Template'!B727)&amp;CHAR(10)&amp;'Ingest Template'!V727)</f>
        <v>#N/A</v>
      </c>
      <c r="X727" s="41" t="str">
        <f>'Ingest Template'!W727</f>
        <v/>
      </c>
      <c r="Y727" s="21" t="str">
        <f>SUBSTITUTE(SUBSTITUTE(SUBSTITUTE('Ingest Template'!X727,"http:",""),"https:",""),"/","")</f>
        <v/>
      </c>
      <c r="Z727" s="21" t="str">
        <f t="array" ref="Z727">IF('Ingest Template'!A727="Standard",(IF(ISBLANK('Ingest Template'!AA727),"", 'Ingest Template'!AA727&amp;"|DAR")),(IF(ISBLANK('Ingest Template'!AA727),"", 'Ingest Template'!AA727&amp;"|Film Ops")))</f>
        <v/>
      </c>
      <c r="AA727" s="21"/>
      <c r="AB727" s="21" t="str">
        <f>'Ingest Template'!M727</f>
        <v/>
      </c>
      <c r="AC727" s="21" t="str">
        <f>'Ingest Template'!Y727</f>
        <v/>
      </c>
      <c r="AD727" s="21" t="str">
        <f>'Ingest Template'!C727</f>
        <v/>
      </c>
      <c r="AE727" s="21" t="str">
        <f>'Ingest Template'!Z727</f>
        <v/>
      </c>
      <c r="AF727" s="29"/>
      <c r="AG727" s="21" t="str">
        <f t="array" ref="AG727">IF('Ingest Template'!A727="Standard",(CONCATENATE(IF(ISBLANK('Ingest Template'!O727),"", 'Ingest Template'!O727&amp;"|DAR"),CHAR(10), IF(ISBLANK('Ingest Template'!P727),"", 'Ingest Template'!P727&amp;"|DAR"),CHAR(10), IF(ISBLANK('Ingest Template'!Q727),"", 'Ingest Template'!Q727&amp;"|DAR"))),(CONCATENATE(IF(ISBLANK('Ingest Template'!O727),"", 'Ingest Template'!O727&amp;"|Operations - Core Title"),CHAR(10), IF(ISBLANK('Ingest Template'!P727),"", 'Ingest Template'!P727&amp;"|Operations - Core Title"),CHAR(10), IF(ISBLANK('Ingest Template'!Q727),"", 'Ingest Template'!Q727&amp;"|Operations - Core Title"))))</f>
        <v>#|Operations - Core Title
#|Operations - Core Title
</v>
      </c>
      <c r="AH727" s="21"/>
      <c r="AI727" s="21"/>
      <c r="AJ727" s="53" t="str">
        <f>if('Ingest Template'!A727="Standard",'Ingest Template'!N727&amp; "|DAR|DAR|2021-01-01",'Ingest Template'!N727&amp; "|Operations - Core Title|Operations - Core Title")</f>
        <v>#N/A</v>
      </c>
      <c r="AK727" s="53" t="str">
        <f>if('Ingest Template'!A727="Standard",'Ingest Template'!R727&amp; "|2021-01-01",'Ingest Template'!R727)</f>
        <v>#N/A</v>
      </c>
      <c r="AL727" s="21"/>
      <c r="AM727" s="21"/>
    </row>
    <row r="728">
      <c r="A728" s="21"/>
      <c r="B728" s="21" t="str">
        <f>'Ingest Template'!B728&amp;IF('Ingest Template'!A728 = "Standard", " - DAR","")</f>
        <v/>
      </c>
      <c r="C728" s="26" t="s">
        <v>109</v>
      </c>
      <c r="D728" s="29" t="str">
        <f t="array" ref="D728">CONCATENATE(INDEX(DropDown!$H$2:$H$10,MATCH(1,COUNTIF('Ingest Template'!F728,"*"&amp;DropDown!$H$2:$H$10&amp;"*"),0)),CHAR(10),'Ingest Template'!G728)</f>
        <v>#N/A</v>
      </c>
      <c r="E728" s="21" t="str">
        <f>CONCATENATE('Ingest Template'!H728,CHAR(10),'Ingest Template'!I728,CHAR(10),'Ingest Template'!J728)</f>
        <v>
</v>
      </c>
      <c r="F728" s="26" t="str">
        <f>'Ingest Template'!H728</f>
        <v/>
      </c>
      <c r="G728" s="21"/>
      <c r="H728" s="29"/>
      <c r="I728" s="21"/>
      <c r="J728" s="29" t="str">
        <f t="array" ref="J728">iF('Ingest Template'!A728="Standard","Pristine Brand",INDEX(DropDown!$M$2:$M$392,MATCH('Ingest Template'!E728,DropDown!$J$2:$J$392,0)))</f>
        <v>#N/A</v>
      </c>
      <c r="K728" s="21" t="str">
        <f>iF('Ingest Template'!A728="Standard",'Ingest Template'!K728&amp;CHAR(10)&amp;'Ingest Template'!L728,"Competitive View")</f>
        <v>Competitive View</v>
      </c>
      <c r="L728" s="29" t="s">
        <v>146</v>
      </c>
      <c r="M728" s="37" t="str">
        <f>'Ingest Template'!D728</f>
        <v/>
      </c>
      <c r="N728" s="21"/>
      <c r="O728" s="21"/>
      <c r="P728" s="21"/>
      <c r="Q728" s="21"/>
      <c r="R728" s="21" t="str">
        <f>'Ingest Template'!E728</f>
        <v/>
      </c>
      <c r="S728" s="29" t="s">
        <v>153</v>
      </c>
      <c r="T728" s="21" t="str">
        <f>'Ingest Template'!T728</f>
        <v/>
      </c>
      <c r="U728" s="21" t="str">
        <f>'Ingest Template'!S728</f>
        <v/>
      </c>
      <c r="V728" s="21" t="str">
        <f>LOWER(SUBSTITUTE(SUBSTITUTE(SUBSTITUTE(SUBSTITUTE(SUBSTITUTE('Ingest Template'!U728,"https:",""),"www.",""),"/",""),"?hl=en",""),"instagram.com",""))</f>
        <v/>
      </c>
      <c r="W728" s="41" t="str">
        <f t="array" ref="W728">IF('Ingest Template'!V728="",(INDEX(DropDown!$L$2:$L$392,MATCH('Ingest Template'!E728,DropDown!$J$2:$J$392,0))&amp;"|"&amp;'Ingest Template'!B728),(INDEX(DropDown!$L$2:$L$392,MATCH('Ingest Template'!E728,DropDown!$J$2:$J$392,0))&amp;"|"&amp;'Ingest Template'!B728)&amp;CHAR(10)&amp;'Ingest Template'!V728)</f>
        <v>#N/A</v>
      </c>
      <c r="X728" s="41" t="str">
        <f>'Ingest Template'!W728</f>
        <v/>
      </c>
      <c r="Y728" s="21" t="str">
        <f>SUBSTITUTE(SUBSTITUTE(SUBSTITUTE('Ingest Template'!X728,"http:",""),"https:",""),"/","")</f>
        <v/>
      </c>
      <c r="Z728" s="21" t="str">
        <f t="array" ref="Z728">IF('Ingest Template'!A728="Standard",(IF(ISBLANK('Ingest Template'!AA728),"", 'Ingest Template'!AA728&amp;"|DAR")),(IF(ISBLANK('Ingest Template'!AA728),"", 'Ingest Template'!AA728&amp;"|Film Ops")))</f>
        <v/>
      </c>
      <c r="AA728" s="21"/>
      <c r="AB728" s="21" t="str">
        <f>'Ingest Template'!M728</f>
        <v/>
      </c>
      <c r="AC728" s="21" t="str">
        <f>'Ingest Template'!Y728</f>
        <v/>
      </c>
      <c r="AD728" s="21" t="str">
        <f>'Ingest Template'!C728</f>
        <v/>
      </c>
      <c r="AE728" s="21" t="str">
        <f>'Ingest Template'!Z728</f>
        <v/>
      </c>
      <c r="AF728" s="29"/>
      <c r="AG728" s="21" t="str">
        <f t="array" ref="AG728">IF('Ingest Template'!A728="Standard",(CONCATENATE(IF(ISBLANK('Ingest Template'!O728),"", 'Ingest Template'!O728&amp;"|DAR"),CHAR(10), IF(ISBLANK('Ingest Template'!P728),"", 'Ingest Template'!P728&amp;"|DAR"),CHAR(10), IF(ISBLANK('Ingest Template'!Q728),"", 'Ingest Template'!Q728&amp;"|DAR"))),(CONCATENATE(IF(ISBLANK('Ingest Template'!O728),"", 'Ingest Template'!O728&amp;"|Operations - Core Title"),CHAR(10), IF(ISBLANK('Ingest Template'!P728),"", 'Ingest Template'!P728&amp;"|Operations - Core Title"),CHAR(10), IF(ISBLANK('Ingest Template'!Q728),"", 'Ingest Template'!Q728&amp;"|Operations - Core Title"))))</f>
        <v>#|Operations - Core Title
#|Operations - Core Title
</v>
      </c>
      <c r="AH728" s="21"/>
      <c r="AI728" s="21"/>
      <c r="AJ728" s="53" t="str">
        <f>if('Ingest Template'!A728="Standard",'Ingest Template'!N728&amp; "|DAR|DAR|2021-01-01",'Ingest Template'!N728&amp; "|Operations - Core Title|Operations - Core Title")</f>
        <v>#N/A</v>
      </c>
      <c r="AK728" s="53" t="str">
        <f>if('Ingest Template'!A728="Standard",'Ingest Template'!R728&amp; "|2021-01-01",'Ingest Template'!R728)</f>
        <v>#N/A</v>
      </c>
      <c r="AL728" s="21"/>
      <c r="AM728" s="21"/>
    </row>
    <row r="729">
      <c r="A729" s="21"/>
      <c r="B729" s="21" t="str">
        <f>'Ingest Template'!B729&amp;IF('Ingest Template'!A729 = "Standard", " - DAR","")</f>
        <v/>
      </c>
      <c r="C729" s="26" t="s">
        <v>109</v>
      </c>
      <c r="D729" s="29" t="str">
        <f t="array" ref="D729">CONCATENATE(INDEX(DropDown!$H$2:$H$10,MATCH(1,COUNTIF('Ingest Template'!F729,"*"&amp;DropDown!$H$2:$H$10&amp;"*"),0)),CHAR(10),'Ingest Template'!G729)</f>
        <v>#N/A</v>
      </c>
      <c r="E729" s="21" t="str">
        <f>CONCATENATE('Ingest Template'!H729,CHAR(10),'Ingest Template'!I729,CHAR(10),'Ingest Template'!J729)</f>
        <v>
</v>
      </c>
      <c r="F729" s="26" t="str">
        <f>'Ingest Template'!H729</f>
        <v/>
      </c>
      <c r="G729" s="21"/>
      <c r="H729" s="29"/>
      <c r="I729" s="21"/>
      <c r="J729" s="29" t="str">
        <f t="array" ref="J729">iF('Ingest Template'!A729="Standard","Pristine Brand",INDEX(DropDown!$M$2:$M$392,MATCH('Ingest Template'!E729,DropDown!$J$2:$J$392,0)))</f>
        <v>#N/A</v>
      </c>
      <c r="K729" s="21" t="str">
        <f>iF('Ingest Template'!A729="Standard",'Ingest Template'!K729&amp;CHAR(10)&amp;'Ingest Template'!L729,"Competitive View")</f>
        <v>Competitive View</v>
      </c>
      <c r="L729" s="29" t="s">
        <v>146</v>
      </c>
      <c r="M729" s="37" t="str">
        <f>'Ingest Template'!D729</f>
        <v/>
      </c>
      <c r="N729" s="21"/>
      <c r="O729" s="21"/>
      <c r="P729" s="21"/>
      <c r="Q729" s="21"/>
      <c r="R729" s="21" t="str">
        <f>'Ingest Template'!E729</f>
        <v/>
      </c>
      <c r="S729" s="29" t="s">
        <v>153</v>
      </c>
      <c r="T729" s="21" t="str">
        <f>'Ingest Template'!T729</f>
        <v/>
      </c>
      <c r="U729" s="21" t="str">
        <f>'Ingest Template'!S729</f>
        <v/>
      </c>
      <c r="V729" s="21" t="str">
        <f>LOWER(SUBSTITUTE(SUBSTITUTE(SUBSTITUTE(SUBSTITUTE(SUBSTITUTE('Ingest Template'!U729,"https:",""),"www.",""),"/",""),"?hl=en",""),"instagram.com",""))</f>
        <v/>
      </c>
      <c r="W729" s="41" t="str">
        <f t="array" ref="W729">IF('Ingest Template'!V729="",(INDEX(DropDown!$L$2:$L$392,MATCH('Ingest Template'!E729,DropDown!$J$2:$J$392,0))&amp;"|"&amp;'Ingest Template'!B729),(INDEX(DropDown!$L$2:$L$392,MATCH('Ingest Template'!E729,DropDown!$J$2:$J$392,0))&amp;"|"&amp;'Ingest Template'!B729)&amp;CHAR(10)&amp;'Ingest Template'!V729)</f>
        <v>#N/A</v>
      </c>
      <c r="X729" s="41" t="str">
        <f>'Ingest Template'!W729</f>
        <v/>
      </c>
      <c r="Y729" s="21" t="str">
        <f>SUBSTITUTE(SUBSTITUTE(SUBSTITUTE('Ingest Template'!X729,"http:",""),"https:",""),"/","")</f>
        <v/>
      </c>
      <c r="Z729" s="21" t="str">
        <f t="array" ref="Z729">IF('Ingest Template'!A729="Standard",(IF(ISBLANK('Ingest Template'!AA729),"", 'Ingest Template'!AA729&amp;"|DAR")),(IF(ISBLANK('Ingest Template'!AA729),"", 'Ingest Template'!AA729&amp;"|Film Ops")))</f>
        <v/>
      </c>
      <c r="AA729" s="21"/>
      <c r="AB729" s="21" t="str">
        <f>'Ingest Template'!M729</f>
        <v/>
      </c>
      <c r="AC729" s="21" t="str">
        <f>'Ingest Template'!Y729</f>
        <v/>
      </c>
      <c r="AD729" s="21" t="str">
        <f>'Ingest Template'!C729</f>
        <v/>
      </c>
      <c r="AE729" s="21" t="str">
        <f>'Ingest Template'!Z729</f>
        <v/>
      </c>
      <c r="AF729" s="29"/>
      <c r="AG729" s="21" t="str">
        <f t="array" ref="AG729">IF('Ingest Template'!A729="Standard",(CONCATENATE(IF(ISBLANK('Ingest Template'!O729),"", 'Ingest Template'!O729&amp;"|DAR"),CHAR(10), IF(ISBLANK('Ingest Template'!P729),"", 'Ingest Template'!P729&amp;"|DAR"),CHAR(10), IF(ISBLANK('Ingest Template'!Q729),"", 'Ingest Template'!Q729&amp;"|DAR"))),(CONCATENATE(IF(ISBLANK('Ingest Template'!O729),"", 'Ingest Template'!O729&amp;"|Operations - Core Title"),CHAR(10), IF(ISBLANK('Ingest Template'!P729),"", 'Ingest Template'!P729&amp;"|Operations - Core Title"),CHAR(10), IF(ISBLANK('Ingest Template'!Q729),"", 'Ingest Template'!Q729&amp;"|Operations - Core Title"))))</f>
        <v>#|Operations - Core Title
#|Operations - Core Title
</v>
      </c>
      <c r="AH729" s="21"/>
      <c r="AI729" s="21"/>
      <c r="AJ729" s="53" t="str">
        <f>if('Ingest Template'!A729="Standard",'Ingest Template'!N729&amp; "|DAR|DAR|2021-01-01",'Ingest Template'!N729&amp; "|Operations - Core Title|Operations - Core Title")</f>
        <v>#N/A</v>
      </c>
      <c r="AK729" s="53" t="str">
        <f>if('Ingest Template'!A729="Standard",'Ingest Template'!R729&amp; "|2021-01-01",'Ingest Template'!R729)</f>
        <v>#N/A</v>
      </c>
      <c r="AL729" s="21"/>
      <c r="AM729" s="21"/>
    </row>
    <row r="730">
      <c r="A730" s="21"/>
      <c r="B730" s="21" t="str">
        <f>'Ingest Template'!B730&amp;IF('Ingest Template'!A730 = "Standard", " - DAR","")</f>
        <v/>
      </c>
      <c r="C730" s="26" t="s">
        <v>109</v>
      </c>
      <c r="D730" s="29" t="str">
        <f t="array" ref="D730">CONCATENATE(INDEX(DropDown!$H$2:$H$10,MATCH(1,COUNTIF('Ingest Template'!F730,"*"&amp;DropDown!$H$2:$H$10&amp;"*"),0)),CHAR(10),'Ingest Template'!G730)</f>
        <v>#N/A</v>
      </c>
      <c r="E730" s="21" t="str">
        <f>CONCATENATE('Ingest Template'!H730,CHAR(10),'Ingest Template'!I730,CHAR(10),'Ingest Template'!J730)</f>
        <v>
</v>
      </c>
      <c r="F730" s="26" t="str">
        <f>'Ingest Template'!H730</f>
        <v/>
      </c>
      <c r="G730" s="21"/>
      <c r="H730" s="29"/>
      <c r="I730" s="21"/>
      <c r="J730" s="29" t="str">
        <f t="array" ref="J730">iF('Ingest Template'!A730="Standard","Pristine Brand",INDEX(DropDown!$M$2:$M$392,MATCH('Ingest Template'!E730,DropDown!$J$2:$J$392,0)))</f>
        <v>#N/A</v>
      </c>
      <c r="K730" s="21" t="str">
        <f>iF('Ingest Template'!A730="Standard",'Ingest Template'!K730&amp;CHAR(10)&amp;'Ingest Template'!L730,"Competitive View")</f>
        <v>Competitive View</v>
      </c>
      <c r="L730" s="29" t="s">
        <v>146</v>
      </c>
      <c r="M730" s="37" t="str">
        <f>'Ingest Template'!D730</f>
        <v/>
      </c>
      <c r="N730" s="21"/>
      <c r="O730" s="21"/>
      <c r="P730" s="21"/>
      <c r="Q730" s="21"/>
      <c r="R730" s="21" t="str">
        <f>'Ingest Template'!E730</f>
        <v/>
      </c>
      <c r="S730" s="29" t="s">
        <v>153</v>
      </c>
      <c r="T730" s="21" t="str">
        <f>'Ingest Template'!T730</f>
        <v/>
      </c>
      <c r="U730" s="21" t="str">
        <f>'Ingest Template'!S730</f>
        <v/>
      </c>
      <c r="V730" s="21" t="str">
        <f>LOWER(SUBSTITUTE(SUBSTITUTE(SUBSTITUTE(SUBSTITUTE(SUBSTITUTE('Ingest Template'!U730,"https:",""),"www.",""),"/",""),"?hl=en",""),"instagram.com",""))</f>
        <v/>
      </c>
      <c r="W730" s="41" t="str">
        <f t="array" ref="W730">IF('Ingest Template'!V730="",(INDEX(DropDown!$L$2:$L$392,MATCH('Ingest Template'!E730,DropDown!$J$2:$J$392,0))&amp;"|"&amp;'Ingest Template'!B730),(INDEX(DropDown!$L$2:$L$392,MATCH('Ingest Template'!E730,DropDown!$J$2:$J$392,0))&amp;"|"&amp;'Ingest Template'!B730)&amp;CHAR(10)&amp;'Ingest Template'!V730)</f>
        <v>#N/A</v>
      </c>
      <c r="X730" s="41" t="str">
        <f>'Ingest Template'!W730</f>
        <v/>
      </c>
      <c r="Y730" s="21" t="str">
        <f>SUBSTITUTE(SUBSTITUTE(SUBSTITUTE('Ingest Template'!X730,"http:",""),"https:",""),"/","")</f>
        <v/>
      </c>
      <c r="Z730" s="21" t="str">
        <f t="array" ref="Z730">IF('Ingest Template'!A730="Standard",(IF(ISBLANK('Ingest Template'!AA730),"", 'Ingest Template'!AA730&amp;"|DAR")),(IF(ISBLANK('Ingest Template'!AA730),"", 'Ingest Template'!AA730&amp;"|Film Ops")))</f>
        <v/>
      </c>
      <c r="AA730" s="21"/>
      <c r="AB730" s="21" t="str">
        <f>'Ingest Template'!M730</f>
        <v/>
      </c>
      <c r="AC730" s="21" t="str">
        <f>'Ingest Template'!Y730</f>
        <v/>
      </c>
      <c r="AD730" s="21" t="str">
        <f>'Ingest Template'!C730</f>
        <v/>
      </c>
      <c r="AE730" s="21" t="str">
        <f>'Ingest Template'!Z730</f>
        <v/>
      </c>
      <c r="AF730" s="29"/>
      <c r="AG730" s="21" t="str">
        <f t="array" ref="AG730">IF('Ingest Template'!A730="Standard",(CONCATENATE(IF(ISBLANK('Ingest Template'!O730),"", 'Ingest Template'!O730&amp;"|DAR"),CHAR(10), IF(ISBLANK('Ingest Template'!P730),"", 'Ingest Template'!P730&amp;"|DAR"),CHAR(10), IF(ISBLANK('Ingest Template'!Q730),"", 'Ingest Template'!Q730&amp;"|DAR"))),(CONCATENATE(IF(ISBLANK('Ingest Template'!O730),"", 'Ingest Template'!O730&amp;"|Operations - Core Title"),CHAR(10), IF(ISBLANK('Ingest Template'!P730),"", 'Ingest Template'!P730&amp;"|Operations - Core Title"),CHAR(10), IF(ISBLANK('Ingest Template'!Q730),"", 'Ingest Template'!Q730&amp;"|Operations - Core Title"))))</f>
        <v>#|Operations - Core Title
#|Operations - Core Title
</v>
      </c>
      <c r="AH730" s="21"/>
      <c r="AI730" s="21"/>
      <c r="AJ730" s="53" t="str">
        <f>if('Ingest Template'!A730="Standard",'Ingest Template'!N730&amp; "|DAR|DAR|2021-01-01",'Ingest Template'!N730&amp; "|Operations - Core Title|Operations - Core Title")</f>
        <v>#N/A</v>
      </c>
      <c r="AK730" s="53" t="str">
        <f>if('Ingest Template'!A730="Standard",'Ingest Template'!R730&amp; "|2021-01-01",'Ingest Template'!R730)</f>
        <v>#N/A</v>
      </c>
      <c r="AL730" s="21"/>
      <c r="AM730" s="21"/>
    </row>
    <row r="731">
      <c r="A731" s="21"/>
      <c r="B731" s="21" t="str">
        <f>'Ingest Template'!B731&amp;IF('Ingest Template'!A731 = "Standard", " - DAR","")</f>
        <v/>
      </c>
      <c r="C731" s="26" t="s">
        <v>109</v>
      </c>
      <c r="D731" s="29" t="str">
        <f t="array" ref="D731">CONCATENATE(INDEX(DropDown!$H$2:$H$10,MATCH(1,COUNTIF('Ingest Template'!F731,"*"&amp;DropDown!$H$2:$H$10&amp;"*"),0)),CHAR(10),'Ingest Template'!G731)</f>
        <v>#N/A</v>
      </c>
      <c r="E731" s="21" t="str">
        <f>CONCATENATE('Ingest Template'!H731,CHAR(10),'Ingest Template'!I731,CHAR(10),'Ingest Template'!J731)</f>
        <v>
</v>
      </c>
      <c r="F731" s="26" t="str">
        <f>'Ingest Template'!H731</f>
        <v/>
      </c>
      <c r="G731" s="21"/>
      <c r="H731" s="29"/>
      <c r="I731" s="21"/>
      <c r="J731" s="29" t="str">
        <f t="array" ref="J731">iF('Ingest Template'!A731="Standard","Pristine Brand",INDEX(DropDown!$M$2:$M$392,MATCH('Ingest Template'!E731,DropDown!$J$2:$J$392,0)))</f>
        <v>#N/A</v>
      </c>
      <c r="K731" s="21" t="str">
        <f>iF('Ingest Template'!A731="Standard",'Ingest Template'!K731&amp;CHAR(10)&amp;'Ingest Template'!L731,"Competitive View")</f>
        <v>Competitive View</v>
      </c>
      <c r="L731" s="29" t="s">
        <v>146</v>
      </c>
      <c r="M731" s="37" t="str">
        <f>'Ingest Template'!D731</f>
        <v/>
      </c>
      <c r="N731" s="21"/>
      <c r="O731" s="21"/>
      <c r="P731" s="21"/>
      <c r="Q731" s="21"/>
      <c r="R731" s="21" t="str">
        <f>'Ingest Template'!E731</f>
        <v/>
      </c>
      <c r="S731" s="29" t="s">
        <v>153</v>
      </c>
      <c r="T731" s="21" t="str">
        <f>'Ingest Template'!T731</f>
        <v/>
      </c>
      <c r="U731" s="21" t="str">
        <f>'Ingest Template'!S731</f>
        <v/>
      </c>
      <c r="V731" s="21" t="str">
        <f>LOWER(SUBSTITUTE(SUBSTITUTE(SUBSTITUTE(SUBSTITUTE(SUBSTITUTE('Ingest Template'!U731,"https:",""),"www.",""),"/",""),"?hl=en",""),"instagram.com",""))</f>
        <v/>
      </c>
      <c r="W731" s="41" t="str">
        <f t="array" ref="W731">IF('Ingest Template'!V731="",(INDEX(DropDown!$L$2:$L$392,MATCH('Ingest Template'!E731,DropDown!$J$2:$J$392,0))&amp;"|"&amp;'Ingest Template'!B731),(INDEX(DropDown!$L$2:$L$392,MATCH('Ingest Template'!E731,DropDown!$J$2:$J$392,0))&amp;"|"&amp;'Ingest Template'!B731)&amp;CHAR(10)&amp;'Ingest Template'!V731)</f>
        <v>#N/A</v>
      </c>
      <c r="X731" s="41" t="str">
        <f>'Ingest Template'!W731</f>
        <v/>
      </c>
      <c r="Y731" s="21" t="str">
        <f>SUBSTITUTE(SUBSTITUTE(SUBSTITUTE('Ingest Template'!X731,"http:",""),"https:",""),"/","")</f>
        <v/>
      </c>
      <c r="Z731" s="21" t="str">
        <f t="array" ref="Z731">IF('Ingest Template'!A731="Standard",(IF(ISBLANK('Ingest Template'!AA731),"", 'Ingest Template'!AA731&amp;"|DAR")),(IF(ISBLANK('Ingest Template'!AA731),"", 'Ingest Template'!AA731&amp;"|Film Ops")))</f>
        <v/>
      </c>
      <c r="AA731" s="21"/>
      <c r="AB731" s="21" t="str">
        <f>'Ingest Template'!M731</f>
        <v/>
      </c>
      <c r="AC731" s="21" t="str">
        <f>'Ingest Template'!Y731</f>
        <v/>
      </c>
      <c r="AD731" s="21" t="str">
        <f>'Ingest Template'!C731</f>
        <v/>
      </c>
      <c r="AE731" s="21" t="str">
        <f>'Ingest Template'!Z731</f>
        <v/>
      </c>
      <c r="AF731" s="29"/>
      <c r="AG731" s="21" t="str">
        <f t="array" ref="AG731">IF('Ingest Template'!A731="Standard",(CONCATENATE(IF(ISBLANK('Ingest Template'!O731),"", 'Ingest Template'!O731&amp;"|DAR"),CHAR(10), IF(ISBLANK('Ingest Template'!P731),"", 'Ingest Template'!P731&amp;"|DAR"),CHAR(10), IF(ISBLANK('Ingest Template'!Q731),"", 'Ingest Template'!Q731&amp;"|DAR"))),(CONCATENATE(IF(ISBLANK('Ingest Template'!O731),"", 'Ingest Template'!O731&amp;"|Operations - Core Title"),CHAR(10), IF(ISBLANK('Ingest Template'!P731),"", 'Ingest Template'!P731&amp;"|Operations - Core Title"),CHAR(10), IF(ISBLANK('Ingest Template'!Q731),"", 'Ingest Template'!Q731&amp;"|Operations - Core Title"))))</f>
        <v>#|Operations - Core Title
#|Operations - Core Title
</v>
      </c>
      <c r="AH731" s="21"/>
      <c r="AI731" s="21"/>
      <c r="AJ731" s="53" t="str">
        <f>if('Ingest Template'!A731="Standard",'Ingest Template'!N731&amp; "|DAR|DAR|2021-01-01",'Ingest Template'!N731&amp; "|Operations - Core Title|Operations - Core Title")</f>
        <v>#N/A</v>
      </c>
      <c r="AK731" s="53" t="str">
        <f>if('Ingest Template'!A731="Standard",'Ingest Template'!R731&amp; "|2021-01-01",'Ingest Template'!R731)</f>
        <v>#N/A</v>
      </c>
      <c r="AL731" s="21"/>
      <c r="AM731" s="21"/>
    </row>
    <row r="732">
      <c r="A732" s="21"/>
      <c r="B732" s="21" t="str">
        <f>'Ingest Template'!B732&amp;IF('Ingest Template'!A732 = "Standard", " - DAR","")</f>
        <v/>
      </c>
      <c r="C732" s="26" t="s">
        <v>109</v>
      </c>
      <c r="D732" s="29" t="str">
        <f t="array" ref="D732">CONCATENATE(INDEX(DropDown!$H$2:$H$10,MATCH(1,COUNTIF('Ingest Template'!F732,"*"&amp;DropDown!$H$2:$H$10&amp;"*"),0)),CHAR(10),'Ingest Template'!G732)</f>
        <v>#N/A</v>
      </c>
      <c r="E732" s="21" t="str">
        <f>CONCATENATE('Ingest Template'!H732,CHAR(10),'Ingest Template'!I732,CHAR(10),'Ingest Template'!J732)</f>
        <v>
</v>
      </c>
      <c r="F732" s="26" t="str">
        <f>'Ingest Template'!H732</f>
        <v/>
      </c>
      <c r="G732" s="21"/>
      <c r="H732" s="29"/>
      <c r="I732" s="21"/>
      <c r="J732" s="29" t="str">
        <f t="array" ref="J732">iF('Ingest Template'!A732="Standard","Pristine Brand",INDEX(DropDown!$M$2:$M$392,MATCH('Ingest Template'!E732,DropDown!$J$2:$J$392,0)))</f>
        <v>#N/A</v>
      </c>
      <c r="K732" s="21" t="str">
        <f>iF('Ingest Template'!A732="Standard",'Ingest Template'!K732&amp;CHAR(10)&amp;'Ingest Template'!L732,"Competitive View")</f>
        <v>Competitive View</v>
      </c>
      <c r="L732" s="29" t="s">
        <v>146</v>
      </c>
      <c r="M732" s="37" t="str">
        <f>'Ingest Template'!D732</f>
        <v/>
      </c>
      <c r="N732" s="21"/>
      <c r="O732" s="21"/>
      <c r="P732" s="21"/>
      <c r="Q732" s="21"/>
      <c r="R732" s="21" t="str">
        <f>'Ingest Template'!E732</f>
        <v/>
      </c>
      <c r="S732" s="29" t="s">
        <v>153</v>
      </c>
      <c r="T732" s="21" t="str">
        <f>'Ingest Template'!T732</f>
        <v/>
      </c>
      <c r="U732" s="21" t="str">
        <f>'Ingest Template'!S732</f>
        <v/>
      </c>
      <c r="V732" s="21" t="str">
        <f>LOWER(SUBSTITUTE(SUBSTITUTE(SUBSTITUTE(SUBSTITUTE(SUBSTITUTE('Ingest Template'!U732,"https:",""),"www.",""),"/",""),"?hl=en",""),"instagram.com",""))</f>
        <v/>
      </c>
      <c r="W732" s="41" t="str">
        <f t="array" ref="W732">IF('Ingest Template'!V732="",(INDEX(DropDown!$L$2:$L$392,MATCH('Ingest Template'!E732,DropDown!$J$2:$J$392,0))&amp;"|"&amp;'Ingest Template'!B732),(INDEX(DropDown!$L$2:$L$392,MATCH('Ingest Template'!E732,DropDown!$J$2:$J$392,0))&amp;"|"&amp;'Ingest Template'!B732)&amp;CHAR(10)&amp;'Ingest Template'!V732)</f>
        <v>#N/A</v>
      </c>
      <c r="X732" s="41" t="str">
        <f>'Ingest Template'!W732</f>
        <v/>
      </c>
      <c r="Y732" s="21" t="str">
        <f>SUBSTITUTE(SUBSTITUTE(SUBSTITUTE('Ingest Template'!X732,"http:",""),"https:",""),"/","")</f>
        <v/>
      </c>
      <c r="Z732" s="21" t="str">
        <f t="array" ref="Z732">IF('Ingest Template'!A732="Standard",(IF(ISBLANK('Ingest Template'!AA732),"", 'Ingest Template'!AA732&amp;"|DAR")),(IF(ISBLANK('Ingest Template'!AA732),"", 'Ingest Template'!AA732&amp;"|Film Ops")))</f>
        <v/>
      </c>
      <c r="AA732" s="21"/>
      <c r="AB732" s="21" t="str">
        <f>'Ingest Template'!M732</f>
        <v/>
      </c>
      <c r="AC732" s="21" t="str">
        <f>'Ingest Template'!Y732</f>
        <v/>
      </c>
      <c r="AD732" s="21" t="str">
        <f>'Ingest Template'!C732</f>
        <v/>
      </c>
      <c r="AE732" s="21" t="str">
        <f>'Ingest Template'!Z732</f>
        <v/>
      </c>
      <c r="AF732" s="29"/>
      <c r="AG732" s="21" t="str">
        <f t="array" ref="AG732">IF('Ingest Template'!A732="Standard",(CONCATENATE(IF(ISBLANK('Ingest Template'!O732),"", 'Ingest Template'!O732&amp;"|DAR"),CHAR(10), IF(ISBLANK('Ingest Template'!P732),"", 'Ingest Template'!P732&amp;"|DAR"),CHAR(10), IF(ISBLANK('Ingest Template'!Q732),"", 'Ingest Template'!Q732&amp;"|DAR"))),(CONCATENATE(IF(ISBLANK('Ingest Template'!O732),"", 'Ingest Template'!O732&amp;"|Operations - Core Title"),CHAR(10), IF(ISBLANK('Ingest Template'!P732),"", 'Ingest Template'!P732&amp;"|Operations - Core Title"),CHAR(10), IF(ISBLANK('Ingest Template'!Q732),"", 'Ingest Template'!Q732&amp;"|Operations - Core Title"))))</f>
        <v>#|Operations - Core Title
#|Operations - Core Title
</v>
      </c>
      <c r="AH732" s="21"/>
      <c r="AI732" s="21"/>
      <c r="AJ732" s="53" t="str">
        <f>if('Ingest Template'!A732="Standard",'Ingest Template'!N732&amp; "|DAR|DAR|2021-01-01",'Ingest Template'!N732&amp; "|Operations - Core Title|Operations - Core Title")</f>
        <v>#N/A</v>
      </c>
      <c r="AK732" s="53" t="str">
        <f>if('Ingest Template'!A732="Standard",'Ingest Template'!R732&amp; "|2021-01-01",'Ingest Template'!R732)</f>
        <v>#N/A</v>
      </c>
      <c r="AL732" s="21"/>
      <c r="AM732" s="21"/>
    </row>
    <row r="733">
      <c r="A733" s="21"/>
      <c r="B733" s="21" t="str">
        <f>'Ingest Template'!B733&amp;IF('Ingest Template'!A733 = "Standard", " - DAR","")</f>
        <v/>
      </c>
      <c r="C733" s="26" t="s">
        <v>109</v>
      </c>
      <c r="D733" s="29" t="str">
        <f t="array" ref="D733">CONCATENATE(INDEX(DropDown!$H$2:$H$10,MATCH(1,COUNTIF('Ingest Template'!F733,"*"&amp;DropDown!$H$2:$H$10&amp;"*"),0)),CHAR(10),'Ingest Template'!G733)</f>
        <v>#N/A</v>
      </c>
      <c r="E733" s="21" t="str">
        <f>CONCATENATE('Ingest Template'!H733,CHAR(10),'Ingest Template'!I733,CHAR(10),'Ingest Template'!J733)</f>
        <v>
</v>
      </c>
      <c r="F733" s="26" t="str">
        <f>'Ingest Template'!H733</f>
        <v/>
      </c>
      <c r="G733" s="21"/>
      <c r="H733" s="29"/>
      <c r="I733" s="21"/>
      <c r="J733" s="29" t="str">
        <f t="array" ref="J733">iF('Ingest Template'!A733="Standard","Pristine Brand",INDEX(DropDown!$M$2:$M$392,MATCH('Ingest Template'!E733,DropDown!$J$2:$J$392,0)))</f>
        <v>#N/A</v>
      </c>
      <c r="K733" s="21" t="str">
        <f>iF('Ingest Template'!A733="Standard",'Ingest Template'!K733&amp;CHAR(10)&amp;'Ingest Template'!L733,"Competitive View")</f>
        <v>Competitive View</v>
      </c>
      <c r="L733" s="29" t="s">
        <v>146</v>
      </c>
      <c r="M733" s="37" t="str">
        <f>'Ingest Template'!D733</f>
        <v/>
      </c>
      <c r="N733" s="21"/>
      <c r="O733" s="21"/>
      <c r="P733" s="21"/>
      <c r="Q733" s="21"/>
      <c r="R733" s="21" t="str">
        <f>'Ingest Template'!E733</f>
        <v/>
      </c>
      <c r="S733" s="29" t="s">
        <v>153</v>
      </c>
      <c r="T733" s="21" t="str">
        <f>'Ingest Template'!T733</f>
        <v/>
      </c>
      <c r="U733" s="21" t="str">
        <f>'Ingest Template'!S733</f>
        <v/>
      </c>
      <c r="V733" s="21" t="str">
        <f>LOWER(SUBSTITUTE(SUBSTITUTE(SUBSTITUTE(SUBSTITUTE(SUBSTITUTE('Ingest Template'!U733,"https:",""),"www.",""),"/",""),"?hl=en",""),"instagram.com",""))</f>
        <v/>
      </c>
      <c r="W733" s="41" t="str">
        <f t="array" ref="W733">IF('Ingest Template'!V733="",(INDEX(DropDown!$L$2:$L$392,MATCH('Ingest Template'!E733,DropDown!$J$2:$J$392,0))&amp;"|"&amp;'Ingest Template'!B733),(INDEX(DropDown!$L$2:$L$392,MATCH('Ingest Template'!E733,DropDown!$J$2:$J$392,0))&amp;"|"&amp;'Ingest Template'!B733)&amp;CHAR(10)&amp;'Ingest Template'!V733)</f>
        <v>#N/A</v>
      </c>
      <c r="X733" s="41" t="str">
        <f>'Ingest Template'!W733</f>
        <v/>
      </c>
      <c r="Y733" s="21" t="str">
        <f>SUBSTITUTE(SUBSTITUTE(SUBSTITUTE('Ingest Template'!X733,"http:",""),"https:",""),"/","")</f>
        <v/>
      </c>
      <c r="Z733" s="21" t="str">
        <f t="array" ref="Z733">IF('Ingest Template'!A733="Standard",(IF(ISBLANK('Ingest Template'!AA733),"", 'Ingest Template'!AA733&amp;"|DAR")),(IF(ISBLANK('Ingest Template'!AA733),"", 'Ingest Template'!AA733&amp;"|Film Ops")))</f>
        <v/>
      </c>
      <c r="AA733" s="21"/>
      <c r="AB733" s="21" t="str">
        <f>'Ingest Template'!M733</f>
        <v/>
      </c>
      <c r="AC733" s="21" t="str">
        <f>'Ingest Template'!Y733</f>
        <v/>
      </c>
      <c r="AD733" s="21" t="str">
        <f>'Ingest Template'!C733</f>
        <v/>
      </c>
      <c r="AE733" s="21" t="str">
        <f>'Ingest Template'!Z733</f>
        <v/>
      </c>
      <c r="AF733" s="29"/>
      <c r="AG733" s="21" t="str">
        <f t="array" ref="AG733">IF('Ingest Template'!A733="Standard",(CONCATENATE(IF(ISBLANK('Ingest Template'!O733),"", 'Ingest Template'!O733&amp;"|DAR"),CHAR(10), IF(ISBLANK('Ingest Template'!P733),"", 'Ingest Template'!P733&amp;"|DAR"),CHAR(10), IF(ISBLANK('Ingest Template'!Q733),"", 'Ingest Template'!Q733&amp;"|DAR"))),(CONCATENATE(IF(ISBLANK('Ingest Template'!O733),"", 'Ingest Template'!O733&amp;"|Operations - Core Title"),CHAR(10), IF(ISBLANK('Ingest Template'!P733),"", 'Ingest Template'!P733&amp;"|Operations - Core Title"),CHAR(10), IF(ISBLANK('Ingest Template'!Q733),"", 'Ingest Template'!Q733&amp;"|Operations - Core Title"))))</f>
        <v>#|Operations - Core Title
#|Operations - Core Title
</v>
      </c>
      <c r="AH733" s="21"/>
      <c r="AI733" s="21"/>
      <c r="AJ733" s="53" t="str">
        <f>if('Ingest Template'!A733="Standard",'Ingest Template'!N733&amp; "|DAR|DAR|2021-01-01",'Ingest Template'!N733&amp; "|Operations - Core Title|Operations - Core Title")</f>
        <v>#N/A</v>
      </c>
      <c r="AK733" s="53" t="str">
        <f>if('Ingest Template'!A733="Standard",'Ingest Template'!R733&amp; "|2021-01-01",'Ingest Template'!R733)</f>
        <v>#N/A</v>
      </c>
      <c r="AL733" s="21"/>
      <c r="AM733" s="21"/>
    </row>
    <row r="734">
      <c r="A734" s="21"/>
      <c r="B734" s="21" t="str">
        <f>'Ingest Template'!B734&amp;IF('Ingest Template'!A734 = "Standard", " - DAR","")</f>
        <v/>
      </c>
      <c r="C734" s="26" t="s">
        <v>109</v>
      </c>
      <c r="D734" s="29" t="str">
        <f t="array" ref="D734">CONCATENATE(INDEX(DropDown!$H$2:$H$10,MATCH(1,COUNTIF('Ingest Template'!F734,"*"&amp;DropDown!$H$2:$H$10&amp;"*"),0)),CHAR(10),'Ingest Template'!G734)</f>
        <v>#N/A</v>
      </c>
      <c r="E734" s="21" t="str">
        <f>CONCATENATE('Ingest Template'!H734,CHAR(10),'Ingest Template'!I734,CHAR(10),'Ingest Template'!J734)</f>
        <v>
</v>
      </c>
      <c r="F734" s="26" t="str">
        <f>'Ingest Template'!H734</f>
        <v/>
      </c>
      <c r="G734" s="21"/>
      <c r="H734" s="29"/>
      <c r="I734" s="21"/>
      <c r="J734" s="29" t="str">
        <f t="array" ref="J734">iF('Ingest Template'!A734="Standard","Pristine Brand",INDEX(DropDown!$M$2:$M$392,MATCH('Ingest Template'!E734,DropDown!$J$2:$J$392,0)))</f>
        <v>#N/A</v>
      </c>
      <c r="K734" s="21" t="str">
        <f>iF('Ingest Template'!A734="Standard",'Ingest Template'!K734&amp;CHAR(10)&amp;'Ingest Template'!L734,"Competitive View")</f>
        <v>Competitive View</v>
      </c>
      <c r="L734" s="29" t="s">
        <v>146</v>
      </c>
      <c r="M734" s="37" t="str">
        <f>'Ingest Template'!D734</f>
        <v/>
      </c>
      <c r="N734" s="21"/>
      <c r="O734" s="21"/>
      <c r="P734" s="21"/>
      <c r="Q734" s="21"/>
      <c r="R734" s="21" t="str">
        <f>'Ingest Template'!E734</f>
        <v/>
      </c>
      <c r="S734" s="29" t="s">
        <v>153</v>
      </c>
      <c r="T734" s="21" t="str">
        <f>'Ingest Template'!T734</f>
        <v/>
      </c>
      <c r="U734" s="21" t="str">
        <f>'Ingest Template'!S734</f>
        <v/>
      </c>
      <c r="V734" s="21" t="str">
        <f>LOWER(SUBSTITUTE(SUBSTITUTE(SUBSTITUTE(SUBSTITUTE(SUBSTITUTE('Ingest Template'!U734,"https:",""),"www.",""),"/",""),"?hl=en",""),"instagram.com",""))</f>
        <v/>
      </c>
      <c r="W734" s="41" t="str">
        <f t="array" ref="W734">IF('Ingest Template'!V734="",(INDEX(DropDown!$L$2:$L$392,MATCH('Ingest Template'!E734,DropDown!$J$2:$J$392,0))&amp;"|"&amp;'Ingest Template'!B734),(INDEX(DropDown!$L$2:$L$392,MATCH('Ingest Template'!E734,DropDown!$J$2:$J$392,0))&amp;"|"&amp;'Ingest Template'!B734)&amp;CHAR(10)&amp;'Ingest Template'!V734)</f>
        <v>#N/A</v>
      </c>
      <c r="X734" s="41" t="str">
        <f>'Ingest Template'!W734</f>
        <v/>
      </c>
      <c r="Y734" s="21" t="str">
        <f>SUBSTITUTE(SUBSTITUTE(SUBSTITUTE('Ingest Template'!X734,"http:",""),"https:",""),"/","")</f>
        <v/>
      </c>
      <c r="Z734" s="21" t="str">
        <f t="array" ref="Z734">IF('Ingest Template'!A734="Standard",(IF(ISBLANK('Ingest Template'!AA734),"", 'Ingest Template'!AA734&amp;"|DAR")),(IF(ISBLANK('Ingest Template'!AA734),"", 'Ingest Template'!AA734&amp;"|Film Ops")))</f>
        <v/>
      </c>
      <c r="AA734" s="21"/>
      <c r="AB734" s="21" t="str">
        <f>'Ingest Template'!M734</f>
        <v/>
      </c>
      <c r="AC734" s="21" t="str">
        <f>'Ingest Template'!Y734</f>
        <v/>
      </c>
      <c r="AD734" s="21" t="str">
        <f>'Ingest Template'!C734</f>
        <v/>
      </c>
      <c r="AE734" s="21" t="str">
        <f>'Ingest Template'!Z734</f>
        <v/>
      </c>
      <c r="AF734" s="29"/>
      <c r="AG734" s="21" t="str">
        <f t="array" ref="AG734">IF('Ingest Template'!A734="Standard",(CONCATENATE(IF(ISBLANK('Ingest Template'!O734),"", 'Ingest Template'!O734&amp;"|DAR"),CHAR(10), IF(ISBLANK('Ingest Template'!P734),"", 'Ingest Template'!P734&amp;"|DAR"),CHAR(10), IF(ISBLANK('Ingest Template'!Q734),"", 'Ingest Template'!Q734&amp;"|DAR"))),(CONCATENATE(IF(ISBLANK('Ingest Template'!O734),"", 'Ingest Template'!O734&amp;"|Operations - Core Title"),CHAR(10), IF(ISBLANK('Ingest Template'!P734),"", 'Ingest Template'!P734&amp;"|Operations - Core Title"),CHAR(10), IF(ISBLANK('Ingest Template'!Q734),"", 'Ingest Template'!Q734&amp;"|Operations - Core Title"))))</f>
        <v>#|Operations - Core Title
#|Operations - Core Title
</v>
      </c>
      <c r="AH734" s="21"/>
      <c r="AI734" s="21"/>
      <c r="AJ734" s="53" t="str">
        <f>if('Ingest Template'!A734="Standard",'Ingest Template'!N734&amp; "|DAR|DAR|2021-01-01",'Ingest Template'!N734&amp; "|Operations - Core Title|Operations - Core Title")</f>
        <v>#N/A</v>
      </c>
      <c r="AK734" s="53" t="str">
        <f>if('Ingest Template'!A734="Standard",'Ingest Template'!R734&amp; "|2021-01-01",'Ingest Template'!R734)</f>
        <v>#N/A</v>
      </c>
      <c r="AL734" s="21"/>
      <c r="AM734" s="21"/>
    </row>
    <row r="735">
      <c r="A735" s="21"/>
      <c r="B735" s="21" t="str">
        <f>'Ingest Template'!B735&amp;IF('Ingest Template'!A735 = "Standard", " - DAR","")</f>
        <v/>
      </c>
      <c r="C735" s="26" t="s">
        <v>109</v>
      </c>
      <c r="D735" s="29" t="str">
        <f t="array" ref="D735">CONCATENATE(INDEX(DropDown!$H$2:$H$10,MATCH(1,COUNTIF('Ingest Template'!F735,"*"&amp;DropDown!$H$2:$H$10&amp;"*"),0)),CHAR(10),'Ingest Template'!G735)</f>
        <v>#N/A</v>
      </c>
      <c r="E735" s="21" t="str">
        <f>CONCATENATE('Ingest Template'!H735,CHAR(10),'Ingest Template'!I735,CHAR(10),'Ingest Template'!J735)</f>
        <v>
</v>
      </c>
      <c r="F735" s="26" t="str">
        <f>'Ingest Template'!H735</f>
        <v/>
      </c>
      <c r="G735" s="21"/>
      <c r="H735" s="29"/>
      <c r="I735" s="21"/>
      <c r="J735" s="29" t="str">
        <f t="array" ref="J735">iF('Ingest Template'!A735="Standard","Pristine Brand",INDEX(DropDown!$M$2:$M$392,MATCH('Ingest Template'!E735,DropDown!$J$2:$J$392,0)))</f>
        <v>#N/A</v>
      </c>
      <c r="K735" s="21" t="str">
        <f>iF('Ingest Template'!A735="Standard",'Ingest Template'!K735&amp;CHAR(10)&amp;'Ingest Template'!L735,"Competitive View")</f>
        <v>Competitive View</v>
      </c>
      <c r="L735" s="29" t="s">
        <v>146</v>
      </c>
      <c r="M735" s="37" t="str">
        <f>'Ingest Template'!D735</f>
        <v/>
      </c>
      <c r="N735" s="21"/>
      <c r="O735" s="21"/>
      <c r="P735" s="21"/>
      <c r="Q735" s="21"/>
      <c r="R735" s="21" t="str">
        <f>'Ingest Template'!E735</f>
        <v/>
      </c>
      <c r="S735" s="29" t="s">
        <v>153</v>
      </c>
      <c r="T735" s="21" t="str">
        <f>'Ingest Template'!T735</f>
        <v/>
      </c>
      <c r="U735" s="21" t="str">
        <f>'Ingest Template'!S735</f>
        <v/>
      </c>
      <c r="V735" s="21" t="str">
        <f>LOWER(SUBSTITUTE(SUBSTITUTE(SUBSTITUTE(SUBSTITUTE(SUBSTITUTE('Ingest Template'!U735,"https:",""),"www.",""),"/",""),"?hl=en",""),"instagram.com",""))</f>
        <v/>
      </c>
      <c r="W735" s="41" t="str">
        <f t="array" ref="W735">IF('Ingest Template'!V735="",(INDEX(DropDown!$L$2:$L$392,MATCH('Ingest Template'!E735,DropDown!$J$2:$J$392,0))&amp;"|"&amp;'Ingest Template'!B735),(INDEX(DropDown!$L$2:$L$392,MATCH('Ingest Template'!E735,DropDown!$J$2:$J$392,0))&amp;"|"&amp;'Ingest Template'!B735)&amp;CHAR(10)&amp;'Ingest Template'!V735)</f>
        <v>#N/A</v>
      </c>
      <c r="X735" s="41" t="str">
        <f>'Ingest Template'!W735</f>
        <v/>
      </c>
      <c r="Y735" s="21" t="str">
        <f>SUBSTITUTE(SUBSTITUTE(SUBSTITUTE('Ingest Template'!X735,"http:",""),"https:",""),"/","")</f>
        <v/>
      </c>
      <c r="Z735" s="21" t="str">
        <f t="array" ref="Z735">IF('Ingest Template'!A735="Standard",(IF(ISBLANK('Ingest Template'!AA735),"", 'Ingest Template'!AA735&amp;"|DAR")),(IF(ISBLANK('Ingest Template'!AA735),"", 'Ingest Template'!AA735&amp;"|Film Ops")))</f>
        <v/>
      </c>
      <c r="AA735" s="21"/>
      <c r="AB735" s="21" t="str">
        <f>'Ingest Template'!M735</f>
        <v/>
      </c>
      <c r="AC735" s="21" t="str">
        <f>'Ingest Template'!Y735</f>
        <v/>
      </c>
      <c r="AD735" s="21" t="str">
        <f>'Ingest Template'!C735</f>
        <v/>
      </c>
      <c r="AE735" s="21" t="str">
        <f>'Ingest Template'!Z735</f>
        <v/>
      </c>
      <c r="AF735" s="29"/>
      <c r="AG735" s="21" t="str">
        <f t="array" ref="AG735">IF('Ingest Template'!A735="Standard",(CONCATENATE(IF(ISBLANK('Ingest Template'!O735),"", 'Ingest Template'!O735&amp;"|DAR"),CHAR(10), IF(ISBLANK('Ingest Template'!P735),"", 'Ingest Template'!P735&amp;"|DAR"),CHAR(10), IF(ISBLANK('Ingest Template'!Q735),"", 'Ingest Template'!Q735&amp;"|DAR"))),(CONCATENATE(IF(ISBLANK('Ingest Template'!O735),"", 'Ingest Template'!O735&amp;"|Operations - Core Title"),CHAR(10), IF(ISBLANK('Ingest Template'!P735),"", 'Ingest Template'!P735&amp;"|Operations - Core Title"),CHAR(10), IF(ISBLANK('Ingest Template'!Q735),"", 'Ingest Template'!Q735&amp;"|Operations - Core Title"))))</f>
        <v>#|Operations - Core Title
#|Operations - Core Title
</v>
      </c>
      <c r="AH735" s="21"/>
      <c r="AI735" s="21"/>
      <c r="AJ735" s="53" t="str">
        <f>if('Ingest Template'!A735="Standard",'Ingest Template'!N735&amp; "|DAR|DAR|2021-01-01",'Ingest Template'!N735&amp; "|Operations - Core Title|Operations - Core Title")</f>
        <v>#N/A</v>
      </c>
      <c r="AK735" s="53" t="str">
        <f>if('Ingest Template'!A735="Standard",'Ingest Template'!R735&amp; "|2021-01-01",'Ingest Template'!R735)</f>
        <v>#N/A</v>
      </c>
      <c r="AL735" s="21"/>
      <c r="AM735" s="21"/>
    </row>
    <row r="736">
      <c r="A736" s="21"/>
      <c r="B736" s="21" t="str">
        <f>'Ingest Template'!B736&amp;IF('Ingest Template'!A736 = "Standard", " - DAR","")</f>
        <v/>
      </c>
      <c r="C736" s="26" t="s">
        <v>109</v>
      </c>
      <c r="D736" s="29" t="str">
        <f t="array" ref="D736">CONCATENATE(INDEX(DropDown!$H$2:$H$10,MATCH(1,COUNTIF('Ingest Template'!F736,"*"&amp;DropDown!$H$2:$H$10&amp;"*"),0)),CHAR(10),'Ingest Template'!G736)</f>
        <v>#N/A</v>
      </c>
      <c r="E736" s="21" t="str">
        <f>CONCATENATE('Ingest Template'!H736,CHAR(10),'Ingest Template'!I736,CHAR(10),'Ingest Template'!J736)</f>
        <v>
</v>
      </c>
      <c r="F736" s="26" t="str">
        <f>'Ingest Template'!H736</f>
        <v/>
      </c>
      <c r="G736" s="21"/>
      <c r="H736" s="29"/>
      <c r="I736" s="21"/>
      <c r="J736" s="29" t="str">
        <f t="array" ref="J736">iF('Ingest Template'!A736="Standard","Pristine Brand",INDEX(DropDown!$M$2:$M$392,MATCH('Ingest Template'!E736,DropDown!$J$2:$J$392,0)))</f>
        <v>#N/A</v>
      </c>
      <c r="K736" s="21" t="str">
        <f>iF('Ingest Template'!A736="Standard",'Ingest Template'!K736&amp;CHAR(10)&amp;'Ingest Template'!L736,"Competitive View")</f>
        <v>Competitive View</v>
      </c>
      <c r="L736" s="29" t="s">
        <v>146</v>
      </c>
      <c r="M736" s="37" t="str">
        <f>'Ingest Template'!D736</f>
        <v/>
      </c>
      <c r="N736" s="21"/>
      <c r="O736" s="21"/>
      <c r="P736" s="21"/>
      <c r="Q736" s="21"/>
      <c r="R736" s="21" t="str">
        <f>'Ingest Template'!E736</f>
        <v/>
      </c>
      <c r="S736" s="29" t="s">
        <v>153</v>
      </c>
      <c r="T736" s="21" t="str">
        <f>'Ingest Template'!T736</f>
        <v/>
      </c>
      <c r="U736" s="21" t="str">
        <f>'Ingest Template'!S736</f>
        <v/>
      </c>
      <c r="V736" s="21" t="str">
        <f>LOWER(SUBSTITUTE(SUBSTITUTE(SUBSTITUTE(SUBSTITUTE(SUBSTITUTE('Ingest Template'!U736,"https:",""),"www.",""),"/",""),"?hl=en",""),"instagram.com",""))</f>
        <v/>
      </c>
      <c r="W736" s="41" t="str">
        <f t="array" ref="W736">IF('Ingest Template'!V736="",(INDEX(DropDown!$L$2:$L$392,MATCH('Ingest Template'!E736,DropDown!$J$2:$J$392,0))&amp;"|"&amp;'Ingest Template'!B736),(INDEX(DropDown!$L$2:$L$392,MATCH('Ingest Template'!E736,DropDown!$J$2:$J$392,0))&amp;"|"&amp;'Ingest Template'!B736)&amp;CHAR(10)&amp;'Ingest Template'!V736)</f>
        <v>#N/A</v>
      </c>
      <c r="X736" s="41" t="str">
        <f>'Ingest Template'!W736</f>
        <v/>
      </c>
      <c r="Y736" s="21" t="str">
        <f>SUBSTITUTE(SUBSTITUTE(SUBSTITUTE('Ingest Template'!X736,"http:",""),"https:",""),"/","")</f>
        <v/>
      </c>
      <c r="Z736" s="21" t="str">
        <f t="array" ref="Z736">IF('Ingest Template'!A736="Standard",(IF(ISBLANK('Ingest Template'!AA736),"", 'Ingest Template'!AA736&amp;"|DAR")),(IF(ISBLANK('Ingest Template'!AA736),"", 'Ingest Template'!AA736&amp;"|Film Ops")))</f>
        <v/>
      </c>
      <c r="AA736" s="21"/>
      <c r="AB736" s="21" t="str">
        <f>'Ingest Template'!M736</f>
        <v/>
      </c>
      <c r="AC736" s="21" t="str">
        <f>'Ingest Template'!Y736</f>
        <v/>
      </c>
      <c r="AD736" s="21" t="str">
        <f>'Ingest Template'!C736</f>
        <v/>
      </c>
      <c r="AE736" s="21" t="str">
        <f>'Ingest Template'!Z736</f>
        <v/>
      </c>
      <c r="AF736" s="29"/>
      <c r="AG736" s="21" t="str">
        <f t="array" ref="AG736">IF('Ingest Template'!A736="Standard",(CONCATENATE(IF(ISBLANK('Ingest Template'!O736),"", 'Ingest Template'!O736&amp;"|DAR"),CHAR(10), IF(ISBLANK('Ingest Template'!P736),"", 'Ingest Template'!P736&amp;"|DAR"),CHAR(10), IF(ISBLANK('Ingest Template'!Q736),"", 'Ingest Template'!Q736&amp;"|DAR"))),(CONCATENATE(IF(ISBLANK('Ingest Template'!O736),"", 'Ingest Template'!O736&amp;"|Operations - Core Title"),CHAR(10), IF(ISBLANK('Ingest Template'!P736),"", 'Ingest Template'!P736&amp;"|Operations - Core Title"),CHAR(10), IF(ISBLANK('Ingest Template'!Q736),"", 'Ingest Template'!Q736&amp;"|Operations - Core Title"))))</f>
        <v>#|Operations - Core Title
#|Operations - Core Title
</v>
      </c>
      <c r="AH736" s="21"/>
      <c r="AI736" s="21"/>
      <c r="AJ736" s="53" t="str">
        <f>if('Ingest Template'!A736="Standard",'Ingest Template'!N736&amp; "|DAR|DAR|2021-01-01",'Ingest Template'!N736&amp; "|Operations - Core Title|Operations - Core Title")</f>
        <v>#N/A</v>
      </c>
      <c r="AK736" s="53" t="str">
        <f>if('Ingest Template'!A736="Standard",'Ingest Template'!R736&amp; "|2021-01-01",'Ingest Template'!R736)</f>
        <v>#N/A</v>
      </c>
      <c r="AL736" s="21"/>
      <c r="AM736" s="21"/>
    </row>
    <row r="737">
      <c r="A737" s="21"/>
      <c r="B737" s="21" t="str">
        <f>'Ingest Template'!B737&amp;IF('Ingest Template'!A737 = "Standard", " - DAR","")</f>
        <v/>
      </c>
      <c r="C737" s="26" t="s">
        <v>109</v>
      </c>
      <c r="D737" s="29" t="str">
        <f t="array" ref="D737">CONCATENATE(INDEX(DropDown!$H$2:$H$10,MATCH(1,COUNTIF('Ingest Template'!F737,"*"&amp;DropDown!$H$2:$H$10&amp;"*"),0)),CHAR(10),'Ingest Template'!G737)</f>
        <v>#N/A</v>
      </c>
      <c r="E737" s="21" t="str">
        <f>CONCATENATE('Ingest Template'!H737,CHAR(10),'Ingest Template'!I737,CHAR(10),'Ingest Template'!J737)</f>
        <v>
</v>
      </c>
      <c r="F737" s="26" t="str">
        <f>'Ingest Template'!H737</f>
        <v/>
      </c>
      <c r="G737" s="21"/>
      <c r="H737" s="29"/>
      <c r="I737" s="21"/>
      <c r="J737" s="29" t="str">
        <f t="array" ref="J737">iF('Ingest Template'!A737="Standard","Pristine Brand",INDEX(DropDown!$M$2:$M$392,MATCH('Ingest Template'!E737,DropDown!$J$2:$J$392,0)))</f>
        <v>#N/A</v>
      </c>
      <c r="K737" s="21" t="str">
        <f>iF('Ingest Template'!A737="Standard",'Ingest Template'!K737&amp;CHAR(10)&amp;'Ingest Template'!L737,"Competitive View")</f>
        <v>Competitive View</v>
      </c>
      <c r="L737" s="29" t="s">
        <v>146</v>
      </c>
      <c r="M737" s="37" t="str">
        <f>'Ingest Template'!D737</f>
        <v/>
      </c>
      <c r="N737" s="21"/>
      <c r="O737" s="21"/>
      <c r="P737" s="21"/>
      <c r="Q737" s="21"/>
      <c r="R737" s="21" t="str">
        <f>'Ingest Template'!E737</f>
        <v/>
      </c>
      <c r="S737" s="29" t="s">
        <v>153</v>
      </c>
      <c r="T737" s="21" t="str">
        <f>'Ingest Template'!T737</f>
        <v/>
      </c>
      <c r="U737" s="21" t="str">
        <f>'Ingest Template'!S737</f>
        <v/>
      </c>
      <c r="V737" s="21" t="str">
        <f>LOWER(SUBSTITUTE(SUBSTITUTE(SUBSTITUTE(SUBSTITUTE(SUBSTITUTE('Ingest Template'!U737,"https:",""),"www.",""),"/",""),"?hl=en",""),"instagram.com",""))</f>
        <v/>
      </c>
      <c r="W737" s="41" t="str">
        <f t="array" ref="W737">IF('Ingest Template'!V737="",(INDEX(DropDown!$L$2:$L$392,MATCH('Ingest Template'!E737,DropDown!$J$2:$J$392,0))&amp;"|"&amp;'Ingest Template'!B737),(INDEX(DropDown!$L$2:$L$392,MATCH('Ingest Template'!E737,DropDown!$J$2:$J$392,0))&amp;"|"&amp;'Ingest Template'!B737)&amp;CHAR(10)&amp;'Ingest Template'!V737)</f>
        <v>#N/A</v>
      </c>
      <c r="X737" s="41" t="str">
        <f>'Ingest Template'!W737</f>
        <v/>
      </c>
      <c r="Y737" s="21" t="str">
        <f>SUBSTITUTE(SUBSTITUTE(SUBSTITUTE('Ingest Template'!X737,"http:",""),"https:",""),"/","")</f>
        <v/>
      </c>
      <c r="Z737" s="21" t="str">
        <f t="array" ref="Z737">IF('Ingest Template'!A737="Standard",(IF(ISBLANK('Ingest Template'!AA737),"", 'Ingest Template'!AA737&amp;"|DAR")),(IF(ISBLANK('Ingest Template'!AA737),"", 'Ingest Template'!AA737&amp;"|Film Ops")))</f>
        <v/>
      </c>
      <c r="AA737" s="21"/>
      <c r="AB737" s="21" t="str">
        <f>'Ingest Template'!M737</f>
        <v/>
      </c>
      <c r="AC737" s="21" t="str">
        <f>'Ingest Template'!Y737</f>
        <v/>
      </c>
      <c r="AD737" s="21" t="str">
        <f>'Ingest Template'!C737</f>
        <v/>
      </c>
      <c r="AE737" s="21" t="str">
        <f>'Ingest Template'!Z737</f>
        <v/>
      </c>
      <c r="AF737" s="29"/>
      <c r="AG737" s="21" t="str">
        <f t="array" ref="AG737">IF('Ingest Template'!A737="Standard",(CONCATENATE(IF(ISBLANK('Ingest Template'!O737),"", 'Ingest Template'!O737&amp;"|DAR"),CHAR(10), IF(ISBLANK('Ingest Template'!P737),"", 'Ingest Template'!P737&amp;"|DAR"),CHAR(10), IF(ISBLANK('Ingest Template'!Q737),"", 'Ingest Template'!Q737&amp;"|DAR"))),(CONCATENATE(IF(ISBLANK('Ingest Template'!O737),"", 'Ingest Template'!O737&amp;"|Operations - Core Title"),CHAR(10), IF(ISBLANK('Ingest Template'!P737),"", 'Ingest Template'!P737&amp;"|Operations - Core Title"),CHAR(10), IF(ISBLANK('Ingest Template'!Q737),"", 'Ingest Template'!Q737&amp;"|Operations - Core Title"))))</f>
        <v>#|Operations - Core Title
#|Operations - Core Title
</v>
      </c>
      <c r="AH737" s="21"/>
      <c r="AI737" s="21"/>
      <c r="AJ737" s="53" t="str">
        <f>if('Ingest Template'!A737="Standard",'Ingest Template'!N737&amp; "|DAR|DAR|2021-01-01",'Ingest Template'!N737&amp; "|Operations - Core Title|Operations - Core Title")</f>
        <v>#N/A</v>
      </c>
      <c r="AK737" s="53" t="str">
        <f>if('Ingest Template'!A737="Standard",'Ingest Template'!R737&amp; "|2021-01-01",'Ingest Template'!R737)</f>
        <v>#N/A</v>
      </c>
      <c r="AL737" s="21"/>
      <c r="AM737" s="21"/>
    </row>
    <row r="738">
      <c r="A738" s="21"/>
      <c r="B738" s="21" t="str">
        <f>'Ingest Template'!B738&amp;IF('Ingest Template'!A738 = "Standard", " - DAR","")</f>
        <v/>
      </c>
      <c r="C738" s="26" t="s">
        <v>109</v>
      </c>
      <c r="D738" s="29" t="str">
        <f t="array" ref="D738">CONCATENATE(INDEX(DropDown!$H$2:$H$10,MATCH(1,COUNTIF('Ingest Template'!F738,"*"&amp;DropDown!$H$2:$H$10&amp;"*"),0)),CHAR(10),'Ingest Template'!G738)</f>
        <v>#N/A</v>
      </c>
      <c r="E738" s="21" t="str">
        <f>CONCATENATE('Ingest Template'!H738,CHAR(10),'Ingest Template'!I738,CHAR(10),'Ingest Template'!J738)</f>
        <v>
</v>
      </c>
      <c r="F738" s="26" t="str">
        <f>'Ingest Template'!H738</f>
        <v/>
      </c>
      <c r="G738" s="21"/>
      <c r="H738" s="29"/>
      <c r="I738" s="21"/>
      <c r="J738" s="29" t="str">
        <f t="array" ref="J738">iF('Ingest Template'!A738="Standard","Pristine Brand",INDEX(DropDown!$M$2:$M$392,MATCH('Ingest Template'!E738,DropDown!$J$2:$J$392,0)))</f>
        <v>#N/A</v>
      </c>
      <c r="K738" s="21" t="str">
        <f>iF('Ingest Template'!A738="Standard",'Ingest Template'!K738&amp;CHAR(10)&amp;'Ingest Template'!L738,"Competitive View")</f>
        <v>Competitive View</v>
      </c>
      <c r="L738" s="29" t="s">
        <v>146</v>
      </c>
      <c r="M738" s="37" t="str">
        <f>'Ingest Template'!D738</f>
        <v/>
      </c>
      <c r="N738" s="21"/>
      <c r="O738" s="21"/>
      <c r="P738" s="21"/>
      <c r="Q738" s="21"/>
      <c r="R738" s="21" t="str">
        <f>'Ingest Template'!E738</f>
        <v/>
      </c>
      <c r="S738" s="29" t="s">
        <v>153</v>
      </c>
      <c r="T738" s="21" t="str">
        <f>'Ingest Template'!T738</f>
        <v/>
      </c>
      <c r="U738" s="21" t="str">
        <f>'Ingest Template'!S738</f>
        <v/>
      </c>
      <c r="V738" s="21" t="str">
        <f>LOWER(SUBSTITUTE(SUBSTITUTE(SUBSTITUTE(SUBSTITUTE(SUBSTITUTE('Ingest Template'!U738,"https:",""),"www.",""),"/",""),"?hl=en",""),"instagram.com",""))</f>
        <v/>
      </c>
      <c r="W738" s="41" t="str">
        <f t="array" ref="W738">IF('Ingest Template'!V738="",(INDEX(DropDown!$L$2:$L$392,MATCH('Ingest Template'!E738,DropDown!$J$2:$J$392,0))&amp;"|"&amp;'Ingest Template'!B738),(INDEX(DropDown!$L$2:$L$392,MATCH('Ingest Template'!E738,DropDown!$J$2:$J$392,0))&amp;"|"&amp;'Ingest Template'!B738)&amp;CHAR(10)&amp;'Ingest Template'!V738)</f>
        <v>#N/A</v>
      </c>
      <c r="X738" s="41" t="str">
        <f>'Ingest Template'!W738</f>
        <v/>
      </c>
      <c r="Y738" s="21" t="str">
        <f>SUBSTITUTE(SUBSTITUTE(SUBSTITUTE('Ingest Template'!X738,"http:",""),"https:",""),"/","")</f>
        <v/>
      </c>
      <c r="Z738" s="21" t="str">
        <f t="array" ref="Z738">IF('Ingest Template'!A738="Standard",(IF(ISBLANK('Ingest Template'!AA738),"", 'Ingest Template'!AA738&amp;"|DAR")),(IF(ISBLANK('Ingest Template'!AA738),"", 'Ingest Template'!AA738&amp;"|Film Ops")))</f>
        <v/>
      </c>
      <c r="AA738" s="21"/>
      <c r="AB738" s="21" t="str">
        <f>'Ingest Template'!M738</f>
        <v/>
      </c>
      <c r="AC738" s="21" t="str">
        <f>'Ingest Template'!Y738</f>
        <v/>
      </c>
      <c r="AD738" s="21" t="str">
        <f>'Ingest Template'!C738</f>
        <v/>
      </c>
      <c r="AE738" s="21" t="str">
        <f>'Ingest Template'!Z738</f>
        <v/>
      </c>
      <c r="AF738" s="29"/>
      <c r="AG738" s="21" t="str">
        <f t="array" ref="AG738">IF('Ingest Template'!A738="Standard",(CONCATENATE(IF(ISBLANK('Ingest Template'!O738),"", 'Ingest Template'!O738&amp;"|DAR"),CHAR(10), IF(ISBLANK('Ingest Template'!P738),"", 'Ingest Template'!P738&amp;"|DAR"),CHAR(10), IF(ISBLANK('Ingest Template'!Q738),"", 'Ingest Template'!Q738&amp;"|DAR"))),(CONCATENATE(IF(ISBLANK('Ingest Template'!O738),"", 'Ingest Template'!O738&amp;"|Operations - Core Title"),CHAR(10), IF(ISBLANK('Ingest Template'!P738),"", 'Ingest Template'!P738&amp;"|Operations - Core Title"),CHAR(10), IF(ISBLANK('Ingest Template'!Q738),"", 'Ingest Template'!Q738&amp;"|Operations - Core Title"))))</f>
        <v>#|Operations - Core Title
#|Operations - Core Title
</v>
      </c>
      <c r="AH738" s="21"/>
      <c r="AI738" s="21"/>
      <c r="AJ738" s="53" t="str">
        <f>if('Ingest Template'!A738="Standard",'Ingest Template'!N738&amp; "|DAR|DAR|2021-01-01",'Ingest Template'!N738&amp; "|Operations - Core Title|Operations - Core Title")</f>
        <v>#N/A</v>
      </c>
      <c r="AK738" s="53" t="str">
        <f>if('Ingest Template'!A738="Standard",'Ingest Template'!R738&amp; "|2021-01-01",'Ingest Template'!R738)</f>
        <v>#N/A</v>
      </c>
      <c r="AL738" s="21"/>
      <c r="AM738" s="21"/>
    </row>
    <row r="739">
      <c r="A739" s="21"/>
      <c r="B739" s="21" t="str">
        <f>'Ingest Template'!B739&amp;IF('Ingest Template'!A739 = "Standard", " - DAR","")</f>
        <v/>
      </c>
      <c r="C739" s="26" t="s">
        <v>109</v>
      </c>
      <c r="D739" s="29" t="str">
        <f t="array" ref="D739">CONCATENATE(INDEX(DropDown!$H$2:$H$10,MATCH(1,COUNTIF('Ingest Template'!F739,"*"&amp;DropDown!$H$2:$H$10&amp;"*"),0)),CHAR(10),'Ingest Template'!G739)</f>
        <v>#N/A</v>
      </c>
      <c r="E739" s="21" t="str">
        <f>CONCATENATE('Ingest Template'!H739,CHAR(10),'Ingest Template'!I739,CHAR(10),'Ingest Template'!J739)</f>
        <v>
</v>
      </c>
      <c r="F739" s="26" t="str">
        <f>'Ingest Template'!H739</f>
        <v/>
      </c>
      <c r="G739" s="21"/>
      <c r="H739" s="29"/>
      <c r="I739" s="21"/>
      <c r="J739" s="29" t="str">
        <f t="array" ref="J739">iF('Ingest Template'!A739="Standard","Pristine Brand",INDEX(DropDown!$M$2:$M$392,MATCH('Ingest Template'!E739,DropDown!$J$2:$J$392,0)))</f>
        <v>#N/A</v>
      </c>
      <c r="K739" s="21" t="str">
        <f>iF('Ingest Template'!A739="Standard",'Ingest Template'!K739&amp;CHAR(10)&amp;'Ingest Template'!L739,"Competitive View")</f>
        <v>Competitive View</v>
      </c>
      <c r="L739" s="29" t="s">
        <v>146</v>
      </c>
      <c r="M739" s="37" t="str">
        <f>'Ingest Template'!D739</f>
        <v/>
      </c>
      <c r="N739" s="21"/>
      <c r="O739" s="21"/>
      <c r="P739" s="21"/>
      <c r="Q739" s="21"/>
      <c r="R739" s="21" t="str">
        <f>'Ingest Template'!E739</f>
        <v/>
      </c>
      <c r="S739" s="29" t="s">
        <v>153</v>
      </c>
      <c r="T739" s="21" t="str">
        <f>'Ingest Template'!T739</f>
        <v/>
      </c>
      <c r="U739" s="21" t="str">
        <f>'Ingest Template'!S739</f>
        <v/>
      </c>
      <c r="V739" s="21" t="str">
        <f>LOWER(SUBSTITUTE(SUBSTITUTE(SUBSTITUTE(SUBSTITUTE(SUBSTITUTE('Ingest Template'!U739,"https:",""),"www.",""),"/",""),"?hl=en",""),"instagram.com",""))</f>
        <v/>
      </c>
      <c r="W739" s="41" t="str">
        <f t="array" ref="W739">IF('Ingest Template'!V739="",(INDEX(DropDown!$L$2:$L$392,MATCH('Ingest Template'!E739,DropDown!$J$2:$J$392,0))&amp;"|"&amp;'Ingest Template'!B739),(INDEX(DropDown!$L$2:$L$392,MATCH('Ingest Template'!E739,DropDown!$J$2:$J$392,0))&amp;"|"&amp;'Ingest Template'!B739)&amp;CHAR(10)&amp;'Ingest Template'!V739)</f>
        <v>#N/A</v>
      </c>
      <c r="X739" s="41" t="str">
        <f>'Ingest Template'!W739</f>
        <v/>
      </c>
      <c r="Y739" s="21" t="str">
        <f>SUBSTITUTE(SUBSTITUTE(SUBSTITUTE('Ingest Template'!X739,"http:",""),"https:",""),"/","")</f>
        <v/>
      </c>
      <c r="Z739" s="21" t="str">
        <f t="array" ref="Z739">IF('Ingest Template'!A739="Standard",(IF(ISBLANK('Ingest Template'!AA739),"", 'Ingest Template'!AA739&amp;"|DAR")),(IF(ISBLANK('Ingest Template'!AA739),"", 'Ingest Template'!AA739&amp;"|Film Ops")))</f>
        <v/>
      </c>
      <c r="AA739" s="21"/>
      <c r="AB739" s="21" t="str">
        <f>'Ingest Template'!M739</f>
        <v/>
      </c>
      <c r="AC739" s="21" t="str">
        <f>'Ingest Template'!Y739</f>
        <v/>
      </c>
      <c r="AD739" s="21" t="str">
        <f>'Ingest Template'!C739</f>
        <v/>
      </c>
      <c r="AE739" s="21" t="str">
        <f>'Ingest Template'!Z739</f>
        <v/>
      </c>
      <c r="AF739" s="29"/>
      <c r="AG739" s="21" t="str">
        <f t="array" ref="AG739">IF('Ingest Template'!A739="Standard",(CONCATENATE(IF(ISBLANK('Ingest Template'!O739),"", 'Ingest Template'!O739&amp;"|DAR"),CHAR(10), IF(ISBLANK('Ingest Template'!P739),"", 'Ingest Template'!P739&amp;"|DAR"),CHAR(10), IF(ISBLANK('Ingest Template'!Q739),"", 'Ingest Template'!Q739&amp;"|DAR"))),(CONCATENATE(IF(ISBLANK('Ingest Template'!O739),"", 'Ingest Template'!O739&amp;"|Operations - Core Title"),CHAR(10), IF(ISBLANK('Ingest Template'!P739),"", 'Ingest Template'!P739&amp;"|Operations - Core Title"),CHAR(10), IF(ISBLANK('Ingest Template'!Q739),"", 'Ingest Template'!Q739&amp;"|Operations - Core Title"))))</f>
        <v>#|Operations - Core Title
#|Operations - Core Title
</v>
      </c>
      <c r="AH739" s="21"/>
      <c r="AI739" s="21"/>
      <c r="AJ739" s="53" t="str">
        <f>if('Ingest Template'!A739="Standard",'Ingest Template'!N739&amp; "|DAR|DAR|2021-01-01",'Ingest Template'!N739&amp; "|Operations - Core Title|Operations - Core Title")</f>
        <v>#N/A</v>
      </c>
      <c r="AK739" s="53" t="str">
        <f>if('Ingest Template'!A739="Standard",'Ingest Template'!R739&amp; "|2021-01-01",'Ingest Template'!R739)</f>
        <v>#N/A</v>
      </c>
      <c r="AL739" s="21"/>
      <c r="AM739" s="21"/>
    </row>
    <row r="740">
      <c r="A740" s="21"/>
      <c r="B740" s="21" t="str">
        <f>'Ingest Template'!B740&amp;IF('Ingest Template'!A740 = "Standard", " - DAR","")</f>
        <v/>
      </c>
      <c r="C740" s="26" t="s">
        <v>109</v>
      </c>
      <c r="D740" s="29" t="str">
        <f t="array" ref="D740">CONCATENATE(INDEX(DropDown!$H$2:$H$10,MATCH(1,COUNTIF('Ingest Template'!F740,"*"&amp;DropDown!$H$2:$H$10&amp;"*"),0)),CHAR(10),'Ingest Template'!G740)</f>
        <v>#N/A</v>
      </c>
      <c r="E740" s="21" t="str">
        <f>CONCATENATE('Ingest Template'!H740,CHAR(10),'Ingest Template'!I740,CHAR(10),'Ingest Template'!J740)</f>
        <v>
</v>
      </c>
      <c r="F740" s="26" t="str">
        <f>'Ingest Template'!H740</f>
        <v/>
      </c>
      <c r="G740" s="21"/>
      <c r="H740" s="29"/>
      <c r="I740" s="21"/>
      <c r="J740" s="29" t="str">
        <f t="array" ref="J740">iF('Ingest Template'!A740="Standard","Pristine Brand",INDEX(DropDown!$M$2:$M$392,MATCH('Ingest Template'!E740,DropDown!$J$2:$J$392,0)))</f>
        <v>#N/A</v>
      </c>
      <c r="K740" s="21" t="str">
        <f>iF('Ingest Template'!A740="Standard",'Ingest Template'!K740&amp;CHAR(10)&amp;'Ingest Template'!L740,"Competitive View")</f>
        <v>Competitive View</v>
      </c>
      <c r="L740" s="29" t="s">
        <v>146</v>
      </c>
      <c r="M740" s="37" t="str">
        <f>'Ingest Template'!D740</f>
        <v/>
      </c>
      <c r="N740" s="21"/>
      <c r="O740" s="21"/>
      <c r="P740" s="21"/>
      <c r="Q740" s="21"/>
      <c r="R740" s="21" t="str">
        <f>'Ingest Template'!E740</f>
        <v/>
      </c>
      <c r="S740" s="29" t="s">
        <v>153</v>
      </c>
      <c r="T740" s="21" t="str">
        <f>'Ingest Template'!T740</f>
        <v/>
      </c>
      <c r="U740" s="21" t="str">
        <f>'Ingest Template'!S740</f>
        <v/>
      </c>
      <c r="V740" s="21" t="str">
        <f>LOWER(SUBSTITUTE(SUBSTITUTE(SUBSTITUTE(SUBSTITUTE(SUBSTITUTE('Ingest Template'!U740,"https:",""),"www.",""),"/",""),"?hl=en",""),"instagram.com",""))</f>
        <v/>
      </c>
      <c r="W740" s="41" t="str">
        <f t="array" ref="W740">IF('Ingest Template'!V740="",(INDEX(DropDown!$L$2:$L$392,MATCH('Ingest Template'!E740,DropDown!$J$2:$J$392,0))&amp;"|"&amp;'Ingest Template'!B740),(INDEX(DropDown!$L$2:$L$392,MATCH('Ingest Template'!E740,DropDown!$J$2:$J$392,0))&amp;"|"&amp;'Ingest Template'!B740)&amp;CHAR(10)&amp;'Ingest Template'!V740)</f>
        <v>#N/A</v>
      </c>
      <c r="X740" s="41" t="str">
        <f>'Ingest Template'!W740</f>
        <v/>
      </c>
      <c r="Y740" s="21" t="str">
        <f>SUBSTITUTE(SUBSTITUTE(SUBSTITUTE('Ingest Template'!X740,"http:",""),"https:",""),"/","")</f>
        <v/>
      </c>
      <c r="Z740" s="21" t="str">
        <f t="array" ref="Z740">IF('Ingest Template'!A740="Standard",(IF(ISBLANK('Ingest Template'!AA740),"", 'Ingest Template'!AA740&amp;"|DAR")),(IF(ISBLANK('Ingest Template'!AA740),"", 'Ingest Template'!AA740&amp;"|Film Ops")))</f>
        <v/>
      </c>
      <c r="AA740" s="21"/>
      <c r="AB740" s="21" t="str">
        <f>'Ingest Template'!M740</f>
        <v/>
      </c>
      <c r="AC740" s="21" t="str">
        <f>'Ingest Template'!Y740</f>
        <v/>
      </c>
      <c r="AD740" s="21" t="str">
        <f>'Ingest Template'!C740</f>
        <v/>
      </c>
      <c r="AE740" s="21" t="str">
        <f>'Ingest Template'!Z740</f>
        <v/>
      </c>
      <c r="AF740" s="29"/>
      <c r="AG740" s="21" t="str">
        <f t="array" ref="AG740">IF('Ingest Template'!A740="Standard",(CONCATENATE(IF(ISBLANK('Ingest Template'!O740),"", 'Ingest Template'!O740&amp;"|DAR"),CHAR(10), IF(ISBLANK('Ingest Template'!P740),"", 'Ingest Template'!P740&amp;"|DAR"),CHAR(10), IF(ISBLANK('Ingest Template'!Q740),"", 'Ingest Template'!Q740&amp;"|DAR"))),(CONCATENATE(IF(ISBLANK('Ingest Template'!O740),"", 'Ingest Template'!O740&amp;"|Operations - Core Title"),CHAR(10), IF(ISBLANK('Ingest Template'!P740),"", 'Ingest Template'!P740&amp;"|Operations - Core Title"),CHAR(10), IF(ISBLANK('Ingest Template'!Q740),"", 'Ingest Template'!Q740&amp;"|Operations - Core Title"))))</f>
        <v>#|Operations - Core Title
#|Operations - Core Title
</v>
      </c>
      <c r="AH740" s="21"/>
      <c r="AI740" s="21"/>
      <c r="AJ740" s="53" t="str">
        <f>if('Ingest Template'!A740="Standard",'Ingest Template'!N740&amp; "|DAR|DAR|2021-01-01",'Ingest Template'!N740&amp; "|Operations - Core Title|Operations - Core Title")</f>
        <v>#N/A</v>
      </c>
      <c r="AK740" s="53" t="str">
        <f>if('Ingest Template'!A740="Standard",'Ingest Template'!R740&amp; "|2021-01-01",'Ingest Template'!R740)</f>
        <v>#N/A</v>
      </c>
      <c r="AL740" s="21"/>
      <c r="AM740" s="21"/>
    </row>
    <row r="741">
      <c r="A741" s="21"/>
      <c r="B741" s="21" t="str">
        <f>'Ingest Template'!B741&amp;IF('Ingest Template'!A741 = "Standard", " - DAR","")</f>
        <v/>
      </c>
      <c r="C741" s="26" t="s">
        <v>109</v>
      </c>
      <c r="D741" s="29" t="str">
        <f t="array" ref="D741">CONCATENATE(INDEX(DropDown!$H$2:$H$10,MATCH(1,COUNTIF('Ingest Template'!F741,"*"&amp;DropDown!$H$2:$H$10&amp;"*"),0)),CHAR(10),'Ingest Template'!G741)</f>
        <v>#N/A</v>
      </c>
      <c r="E741" s="21" t="str">
        <f>CONCATENATE('Ingest Template'!H741,CHAR(10),'Ingest Template'!I741,CHAR(10),'Ingest Template'!J741)</f>
        <v>
</v>
      </c>
      <c r="F741" s="26" t="str">
        <f>'Ingest Template'!H741</f>
        <v/>
      </c>
      <c r="G741" s="21"/>
      <c r="H741" s="29"/>
      <c r="I741" s="21"/>
      <c r="J741" s="29" t="str">
        <f t="array" ref="J741">iF('Ingest Template'!A741="Standard","Pristine Brand",INDEX(DropDown!$M$2:$M$392,MATCH('Ingest Template'!E741,DropDown!$J$2:$J$392,0)))</f>
        <v>#N/A</v>
      </c>
      <c r="K741" s="21" t="str">
        <f>iF('Ingest Template'!A741="Standard",'Ingest Template'!K741&amp;CHAR(10)&amp;'Ingest Template'!L741,"Competitive View")</f>
        <v>Competitive View</v>
      </c>
      <c r="L741" s="29" t="s">
        <v>146</v>
      </c>
      <c r="M741" s="37" t="str">
        <f>'Ingest Template'!D741</f>
        <v/>
      </c>
      <c r="N741" s="21"/>
      <c r="O741" s="21"/>
      <c r="P741" s="21"/>
      <c r="Q741" s="21"/>
      <c r="R741" s="21" t="str">
        <f>'Ingest Template'!E741</f>
        <v/>
      </c>
      <c r="S741" s="29" t="s">
        <v>153</v>
      </c>
      <c r="T741" s="21" t="str">
        <f>'Ingest Template'!T741</f>
        <v/>
      </c>
      <c r="U741" s="21" t="str">
        <f>'Ingest Template'!S741</f>
        <v/>
      </c>
      <c r="V741" s="21" t="str">
        <f>LOWER(SUBSTITUTE(SUBSTITUTE(SUBSTITUTE(SUBSTITUTE(SUBSTITUTE('Ingest Template'!U741,"https:",""),"www.",""),"/",""),"?hl=en",""),"instagram.com",""))</f>
        <v/>
      </c>
      <c r="W741" s="41" t="str">
        <f t="array" ref="W741">IF('Ingest Template'!V741="",(INDEX(DropDown!$L$2:$L$392,MATCH('Ingest Template'!E741,DropDown!$J$2:$J$392,0))&amp;"|"&amp;'Ingest Template'!B741),(INDEX(DropDown!$L$2:$L$392,MATCH('Ingest Template'!E741,DropDown!$J$2:$J$392,0))&amp;"|"&amp;'Ingest Template'!B741)&amp;CHAR(10)&amp;'Ingest Template'!V741)</f>
        <v>#N/A</v>
      </c>
      <c r="X741" s="41" t="str">
        <f>'Ingest Template'!W741</f>
        <v/>
      </c>
      <c r="Y741" s="21" t="str">
        <f>SUBSTITUTE(SUBSTITUTE(SUBSTITUTE('Ingest Template'!X741,"http:",""),"https:",""),"/","")</f>
        <v/>
      </c>
      <c r="Z741" s="21" t="str">
        <f t="array" ref="Z741">IF('Ingest Template'!A741="Standard",(IF(ISBLANK('Ingest Template'!AA741),"", 'Ingest Template'!AA741&amp;"|DAR")),(IF(ISBLANK('Ingest Template'!AA741),"", 'Ingest Template'!AA741&amp;"|Film Ops")))</f>
        <v/>
      </c>
      <c r="AA741" s="21"/>
      <c r="AB741" s="21" t="str">
        <f>'Ingest Template'!M741</f>
        <v/>
      </c>
      <c r="AC741" s="21" t="str">
        <f>'Ingest Template'!Y741</f>
        <v/>
      </c>
      <c r="AD741" s="21" t="str">
        <f>'Ingest Template'!C741</f>
        <v/>
      </c>
      <c r="AE741" s="21" t="str">
        <f>'Ingest Template'!Z741</f>
        <v/>
      </c>
      <c r="AF741" s="29"/>
      <c r="AG741" s="21" t="str">
        <f t="array" ref="AG741">IF('Ingest Template'!A741="Standard",(CONCATENATE(IF(ISBLANK('Ingest Template'!O741),"", 'Ingest Template'!O741&amp;"|DAR"),CHAR(10), IF(ISBLANK('Ingest Template'!P741),"", 'Ingest Template'!P741&amp;"|DAR"),CHAR(10), IF(ISBLANK('Ingest Template'!Q741),"", 'Ingest Template'!Q741&amp;"|DAR"))),(CONCATENATE(IF(ISBLANK('Ingest Template'!O741),"", 'Ingest Template'!O741&amp;"|Operations - Core Title"),CHAR(10), IF(ISBLANK('Ingest Template'!P741),"", 'Ingest Template'!P741&amp;"|Operations - Core Title"),CHAR(10), IF(ISBLANK('Ingest Template'!Q741),"", 'Ingest Template'!Q741&amp;"|Operations - Core Title"))))</f>
        <v>#|Operations - Core Title
#|Operations - Core Title
</v>
      </c>
      <c r="AH741" s="21"/>
      <c r="AI741" s="21"/>
      <c r="AJ741" s="53" t="str">
        <f>if('Ingest Template'!A741="Standard",'Ingest Template'!N741&amp; "|DAR|DAR|2021-01-01",'Ingest Template'!N741&amp; "|Operations - Core Title|Operations - Core Title")</f>
        <v>#N/A</v>
      </c>
      <c r="AK741" s="53" t="str">
        <f>if('Ingest Template'!A741="Standard",'Ingest Template'!R741&amp; "|2021-01-01",'Ingest Template'!R741)</f>
        <v>#N/A</v>
      </c>
      <c r="AL741" s="21"/>
      <c r="AM741" s="21"/>
    </row>
    <row r="742">
      <c r="A742" s="21"/>
      <c r="B742" s="21" t="str">
        <f>'Ingest Template'!B742&amp;IF('Ingest Template'!A742 = "Standard", " - DAR","")</f>
        <v/>
      </c>
      <c r="C742" s="26" t="s">
        <v>109</v>
      </c>
      <c r="D742" s="29" t="str">
        <f t="array" ref="D742">CONCATENATE(INDEX(DropDown!$H$2:$H$10,MATCH(1,COUNTIF('Ingest Template'!F742,"*"&amp;DropDown!$H$2:$H$10&amp;"*"),0)),CHAR(10),'Ingest Template'!G742)</f>
        <v>#N/A</v>
      </c>
      <c r="E742" s="21" t="str">
        <f>CONCATENATE('Ingest Template'!H742,CHAR(10),'Ingest Template'!I742,CHAR(10),'Ingest Template'!J742)</f>
        <v>
</v>
      </c>
      <c r="F742" s="26" t="str">
        <f>'Ingest Template'!H742</f>
        <v/>
      </c>
      <c r="G742" s="21"/>
      <c r="H742" s="29"/>
      <c r="I742" s="21"/>
      <c r="J742" s="29" t="str">
        <f t="array" ref="J742">iF('Ingest Template'!A742="Standard","Pristine Brand",INDEX(DropDown!$M$2:$M$392,MATCH('Ingest Template'!E742,DropDown!$J$2:$J$392,0)))</f>
        <v>#N/A</v>
      </c>
      <c r="K742" s="21" t="str">
        <f>iF('Ingest Template'!A742="Standard",'Ingest Template'!K742&amp;CHAR(10)&amp;'Ingest Template'!L742,"Competitive View")</f>
        <v>Competitive View</v>
      </c>
      <c r="L742" s="29" t="s">
        <v>146</v>
      </c>
      <c r="M742" s="37" t="str">
        <f>'Ingest Template'!D742</f>
        <v/>
      </c>
      <c r="N742" s="21"/>
      <c r="O742" s="21"/>
      <c r="P742" s="21"/>
      <c r="Q742" s="21"/>
      <c r="R742" s="21" t="str">
        <f>'Ingest Template'!E742</f>
        <v/>
      </c>
      <c r="S742" s="29" t="s">
        <v>153</v>
      </c>
      <c r="T742" s="21" t="str">
        <f>'Ingest Template'!T742</f>
        <v/>
      </c>
      <c r="U742" s="21" t="str">
        <f>'Ingest Template'!S742</f>
        <v/>
      </c>
      <c r="V742" s="21" t="str">
        <f>LOWER(SUBSTITUTE(SUBSTITUTE(SUBSTITUTE(SUBSTITUTE(SUBSTITUTE('Ingest Template'!U742,"https:",""),"www.",""),"/",""),"?hl=en",""),"instagram.com",""))</f>
        <v/>
      </c>
      <c r="W742" s="41" t="str">
        <f t="array" ref="W742">IF('Ingest Template'!V742="",(INDEX(DropDown!$L$2:$L$392,MATCH('Ingest Template'!E742,DropDown!$J$2:$J$392,0))&amp;"|"&amp;'Ingest Template'!B742),(INDEX(DropDown!$L$2:$L$392,MATCH('Ingest Template'!E742,DropDown!$J$2:$J$392,0))&amp;"|"&amp;'Ingest Template'!B742)&amp;CHAR(10)&amp;'Ingest Template'!V742)</f>
        <v>#N/A</v>
      </c>
      <c r="X742" s="41" t="str">
        <f>'Ingest Template'!W742</f>
        <v/>
      </c>
      <c r="Y742" s="21" t="str">
        <f>SUBSTITUTE(SUBSTITUTE(SUBSTITUTE('Ingest Template'!X742,"http:",""),"https:",""),"/","")</f>
        <v/>
      </c>
      <c r="Z742" s="21" t="str">
        <f t="array" ref="Z742">IF('Ingest Template'!A742="Standard",(IF(ISBLANK('Ingest Template'!AA742),"", 'Ingest Template'!AA742&amp;"|DAR")),(IF(ISBLANK('Ingest Template'!AA742),"", 'Ingest Template'!AA742&amp;"|Film Ops")))</f>
        <v/>
      </c>
      <c r="AA742" s="21"/>
      <c r="AB742" s="21" t="str">
        <f>'Ingest Template'!M742</f>
        <v/>
      </c>
      <c r="AC742" s="21" t="str">
        <f>'Ingest Template'!Y742</f>
        <v/>
      </c>
      <c r="AD742" s="21" t="str">
        <f>'Ingest Template'!C742</f>
        <v/>
      </c>
      <c r="AE742" s="21" t="str">
        <f>'Ingest Template'!Z742</f>
        <v/>
      </c>
      <c r="AF742" s="29"/>
      <c r="AG742" s="21" t="str">
        <f t="array" ref="AG742">IF('Ingest Template'!A742="Standard",(CONCATENATE(IF(ISBLANK('Ingest Template'!O742),"", 'Ingest Template'!O742&amp;"|DAR"),CHAR(10), IF(ISBLANK('Ingest Template'!P742),"", 'Ingest Template'!P742&amp;"|DAR"),CHAR(10), IF(ISBLANK('Ingest Template'!Q742),"", 'Ingest Template'!Q742&amp;"|DAR"))),(CONCATENATE(IF(ISBLANK('Ingest Template'!O742),"", 'Ingest Template'!O742&amp;"|Operations - Core Title"),CHAR(10), IF(ISBLANK('Ingest Template'!P742),"", 'Ingest Template'!P742&amp;"|Operations - Core Title"),CHAR(10), IF(ISBLANK('Ingest Template'!Q742),"", 'Ingest Template'!Q742&amp;"|Operations - Core Title"))))</f>
        <v>#|Operations - Core Title
#|Operations - Core Title
</v>
      </c>
      <c r="AH742" s="21"/>
      <c r="AI742" s="21"/>
      <c r="AJ742" s="53" t="str">
        <f>if('Ingest Template'!A742="Standard",'Ingest Template'!N742&amp; "|DAR|DAR|2021-01-01",'Ingest Template'!N742&amp; "|Operations - Core Title|Operations - Core Title")</f>
        <v>#N/A</v>
      </c>
      <c r="AK742" s="53" t="str">
        <f>if('Ingest Template'!A742="Standard",'Ingest Template'!R742&amp; "|2021-01-01",'Ingest Template'!R742)</f>
        <v>#N/A</v>
      </c>
      <c r="AL742" s="21"/>
      <c r="AM742" s="21"/>
    </row>
    <row r="743">
      <c r="A743" s="21"/>
      <c r="B743" s="21" t="str">
        <f>'Ingest Template'!B743&amp;IF('Ingest Template'!A743 = "Standard", " - DAR","")</f>
        <v/>
      </c>
      <c r="C743" s="26" t="s">
        <v>109</v>
      </c>
      <c r="D743" s="29" t="str">
        <f t="array" ref="D743">CONCATENATE(INDEX(DropDown!$H$2:$H$10,MATCH(1,COUNTIF('Ingest Template'!F743,"*"&amp;DropDown!$H$2:$H$10&amp;"*"),0)),CHAR(10),'Ingest Template'!G743)</f>
        <v>#N/A</v>
      </c>
      <c r="E743" s="21" t="str">
        <f>CONCATENATE('Ingest Template'!H743,CHAR(10),'Ingest Template'!I743,CHAR(10),'Ingest Template'!J743)</f>
        <v>
</v>
      </c>
      <c r="F743" s="26" t="str">
        <f>'Ingest Template'!H743</f>
        <v/>
      </c>
      <c r="G743" s="21"/>
      <c r="H743" s="29"/>
      <c r="I743" s="21"/>
      <c r="J743" s="29" t="str">
        <f t="array" ref="J743">iF('Ingest Template'!A743="Standard","Pristine Brand",INDEX(DropDown!$M$2:$M$392,MATCH('Ingest Template'!E743,DropDown!$J$2:$J$392,0)))</f>
        <v>#N/A</v>
      </c>
      <c r="K743" s="21" t="str">
        <f>iF('Ingest Template'!A743="Standard",'Ingest Template'!K743&amp;CHAR(10)&amp;'Ingest Template'!L743,"Competitive View")</f>
        <v>Competitive View</v>
      </c>
      <c r="L743" s="29" t="s">
        <v>146</v>
      </c>
      <c r="M743" s="37" t="str">
        <f>'Ingest Template'!D743</f>
        <v/>
      </c>
      <c r="N743" s="21"/>
      <c r="O743" s="21"/>
      <c r="P743" s="21"/>
      <c r="Q743" s="21"/>
      <c r="R743" s="21" t="str">
        <f>'Ingest Template'!E743</f>
        <v/>
      </c>
      <c r="S743" s="29" t="s">
        <v>153</v>
      </c>
      <c r="T743" s="21" t="str">
        <f>'Ingest Template'!T743</f>
        <v/>
      </c>
      <c r="U743" s="21" t="str">
        <f>'Ingest Template'!S743</f>
        <v/>
      </c>
      <c r="V743" s="21" t="str">
        <f>LOWER(SUBSTITUTE(SUBSTITUTE(SUBSTITUTE(SUBSTITUTE(SUBSTITUTE('Ingest Template'!U743,"https:",""),"www.",""),"/",""),"?hl=en",""),"instagram.com",""))</f>
        <v/>
      </c>
      <c r="W743" s="41" t="str">
        <f t="array" ref="W743">IF('Ingest Template'!V743="",(INDEX(DropDown!$L$2:$L$392,MATCH('Ingest Template'!E743,DropDown!$J$2:$J$392,0))&amp;"|"&amp;'Ingest Template'!B743),(INDEX(DropDown!$L$2:$L$392,MATCH('Ingest Template'!E743,DropDown!$J$2:$J$392,0))&amp;"|"&amp;'Ingest Template'!B743)&amp;CHAR(10)&amp;'Ingest Template'!V743)</f>
        <v>#N/A</v>
      </c>
      <c r="X743" s="41" t="str">
        <f>'Ingest Template'!W743</f>
        <v/>
      </c>
      <c r="Y743" s="21" t="str">
        <f>SUBSTITUTE(SUBSTITUTE(SUBSTITUTE('Ingest Template'!X743,"http:",""),"https:",""),"/","")</f>
        <v/>
      </c>
      <c r="Z743" s="21" t="str">
        <f t="array" ref="Z743">IF('Ingest Template'!A743="Standard",(IF(ISBLANK('Ingest Template'!AA743),"", 'Ingest Template'!AA743&amp;"|DAR")),(IF(ISBLANK('Ingest Template'!AA743),"", 'Ingest Template'!AA743&amp;"|Film Ops")))</f>
        <v/>
      </c>
      <c r="AA743" s="21"/>
      <c r="AB743" s="21" t="str">
        <f>'Ingest Template'!M743</f>
        <v/>
      </c>
      <c r="AC743" s="21" t="str">
        <f>'Ingest Template'!Y743</f>
        <v/>
      </c>
      <c r="AD743" s="21" t="str">
        <f>'Ingest Template'!C743</f>
        <v/>
      </c>
      <c r="AE743" s="21" t="str">
        <f>'Ingest Template'!Z743</f>
        <v/>
      </c>
      <c r="AF743" s="29"/>
      <c r="AG743" s="21" t="str">
        <f t="array" ref="AG743">IF('Ingest Template'!A743="Standard",(CONCATENATE(IF(ISBLANK('Ingest Template'!O743),"", 'Ingest Template'!O743&amp;"|DAR"),CHAR(10), IF(ISBLANK('Ingest Template'!P743),"", 'Ingest Template'!P743&amp;"|DAR"),CHAR(10), IF(ISBLANK('Ingest Template'!Q743),"", 'Ingest Template'!Q743&amp;"|DAR"))),(CONCATENATE(IF(ISBLANK('Ingest Template'!O743),"", 'Ingest Template'!O743&amp;"|Operations - Core Title"),CHAR(10), IF(ISBLANK('Ingest Template'!P743),"", 'Ingest Template'!P743&amp;"|Operations - Core Title"),CHAR(10), IF(ISBLANK('Ingest Template'!Q743),"", 'Ingest Template'!Q743&amp;"|Operations - Core Title"))))</f>
        <v>#|Operations - Core Title
#|Operations - Core Title
</v>
      </c>
      <c r="AH743" s="21"/>
      <c r="AI743" s="21"/>
      <c r="AJ743" s="53" t="str">
        <f>if('Ingest Template'!A743="Standard",'Ingest Template'!N743&amp; "|DAR|DAR|2021-01-01",'Ingest Template'!N743&amp; "|Operations - Core Title|Operations - Core Title")</f>
        <v>#N/A</v>
      </c>
      <c r="AK743" s="53" t="str">
        <f>if('Ingest Template'!A743="Standard",'Ingest Template'!R743&amp; "|2021-01-01",'Ingest Template'!R743)</f>
        <v>#N/A</v>
      </c>
      <c r="AL743" s="21"/>
      <c r="AM743" s="21"/>
    </row>
    <row r="744">
      <c r="A744" s="21"/>
      <c r="B744" s="21" t="str">
        <f>'Ingest Template'!B744&amp;IF('Ingest Template'!A744 = "Standard", " - DAR","")</f>
        <v/>
      </c>
      <c r="C744" s="26" t="s">
        <v>109</v>
      </c>
      <c r="D744" s="29" t="str">
        <f t="array" ref="D744">CONCATENATE(INDEX(DropDown!$H$2:$H$10,MATCH(1,COUNTIF('Ingest Template'!F744,"*"&amp;DropDown!$H$2:$H$10&amp;"*"),0)),CHAR(10),'Ingest Template'!G744)</f>
        <v>#N/A</v>
      </c>
      <c r="E744" s="21" t="str">
        <f>CONCATENATE('Ingest Template'!H744,CHAR(10),'Ingest Template'!I744,CHAR(10),'Ingest Template'!J744)</f>
        <v>
</v>
      </c>
      <c r="F744" s="26" t="str">
        <f>'Ingest Template'!H744</f>
        <v/>
      </c>
      <c r="G744" s="21"/>
      <c r="H744" s="29"/>
      <c r="I744" s="21"/>
      <c r="J744" s="29" t="str">
        <f t="array" ref="J744">iF('Ingest Template'!A744="Standard","Pristine Brand",INDEX(DropDown!$M$2:$M$392,MATCH('Ingest Template'!E744,DropDown!$J$2:$J$392,0)))</f>
        <v>#N/A</v>
      </c>
      <c r="K744" s="21" t="str">
        <f>iF('Ingest Template'!A744="Standard",'Ingest Template'!K744&amp;CHAR(10)&amp;'Ingest Template'!L744,"Competitive View")</f>
        <v>Competitive View</v>
      </c>
      <c r="L744" s="29" t="s">
        <v>146</v>
      </c>
      <c r="M744" s="37" t="str">
        <f>'Ingest Template'!D744</f>
        <v/>
      </c>
      <c r="N744" s="21"/>
      <c r="O744" s="21"/>
      <c r="P744" s="21"/>
      <c r="Q744" s="21"/>
      <c r="R744" s="21" t="str">
        <f>'Ingest Template'!E744</f>
        <v/>
      </c>
      <c r="S744" s="29" t="s">
        <v>153</v>
      </c>
      <c r="T744" s="21" t="str">
        <f>'Ingest Template'!T744</f>
        <v/>
      </c>
      <c r="U744" s="21" t="str">
        <f>'Ingest Template'!S744</f>
        <v/>
      </c>
      <c r="V744" s="21" t="str">
        <f>LOWER(SUBSTITUTE(SUBSTITUTE(SUBSTITUTE(SUBSTITUTE(SUBSTITUTE('Ingest Template'!U744,"https:",""),"www.",""),"/",""),"?hl=en",""),"instagram.com",""))</f>
        <v/>
      </c>
      <c r="W744" s="41" t="str">
        <f t="array" ref="W744">IF('Ingest Template'!V744="",(INDEX(DropDown!$L$2:$L$392,MATCH('Ingest Template'!E744,DropDown!$J$2:$J$392,0))&amp;"|"&amp;'Ingest Template'!B744),(INDEX(DropDown!$L$2:$L$392,MATCH('Ingest Template'!E744,DropDown!$J$2:$J$392,0))&amp;"|"&amp;'Ingest Template'!B744)&amp;CHAR(10)&amp;'Ingest Template'!V744)</f>
        <v>#N/A</v>
      </c>
      <c r="X744" s="41" t="str">
        <f>'Ingest Template'!W744</f>
        <v/>
      </c>
      <c r="Y744" s="21" t="str">
        <f>SUBSTITUTE(SUBSTITUTE(SUBSTITUTE('Ingest Template'!X744,"http:",""),"https:",""),"/","")</f>
        <v/>
      </c>
      <c r="Z744" s="21" t="str">
        <f t="array" ref="Z744">IF('Ingest Template'!A744="Standard",(IF(ISBLANK('Ingest Template'!AA744),"", 'Ingest Template'!AA744&amp;"|DAR")),(IF(ISBLANK('Ingest Template'!AA744),"", 'Ingest Template'!AA744&amp;"|Film Ops")))</f>
        <v/>
      </c>
      <c r="AA744" s="21"/>
      <c r="AB744" s="21" t="str">
        <f>'Ingest Template'!M744</f>
        <v/>
      </c>
      <c r="AC744" s="21" t="str">
        <f>'Ingest Template'!Y744</f>
        <v/>
      </c>
      <c r="AD744" s="21" t="str">
        <f>'Ingest Template'!C744</f>
        <v/>
      </c>
      <c r="AE744" s="21" t="str">
        <f>'Ingest Template'!Z744</f>
        <v/>
      </c>
      <c r="AF744" s="29"/>
      <c r="AG744" s="21" t="str">
        <f t="array" ref="AG744">IF('Ingest Template'!A744="Standard",(CONCATENATE(IF(ISBLANK('Ingest Template'!O744),"", 'Ingest Template'!O744&amp;"|DAR"),CHAR(10), IF(ISBLANK('Ingest Template'!P744),"", 'Ingest Template'!P744&amp;"|DAR"),CHAR(10), IF(ISBLANK('Ingest Template'!Q744),"", 'Ingest Template'!Q744&amp;"|DAR"))),(CONCATENATE(IF(ISBLANK('Ingest Template'!O744),"", 'Ingest Template'!O744&amp;"|Operations - Core Title"),CHAR(10), IF(ISBLANK('Ingest Template'!P744),"", 'Ingest Template'!P744&amp;"|Operations - Core Title"),CHAR(10), IF(ISBLANK('Ingest Template'!Q744),"", 'Ingest Template'!Q744&amp;"|Operations - Core Title"))))</f>
        <v>#|Operations - Core Title
#|Operations - Core Title
</v>
      </c>
      <c r="AH744" s="21"/>
      <c r="AI744" s="21"/>
      <c r="AJ744" s="53" t="str">
        <f>if('Ingest Template'!A744="Standard",'Ingest Template'!N744&amp; "|DAR|DAR|2021-01-01",'Ingest Template'!N744&amp; "|Operations - Core Title|Operations - Core Title")</f>
        <v>#N/A</v>
      </c>
      <c r="AK744" s="53" t="str">
        <f>if('Ingest Template'!A744="Standard",'Ingest Template'!R744&amp; "|2021-01-01",'Ingest Template'!R744)</f>
        <v>#N/A</v>
      </c>
      <c r="AL744" s="21"/>
      <c r="AM744" s="21"/>
    </row>
    <row r="745">
      <c r="A745" s="21"/>
      <c r="B745" s="21" t="str">
        <f>'Ingest Template'!B745&amp;IF('Ingest Template'!A745 = "Standard", " - DAR","")</f>
        <v/>
      </c>
      <c r="C745" s="26" t="s">
        <v>109</v>
      </c>
      <c r="D745" s="29" t="str">
        <f t="array" ref="D745">CONCATENATE(INDEX(DropDown!$H$2:$H$10,MATCH(1,COUNTIF('Ingest Template'!F745,"*"&amp;DropDown!$H$2:$H$10&amp;"*"),0)),CHAR(10),'Ingest Template'!G745)</f>
        <v>#N/A</v>
      </c>
      <c r="E745" s="21" t="str">
        <f>CONCATENATE('Ingest Template'!H745,CHAR(10),'Ingest Template'!I745,CHAR(10),'Ingest Template'!J745)</f>
        <v>
</v>
      </c>
      <c r="F745" s="26" t="str">
        <f>'Ingest Template'!H745</f>
        <v/>
      </c>
      <c r="G745" s="21"/>
      <c r="H745" s="29"/>
      <c r="I745" s="21"/>
      <c r="J745" s="29" t="str">
        <f t="array" ref="J745">iF('Ingest Template'!A745="Standard","Pristine Brand",INDEX(DropDown!$M$2:$M$392,MATCH('Ingest Template'!E745,DropDown!$J$2:$J$392,0)))</f>
        <v>#N/A</v>
      </c>
      <c r="K745" s="21" t="str">
        <f>iF('Ingest Template'!A745="Standard",'Ingest Template'!K745&amp;CHAR(10)&amp;'Ingest Template'!L745,"Competitive View")</f>
        <v>Competitive View</v>
      </c>
      <c r="L745" s="29" t="s">
        <v>146</v>
      </c>
      <c r="M745" s="37" t="str">
        <f>'Ingest Template'!D745</f>
        <v/>
      </c>
      <c r="N745" s="21"/>
      <c r="O745" s="21"/>
      <c r="P745" s="21"/>
      <c r="Q745" s="21"/>
      <c r="R745" s="21" t="str">
        <f>'Ingest Template'!E745</f>
        <v/>
      </c>
      <c r="S745" s="29" t="s">
        <v>153</v>
      </c>
      <c r="T745" s="21" t="str">
        <f>'Ingest Template'!T745</f>
        <v/>
      </c>
      <c r="U745" s="21" t="str">
        <f>'Ingest Template'!S745</f>
        <v/>
      </c>
      <c r="V745" s="21" t="str">
        <f>LOWER(SUBSTITUTE(SUBSTITUTE(SUBSTITUTE(SUBSTITUTE(SUBSTITUTE('Ingest Template'!U745,"https:",""),"www.",""),"/",""),"?hl=en",""),"instagram.com",""))</f>
        <v/>
      </c>
      <c r="W745" s="41" t="str">
        <f t="array" ref="W745">IF('Ingest Template'!V745="",(INDEX(DropDown!$L$2:$L$392,MATCH('Ingest Template'!E745,DropDown!$J$2:$J$392,0))&amp;"|"&amp;'Ingest Template'!B745),(INDEX(DropDown!$L$2:$L$392,MATCH('Ingest Template'!E745,DropDown!$J$2:$J$392,0))&amp;"|"&amp;'Ingest Template'!B745)&amp;CHAR(10)&amp;'Ingest Template'!V745)</f>
        <v>#N/A</v>
      </c>
      <c r="X745" s="41" t="str">
        <f>'Ingest Template'!W745</f>
        <v/>
      </c>
      <c r="Y745" s="21" t="str">
        <f>SUBSTITUTE(SUBSTITUTE(SUBSTITUTE('Ingest Template'!X745,"http:",""),"https:",""),"/","")</f>
        <v/>
      </c>
      <c r="Z745" s="21" t="str">
        <f t="array" ref="Z745">IF('Ingest Template'!A745="Standard",(IF(ISBLANK('Ingest Template'!AA745),"", 'Ingest Template'!AA745&amp;"|DAR")),(IF(ISBLANK('Ingest Template'!AA745),"", 'Ingest Template'!AA745&amp;"|Film Ops")))</f>
        <v/>
      </c>
      <c r="AA745" s="21"/>
      <c r="AB745" s="21" t="str">
        <f>'Ingest Template'!M745</f>
        <v/>
      </c>
      <c r="AC745" s="21" t="str">
        <f>'Ingest Template'!Y745</f>
        <v/>
      </c>
      <c r="AD745" s="21" t="str">
        <f>'Ingest Template'!C745</f>
        <v/>
      </c>
      <c r="AE745" s="21" t="str">
        <f>'Ingest Template'!Z745</f>
        <v/>
      </c>
      <c r="AF745" s="29"/>
      <c r="AG745" s="21" t="str">
        <f t="array" ref="AG745">IF('Ingest Template'!A745="Standard",(CONCATENATE(IF(ISBLANK('Ingest Template'!O745),"", 'Ingest Template'!O745&amp;"|DAR"),CHAR(10), IF(ISBLANK('Ingest Template'!P745),"", 'Ingest Template'!P745&amp;"|DAR"),CHAR(10), IF(ISBLANK('Ingest Template'!Q745),"", 'Ingest Template'!Q745&amp;"|DAR"))),(CONCATENATE(IF(ISBLANK('Ingest Template'!O745),"", 'Ingest Template'!O745&amp;"|Operations - Core Title"),CHAR(10), IF(ISBLANK('Ingest Template'!P745),"", 'Ingest Template'!P745&amp;"|Operations - Core Title"),CHAR(10), IF(ISBLANK('Ingest Template'!Q745),"", 'Ingest Template'!Q745&amp;"|Operations - Core Title"))))</f>
        <v>#|Operations - Core Title
#|Operations - Core Title
</v>
      </c>
      <c r="AH745" s="21"/>
      <c r="AI745" s="21"/>
      <c r="AJ745" s="53" t="str">
        <f>if('Ingest Template'!A745="Standard",'Ingest Template'!N745&amp; "|DAR|DAR|2021-01-01",'Ingest Template'!N745&amp; "|Operations - Core Title|Operations - Core Title")</f>
        <v>#N/A</v>
      </c>
      <c r="AK745" s="53" t="str">
        <f>if('Ingest Template'!A745="Standard",'Ingest Template'!R745&amp; "|2021-01-01",'Ingest Template'!R745)</f>
        <v>#N/A</v>
      </c>
      <c r="AL745" s="21"/>
      <c r="AM745" s="21"/>
    </row>
    <row r="746">
      <c r="A746" s="21"/>
      <c r="B746" s="21" t="str">
        <f>'Ingest Template'!B746&amp;IF('Ingest Template'!A746 = "Standard", " - DAR","")</f>
        <v/>
      </c>
      <c r="C746" s="26" t="s">
        <v>109</v>
      </c>
      <c r="D746" s="29" t="str">
        <f t="array" ref="D746">CONCATENATE(INDEX(DropDown!$H$2:$H$10,MATCH(1,COUNTIF('Ingest Template'!F746,"*"&amp;DropDown!$H$2:$H$10&amp;"*"),0)),CHAR(10),'Ingest Template'!G746)</f>
        <v>#N/A</v>
      </c>
      <c r="E746" s="21" t="str">
        <f>CONCATENATE('Ingest Template'!H746,CHAR(10),'Ingest Template'!I746,CHAR(10),'Ingest Template'!J746)</f>
        <v>
</v>
      </c>
      <c r="F746" s="26" t="str">
        <f>'Ingest Template'!H746</f>
        <v/>
      </c>
      <c r="G746" s="21"/>
      <c r="H746" s="29"/>
      <c r="I746" s="21"/>
      <c r="J746" s="29" t="str">
        <f t="array" ref="J746">iF('Ingest Template'!A746="Standard","Pristine Brand",INDEX(DropDown!$M$2:$M$392,MATCH('Ingest Template'!E746,DropDown!$J$2:$J$392,0)))</f>
        <v>#N/A</v>
      </c>
      <c r="K746" s="21" t="str">
        <f>iF('Ingest Template'!A746="Standard",'Ingest Template'!K746&amp;CHAR(10)&amp;'Ingest Template'!L746,"Competitive View")</f>
        <v>Competitive View</v>
      </c>
      <c r="L746" s="29" t="s">
        <v>146</v>
      </c>
      <c r="M746" s="37" t="str">
        <f>'Ingest Template'!D746</f>
        <v/>
      </c>
      <c r="N746" s="21"/>
      <c r="O746" s="21"/>
      <c r="P746" s="21"/>
      <c r="Q746" s="21"/>
      <c r="R746" s="21" t="str">
        <f>'Ingest Template'!E746</f>
        <v/>
      </c>
      <c r="S746" s="29" t="s">
        <v>153</v>
      </c>
      <c r="T746" s="21" t="str">
        <f>'Ingest Template'!T746</f>
        <v/>
      </c>
      <c r="U746" s="21" t="str">
        <f>'Ingest Template'!S746</f>
        <v/>
      </c>
      <c r="V746" s="21" t="str">
        <f>LOWER(SUBSTITUTE(SUBSTITUTE(SUBSTITUTE(SUBSTITUTE(SUBSTITUTE('Ingest Template'!U746,"https:",""),"www.",""),"/",""),"?hl=en",""),"instagram.com",""))</f>
        <v/>
      </c>
      <c r="W746" s="41" t="str">
        <f t="array" ref="W746">IF('Ingest Template'!V746="",(INDEX(DropDown!$L$2:$L$392,MATCH('Ingest Template'!E746,DropDown!$J$2:$J$392,0))&amp;"|"&amp;'Ingest Template'!B746),(INDEX(DropDown!$L$2:$L$392,MATCH('Ingest Template'!E746,DropDown!$J$2:$J$392,0))&amp;"|"&amp;'Ingest Template'!B746)&amp;CHAR(10)&amp;'Ingest Template'!V746)</f>
        <v>#N/A</v>
      </c>
      <c r="X746" s="41" t="str">
        <f>'Ingest Template'!W746</f>
        <v/>
      </c>
      <c r="Y746" s="21" t="str">
        <f>SUBSTITUTE(SUBSTITUTE(SUBSTITUTE('Ingest Template'!X746,"http:",""),"https:",""),"/","")</f>
        <v/>
      </c>
      <c r="Z746" s="21" t="str">
        <f t="array" ref="Z746">IF('Ingest Template'!A746="Standard",(IF(ISBLANK('Ingest Template'!AA746),"", 'Ingest Template'!AA746&amp;"|DAR")),(IF(ISBLANK('Ingest Template'!AA746),"", 'Ingest Template'!AA746&amp;"|Film Ops")))</f>
        <v/>
      </c>
      <c r="AA746" s="21"/>
      <c r="AB746" s="21" t="str">
        <f>'Ingest Template'!M746</f>
        <v/>
      </c>
      <c r="AC746" s="21" t="str">
        <f>'Ingest Template'!Y746</f>
        <v/>
      </c>
      <c r="AD746" s="21" t="str">
        <f>'Ingest Template'!C746</f>
        <v/>
      </c>
      <c r="AE746" s="21" t="str">
        <f>'Ingest Template'!Z746</f>
        <v/>
      </c>
      <c r="AF746" s="29"/>
      <c r="AG746" s="21" t="str">
        <f t="array" ref="AG746">IF('Ingest Template'!A746="Standard",(CONCATENATE(IF(ISBLANK('Ingest Template'!O746),"", 'Ingest Template'!O746&amp;"|DAR"),CHAR(10), IF(ISBLANK('Ingest Template'!P746),"", 'Ingest Template'!P746&amp;"|DAR"),CHAR(10), IF(ISBLANK('Ingest Template'!Q746),"", 'Ingest Template'!Q746&amp;"|DAR"))),(CONCATENATE(IF(ISBLANK('Ingest Template'!O746),"", 'Ingest Template'!O746&amp;"|Operations - Core Title"),CHAR(10), IF(ISBLANK('Ingest Template'!P746),"", 'Ingest Template'!P746&amp;"|Operations - Core Title"),CHAR(10), IF(ISBLANK('Ingest Template'!Q746),"", 'Ingest Template'!Q746&amp;"|Operations - Core Title"))))</f>
        <v>#|Operations - Core Title
#|Operations - Core Title
</v>
      </c>
      <c r="AH746" s="21"/>
      <c r="AI746" s="21"/>
      <c r="AJ746" s="53" t="str">
        <f>if('Ingest Template'!A746="Standard",'Ingest Template'!N746&amp; "|DAR|DAR|2021-01-01",'Ingest Template'!N746&amp; "|Operations - Core Title|Operations - Core Title")</f>
        <v>#N/A</v>
      </c>
      <c r="AK746" s="53" t="str">
        <f>if('Ingest Template'!A746="Standard",'Ingest Template'!R746&amp; "|2021-01-01",'Ingest Template'!R746)</f>
        <v>#N/A</v>
      </c>
      <c r="AL746" s="21"/>
      <c r="AM746" s="21"/>
    </row>
    <row r="747">
      <c r="A747" s="21"/>
      <c r="B747" s="21" t="str">
        <f>'Ingest Template'!B747&amp;IF('Ingest Template'!A747 = "Standard", " - DAR","")</f>
        <v/>
      </c>
      <c r="C747" s="26" t="s">
        <v>109</v>
      </c>
      <c r="D747" s="29" t="str">
        <f t="array" ref="D747">CONCATENATE(INDEX(DropDown!$H$2:$H$10,MATCH(1,COUNTIF('Ingest Template'!F747,"*"&amp;DropDown!$H$2:$H$10&amp;"*"),0)),CHAR(10),'Ingest Template'!G747)</f>
        <v>#N/A</v>
      </c>
      <c r="E747" s="21" t="str">
        <f>CONCATENATE('Ingest Template'!H747,CHAR(10),'Ingest Template'!I747,CHAR(10),'Ingest Template'!J747)</f>
        <v>
</v>
      </c>
      <c r="F747" s="26" t="str">
        <f>'Ingest Template'!H747</f>
        <v/>
      </c>
      <c r="G747" s="21"/>
      <c r="H747" s="29"/>
      <c r="I747" s="21"/>
      <c r="J747" s="29" t="str">
        <f t="array" ref="J747">iF('Ingest Template'!A747="Standard","Pristine Brand",INDEX(DropDown!$M$2:$M$392,MATCH('Ingest Template'!E747,DropDown!$J$2:$J$392,0)))</f>
        <v>#N/A</v>
      </c>
      <c r="K747" s="21" t="str">
        <f>iF('Ingest Template'!A747="Standard",'Ingest Template'!K747&amp;CHAR(10)&amp;'Ingest Template'!L747,"Competitive View")</f>
        <v>Competitive View</v>
      </c>
      <c r="L747" s="29" t="s">
        <v>146</v>
      </c>
      <c r="M747" s="37" t="str">
        <f>'Ingest Template'!D747</f>
        <v/>
      </c>
      <c r="N747" s="21"/>
      <c r="O747" s="21"/>
      <c r="P747" s="21"/>
      <c r="Q747" s="21"/>
      <c r="R747" s="21" t="str">
        <f>'Ingest Template'!E747</f>
        <v/>
      </c>
      <c r="S747" s="29" t="s">
        <v>153</v>
      </c>
      <c r="T747" s="21" t="str">
        <f>'Ingest Template'!T747</f>
        <v/>
      </c>
      <c r="U747" s="21" t="str">
        <f>'Ingest Template'!S747</f>
        <v/>
      </c>
      <c r="V747" s="21" t="str">
        <f>LOWER(SUBSTITUTE(SUBSTITUTE(SUBSTITUTE(SUBSTITUTE(SUBSTITUTE('Ingest Template'!U747,"https:",""),"www.",""),"/",""),"?hl=en",""),"instagram.com",""))</f>
        <v/>
      </c>
      <c r="W747" s="41" t="str">
        <f t="array" ref="W747">IF('Ingest Template'!V747="",(INDEX(DropDown!$L$2:$L$392,MATCH('Ingest Template'!E747,DropDown!$J$2:$J$392,0))&amp;"|"&amp;'Ingest Template'!B747),(INDEX(DropDown!$L$2:$L$392,MATCH('Ingest Template'!E747,DropDown!$J$2:$J$392,0))&amp;"|"&amp;'Ingest Template'!B747)&amp;CHAR(10)&amp;'Ingest Template'!V747)</f>
        <v>#N/A</v>
      </c>
      <c r="X747" s="41" t="str">
        <f>'Ingest Template'!W747</f>
        <v/>
      </c>
      <c r="Y747" s="21" t="str">
        <f>SUBSTITUTE(SUBSTITUTE(SUBSTITUTE('Ingest Template'!X747,"http:",""),"https:",""),"/","")</f>
        <v/>
      </c>
      <c r="Z747" s="21" t="str">
        <f t="array" ref="Z747">IF('Ingest Template'!A747="Standard",(IF(ISBLANK('Ingest Template'!AA747),"", 'Ingest Template'!AA747&amp;"|DAR")),(IF(ISBLANK('Ingest Template'!AA747),"", 'Ingest Template'!AA747&amp;"|Film Ops")))</f>
        <v/>
      </c>
      <c r="AA747" s="21"/>
      <c r="AB747" s="21" t="str">
        <f>'Ingest Template'!M747</f>
        <v/>
      </c>
      <c r="AC747" s="21" t="str">
        <f>'Ingest Template'!Y747</f>
        <v/>
      </c>
      <c r="AD747" s="21" t="str">
        <f>'Ingest Template'!C747</f>
        <v/>
      </c>
      <c r="AE747" s="21" t="str">
        <f>'Ingest Template'!Z747</f>
        <v/>
      </c>
      <c r="AF747" s="29"/>
      <c r="AG747" s="21" t="str">
        <f t="array" ref="AG747">IF('Ingest Template'!A747="Standard",(CONCATENATE(IF(ISBLANK('Ingest Template'!O747),"", 'Ingest Template'!O747&amp;"|DAR"),CHAR(10), IF(ISBLANK('Ingest Template'!P747),"", 'Ingest Template'!P747&amp;"|DAR"),CHAR(10), IF(ISBLANK('Ingest Template'!Q747),"", 'Ingest Template'!Q747&amp;"|DAR"))),(CONCATENATE(IF(ISBLANK('Ingest Template'!O747),"", 'Ingest Template'!O747&amp;"|Operations - Core Title"),CHAR(10), IF(ISBLANK('Ingest Template'!P747),"", 'Ingest Template'!P747&amp;"|Operations - Core Title"),CHAR(10), IF(ISBLANK('Ingest Template'!Q747),"", 'Ingest Template'!Q747&amp;"|Operations - Core Title"))))</f>
        <v>#|Operations - Core Title
#|Operations - Core Title
</v>
      </c>
      <c r="AH747" s="21"/>
      <c r="AI747" s="21"/>
      <c r="AJ747" s="53" t="str">
        <f>if('Ingest Template'!A747="Standard",'Ingest Template'!N747&amp; "|DAR|DAR|2021-01-01",'Ingest Template'!N747&amp; "|Operations - Core Title|Operations - Core Title")</f>
        <v>#N/A</v>
      </c>
      <c r="AK747" s="53" t="str">
        <f>if('Ingest Template'!A747="Standard",'Ingest Template'!R747&amp; "|2021-01-01",'Ingest Template'!R747)</f>
        <v>#N/A</v>
      </c>
      <c r="AL747" s="21"/>
      <c r="AM747" s="21"/>
    </row>
    <row r="748">
      <c r="A748" s="21"/>
      <c r="B748" s="21" t="str">
        <f>'Ingest Template'!B748&amp;IF('Ingest Template'!A748 = "Standard", " - DAR","")</f>
        <v/>
      </c>
      <c r="C748" s="26" t="s">
        <v>109</v>
      </c>
      <c r="D748" s="29" t="str">
        <f t="array" ref="D748">CONCATENATE(INDEX(DropDown!$H$2:$H$10,MATCH(1,COUNTIF('Ingest Template'!F748,"*"&amp;DropDown!$H$2:$H$10&amp;"*"),0)),CHAR(10),'Ingest Template'!G748)</f>
        <v>#N/A</v>
      </c>
      <c r="E748" s="21" t="str">
        <f>CONCATENATE('Ingest Template'!H748,CHAR(10),'Ingest Template'!I748,CHAR(10),'Ingest Template'!J748)</f>
        <v>
</v>
      </c>
      <c r="F748" s="26" t="str">
        <f>'Ingest Template'!H748</f>
        <v/>
      </c>
      <c r="G748" s="21"/>
      <c r="H748" s="29"/>
      <c r="I748" s="21"/>
      <c r="J748" s="29" t="str">
        <f t="array" ref="J748">iF('Ingest Template'!A748="Standard","Pristine Brand",INDEX(DropDown!$M$2:$M$392,MATCH('Ingest Template'!E748,DropDown!$J$2:$J$392,0)))</f>
        <v>#N/A</v>
      </c>
      <c r="K748" s="21" t="str">
        <f>iF('Ingest Template'!A748="Standard",'Ingest Template'!K748&amp;CHAR(10)&amp;'Ingest Template'!L748,"Competitive View")</f>
        <v>Competitive View</v>
      </c>
      <c r="L748" s="29" t="s">
        <v>146</v>
      </c>
      <c r="M748" s="37" t="str">
        <f>'Ingest Template'!D748</f>
        <v/>
      </c>
      <c r="N748" s="21"/>
      <c r="O748" s="21"/>
      <c r="P748" s="21"/>
      <c r="Q748" s="21"/>
      <c r="R748" s="21" t="str">
        <f>'Ingest Template'!E748</f>
        <v/>
      </c>
      <c r="S748" s="29" t="s">
        <v>153</v>
      </c>
      <c r="T748" s="21" t="str">
        <f>'Ingest Template'!T748</f>
        <v/>
      </c>
      <c r="U748" s="21" t="str">
        <f>'Ingest Template'!S748</f>
        <v/>
      </c>
      <c r="V748" s="21" t="str">
        <f>LOWER(SUBSTITUTE(SUBSTITUTE(SUBSTITUTE(SUBSTITUTE(SUBSTITUTE('Ingest Template'!U748,"https:",""),"www.",""),"/",""),"?hl=en",""),"instagram.com",""))</f>
        <v/>
      </c>
      <c r="W748" s="41" t="str">
        <f t="array" ref="W748">IF('Ingest Template'!V748="",(INDEX(DropDown!$L$2:$L$392,MATCH('Ingest Template'!E748,DropDown!$J$2:$J$392,0))&amp;"|"&amp;'Ingest Template'!B748),(INDEX(DropDown!$L$2:$L$392,MATCH('Ingest Template'!E748,DropDown!$J$2:$J$392,0))&amp;"|"&amp;'Ingest Template'!B748)&amp;CHAR(10)&amp;'Ingest Template'!V748)</f>
        <v>#N/A</v>
      </c>
      <c r="X748" s="41" t="str">
        <f>'Ingest Template'!W748</f>
        <v/>
      </c>
      <c r="Y748" s="21" t="str">
        <f>SUBSTITUTE(SUBSTITUTE(SUBSTITUTE('Ingest Template'!X748,"http:",""),"https:",""),"/","")</f>
        <v/>
      </c>
      <c r="Z748" s="21" t="str">
        <f t="array" ref="Z748">IF('Ingest Template'!A748="Standard",(IF(ISBLANK('Ingest Template'!AA748),"", 'Ingest Template'!AA748&amp;"|DAR")),(IF(ISBLANK('Ingest Template'!AA748),"", 'Ingest Template'!AA748&amp;"|Film Ops")))</f>
        <v/>
      </c>
      <c r="AA748" s="21"/>
      <c r="AB748" s="21" t="str">
        <f>'Ingest Template'!M748</f>
        <v/>
      </c>
      <c r="AC748" s="21" t="str">
        <f>'Ingest Template'!Y748</f>
        <v/>
      </c>
      <c r="AD748" s="21" t="str">
        <f>'Ingest Template'!C748</f>
        <v/>
      </c>
      <c r="AE748" s="21" t="str">
        <f>'Ingest Template'!Z748</f>
        <v/>
      </c>
      <c r="AF748" s="29"/>
      <c r="AG748" s="21" t="str">
        <f t="array" ref="AG748">IF('Ingest Template'!A748="Standard",(CONCATENATE(IF(ISBLANK('Ingest Template'!O748),"", 'Ingest Template'!O748&amp;"|DAR"),CHAR(10), IF(ISBLANK('Ingest Template'!P748),"", 'Ingest Template'!P748&amp;"|DAR"),CHAR(10), IF(ISBLANK('Ingest Template'!Q748),"", 'Ingest Template'!Q748&amp;"|DAR"))),(CONCATENATE(IF(ISBLANK('Ingest Template'!O748),"", 'Ingest Template'!O748&amp;"|Operations - Core Title"),CHAR(10), IF(ISBLANK('Ingest Template'!P748),"", 'Ingest Template'!P748&amp;"|Operations - Core Title"),CHAR(10), IF(ISBLANK('Ingest Template'!Q748),"", 'Ingest Template'!Q748&amp;"|Operations - Core Title"))))</f>
        <v>#|Operations - Core Title
#|Operations - Core Title
</v>
      </c>
      <c r="AH748" s="21"/>
      <c r="AI748" s="21"/>
      <c r="AJ748" s="53" t="str">
        <f>if('Ingest Template'!A748="Standard",'Ingest Template'!N748&amp; "|DAR|DAR|2021-01-01",'Ingest Template'!N748&amp; "|Operations - Core Title|Operations - Core Title")</f>
        <v>#N/A</v>
      </c>
      <c r="AK748" s="53" t="str">
        <f>if('Ingest Template'!A748="Standard",'Ingest Template'!R748&amp; "|2021-01-01",'Ingest Template'!R748)</f>
        <v>#N/A</v>
      </c>
      <c r="AL748" s="21"/>
      <c r="AM748" s="21"/>
    </row>
    <row r="749">
      <c r="A749" s="21"/>
      <c r="B749" s="21" t="str">
        <f>'Ingest Template'!B749&amp;IF('Ingest Template'!A749 = "Standard", " - DAR","")</f>
        <v/>
      </c>
      <c r="C749" s="26" t="s">
        <v>109</v>
      </c>
      <c r="D749" s="29" t="str">
        <f t="array" ref="D749">CONCATENATE(INDEX(DropDown!$H$2:$H$10,MATCH(1,COUNTIF('Ingest Template'!F749,"*"&amp;DropDown!$H$2:$H$10&amp;"*"),0)),CHAR(10),'Ingest Template'!G749)</f>
        <v>#N/A</v>
      </c>
      <c r="E749" s="21" t="str">
        <f>CONCATENATE('Ingest Template'!H749,CHAR(10),'Ingest Template'!I749,CHAR(10),'Ingest Template'!J749)</f>
        <v>
</v>
      </c>
      <c r="F749" s="26" t="str">
        <f>'Ingest Template'!H749</f>
        <v/>
      </c>
      <c r="G749" s="21"/>
      <c r="H749" s="29"/>
      <c r="I749" s="21"/>
      <c r="J749" s="29" t="str">
        <f t="array" ref="J749">iF('Ingest Template'!A749="Standard","Pristine Brand",INDEX(DropDown!$M$2:$M$392,MATCH('Ingest Template'!E749,DropDown!$J$2:$J$392,0)))</f>
        <v>#N/A</v>
      </c>
      <c r="K749" s="21" t="str">
        <f>iF('Ingest Template'!A749="Standard",'Ingest Template'!K749&amp;CHAR(10)&amp;'Ingest Template'!L749,"Competitive View")</f>
        <v>Competitive View</v>
      </c>
      <c r="L749" s="29" t="s">
        <v>146</v>
      </c>
      <c r="M749" s="37" t="str">
        <f>'Ingest Template'!D749</f>
        <v/>
      </c>
      <c r="N749" s="21"/>
      <c r="O749" s="21"/>
      <c r="P749" s="21"/>
      <c r="Q749" s="21"/>
      <c r="R749" s="21" t="str">
        <f>'Ingest Template'!E749</f>
        <v/>
      </c>
      <c r="S749" s="29" t="s">
        <v>153</v>
      </c>
      <c r="T749" s="21" t="str">
        <f>'Ingest Template'!T749</f>
        <v/>
      </c>
      <c r="U749" s="21" t="str">
        <f>'Ingest Template'!S749</f>
        <v/>
      </c>
      <c r="V749" s="21" t="str">
        <f>LOWER(SUBSTITUTE(SUBSTITUTE(SUBSTITUTE(SUBSTITUTE(SUBSTITUTE('Ingest Template'!U749,"https:",""),"www.",""),"/",""),"?hl=en",""),"instagram.com",""))</f>
        <v/>
      </c>
      <c r="W749" s="41" t="str">
        <f t="array" ref="W749">IF('Ingest Template'!V749="",(INDEX(DropDown!$L$2:$L$392,MATCH('Ingest Template'!E749,DropDown!$J$2:$J$392,0))&amp;"|"&amp;'Ingest Template'!B749),(INDEX(DropDown!$L$2:$L$392,MATCH('Ingest Template'!E749,DropDown!$J$2:$J$392,0))&amp;"|"&amp;'Ingest Template'!B749)&amp;CHAR(10)&amp;'Ingest Template'!V749)</f>
        <v>#N/A</v>
      </c>
      <c r="X749" s="41" t="str">
        <f>'Ingest Template'!W749</f>
        <v/>
      </c>
      <c r="Y749" s="21" t="str">
        <f>SUBSTITUTE(SUBSTITUTE(SUBSTITUTE('Ingest Template'!X749,"http:",""),"https:",""),"/","")</f>
        <v/>
      </c>
      <c r="Z749" s="21" t="str">
        <f t="array" ref="Z749">IF('Ingest Template'!A749="Standard",(IF(ISBLANK('Ingest Template'!AA749),"", 'Ingest Template'!AA749&amp;"|DAR")),(IF(ISBLANK('Ingest Template'!AA749),"", 'Ingest Template'!AA749&amp;"|Film Ops")))</f>
        <v/>
      </c>
      <c r="AA749" s="21"/>
      <c r="AB749" s="21" t="str">
        <f>'Ingest Template'!M749</f>
        <v/>
      </c>
      <c r="AC749" s="21" t="str">
        <f>'Ingest Template'!Y749</f>
        <v/>
      </c>
      <c r="AD749" s="21" t="str">
        <f>'Ingest Template'!C749</f>
        <v/>
      </c>
      <c r="AE749" s="21" t="str">
        <f>'Ingest Template'!Z749</f>
        <v/>
      </c>
      <c r="AF749" s="29"/>
      <c r="AG749" s="21" t="str">
        <f t="array" ref="AG749">IF('Ingest Template'!A749="Standard",(CONCATENATE(IF(ISBLANK('Ingest Template'!O749),"", 'Ingest Template'!O749&amp;"|DAR"),CHAR(10), IF(ISBLANK('Ingest Template'!P749),"", 'Ingest Template'!P749&amp;"|DAR"),CHAR(10), IF(ISBLANK('Ingest Template'!Q749),"", 'Ingest Template'!Q749&amp;"|DAR"))),(CONCATENATE(IF(ISBLANK('Ingest Template'!O749),"", 'Ingest Template'!O749&amp;"|Operations - Core Title"),CHAR(10), IF(ISBLANK('Ingest Template'!P749),"", 'Ingest Template'!P749&amp;"|Operations - Core Title"),CHAR(10), IF(ISBLANK('Ingest Template'!Q749),"", 'Ingest Template'!Q749&amp;"|Operations - Core Title"))))</f>
        <v>#|Operations - Core Title
#|Operations - Core Title
</v>
      </c>
      <c r="AH749" s="21"/>
      <c r="AI749" s="21"/>
      <c r="AJ749" s="53" t="str">
        <f>if('Ingest Template'!A749="Standard",'Ingest Template'!N749&amp; "|DAR|DAR|2021-01-01",'Ingest Template'!N749&amp; "|Operations - Core Title|Operations - Core Title")</f>
        <v>#N/A</v>
      </c>
      <c r="AK749" s="53" t="str">
        <f>if('Ingest Template'!A749="Standard",'Ingest Template'!R749&amp; "|2021-01-01",'Ingest Template'!R749)</f>
        <v>#N/A</v>
      </c>
      <c r="AL749" s="21"/>
      <c r="AM749" s="21"/>
    </row>
    <row r="750">
      <c r="A750" s="21"/>
      <c r="B750" s="21" t="str">
        <f>'Ingest Template'!B750&amp;IF('Ingest Template'!A750 = "Standard", " - DAR","")</f>
        <v/>
      </c>
      <c r="C750" s="26" t="s">
        <v>109</v>
      </c>
      <c r="D750" s="29" t="str">
        <f t="array" ref="D750">CONCATENATE(INDEX(DropDown!$H$2:$H$10,MATCH(1,COUNTIF('Ingest Template'!F750,"*"&amp;DropDown!$H$2:$H$10&amp;"*"),0)),CHAR(10),'Ingest Template'!G750)</f>
        <v>#N/A</v>
      </c>
      <c r="E750" s="21" t="str">
        <f>CONCATENATE('Ingest Template'!H750,CHAR(10),'Ingest Template'!I750,CHAR(10),'Ingest Template'!J750)</f>
        <v>
</v>
      </c>
      <c r="F750" s="26" t="str">
        <f>'Ingest Template'!H750</f>
        <v/>
      </c>
      <c r="G750" s="21"/>
      <c r="H750" s="29"/>
      <c r="I750" s="21"/>
      <c r="J750" s="29" t="str">
        <f t="array" ref="J750">iF('Ingest Template'!A750="Standard","Pristine Brand",INDEX(DropDown!$M$2:$M$392,MATCH('Ingest Template'!E750,DropDown!$J$2:$J$392,0)))</f>
        <v>#N/A</v>
      </c>
      <c r="K750" s="21" t="str">
        <f>iF('Ingest Template'!A750="Standard",'Ingest Template'!K750&amp;CHAR(10)&amp;'Ingest Template'!L750,"Competitive View")</f>
        <v>Competitive View</v>
      </c>
      <c r="L750" s="29" t="s">
        <v>146</v>
      </c>
      <c r="M750" s="37" t="str">
        <f>'Ingest Template'!D750</f>
        <v/>
      </c>
      <c r="N750" s="21"/>
      <c r="O750" s="21"/>
      <c r="P750" s="21"/>
      <c r="Q750" s="21"/>
      <c r="R750" s="21" t="str">
        <f>'Ingest Template'!E750</f>
        <v/>
      </c>
      <c r="S750" s="29" t="s">
        <v>153</v>
      </c>
      <c r="T750" s="21" t="str">
        <f>'Ingest Template'!T750</f>
        <v/>
      </c>
      <c r="U750" s="21" t="str">
        <f>'Ingest Template'!S750</f>
        <v/>
      </c>
      <c r="V750" s="21" t="str">
        <f>LOWER(SUBSTITUTE(SUBSTITUTE(SUBSTITUTE(SUBSTITUTE(SUBSTITUTE('Ingest Template'!U750,"https:",""),"www.",""),"/",""),"?hl=en",""),"instagram.com",""))</f>
        <v/>
      </c>
      <c r="W750" s="41" t="str">
        <f t="array" ref="W750">IF('Ingest Template'!V750="",(INDEX(DropDown!$L$2:$L$392,MATCH('Ingest Template'!E750,DropDown!$J$2:$J$392,0))&amp;"|"&amp;'Ingest Template'!B750),(INDEX(DropDown!$L$2:$L$392,MATCH('Ingest Template'!E750,DropDown!$J$2:$J$392,0))&amp;"|"&amp;'Ingest Template'!B750)&amp;CHAR(10)&amp;'Ingest Template'!V750)</f>
        <v>#N/A</v>
      </c>
      <c r="X750" s="41" t="str">
        <f>'Ingest Template'!W750</f>
        <v/>
      </c>
      <c r="Y750" s="21" t="str">
        <f>SUBSTITUTE(SUBSTITUTE(SUBSTITUTE('Ingest Template'!X750,"http:",""),"https:",""),"/","")</f>
        <v/>
      </c>
      <c r="Z750" s="21" t="str">
        <f t="array" ref="Z750">IF('Ingest Template'!A750="Standard",(IF(ISBLANK('Ingest Template'!AA750),"", 'Ingest Template'!AA750&amp;"|DAR")),(IF(ISBLANK('Ingest Template'!AA750),"", 'Ingest Template'!AA750&amp;"|Film Ops")))</f>
        <v/>
      </c>
      <c r="AA750" s="21"/>
      <c r="AB750" s="21" t="str">
        <f>'Ingest Template'!M750</f>
        <v/>
      </c>
      <c r="AC750" s="21" t="str">
        <f>'Ingest Template'!Y750</f>
        <v/>
      </c>
      <c r="AD750" s="21" t="str">
        <f>'Ingest Template'!C750</f>
        <v/>
      </c>
      <c r="AE750" s="21" t="str">
        <f>'Ingest Template'!Z750</f>
        <v/>
      </c>
      <c r="AF750" s="29"/>
      <c r="AG750" s="21" t="str">
        <f t="array" ref="AG750">IF('Ingest Template'!A750="Standard",(CONCATENATE(IF(ISBLANK('Ingest Template'!O750),"", 'Ingest Template'!O750&amp;"|DAR"),CHAR(10), IF(ISBLANK('Ingest Template'!P750),"", 'Ingest Template'!P750&amp;"|DAR"),CHAR(10), IF(ISBLANK('Ingest Template'!Q750),"", 'Ingest Template'!Q750&amp;"|DAR"))),(CONCATENATE(IF(ISBLANK('Ingest Template'!O750),"", 'Ingest Template'!O750&amp;"|Operations - Core Title"),CHAR(10), IF(ISBLANK('Ingest Template'!P750),"", 'Ingest Template'!P750&amp;"|Operations - Core Title"),CHAR(10), IF(ISBLANK('Ingest Template'!Q750),"", 'Ingest Template'!Q750&amp;"|Operations - Core Title"))))</f>
        <v>#|Operations - Core Title
#|Operations - Core Title
</v>
      </c>
      <c r="AH750" s="21"/>
      <c r="AI750" s="21"/>
      <c r="AJ750" s="53" t="str">
        <f>if('Ingest Template'!A750="Standard",'Ingest Template'!N750&amp; "|DAR|DAR|2021-01-01",'Ingest Template'!N750&amp; "|Operations - Core Title|Operations - Core Title")</f>
        <v>#N/A</v>
      </c>
      <c r="AK750" s="53" t="str">
        <f>if('Ingest Template'!A750="Standard",'Ingest Template'!R750&amp; "|2021-01-01",'Ingest Template'!R750)</f>
        <v>#N/A</v>
      </c>
      <c r="AL750" s="21"/>
      <c r="AM750" s="21"/>
    </row>
    <row r="751">
      <c r="A751" s="21"/>
      <c r="B751" s="21" t="str">
        <f>'Ingest Template'!B751&amp;IF('Ingest Template'!A751 = "Standard", " - DAR","")</f>
        <v/>
      </c>
      <c r="C751" s="26" t="s">
        <v>109</v>
      </c>
      <c r="D751" s="29" t="str">
        <f t="array" ref="D751">CONCATENATE(INDEX(DropDown!$H$2:$H$10,MATCH(1,COUNTIF('Ingest Template'!F751,"*"&amp;DropDown!$H$2:$H$10&amp;"*"),0)),CHAR(10),'Ingest Template'!G751)</f>
        <v>#N/A</v>
      </c>
      <c r="E751" s="21" t="str">
        <f>CONCATENATE('Ingest Template'!H751,CHAR(10),'Ingest Template'!I751,CHAR(10),'Ingest Template'!J751)</f>
        <v>
</v>
      </c>
      <c r="F751" s="26" t="str">
        <f>'Ingest Template'!H751</f>
        <v/>
      </c>
      <c r="G751" s="21"/>
      <c r="H751" s="29"/>
      <c r="I751" s="21"/>
      <c r="J751" s="29" t="str">
        <f t="array" ref="J751">iF('Ingest Template'!A751="Standard","Pristine Brand",INDEX(DropDown!$M$2:$M$392,MATCH('Ingest Template'!E751,DropDown!$J$2:$J$392,0)))</f>
        <v>#N/A</v>
      </c>
      <c r="K751" s="21" t="str">
        <f>iF('Ingest Template'!A751="Standard",'Ingest Template'!K751&amp;CHAR(10)&amp;'Ingest Template'!L751,"Competitive View")</f>
        <v>Competitive View</v>
      </c>
      <c r="L751" s="29" t="s">
        <v>146</v>
      </c>
      <c r="M751" s="37" t="str">
        <f>'Ingest Template'!D751</f>
        <v/>
      </c>
      <c r="N751" s="21"/>
      <c r="O751" s="21"/>
      <c r="P751" s="21"/>
      <c r="Q751" s="21"/>
      <c r="R751" s="21" t="str">
        <f>'Ingest Template'!E751</f>
        <v/>
      </c>
      <c r="S751" s="29" t="s">
        <v>153</v>
      </c>
      <c r="T751" s="21" t="str">
        <f>'Ingest Template'!T751</f>
        <v/>
      </c>
      <c r="U751" s="21" t="str">
        <f>'Ingest Template'!S751</f>
        <v/>
      </c>
      <c r="V751" s="21" t="str">
        <f>LOWER(SUBSTITUTE(SUBSTITUTE(SUBSTITUTE(SUBSTITUTE(SUBSTITUTE('Ingest Template'!U751,"https:",""),"www.",""),"/",""),"?hl=en",""),"instagram.com",""))</f>
        <v/>
      </c>
      <c r="W751" s="41" t="str">
        <f t="array" ref="W751">IF('Ingest Template'!V751="",(INDEX(DropDown!$L$2:$L$392,MATCH('Ingest Template'!E751,DropDown!$J$2:$J$392,0))&amp;"|"&amp;'Ingest Template'!B751),(INDEX(DropDown!$L$2:$L$392,MATCH('Ingest Template'!E751,DropDown!$J$2:$J$392,0))&amp;"|"&amp;'Ingest Template'!B751)&amp;CHAR(10)&amp;'Ingest Template'!V751)</f>
        <v>#N/A</v>
      </c>
      <c r="X751" s="41" t="str">
        <f>'Ingest Template'!W751</f>
        <v/>
      </c>
      <c r="Y751" s="21" t="str">
        <f>SUBSTITUTE(SUBSTITUTE(SUBSTITUTE('Ingest Template'!X751,"http:",""),"https:",""),"/","")</f>
        <v/>
      </c>
      <c r="Z751" s="21" t="str">
        <f t="array" ref="Z751">IF('Ingest Template'!A751="Standard",(IF(ISBLANK('Ingest Template'!AA751),"", 'Ingest Template'!AA751&amp;"|DAR")),(IF(ISBLANK('Ingest Template'!AA751),"", 'Ingest Template'!AA751&amp;"|Film Ops")))</f>
        <v/>
      </c>
      <c r="AA751" s="21"/>
      <c r="AB751" s="21" t="str">
        <f>'Ingest Template'!M751</f>
        <v/>
      </c>
      <c r="AC751" s="21" t="str">
        <f>'Ingest Template'!Y751</f>
        <v/>
      </c>
      <c r="AD751" s="21" t="str">
        <f>'Ingest Template'!C751</f>
        <v/>
      </c>
      <c r="AE751" s="21" t="str">
        <f>'Ingest Template'!Z751</f>
        <v/>
      </c>
      <c r="AF751" s="29"/>
      <c r="AG751" s="21" t="str">
        <f t="array" ref="AG751">IF('Ingest Template'!A751="Standard",(CONCATENATE(IF(ISBLANK('Ingest Template'!O751),"", 'Ingest Template'!O751&amp;"|DAR"),CHAR(10), IF(ISBLANK('Ingest Template'!P751),"", 'Ingest Template'!P751&amp;"|DAR"),CHAR(10), IF(ISBLANK('Ingest Template'!Q751),"", 'Ingest Template'!Q751&amp;"|DAR"))),(CONCATENATE(IF(ISBLANK('Ingest Template'!O751),"", 'Ingest Template'!O751&amp;"|Operations - Core Title"),CHAR(10), IF(ISBLANK('Ingest Template'!P751),"", 'Ingest Template'!P751&amp;"|Operations - Core Title"),CHAR(10), IF(ISBLANK('Ingest Template'!Q751),"", 'Ingest Template'!Q751&amp;"|Operations - Core Title"))))</f>
        <v>#|Operations - Core Title
#|Operations - Core Title
</v>
      </c>
      <c r="AH751" s="21"/>
      <c r="AI751" s="21"/>
      <c r="AJ751" s="53" t="str">
        <f>if('Ingest Template'!A751="Standard",'Ingest Template'!N751&amp; "|DAR|DAR|2021-01-01",'Ingest Template'!N751&amp; "|Operations - Core Title|Operations - Core Title")</f>
        <v>#N/A</v>
      </c>
      <c r="AK751" s="53" t="str">
        <f>if('Ingest Template'!A751="Standard",'Ingest Template'!R751&amp; "|2021-01-01",'Ingest Template'!R751)</f>
        <v>#N/A</v>
      </c>
      <c r="AL751" s="21"/>
      <c r="AM751" s="21"/>
    </row>
    <row r="752">
      <c r="A752" s="21"/>
      <c r="B752" s="21" t="str">
        <f>'Ingest Template'!B752&amp;IF('Ingest Template'!A752 = "Standard", " - DAR","")</f>
        <v/>
      </c>
      <c r="C752" s="26" t="s">
        <v>109</v>
      </c>
      <c r="D752" s="29" t="str">
        <f t="array" ref="D752">CONCATENATE(INDEX(DropDown!$H$2:$H$10,MATCH(1,COUNTIF('Ingest Template'!F752,"*"&amp;DropDown!$H$2:$H$10&amp;"*"),0)),CHAR(10),'Ingest Template'!G752)</f>
        <v>#N/A</v>
      </c>
      <c r="E752" s="21" t="str">
        <f>CONCATENATE('Ingest Template'!H752,CHAR(10),'Ingest Template'!I752,CHAR(10),'Ingest Template'!J752)</f>
        <v>
</v>
      </c>
      <c r="F752" s="26" t="str">
        <f>'Ingest Template'!H752</f>
        <v/>
      </c>
      <c r="G752" s="21"/>
      <c r="H752" s="29"/>
      <c r="I752" s="21"/>
      <c r="J752" s="29" t="str">
        <f t="array" ref="J752">iF('Ingest Template'!A752="Standard","Pristine Brand",INDEX(DropDown!$M$2:$M$392,MATCH('Ingest Template'!E752,DropDown!$J$2:$J$392,0)))</f>
        <v>#N/A</v>
      </c>
      <c r="K752" s="21" t="str">
        <f>iF('Ingest Template'!A752="Standard",'Ingest Template'!K752&amp;CHAR(10)&amp;'Ingest Template'!L752,"Competitive View")</f>
        <v>Competitive View</v>
      </c>
      <c r="L752" s="29" t="s">
        <v>146</v>
      </c>
      <c r="M752" s="37" t="str">
        <f>'Ingest Template'!D752</f>
        <v/>
      </c>
      <c r="N752" s="21"/>
      <c r="O752" s="21"/>
      <c r="P752" s="21"/>
      <c r="Q752" s="21"/>
      <c r="R752" s="21" t="str">
        <f>'Ingest Template'!E752</f>
        <v/>
      </c>
      <c r="S752" s="29" t="s">
        <v>153</v>
      </c>
      <c r="T752" s="21" t="str">
        <f>'Ingest Template'!T752</f>
        <v/>
      </c>
      <c r="U752" s="21" t="str">
        <f>'Ingest Template'!S752</f>
        <v/>
      </c>
      <c r="V752" s="21" t="str">
        <f>LOWER(SUBSTITUTE(SUBSTITUTE(SUBSTITUTE(SUBSTITUTE(SUBSTITUTE('Ingest Template'!U752,"https:",""),"www.",""),"/",""),"?hl=en",""),"instagram.com",""))</f>
        <v/>
      </c>
      <c r="W752" s="41" t="str">
        <f t="array" ref="W752">IF('Ingest Template'!V752="",(INDEX(DropDown!$L$2:$L$392,MATCH('Ingest Template'!E752,DropDown!$J$2:$J$392,0))&amp;"|"&amp;'Ingest Template'!B752),(INDEX(DropDown!$L$2:$L$392,MATCH('Ingest Template'!E752,DropDown!$J$2:$J$392,0))&amp;"|"&amp;'Ingest Template'!B752)&amp;CHAR(10)&amp;'Ingest Template'!V752)</f>
        <v>#N/A</v>
      </c>
      <c r="X752" s="41" t="str">
        <f>'Ingest Template'!W752</f>
        <v/>
      </c>
      <c r="Y752" s="21" t="str">
        <f>SUBSTITUTE(SUBSTITUTE(SUBSTITUTE('Ingest Template'!X752,"http:",""),"https:",""),"/","")</f>
        <v/>
      </c>
      <c r="Z752" s="21" t="str">
        <f t="array" ref="Z752">IF('Ingest Template'!A752="Standard",(IF(ISBLANK('Ingest Template'!AA752),"", 'Ingest Template'!AA752&amp;"|DAR")),(IF(ISBLANK('Ingest Template'!AA752),"", 'Ingest Template'!AA752&amp;"|Film Ops")))</f>
        <v/>
      </c>
      <c r="AA752" s="21"/>
      <c r="AB752" s="21" t="str">
        <f>'Ingest Template'!M752</f>
        <v/>
      </c>
      <c r="AC752" s="21" t="str">
        <f>'Ingest Template'!Y752</f>
        <v/>
      </c>
      <c r="AD752" s="21" t="str">
        <f>'Ingest Template'!C752</f>
        <v/>
      </c>
      <c r="AE752" s="21" t="str">
        <f>'Ingest Template'!Z752</f>
        <v/>
      </c>
      <c r="AF752" s="29"/>
      <c r="AG752" s="21" t="str">
        <f t="array" ref="AG752">IF('Ingest Template'!A752="Standard",(CONCATENATE(IF(ISBLANK('Ingest Template'!O752),"", 'Ingest Template'!O752&amp;"|DAR"),CHAR(10), IF(ISBLANK('Ingest Template'!P752),"", 'Ingest Template'!P752&amp;"|DAR"),CHAR(10), IF(ISBLANK('Ingest Template'!Q752),"", 'Ingest Template'!Q752&amp;"|DAR"))),(CONCATENATE(IF(ISBLANK('Ingest Template'!O752),"", 'Ingest Template'!O752&amp;"|Operations - Core Title"),CHAR(10), IF(ISBLANK('Ingest Template'!P752),"", 'Ingest Template'!P752&amp;"|Operations - Core Title"),CHAR(10), IF(ISBLANK('Ingest Template'!Q752),"", 'Ingest Template'!Q752&amp;"|Operations - Core Title"))))</f>
        <v>#|Operations - Core Title
#|Operations - Core Title
</v>
      </c>
      <c r="AH752" s="21"/>
      <c r="AI752" s="21"/>
      <c r="AJ752" s="53" t="str">
        <f>if('Ingest Template'!A752="Standard",'Ingest Template'!N752&amp; "|DAR|DAR|2021-01-01",'Ingest Template'!N752&amp; "|Operations - Core Title|Operations - Core Title")</f>
        <v>#N/A</v>
      </c>
      <c r="AK752" s="53" t="str">
        <f>if('Ingest Template'!A752="Standard",'Ingest Template'!R752&amp; "|2021-01-01",'Ingest Template'!R752)</f>
        <v>#N/A</v>
      </c>
      <c r="AL752" s="21"/>
      <c r="AM752" s="21"/>
    </row>
    <row r="753">
      <c r="A753" s="21"/>
      <c r="B753" s="21" t="str">
        <f>'Ingest Template'!B753&amp;IF('Ingest Template'!A753 = "Standard", " - DAR","")</f>
        <v/>
      </c>
      <c r="C753" s="26" t="s">
        <v>109</v>
      </c>
      <c r="D753" s="29" t="str">
        <f t="array" ref="D753">CONCATENATE(INDEX(DropDown!$H$2:$H$10,MATCH(1,COUNTIF('Ingest Template'!F753,"*"&amp;DropDown!$H$2:$H$10&amp;"*"),0)),CHAR(10),'Ingest Template'!G753)</f>
        <v>#N/A</v>
      </c>
      <c r="E753" s="21" t="str">
        <f>CONCATENATE('Ingest Template'!H753,CHAR(10),'Ingest Template'!I753,CHAR(10),'Ingest Template'!J753)</f>
        <v>
</v>
      </c>
      <c r="F753" s="26" t="str">
        <f>'Ingest Template'!H753</f>
        <v/>
      </c>
      <c r="G753" s="21"/>
      <c r="H753" s="29"/>
      <c r="I753" s="21"/>
      <c r="J753" s="29" t="str">
        <f t="array" ref="J753">iF('Ingest Template'!A753="Standard","Pristine Brand",INDEX(DropDown!$M$2:$M$392,MATCH('Ingest Template'!E753,DropDown!$J$2:$J$392,0)))</f>
        <v>#N/A</v>
      </c>
      <c r="K753" s="21" t="str">
        <f>iF('Ingest Template'!A753="Standard",'Ingest Template'!K753&amp;CHAR(10)&amp;'Ingest Template'!L753,"Competitive View")</f>
        <v>Competitive View</v>
      </c>
      <c r="L753" s="29" t="s">
        <v>146</v>
      </c>
      <c r="M753" s="37" t="str">
        <f>'Ingest Template'!D753</f>
        <v/>
      </c>
      <c r="N753" s="21"/>
      <c r="O753" s="21"/>
      <c r="P753" s="21"/>
      <c r="Q753" s="21"/>
      <c r="R753" s="21" t="str">
        <f>'Ingest Template'!E753</f>
        <v/>
      </c>
      <c r="S753" s="29" t="s">
        <v>153</v>
      </c>
      <c r="T753" s="21" t="str">
        <f>'Ingest Template'!T753</f>
        <v/>
      </c>
      <c r="U753" s="21" t="str">
        <f>'Ingest Template'!S753</f>
        <v/>
      </c>
      <c r="V753" s="21" t="str">
        <f>LOWER(SUBSTITUTE(SUBSTITUTE(SUBSTITUTE(SUBSTITUTE(SUBSTITUTE('Ingest Template'!U753,"https:",""),"www.",""),"/",""),"?hl=en",""),"instagram.com",""))</f>
        <v/>
      </c>
      <c r="W753" s="41" t="str">
        <f t="array" ref="W753">IF('Ingest Template'!V753="",(INDEX(DropDown!$L$2:$L$392,MATCH('Ingest Template'!E753,DropDown!$J$2:$J$392,0))&amp;"|"&amp;'Ingest Template'!B753),(INDEX(DropDown!$L$2:$L$392,MATCH('Ingest Template'!E753,DropDown!$J$2:$J$392,0))&amp;"|"&amp;'Ingest Template'!B753)&amp;CHAR(10)&amp;'Ingest Template'!V753)</f>
        <v>#N/A</v>
      </c>
      <c r="X753" s="41" t="str">
        <f>'Ingest Template'!W753</f>
        <v/>
      </c>
      <c r="Y753" s="21" t="str">
        <f>SUBSTITUTE(SUBSTITUTE(SUBSTITUTE('Ingest Template'!X753,"http:",""),"https:",""),"/","")</f>
        <v/>
      </c>
      <c r="Z753" s="21" t="str">
        <f t="array" ref="Z753">IF('Ingest Template'!A753="Standard",(IF(ISBLANK('Ingest Template'!AA753),"", 'Ingest Template'!AA753&amp;"|DAR")),(IF(ISBLANK('Ingest Template'!AA753),"", 'Ingest Template'!AA753&amp;"|Film Ops")))</f>
        <v/>
      </c>
      <c r="AA753" s="21"/>
      <c r="AB753" s="21" t="str">
        <f>'Ingest Template'!M753</f>
        <v/>
      </c>
      <c r="AC753" s="21" t="str">
        <f>'Ingest Template'!Y753</f>
        <v/>
      </c>
      <c r="AD753" s="21" t="str">
        <f>'Ingest Template'!C753</f>
        <v/>
      </c>
      <c r="AE753" s="21" t="str">
        <f>'Ingest Template'!Z753</f>
        <v/>
      </c>
      <c r="AF753" s="29"/>
      <c r="AG753" s="21" t="str">
        <f t="array" ref="AG753">IF('Ingest Template'!A753="Standard",(CONCATENATE(IF(ISBLANK('Ingest Template'!O753),"", 'Ingest Template'!O753&amp;"|DAR"),CHAR(10), IF(ISBLANK('Ingest Template'!P753),"", 'Ingest Template'!P753&amp;"|DAR"),CHAR(10), IF(ISBLANK('Ingest Template'!Q753),"", 'Ingest Template'!Q753&amp;"|DAR"))),(CONCATENATE(IF(ISBLANK('Ingest Template'!O753),"", 'Ingest Template'!O753&amp;"|Operations - Core Title"),CHAR(10), IF(ISBLANK('Ingest Template'!P753),"", 'Ingest Template'!P753&amp;"|Operations - Core Title"),CHAR(10), IF(ISBLANK('Ingest Template'!Q753),"", 'Ingest Template'!Q753&amp;"|Operations - Core Title"))))</f>
        <v>#|Operations - Core Title
#|Operations - Core Title
</v>
      </c>
      <c r="AH753" s="21"/>
      <c r="AI753" s="21"/>
      <c r="AJ753" s="53" t="str">
        <f>if('Ingest Template'!A753="Standard",'Ingest Template'!N753&amp; "|DAR|DAR|2021-01-01",'Ingest Template'!N753&amp; "|Operations - Core Title|Operations - Core Title")</f>
        <v>#N/A</v>
      </c>
      <c r="AK753" s="53" t="str">
        <f>if('Ingest Template'!A753="Standard",'Ingest Template'!R753&amp; "|2021-01-01",'Ingest Template'!R753)</f>
        <v>#N/A</v>
      </c>
      <c r="AL753" s="21"/>
      <c r="AM753" s="21"/>
    </row>
    <row r="754">
      <c r="A754" s="21"/>
      <c r="B754" s="21" t="str">
        <f>'Ingest Template'!B754&amp;IF('Ingest Template'!A754 = "Standard", " - DAR","")</f>
        <v/>
      </c>
      <c r="C754" s="26" t="s">
        <v>109</v>
      </c>
      <c r="D754" s="29" t="str">
        <f t="array" ref="D754">CONCATENATE(INDEX(DropDown!$H$2:$H$10,MATCH(1,COUNTIF('Ingest Template'!F754,"*"&amp;DropDown!$H$2:$H$10&amp;"*"),0)),CHAR(10),'Ingest Template'!G754)</f>
        <v>#N/A</v>
      </c>
      <c r="E754" s="21" t="str">
        <f>CONCATENATE('Ingest Template'!H754,CHAR(10),'Ingest Template'!I754,CHAR(10),'Ingest Template'!J754)</f>
        <v>
</v>
      </c>
      <c r="F754" s="26" t="str">
        <f>'Ingest Template'!H754</f>
        <v/>
      </c>
      <c r="G754" s="21"/>
      <c r="H754" s="29"/>
      <c r="I754" s="21"/>
      <c r="J754" s="29" t="str">
        <f t="array" ref="J754">iF('Ingest Template'!A754="Standard","Pristine Brand",INDEX(DropDown!$M$2:$M$392,MATCH('Ingest Template'!E754,DropDown!$J$2:$J$392,0)))</f>
        <v>#N/A</v>
      </c>
      <c r="K754" s="21" t="str">
        <f>iF('Ingest Template'!A754="Standard",'Ingest Template'!K754&amp;CHAR(10)&amp;'Ingest Template'!L754,"Competitive View")</f>
        <v>Competitive View</v>
      </c>
      <c r="L754" s="29" t="s">
        <v>146</v>
      </c>
      <c r="M754" s="37" t="str">
        <f>'Ingest Template'!D754</f>
        <v/>
      </c>
      <c r="N754" s="21"/>
      <c r="O754" s="21"/>
      <c r="P754" s="21"/>
      <c r="Q754" s="21"/>
      <c r="R754" s="21" t="str">
        <f>'Ingest Template'!E754</f>
        <v/>
      </c>
      <c r="S754" s="29" t="s">
        <v>153</v>
      </c>
      <c r="T754" s="21" t="str">
        <f>'Ingest Template'!T754</f>
        <v/>
      </c>
      <c r="U754" s="21" t="str">
        <f>'Ingest Template'!S754</f>
        <v/>
      </c>
      <c r="V754" s="21" t="str">
        <f>LOWER(SUBSTITUTE(SUBSTITUTE(SUBSTITUTE(SUBSTITUTE(SUBSTITUTE('Ingest Template'!U754,"https:",""),"www.",""),"/",""),"?hl=en",""),"instagram.com",""))</f>
        <v/>
      </c>
      <c r="W754" s="41" t="str">
        <f t="array" ref="W754">IF('Ingest Template'!V754="",(INDEX(DropDown!$L$2:$L$392,MATCH('Ingest Template'!E754,DropDown!$J$2:$J$392,0))&amp;"|"&amp;'Ingest Template'!B754),(INDEX(DropDown!$L$2:$L$392,MATCH('Ingest Template'!E754,DropDown!$J$2:$J$392,0))&amp;"|"&amp;'Ingest Template'!B754)&amp;CHAR(10)&amp;'Ingest Template'!V754)</f>
        <v>#N/A</v>
      </c>
      <c r="X754" s="41" t="str">
        <f>'Ingest Template'!W754</f>
        <v/>
      </c>
      <c r="Y754" s="21" t="str">
        <f>SUBSTITUTE(SUBSTITUTE(SUBSTITUTE('Ingest Template'!X754,"http:",""),"https:",""),"/","")</f>
        <v/>
      </c>
      <c r="Z754" s="21" t="str">
        <f t="array" ref="Z754">IF('Ingest Template'!A754="Standard",(IF(ISBLANK('Ingest Template'!AA754),"", 'Ingest Template'!AA754&amp;"|DAR")),(IF(ISBLANK('Ingest Template'!AA754),"", 'Ingest Template'!AA754&amp;"|Film Ops")))</f>
        <v/>
      </c>
      <c r="AA754" s="21"/>
      <c r="AB754" s="21" t="str">
        <f>'Ingest Template'!M754</f>
        <v/>
      </c>
      <c r="AC754" s="21" t="str">
        <f>'Ingest Template'!Y754</f>
        <v/>
      </c>
      <c r="AD754" s="21" t="str">
        <f>'Ingest Template'!C754</f>
        <v/>
      </c>
      <c r="AE754" s="21" t="str">
        <f>'Ingest Template'!Z754</f>
        <v/>
      </c>
      <c r="AF754" s="29"/>
      <c r="AG754" s="21" t="str">
        <f t="array" ref="AG754">IF('Ingest Template'!A754="Standard",(CONCATENATE(IF(ISBLANK('Ingest Template'!O754),"", 'Ingest Template'!O754&amp;"|DAR"),CHAR(10), IF(ISBLANK('Ingest Template'!P754),"", 'Ingest Template'!P754&amp;"|DAR"),CHAR(10), IF(ISBLANK('Ingest Template'!Q754),"", 'Ingest Template'!Q754&amp;"|DAR"))),(CONCATENATE(IF(ISBLANK('Ingest Template'!O754),"", 'Ingest Template'!O754&amp;"|Operations - Core Title"),CHAR(10), IF(ISBLANK('Ingest Template'!P754),"", 'Ingest Template'!P754&amp;"|Operations - Core Title"),CHAR(10), IF(ISBLANK('Ingest Template'!Q754),"", 'Ingest Template'!Q754&amp;"|Operations - Core Title"))))</f>
        <v>#|Operations - Core Title
#|Operations - Core Title
</v>
      </c>
      <c r="AH754" s="21"/>
      <c r="AI754" s="21"/>
      <c r="AJ754" s="53" t="str">
        <f>if('Ingest Template'!A754="Standard",'Ingest Template'!N754&amp; "|DAR|DAR|2021-01-01",'Ingest Template'!N754&amp; "|Operations - Core Title|Operations - Core Title")</f>
        <v>#N/A</v>
      </c>
      <c r="AK754" s="53" t="str">
        <f>if('Ingest Template'!A754="Standard",'Ingest Template'!R754&amp; "|2021-01-01",'Ingest Template'!R754)</f>
        <v>#N/A</v>
      </c>
      <c r="AL754" s="21"/>
      <c r="AM754" s="21"/>
    </row>
    <row r="755">
      <c r="A755" s="21"/>
      <c r="B755" s="21" t="str">
        <f>'Ingest Template'!B755&amp;IF('Ingest Template'!A755 = "Standard", " - DAR","")</f>
        <v/>
      </c>
      <c r="C755" s="26" t="s">
        <v>109</v>
      </c>
      <c r="D755" s="29" t="str">
        <f t="array" ref="D755">CONCATENATE(INDEX(DropDown!$H$2:$H$10,MATCH(1,COUNTIF('Ingest Template'!F755,"*"&amp;DropDown!$H$2:$H$10&amp;"*"),0)),CHAR(10),'Ingest Template'!G755)</f>
        <v>#N/A</v>
      </c>
      <c r="E755" s="21" t="str">
        <f>CONCATENATE('Ingest Template'!H755,CHAR(10),'Ingest Template'!I755,CHAR(10),'Ingest Template'!J755)</f>
        <v>
</v>
      </c>
      <c r="F755" s="26" t="str">
        <f>'Ingest Template'!H755</f>
        <v/>
      </c>
      <c r="G755" s="21"/>
      <c r="H755" s="29"/>
      <c r="I755" s="21"/>
      <c r="J755" s="29" t="str">
        <f t="array" ref="J755">iF('Ingest Template'!A755="Standard","Pristine Brand",INDEX(DropDown!$M$2:$M$392,MATCH('Ingest Template'!E755,DropDown!$J$2:$J$392,0)))</f>
        <v>#N/A</v>
      </c>
      <c r="K755" s="21" t="str">
        <f>iF('Ingest Template'!A755="Standard",'Ingest Template'!K755&amp;CHAR(10)&amp;'Ingest Template'!L755,"Competitive View")</f>
        <v>Competitive View</v>
      </c>
      <c r="L755" s="29" t="s">
        <v>146</v>
      </c>
      <c r="M755" s="37" t="str">
        <f>'Ingest Template'!D755</f>
        <v/>
      </c>
      <c r="N755" s="21"/>
      <c r="O755" s="21"/>
      <c r="P755" s="21"/>
      <c r="Q755" s="21"/>
      <c r="R755" s="21" t="str">
        <f>'Ingest Template'!E755</f>
        <v/>
      </c>
      <c r="S755" s="29" t="s">
        <v>153</v>
      </c>
      <c r="T755" s="21" t="str">
        <f>'Ingest Template'!T755</f>
        <v/>
      </c>
      <c r="U755" s="21" t="str">
        <f>'Ingest Template'!S755</f>
        <v/>
      </c>
      <c r="V755" s="21" t="str">
        <f>LOWER(SUBSTITUTE(SUBSTITUTE(SUBSTITUTE(SUBSTITUTE(SUBSTITUTE('Ingest Template'!U755,"https:",""),"www.",""),"/",""),"?hl=en",""),"instagram.com",""))</f>
        <v/>
      </c>
      <c r="W755" s="41" t="str">
        <f t="array" ref="W755">IF('Ingest Template'!V755="",(INDEX(DropDown!$L$2:$L$392,MATCH('Ingest Template'!E755,DropDown!$J$2:$J$392,0))&amp;"|"&amp;'Ingest Template'!B755),(INDEX(DropDown!$L$2:$L$392,MATCH('Ingest Template'!E755,DropDown!$J$2:$J$392,0))&amp;"|"&amp;'Ingest Template'!B755)&amp;CHAR(10)&amp;'Ingest Template'!V755)</f>
        <v>#N/A</v>
      </c>
      <c r="X755" s="41" t="str">
        <f>'Ingest Template'!W755</f>
        <v/>
      </c>
      <c r="Y755" s="21" t="str">
        <f>SUBSTITUTE(SUBSTITUTE(SUBSTITUTE('Ingest Template'!X755,"http:",""),"https:",""),"/","")</f>
        <v/>
      </c>
      <c r="Z755" s="21" t="str">
        <f t="array" ref="Z755">IF('Ingest Template'!A755="Standard",(IF(ISBLANK('Ingest Template'!AA755),"", 'Ingest Template'!AA755&amp;"|DAR")),(IF(ISBLANK('Ingest Template'!AA755),"", 'Ingest Template'!AA755&amp;"|Film Ops")))</f>
        <v/>
      </c>
      <c r="AA755" s="21"/>
      <c r="AB755" s="21" t="str">
        <f>'Ingest Template'!M755</f>
        <v/>
      </c>
      <c r="AC755" s="21" t="str">
        <f>'Ingest Template'!Y755</f>
        <v/>
      </c>
      <c r="AD755" s="21" t="str">
        <f>'Ingest Template'!C755</f>
        <v/>
      </c>
      <c r="AE755" s="21" t="str">
        <f>'Ingest Template'!Z755</f>
        <v/>
      </c>
      <c r="AF755" s="29"/>
      <c r="AG755" s="21" t="str">
        <f t="array" ref="AG755">IF('Ingest Template'!A755="Standard",(CONCATENATE(IF(ISBLANK('Ingest Template'!O755),"", 'Ingest Template'!O755&amp;"|DAR"),CHAR(10), IF(ISBLANK('Ingest Template'!P755),"", 'Ingest Template'!P755&amp;"|DAR"),CHAR(10), IF(ISBLANK('Ingest Template'!Q755),"", 'Ingest Template'!Q755&amp;"|DAR"))),(CONCATENATE(IF(ISBLANK('Ingest Template'!O755),"", 'Ingest Template'!O755&amp;"|Operations - Core Title"),CHAR(10), IF(ISBLANK('Ingest Template'!P755),"", 'Ingest Template'!P755&amp;"|Operations - Core Title"),CHAR(10), IF(ISBLANK('Ingest Template'!Q755),"", 'Ingest Template'!Q755&amp;"|Operations - Core Title"))))</f>
        <v>#|Operations - Core Title
#|Operations - Core Title
</v>
      </c>
      <c r="AH755" s="21"/>
      <c r="AI755" s="21"/>
      <c r="AJ755" s="53" t="str">
        <f>if('Ingest Template'!A755="Standard",'Ingest Template'!N755&amp; "|DAR|DAR|2021-01-01",'Ingest Template'!N755&amp; "|Operations - Core Title|Operations - Core Title")</f>
        <v>#N/A</v>
      </c>
      <c r="AK755" s="53" t="str">
        <f>if('Ingest Template'!A755="Standard",'Ingest Template'!R755&amp; "|2021-01-01",'Ingest Template'!R755)</f>
        <v>#N/A</v>
      </c>
      <c r="AL755" s="21"/>
      <c r="AM755" s="21"/>
    </row>
    <row r="756">
      <c r="A756" s="21"/>
      <c r="B756" s="21" t="str">
        <f>'Ingest Template'!B756&amp;IF('Ingest Template'!A756 = "Standard", " - DAR","")</f>
        <v/>
      </c>
      <c r="C756" s="26" t="s">
        <v>109</v>
      </c>
      <c r="D756" s="29" t="str">
        <f t="array" ref="D756">CONCATENATE(INDEX(DropDown!$H$2:$H$10,MATCH(1,COUNTIF('Ingest Template'!F756,"*"&amp;DropDown!$H$2:$H$10&amp;"*"),0)),CHAR(10),'Ingest Template'!G756)</f>
        <v>#N/A</v>
      </c>
      <c r="E756" s="21" t="str">
        <f>CONCATENATE('Ingest Template'!H756,CHAR(10),'Ingest Template'!I756,CHAR(10),'Ingest Template'!J756)</f>
        <v>
</v>
      </c>
      <c r="F756" s="26" t="str">
        <f>'Ingest Template'!H756</f>
        <v/>
      </c>
      <c r="G756" s="21"/>
      <c r="H756" s="29"/>
      <c r="I756" s="21"/>
      <c r="J756" s="29" t="str">
        <f t="array" ref="J756">iF('Ingest Template'!A756="Standard","Pristine Brand",INDEX(DropDown!$M$2:$M$392,MATCH('Ingest Template'!E756,DropDown!$J$2:$J$392,0)))</f>
        <v>#N/A</v>
      </c>
      <c r="K756" s="21" t="str">
        <f>iF('Ingest Template'!A756="Standard",'Ingest Template'!K756&amp;CHAR(10)&amp;'Ingest Template'!L756,"Competitive View")</f>
        <v>Competitive View</v>
      </c>
      <c r="L756" s="29" t="s">
        <v>146</v>
      </c>
      <c r="M756" s="37" t="str">
        <f>'Ingest Template'!D756</f>
        <v/>
      </c>
      <c r="N756" s="21"/>
      <c r="O756" s="21"/>
      <c r="P756" s="21"/>
      <c r="Q756" s="21"/>
      <c r="R756" s="21" t="str">
        <f>'Ingest Template'!E756</f>
        <v/>
      </c>
      <c r="S756" s="29" t="s">
        <v>153</v>
      </c>
      <c r="T756" s="21" t="str">
        <f>'Ingest Template'!T756</f>
        <v/>
      </c>
      <c r="U756" s="21" t="str">
        <f>'Ingest Template'!S756</f>
        <v/>
      </c>
      <c r="V756" s="21" t="str">
        <f>LOWER(SUBSTITUTE(SUBSTITUTE(SUBSTITUTE(SUBSTITUTE(SUBSTITUTE('Ingest Template'!U756,"https:",""),"www.",""),"/",""),"?hl=en",""),"instagram.com",""))</f>
        <v/>
      </c>
      <c r="W756" s="41" t="str">
        <f t="array" ref="W756">IF('Ingest Template'!V756="",(INDEX(DropDown!$L$2:$L$392,MATCH('Ingest Template'!E756,DropDown!$J$2:$J$392,0))&amp;"|"&amp;'Ingest Template'!B756),(INDEX(DropDown!$L$2:$L$392,MATCH('Ingest Template'!E756,DropDown!$J$2:$J$392,0))&amp;"|"&amp;'Ingest Template'!B756)&amp;CHAR(10)&amp;'Ingest Template'!V756)</f>
        <v>#N/A</v>
      </c>
      <c r="X756" s="41" t="str">
        <f>'Ingest Template'!W756</f>
        <v/>
      </c>
      <c r="Y756" s="21" t="str">
        <f>SUBSTITUTE(SUBSTITUTE(SUBSTITUTE('Ingest Template'!X756,"http:",""),"https:",""),"/","")</f>
        <v/>
      </c>
      <c r="Z756" s="21" t="str">
        <f t="array" ref="Z756">IF('Ingest Template'!A756="Standard",(IF(ISBLANK('Ingest Template'!AA756),"", 'Ingest Template'!AA756&amp;"|DAR")),(IF(ISBLANK('Ingest Template'!AA756),"", 'Ingest Template'!AA756&amp;"|Film Ops")))</f>
        <v/>
      </c>
      <c r="AA756" s="21"/>
      <c r="AB756" s="21" t="str">
        <f>'Ingest Template'!M756</f>
        <v/>
      </c>
      <c r="AC756" s="21" t="str">
        <f>'Ingest Template'!Y756</f>
        <v/>
      </c>
      <c r="AD756" s="21" t="str">
        <f>'Ingest Template'!C756</f>
        <v/>
      </c>
      <c r="AE756" s="21" t="str">
        <f>'Ingest Template'!Z756</f>
        <v/>
      </c>
      <c r="AF756" s="29"/>
      <c r="AG756" s="21" t="str">
        <f t="array" ref="AG756">IF('Ingest Template'!A756="Standard",(CONCATENATE(IF(ISBLANK('Ingest Template'!O756),"", 'Ingest Template'!O756&amp;"|DAR"),CHAR(10), IF(ISBLANK('Ingest Template'!P756),"", 'Ingest Template'!P756&amp;"|DAR"),CHAR(10), IF(ISBLANK('Ingest Template'!Q756),"", 'Ingest Template'!Q756&amp;"|DAR"))),(CONCATENATE(IF(ISBLANK('Ingest Template'!O756),"", 'Ingest Template'!O756&amp;"|Operations - Core Title"),CHAR(10), IF(ISBLANK('Ingest Template'!P756),"", 'Ingest Template'!P756&amp;"|Operations - Core Title"),CHAR(10), IF(ISBLANK('Ingest Template'!Q756),"", 'Ingest Template'!Q756&amp;"|Operations - Core Title"))))</f>
        <v>#|Operations - Core Title
#|Operations - Core Title
</v>
      </c>
      <c r="AH756" s="21"/>
      <c r="AI756" s="21"/>
      <c r="AJ756" s="53" t="str">
        <f>if('Ingest Template'!A756="Standard",'Ingest Template'!N756&amp; "|DAR|DAR|2021-01-01",'Ingest Template'!N756&amp; "|Operations - Core Title|Operations - Core Title")</f>
        <v>#N/A</v>
      </c>
      <c r="AK756" s="53" t="str">
        <f>if('Ingest Template'!A756="Standard",'Ingest Template'!R756&amp; "|2021-01-01",'Ingest Template'!R756)</f>
        <v>#N/A</v>
      </c>
      <c r="AL756" s="21"/>
      <c r="AM756" s="21"/>
    </row>
    <row r="757">
      <c r="A757" s="21"/>
      <c r="B757" s="21" t="str">
        <f>'Ingest Template'!B757&amp;IF('Ingest Template'!A757 = "Standard", " - DAR","")</f>
        <v/>
      </c>
      <c r="C757" s="26" t="s">
        <v>109</v>
      </c>
      <c r="D757" s="29" t="str">
        <f t="array" ref="D757">CONCATENATE(INDEX(DropDown!$H$2:$H$10,MATCH(1,COUNTIF('Ingest Template'!F757,"*"&amp;DropDown!$H$2:$H$10&amp;"*"),0)),CHAR(10),'Ingest Template'!G757)</f>
        <v>#N/A</v>
      </c>
      <c r="E757" s="21" t="str">
        <f>CONCATENATE('Ingest Template'!H757,CHAR(10),'Ingest Template'!I757,CHAR(10),'Ingest Template'!J757)</f>
        <v>
</v>
      </c>
      <c r="F757" s="26" t="str">
        <f>'Ingest Template'!H757</f>
        <v/>
      </c>
      <c r="G757" s="21"/>
      <c r="H757" s="29"/>
      <c r="I757" s="21"/>
      <c r="J757" s="29" t="str">
        <f t="array" ref="J757">iF('Ingest Template'!A757="Standard","Pristine Brand",INDEX(DropDown!$M$2:$M$392,MATCH('Ingest Template'!E757,DropDown!$J$2:$J$392,0)))</f>
        <v>#N/A</v>
      </c>
      <c r="K757" s="21" t="str">
        <f>iF('Ingest Template'!A757="Standard",'Ingest Template'!K757&amp;CHAR(10)&amp;'Ingest Template'!L757,"Competitive View")</f>
        <v>Competitive View</v>
      </c>
      <c r="L757" s="29" t="s">
        <v>146</v>
      </c>
      <c r="M757" s="37" t="str">
        <f>'Ingest Template'!D757</f>
        <v/>
      </c>
      <c r="N757" s="21"/>
      <c r="O757" s="21"/>
      <c r="P757" s="21"/>
      <c r="Q757" s="21"/>
      <c r="R757" s="21" t="str">
        <f>'Ingest Template'!E757</f>
        <v/>
      </c>
      <c r="S757" s="29" t="s">
        <v>153</v>
      </c>
      <c r="T757" s="21" t="str">
        <f>'Ingest Template'!T757</f>
        <v/>
      </c>
      <c r="U757" s="21" t="str">
        <f>'Ingest Template'!S757</f>
        <v/>
      </c>
      <c r="V757" s="21" t="str">
        <f>LOWER(SUBSTITUTE(SUBSTITUTE(SUBSTITUTE(SUBSTITUTE(SUBSTITUTE('Ingest Template'!U757,"https:",""),"www.",""),"/",""),"?hl=en",""),"instagram.com",""))</f>
        <v/>
      </c>
      <c r="W757" s="41" t="str">
        <f t="array" ref="W757">IF('Ingest Template'!V757="",(INDEX(DropDown!$L$2:$L$392,MATCH('Ingest Template'!E757,DropDown!$J$2:$J$392,0))&amp;"|"&amp;'Ingest Template'!B757),(INDEX(DropDown!$L$2:$L$392,MATCH('Ingest Template'!E757,DropDown!$J$2:$J$392,0))&amp;"|"&amp;'Ingest Template'!B757)&amp;CHAR(10)&amp;'Ingest Template'!V757)</f>
        <v>#N/A</v>
      </c>
      <c r="X757" s="41" t="str">
        <f>'Ingest Template'!W757</f>
        <v/>
      </c>
      <c r="Y757" s="21" t="str">
        <f>SUBSTITUTE(SUBSTITUTE(SUBSTITUTE('Ingest Template'!X757,"http:",""),"https:",""),"/","")</f>
        <v/>
      </c>
      <c r="Z757" s="21" t="str">
        <f t="array" ref="Z757">IF('Ingest Template'!A757="Standard",(IF(ISBLANK('Ingest Template'!AA757),"", 'Ingest Template'!AA757&amp;"|DAR")),(IF(ISBLANK('Ingest Template'!AA757),"", 'Ingest Template'!AA757&amp;"|Film Ops")))</f>
        <v/>
      </c>
      <c r="AA757" s="21"/>
      <c r="AB757" s="21" t="str">
        <f>'Ingest Template'!M757</f>
        <v/>
      </c>
      <c r="AC757" s="21" t="str">
        <f>'Ingest Template'!Y757</f>
        <v/>
      </c>
      <c r="AD757" s="21" t="str">
        <f>'Ingest Template'!C757</f>
        <v/>
      </c>
      <c r="AE757" s="21" t="str">
        <f>'Ingest Template'!Z757</f>
        <v/>
      </c>
      <c r="AF757" s="29"/>
      <c r="AG757" s="21" t="str">
        <f t="array" ref="AG757">IF('Ingest Template'!A757="Standard",(CONCATENATE(IF(ISBLANK('Ingest Template'!O757),"", 'Ingest Template'!O757&amp;"|DAR"),CHAR(10), IF(ISBLANK('Ingest Template'!P757),"", 'Ingest Template'!P757&amp;"|DAR"),CHAR(10), IF(ISBLANK('Ingest Template'!Q757),"", 'Ingest Template'!Q757&amp;"|DAR"))),(CONCATENATE(IF(ISBLANK('Ingest Template'!O757),"", 'Ingest Template'!O757&amp;"|Operations - Core Title"),CHAR(10), IF(ISBLANK('Ingest Template'!P757),"", 'Ingest Template'!P757&amp;"|Operations - Core Title"),CHAR(10), IF(ISBLANK('Ingest Template'!Q757),"", 'Ingest Template'!Q757&amp;"|Operations - Core Title"))))</f>
        <v>#|Operations - Core Title
#|Operations - Core Title
</v>
      </c>
      <c r="AH757" s="21"/>
      <c r="AI757" s="21"/>
      <c r="AJ757" s="53" t="str">
        <f>if('Ingest Template'!A757="Standard",'Ingest Template'!N757&amp; "|DAR|DAR|2021-01-01",'Ingest Template'!N757&amp; "|Operations - Core Title|Operations - Core Title")</f>
        <v>#N/A</v>
      </c>
      <c r="AK757" s="53" t="str">
        <f>if('Ingest Template'!A757="Standard",'Ingest Template'!R757&amp; "|2021-01-01",'Ingest Template'!R757)</f>
        <v>#N/A</v>
      </c>
      <c r="AL757" s="21"/>
      <c r="AM757" s="21"/>
    </row>
    <row r="758">
      <c r="A758" s="21"/>
      <c r="B758" s="21" t="str">
        <f>'Ingest Template'!B758&amp;IF('Ingest Template'!A758 = "Standard", " - DAR","")</f>
        <v/>
      </c>
      <c r="C758" s="26" t="s">
        <v>109</v>
      </c>
      <c r="D758" s="29" t="str">
        <f t="array" ref="D758">CONCATENATE(INDEX(DropDown!$H$2:$H$10,MATCH(1,COUNTIF('Ingest Template'!F758,"*"&amp;DropDown!$H$2:$H$10&amp;"*"),0)),CHAR(10),'Ingest Template'!G758)</f>
        <v>#N/A</v>
      </c>
      <c r="E758" s="21" t="str">
        <f>CONCATENATE('Ingest Template'!H758,CHAR(10),'Ingest Template'!I758,CHAR(10),'Ingest Template'!J758)</f>
        <v>
</v>
      </c>
      <c r="F758" s="26" t="str">
        <f>'Ingest Template'!H758</f>
        <v/>
      </c>
      <c r="G758" s="21"/>
      <c r="H758" s="29"/>
      <c r="I758" s="21"/>
      <c r="J758" s="29" t="str">
        <f t="array" ref="J758">iF('Ingest Template'!A758="Standard","Pristine Brand",INDEX(DropDown!$M$2:$M$392,MATCH('Ingest Template'!E758,DropDown!$J$2:$J$392,0)))</f>
        <v>#N/A</v>
      </c>
      <c r="K758" s="21" t="str">
        <f>iF('Ingest Template'!A758="Standard",'Ingest Template'!K758&amp;CHAR(10)&amp;'Ingest Template'!L758,"Competitive View")</f>
        <v>Competitive View</v>
      </c>
      <c r="L758" s="29" t="s">
        <v>146</v>
      </c>
      <c r="M758" s="37" t="str">
        <f>'Ingest Template'!D758</f>
        <v/>
      </c>
      <c r="N758" s="21"/>
      <c r="O758" s="21"/>
      <c r="P758" s="21"/>
      <c r="Q758" s="21"/>
      <c r="R758" s="21" t="str">
        <f>'Ingest Template'!E758</f>
        <v/>
      </c>
      <c r="S758" s="29" t="s">
        <v>153</v>
      </c>
      <c r="T758" s="21" t="str">
        <f>'Ingest Template'!T758</f>
        <v/>
      </c>
      <c r="U758" s="21" t="str">
        <f>'Ingest Template'!S758</f>
        <v/>
      </c>
      <c r="V758" s="21" t="str">
        <f>LOWER(SUBSTITUTE(SUBSTITUTE(SUBSTITUTE(SUBSTITUTE(SUBSTITUTE('Ingest Template'!U758,"https:",""),"www.",""),"/",""),"?hl=en",""),"instagram.com",""))</f>
        <v/>
      </c>
      <c r="W758" s="41" t="str">
        <f t="array" ref="W758">IF('Ingest Template'!V758="",(INDEX(DropDown!$L$2:$L$392,MATCH('Ingest Template'!E758,DropDown!$J$2:$J$392,0))&amp;"|"&amp;'Ingest Template'!B758),(INDEX(DropDown!$L$2:$L$392,MATCH('Ingest Template'!E758,DropDown!$J$2:$J$392,0))&amp;"|"&amp;'Ingest Template'!B758)&amp;CHAR(10)&amp;'Ingest Template'!V758)</f>
        <v>#N/A</v>
      </c>
      <c r="X758" s="41" t="str">
        <f>'Ingest Template'!W758</f>
        <v/>
      </c>
      <c r="Y758" s="21" t="str">
        <f>SUBSTITUTE(SUBSTITUTE(SUBSTITUTE('Ingest Template'!X758,"http:",""),"https:",""),"/","")</f>
        <v/>
      </c>
      <c r="Z758" s="21" t="str">
        <f t="array" ref="Z758">IF('Ingest Template'!A758="Standard",(IF(ISBLANK('Ingest Template'!AA758),"", 'Ingest Template'!AA758&amp;"|DAR")),(IF(ISBLANK('Ingest Template'!AA758),"", 'Ingest Template'!AA758&amp;"|Film Ops")))</f>
        <v/>
      </c>
      <c r="AA758" s="21"/>
      <c r="AB758" s="21" t="str">
        <f>'Ingest Template'!M758</f>
        <v/>
      </c>
      <c r="AC758" s="21" t="str">
        <f>'Ingest Template'!Y758</f>
        <v/>
      </c>
      <c r="AD758" s="21" t="str">
        <f>'Ingest Template'!C758</f>
        <v/>
      </c>
      <c r="AE758" s="21" t="str">
        <f>'Ingest Template'!Z758</f>
        <v/>
      </c>
      <c r="AF758" s="29"/>
      <c r="AG758" s="21" t="str">
        <f t="array" ref="AG758">IF('Ingest Template'!A758="Standard",(CONCATENATE(IF(ISBLANK('Ingest Template'!O758),"", 'Ingest Template'!O758&amp;"|DAR"),CHAR(10), IF(ISBLANK('Ingest Template'!P758),"", 'Ingest Template'!P758&amp;"|DAR"),CHAR(10), IF(ISBLANK('Ingest Template'!Q758),"", 'Ingest Template'!Q758&amp;"|DAR"))),(CONCATENATE(IF(ISBLANK('Ingest Template'!O758),"", 'Ingest Template'!O758&amp;"|Operations - Core Title"),CHAR(10), IF(ISBLANK('Ingest Template'!P758),"", 'Ingest Template'!P758&amp;"|Operations - Core Title"),CHAR(10), IF(ISBLANK('Ingest Template'!Q758),"", 'Ingest Template'!Q758&amp;"|Operations - Core Title"))))</f>
        <v>#|Operations - Core Title
#|Operations - Core Title
</v>
      </c>
      <c r="AH758" s="21"/>
      <c r="AI758" s="21"/>
      <c r="AJ758" s="53" t="str">
        <f>if('Ingest Template'!A758="Standard",'Ingest Template'!N758&amp; "|DAR|DAR|2021-01-01",'Ingest Template'!N758&amp; "|Operations - Core Title|Operations - Core Title")</f>
        <v>#N/A</v>
      </c>
      <c r="AK758" s="53" t="str">
        <f>if('Ingest Template'!A758="Standard",'Ingest Template'!R758&amp; "|2021-01-01",'Ingest Template'!R758)</f>
        <v>#N/A</v>
      </c>
      <c r="AL758" s="21"/>
      <c r="AM758" s="21"/>
    </row>
    <row r="759">
      <c r="A759" s="21"/>
      <c r="B759" s="21" t="str">
        <f>'Ingest Template'!B759&amp;IF('Ingest Template'!A759 = "Standard", " - DAR","")</f>
        <v/>
      </c>
      <c r="C759" s="26" t="s">
        <v>109</v>
      </c>
      <c r="D759" s="29" t="str">
        <f t="array" ref="D759">CONCATENATE(INDEX(DropDown!$H$2:$H$10,MATCH(1,COUNTIF('Ingest Template'!F759,"*"&amp;DropDown!$H$2:$H$10&amp;"*"),0)),CHAR(10),'Ingest Template'!G759)</f>
        <v>#N/A</v>
      </c>
      <c r="E759" s="21" t="str">
        <f>CONCATENATE('Ingest Template'!H759,CHAR(10),'Ingest Template'!I759,CHAR(10),'Ingest Template'!J759)</f>
        <v>
</v>
      </c>
      <c r="F759" s="26" t="str">
        <f>'Ingest Template'!H759</f>
        <v/>
      </c>
      <c r="G759" s="21"/>
      <c r="H759" s="29"/>
      <c r="I759" s="21"/>
      <c r="J759" s="29" t="str">
        <f t="array" ref="J759">iF('Ingest Template'!A759="Standard","Pristine Brand",INDEX(DropDown!$M$2:$M$392,MATCH('Ingest Template'!E759,DropDown!$J$2:$J$392,0)))</f>
        <v>#N/A</v>
      </c>
      <c r="K759" s="21" t="str">
        <f>iF('Ingest Template'!A759="Standard",'Ingest Template'!K759&amp;CHAR(10)&amp;'Ingest Template'!L759,"Competitive View")</f>
        <v>Competitive View</v>
      </c>
      <c r="L759" s="29" t="s">
        <v>146</v>
      </c>
      <c r="M759" s="37" t="str">
        <f>'Ingest Template'!D759</f>
        <v/>
      </c>
      <c r="N759" s="21"/>
      <c r="O759" s="21"/>
      <c r="P759" s="21"/>
      <c r="Q759" s="21"/>
      <c r="R759" s="21" t="str">
        <f>'Ingest Template'!E759</f>
        <v/>
      </c>
      <c r="S759" s="29" t="s">
        <v>153</v>
      </c>
      <c r="T759" s="21" t="str">
        <f>'Ingest Template'!T759</f>
        <v/>
      </c>
      <c r="U759" s="21" t="str">
        <f>'Ingest Template'!S759</f>
        <v/>
      </c>
      <c r="V759" s="21" t="str">
        <f>LOWER(SUBSTITUTE(SUBSTITUTE(SUBSTITUTE(SUBSTITUTE(SUBSTITUTE('Ingest Template'!U759,"https:",""),"www.",""),"/",""),"?hl=en",""),"instagram.com",""))</f>
        <v/>
      </c>
      <c r="W759" s="41" t="str">
        <f t="array" ref="W759">IF('Ingest Template'!V759="",(INDEX(DropDown!$L$2:$L$392,MATCH('Ingest Template'!E759,DropDown!$J$2:$J$392,0))&amp;"|"&amp;'Ingest Template'!B759),(INDEX(DropDown!$L$2:$L$392,MATCH('Ingest Template'!E759,DropDown!$J$2:$J$392,0))&amp;"|"&amp;'Ingest Template'!B759)&amp;CHAR(10)&amp;'Ingest Template'!V759)</f>
        <v>#N/A</v>
      </c>
      <c r="X759" s="41" t="str">
        <f>'Ingest Template'!W759</f>
        <v/>
      </c>
      <c r="Y759" s="21" t="str">
        <f>SUBSTITUTE(SUBSTITUTE(SUBSTITUTE('Ingest Template'!X759,"http:",""),"https:",""),"/","")</f>
        <v/>
      </c>
      <c r="Z759" s="21" t="str">
        <f t="array" ref="Z759">IF('Ingest Template'!A759="Standard",(IF(ISBLANK('Ingest Template'!AA759),"", 'Ingest Template'!AA759&amp;"|DAR")),(IF(ISBLANK('Ingest Template'!AA759),"", 'Ingest Template'!AA759&amp;"|Film Ops")))</f>
        <v/>
      </c>
      <c r="AA759" s="21"/>
      <c r="AB759" s="21" t="str">
        <f>'Ingest Template'!M759</f>
        <v/>
      </c>
      <c r="AC759" s="21" t="str">
        <f>'Ingest Template'!Y759</f>
        <v/>
      </c>
      <c r="AD759" s="21" t="str">
        <f>'Ingest Template'!C759</f>
        <v/>
      </c>
      <c r="AE759" s="21" t="str">
        <f>'Ingest Template'!Z759</f>
        <v/>
      </c>
      <c r="AF759" s="29"/>
      <c r="AG759" s="21" t="str">
        <f t="array" ref="AG759">IF('Ingest Template'!A759="Standard",(CONCATENATE(IF(ISBLANK('Ingest Template'!O759),"", 'Ingest Template'!O759&amp;"|DAR"),CHAR(10), IF(ISBLANK('Ingest Template'!P759),"", 'Ingest Template'!P759&amp;"|DAR"),CHAR(10), IF(ISBLANK('Ingest Template'!Q759),"", 'Ingest Template'!Q759&amp;"|DAR"))),(CONCATENATE(IF(ISBLANK('Ingest Template'!O759),"", 'Ingest Template'!O759&amp;"|Operations - Core Title"),CHAR(10), IF(ISBLANK('Ingest Template'!P759),"", 'Ingest Template'!P759&amp;"|Operations - Core Title"),CHAR(10), IF(ISBLANK('Ingest Template'!Q759),"", 'Ingest Template'!Q759&amp;"|Operations - Core Title"))))</f>
        <v>#|Operations - Core Title
#|Operations - Core Title
</v>
      </c>
      <c r="AH759" s="21"/>
      <c r="AI759" s="21"/>
      <c r="AJ759" s="53" t="str">
        <f>if('Ingest Template'!A759="Standard",'Ingest Template'!N759&amp; "|DAR|DAR|2021-01-01",'Ingest Template'!N759&amp; "|Operations - Core Title|Operations - Core Title")</f>
        <v>#N/A</v>
      </c>
      <c r="AK759" s="53" t="str">
        <f>if('Ingest Template'!A759="Standard",'Ingest Template'!R759&amp; "|2021-01-01",'Ingest Template'!R759)</f>
        <v>#N/A</v>
      </c>
      <c r="AL759" s="21"/>
      <c r="AM759" s="21"/>
    </row>
    <row r="760">
      <c r="A760" s="21"/>
      <c r="B760" s="21" t="str">
        <f>'Ingest Template'!B760&amp;IF('Ingest Template'!A760 = "Standard", " - DAR","")</f>
        <v/>
      </c>
      <c r="C760" s="26" t="s">
        <v>109</v>
      </c>
      <c r="D760" s="29" t="str">
        <f t="array" ref="D760">CONCATENATE(INDEX(DropDown!$H$2:$H$10,MATCH(1,COUNTIF('Ingest Template'!F760,"*"&amp;DropDown!$H$2:$H$10&amp;"*"),0)),CHAR(10),'Ingest Template'!G760)</f>
        <v>#N/A</v>
      </c>
      <c r="E760" s="21" t="str">
        <f>CONCATENATE('Ingest Template'!H760,CHAR(10),'Ingest Template'!I760,CHAR(10),'Ingest Template'!J760)</f>
        <v>
</v>
      </c>
      <c r="F760" s="26" t="str">
        <f>'Ingest Template'!H760</f>
        <v/>
      </c>
      <c r="G760" s="21"/>
      <c r="H760" s="29"/>
      <c r="I760" s="21"/>
      <c r="J760" s="29" t="str">
        <f t="array" ref="J760">iF('Ingest Template'!A760="Standard","Pristine Brand",INDEX(DropDown!$M$2:$M$392,MATCH('Ingest Template'!E760,DropDown!$J$2:$J$392,0)))</f>
        <v>#N/A</v>
      </c>
      <c r="K760" s="21" t="str">
        <f>iF('Ingest Template'!A760="Standard",'Ingest Template'!K760&amp;CHAR(10)&amp;'Ingest Template'!L760,"Competitive View")</f>
        <v>Competitive View</v>
      </c>
      <c r="L760" s="29" t="s">
        <v>146</v>
      </c>
      <c r="M760" s="37" t="str">
        <f>'Ingest Template'!D760</f>
        <v/>
      </c>
      <c r="N760" s="21"/>
      <c r="O760" s="21"/>
      <c r="P760" s="21"/>
      <c r="Q760" s="21"/>
      <c r="R760" s="21" t="str">
        <f>'Ingest Template'!E760</f>
        <v/>
      </c>
      <c r="S760" s="29" t="s">
        <v>153</v>
      </c>
      <c r="T760" s="21" t="str">
        <f>'Ingest Template'!T760</f>
        <v/>
      </c>
      <c r="U760" s="21" t="str">
        <f>'Ingest Template'!S760</f>
        <v/>
      </c>
      <c r="V760" s="21" t="str">
        <f>LOWER(SUBSTITUTE(SUBSTITUTE(SUBSTITUTE(SUBSTITUTE(SUBSTITUTE('Ingest Template'!U760,"https:",""),"www.",""),"/",""),"?hl=en",""),"instagram.com",""))</f>
        <v/>
      </c>
      <c r="W760" s="41" t="str">
        <f t="array" ref="W760">IF('Ingest Template'!V760="",(INDEX(DropDown!$L$2:$L$392,MATCH('Ingest Template'!E760,DropDown!$J$2:$J$392,0))&amp;"|"&amp;'Ingest Template'!B760),(INDEX(DropDown!$L$2:$L$392,MATCH('Ingest Template'!E760,DropDown!$J$2:$J$392,0))&amp;"|"&amp;'Ingest Template'!B760)&amp;CHAR(10)&amp;'Ingest Template'!V760)</f>
        <v>#N/A</v>
      </c>
      <c r="X760" s="41" t="str">
        <f>'Ingest Template'!W760</f>
        <v/>
      </c>
      <c r="Y760" s="21" t="str">
        <f>SUBSTITUTE(SUBSTITUTE(SUBSTITUTE('Ingest Template'!X760,"http:",""),"https:",""),"/","")</f>
        <v/>
      </c>
      <c r="Z760" s="21" t="str">
        <f t="array" ref="Z760">IF('Ingest Template'!A760="Standard",(IF(ISBLANK('Ingest Template'!AA760),"", 'Ingest Template'!AA760&amp;"|DAR")),(IF(ISBLANK('Ingest Template'!AA760),"", 'Ingest Template'!AA760&amp;"|Film Ops")))</f>
        <v/>
      </c>
      <c r="AA760" s="21"/>
      <c r="AB760" s="21" t="str">
        <f>'Ingest Template'!M760</f>
        <v/>
      </c>
      <c r="AC760" s="21" t="str">
        <f>'Ingest Template'!Y760</f>
        <v/>
      </c>
      <c r="AD760" s="21" t="str">
        <f>'Ingest Template'!C760</f>
        <v/>
      </c>
      <c r="AE760" s="21" t="str">
        <f>'Ingest Template'!Z760</f>
        <v/>
      </c>
      <c r="AF760" s="29"/>
      <c r="AG760" s="21" t="str">
        <f t="array" ref="AG760">IF('Ingest Template'!A760="Standard",(CONCATENATE(IF(ISBLANK('Ingest Template'!O760),"", 'Ingest Template'!O760&amp;"|DAR"),CHAR(10), IF(ISBLANK('Ingest Template'!P760),"", 'Ingest Template'!P760&amp;"|DAR"),CHAR(10), IF(ISBLANK('Ingest Template'!Q760),"", 'Ingest Template'!Q760&amp;"|DAR"))),(CONCATENATE(IF(ISBLANK('Ingest Template'!O760),"", 'Ingest Template'!O760&amp;"|Operations - Core Title"),CHAR(10), IF(ISBLANK('Ingest Template'!P760),"", 'Ingest Template'!P760&amp;"|Operations - Core Title"),CHAR(10), IF(ISBLANK('Ingest Template'!Q760),"", 'Ingest Template'!Q760&amp;"|Operations - Core Title"))))</f>
        <v>#|Operations - Core Title
#|Operations - Core Title
</v>
      </c>
      <c r="AH760" s="21"/>
      <c r="AI760" s="21"/>
      <c r="AJ760" s="53" t="str">
        <f>if('Ingest Template'!A760="Standard",'Ingest Template'!N760&amp; "|DAR|DAR|2021-01-01",'Ingest Template'!N760&amp; "|Operations - Core Title|Operations - Core Title")</f>
        <v>#N/A</v>
      </c>
      <c r="AK760" s="53" t="str">
        <f>if('Ingest Template'!A760="Standard",'Ingest Template'!R760&amp; "|2021-01-01",'Ingest Template'!R760)</f>
        <v>#N/A</v>
      </c>
      <c r="AL760" s="21"/>
      <c r="AM760" s="21"/>
    </row>
    <row r="761">
      <c r="A761" s="21"/>
      <c r="B761" s="21" t="str">
        <f>'Ingest Template'!B761&amp;IF('Ingest Template'!A761 = "Standard", " - DAR","")</f>
        <v/>
      </c>
      <c r="C761" s="26" t="s">
        <v>109</v>
      </c>
      <c r="D761" s="29" t="str">
        <f t="array" ref="D761">CONCATENATE(INDEX(DropDown!$H$2:$H$10,MATCH(1,COUNTIF('Ingest Template'!F761,"*"&amp;DropDown!$H$2:$H$10&amp;"*"),0)),CHAR(10),'Ingest Template'!G761)</f>
        <v>#N/A</v>
      </c>
      <c r="E761" s="21" t="str">
        <f>CONCATENATE('Ingest Template'!H761,CHAR(10),'Ingest Template'!I761,CHAR(10),'Ingest Template'!J761)</f>
        <v>
</v>
      </c>
      <c r="F761" s="26" t="str">
        <f>'Ingest Template'!H761</f>
        <v/>
      </c>
      <c r="G761" s="21"/>
      <c r="H761" s="29"/>
      <c r="I761" s="21"/>
      <c r="J761" s="29" t="str">
        <f t="array" ref="J761">iF('Ingest Template'!A761="Standard","Pristine Brand",INDEX(DropDown!$M$2:$M$392,MATCH('Ingest Template'!E761,DropDown!$J$2:$J$392,0)))</f>
        <v>#N/A</v>
      </c>
      <c r="K761" s="21" t="str">
        <f>iF('Ingest Template'!A761="Standard",'Ingest Template'!K761&amp;CHAR(10)&amp;'Ingest Template'!L761,"Competitive View")</f>
        <v>Competitive View</v>
      </c>
      <c r="L761" s="29" t="s">
        <v>146</v>
      </c>
      <c r="M761" s="37" t="str">
        <f>'Ingest Template'!D761</f>
        <v/>
      </c>
      <c r="N761" s="21"/>
      <c r="O761" s="21"/>
      <c r="P761" s="21"/>
      <c r="Q761" s="21"/>
      <c r="R761" s="21" t="str">
        <f>'Ingest Template'!E761</f>
        <v/>
      </c>
      <c r="S761" s="29" t="s">
        <v>153</v>
      </c>
      <c r="T761" s="21" t="str">
        <f>'Ingest Template'!T761</f>
        <v/>
      </c>
      <c r="U761" s="21" t="str">
        <f>'Ingest Template'!S761</f>
        <v/>
      </c>
      <c r="V761" s="21" t="str">
        <f>LOWER(SUBSTITUTE(SUBSTITUTE(SUBSTITUTE(SUBSTITUTE(SUBSTITUTE('Ingest Template'!U761,"https:",""),"www.",""),"/",""),"?hl=en",""),"instagram.com",""))</f>
        <v/>
      </c>
      <c r="W761" s="41" t="str">
        <f t="array" ref="W761">IF('Ingest Template'!V761="",(INDEX(DropDown!$L$2:$L$392,MATCH('Ingest Template'!E761,DropDown!$J$2:$J$392,0))&amp;"|"&amp;'Ingest Template'!B761),(INDEX(DropDown!$L$2:$L$392,MATCH('Ingest Template'!E761,DropDown!$J$2:$J$392,0))&amp;"|"&amp;'Ingest Template'!B761)&amp;CHAR(10)&amp;'Ingest Template'!V761)</f>
        <v>#N/A</v>
      </c>
      <c r="X761" s="41" t="str">
        <f>'Ingest Template'!W761</f>
        <v/>
      </c>
      <c r="Y761" s="21" t="str">
        <f>SUBSTITUTE(SUBSTITUTE(SUBSTITUTE('Ingest Template'!X761,"http:",""),"https:",""),"/","")</f>
        <v/>
      </c>
      <c r="Z761" s="21" t="str">
        <f t="array" ref="Z761">IF('Ingest Template'!A761="Standard",(IF(ISBLANK('Ingest Template'!AA761),"", 'Ingest Template'!AA761&amp;"|DAR")),(IF(ISBLANK('Ingest Template'!AA761),"", 'Ingest Template'!AA761&amp;"|Film Ops")))</f>
        <v/>
      </c>
      <c r="AA761" s="21"/>
      <c r="AB761" s="21" t="str">
        <f>'Ingest Template'!M761</f>
        <v/>
      </c>
      <c r="AC761" s="21" t="str">
        <f>'Ingest Template'!Y761</f>
        <v/>
      </c>
      <c r="AD761" s="21" t="str">
        <f>'Ingest Template'!C761</f>
        <v/>
      </c>
      <c r="AE761" s="21" t="str">
        <f>'Ingest Template'!Z761</f>
        <v/>
      </c>
      <c r="AF761" s="29"/>
      <c r="AG761" s="21" t="str">
        <f t="array" ref="AG761">IF('Ingest Template'!A761="Standard",(CONCATENATE(IF(ISBLANK('Ingest Template'!O761),"", 'Ingest Template'!O761&amp;"|DAR"),CHAR(10), IF(ISBLANK('Ingest Template'!P761),"", 'Ingest Template'!P761&amp;"|DAR"),CHAR(10), IF(ISBLANK('Ingest Template'!Q761),"", 'Ingest Template'!Q761&amp;"|DAR"))),(CONCATENATE(IF(ISBLANK('Ingest Template'!O761),"", 'Ingest Template'!O761&amp;"|Operations - Core Title"),CHAR(10), IF(ISBLANK('Ingest Template'!P761),"", 'Ingest Template'!P761&amp;"|Operations - Core Title"),CHAR(10), IF(ISBLANK('Ingest Template'!Q761),"", 'Ingest Template'!Q761&amp;"|Operations - Core Title"))))</f>
        <v>#|Operations - Core Title
#|Operations - Core Title
</v>
      </c>
      <c r="AH761" s="21"/>
      <c r="AI761" s="21"/>
      <c r="AJ761" s="53" t="str">
        <f>if('Ingest Template'!A761="Standard",'Ingest Template'!N761&amp; "|DAR|DAR|2021-01-01",'Ingest Template'!N761&amp; "|Operations - Core Title|Operations - Core Title")</f>
        <v>#N/A</v>
      </c>
      <c r="AK761" s="53" t="str">
        <f>if('Ingest Template'!A761="Standard",'Ingest Template'!R761&amp; "|2021-01-01",'Ingest Template'!R761)</f>
        <v>#N/A</v>
      </c>
      <c r="AL761" s="21"/>
      <c r="AM761" s="21"/>
    </row>
    <row r="762">
      <c r="A762" s="21"/>
      <c r="B762" s="21" t="str">
        <f>'Ingest Template'!B762&amp;IF('Ingest Template'!A762 = "Standard", " - DAR","")</f>
        <v/>
      </c>
      <c r="C762" s="26" t="s">
        <v>109</v>
      </c>
      <c r="D762" s="29" t="str">
        <f t="array" ref="D762">CONCATENATE(INDEX(DropDown!$H$2:$H$10,MATCH(1,COUNTIF('Ingest Template'!F762,"*"&amp;DropDown!$H$2:$H$10&amp;"*"),0)),CHAR(10),'Ingest Template'!G762)</f>
        <v>#N/A</v>
      </c>
      <c r="E762" s="21" t="str">
        <f>CONCATENATE('Ingest Template'!H762,CHAR(10),'Ingest Template'!I762,CHAR(10),'Ingest Template'!J762)</f>
        <v>
</v>
      </c>
      <c r="F762" s="26" t="str">
        <f>'Ingest Template'!H762</f>
        <v/>
      </c>
      <c r="G762" s="21"/>
      <c r="H762" s="29"/>
      <c r="I762" s="21"/>
      <c r="J762" s="29" t="str">
        <f t="array" ref="J762">iF('Ingest Template'!A762="Standard","Pristine Brand",INDEX(DropDown!$M$2:$M$392,MATCH('Ingest Template'!E762,DropDown!$J$2:$J$392,0)))</f>
        <v>#N/A</v>
      </c>
      <c r="K762" s="21" t="str">
        <f>iF('Ingest Template'!A762="Standard",'Ingest Template'!K762&amp;CHAR(10)&amp;'Ingest Template'!L762,"Competitive View")</f>
        <v>Competitive View</v>
      </c>
      <c r="L762" s="29" t="s">
        <v>146</v>
      </c>
      <c r="M762" s="37" t="str">
        <f>'Ingest Template'!D762</f>
        <v/>
      </c>
      <c r="N762" s="21"/>
      <c r="O762" s="21"/>
      <c r="P762" s="21"/>
      <c r="Q762" s="21"/>
      <c r="R762" s="21" t="str">
        <f>'Ingest Template'!E762</f>
        <v/>
      </c>
      <c r="S762" s="29" t="s">
        <v>153</v>
      </c>
      <c r="T762" s="21" t="str">
        <f>'Ingest Template'!T762</f>
        <v/>
      </c>
      <c r="U762" s="21" t="str">
        <f>'Ingest Template'!S762</f>
        <v/>
      </c>
      <c r="V762" s="21" t="str">
        <f>LOWER(SUBSTITUTE(SUBSTITUTE(SUBSTITUTE(SUBSTITUTE(SUBSTITUTE('Ingest Template'!U762,"https:",""),"www.",""),"/",""),"?hl=en",""),"instagram.com",""))</f>
        <v/>
      </c>
      <c r="W762" s="41" t="str">
        <f t="array" ref="W762">IF('Ingest Template'!V762="",(INDEX(DropDown!$L$2:$L$392,MATCH('Ingest Template'!E762,DropDown!$J$2:$J$392,0))&amp;"|"&amp;'Ingest Template'!B762),(INDEX(DropDown!$L$2:$L$392,MATCH('Ingest Template'!E762,DropDown!$J$2:$J$392,0))&amp;"|"&amp;'Ingest Template'!B762)&amp;CHAR(10)&amp;'Ingest Template'!V762)</f>
        <v>#N/A</v>
      </c>
      <c r="X762" s="41" t="str">
        <f>'Ingest Template'!W762</f>
        <v/>
      </c>
      <c r="Y762" s="21" t="str">
        <f>SUBSTITUTE(SUBSTITUTE(SUBSTITUTE('Ingest Template'!X762,"http:",""),"https:",""),"/","")</f>
        <v/>
      </c>
      <c r="Z762" s="21" t="str">
        <f t="array" ref="Z762">IF('Ingest Template'!A762="Standard",(IF(ISBLANK('Ingest Template'!AA762),"", 'Ingest Template'!AA762&amp;"|DAR")),(IF(ISBLANK('Ingest Template'!AA762),"", 'Ingest Template'!AA762&amp;"|Film Ops")))</f>
        <v/>
      </c>
      <c r="AA762" s="21"/>
      <c r="AB762" s="21" t="str">
        <f>'Ingest Template'!M762</f>
        <v/>
      </c>
      <c r="AC762" s="21" t="str">
        <f>'Ingest Template'!Y762</f>
        <v/>
      </c>
      <c r="AD762" s="21" t="str">
        <f>'Ingest Template'!C762</f>
        <v/>
      </c>
      <c r="AE762" s="21" t="str">
        <f>'Ingest Template'!Z762</f>
        <v/>
      </c>
      <c r="AF762" s="29"/>
      <c r="AG762" s="21" t="str">
        <f t="array" ref="AG762">IF('Ingest Template'!A762="Standard",(CONCATENATE(IF(ISBLANK('Ingest Template'!O762),"", 'Ingest Template'!O762&amp;"|DAR"),CHAR(10), IF(ISBLANK('Ingest Template'!P762),"", 'Ingest Template'!P762&amp;"|DAR"),CHAR(10), IF(ISBLANK('Ingest Template'!Q762),"", 'Ingest Template'!Q762&amp;"|DAR"))),(CONCATENATE(IF(ISBLANK('Ingest Template'!O762),"", 'Ingest Template'!O762&amp;"|Operations - Core Title"),CHAR(10), IF(ISBLANK('Ingest Template'!P762),"", 'Ingest Template'!P762&amp;"|Operations - Core Title"),CHAR(10), IF(ISBLANK('Ingest Template'!Q762),"", 'Ingest Template'!Q762&amp;"|Operations - Core Title"))))</f>
        <v>#|Operations - Core Title
#|Operations - Core Title
</v>
      </c>
      <c r="AH762" s="21"/>
      <c r="AI762" s="21"/>
      <c r="AJ762" s="53" t="str">
        <f>if('Ingest Template'!A762="Standard",'Ingest Template'!N762&amp; "|DAR|DAR|2021-01-01",'Ingest Template'!N762&amp; "|Operations - Core Title|Operations - Core Title")</f>
        <v>#N/A</v>
      </c>
      <c r="AK762" s="53" t="str">
        <f>if('Ingest Template'!A762="Standard",'Ingest Template'!R762&amp; "|2021-01-01",'Ingest Template'!R762)</f>
        <v>#N/A</v>
      </c>
      <c r="AL762" s="21"/>
      <c r="AM762" s="21"/>
    </row>
    <row r="763">
      <c r="A763" s="21"/>
      <c r="B763" s="21" t="str">
        <f>'Ingest Template'!B763&amp;IF('Ingest Template'!A763 = "Standard", " - DAR","")</f>
        <v/>
      </c>
      <c r="C763" s="26" t="s">
        <v>109</v>
      </c>
      <c r="D763" s="29" t="str">
        <f t="array" ref="D763">CONCATENATE(INDEX(DropDown!$H$2:$H$10,MATCH(1,COUNTIF('Ingest Template'!F763,"*"&amp;DropDown!$H$2:$H$10&amp;"*"),0)),CHAR(10),'Ingest Template'!G763)</f>
        <v>#N/A</v>
      </c>
      <c r="E763" s="21" t="str">
        <f>CONCATENATE('Ingest Template'!H763,CHAR(10),'Ingest Template'!I763,CHAR(10),'Ingest Template'!J763)</f>
        <v>
</v>
      </c>
      <c r="F763" s="26" t="str">
        <f>'Ingest Template'!H763</f>
        <v/>
      </c>
      <c r="G763" s="21"/>
      <c r="H763" s="29"/>
      <c r="I763" s="21"/>
      <c r="J763" s="29" t="str">
        <f t="array" ref="J763">iF('Ingest Template'!A763="Standard","Pristine Brand",INDEX(DropDown!$M$2:$M$392,MATCH('Ingest Template'!E763,DropDown!$J$2:$J$392,0)))</f>
        <v>#N/A</v>
      </c>
      <c r="K763" s="21" t="str">
        <f>iF('Ingest Template'!A763="Standard",'Ingest Template'!K763&amp;CHAR(10)&amp;'Ingest Template'!L763,"Competitive View")</f>
        <v>Competitive View</v>
      </c>
      <c r="L763" s="29" t="s">
        <v>146</v>
      </c>
      <c r="M763" s="37" t="str">
        <f>'Ingest Template'!D763</f>
        <v/>
      </c>
      <c r="N763" s="21"/>
      <c r="O763" s="21"/>
      <c r="P763" s="21"/>
      <c r="Q763" s="21"/>
      <c r="R763" s="21" t="str">
        <f>'Ingest Template'!E763</f>
        <v/>
      </c>
      <c r="S763" s="29" t="s">
        <v>153</v>
      </c>
      <c r="T763" s="21" t="str">
        <f>'Ingest Template'!T763</f>
        <v/>
      </c>
      <c r="U763" s="21" t="str">
        <f>'Ingest Template'!S763</f>
        <v/>
      </c>
      <c r="V763" s="21" t="str">
        <f>LOWER(SUBSTITUTE(SUBSTITUTE(SUBSTITUTE(SUBSTITUTE(SUBSTITUTE('Ingest Template'!U763,"https:",""),"www.",""),"/",""),"?hl=en",""),"instagram.com",""))</f>
        <v/>
      </c>
      <c r="W763" s="41" t="str">
        <f t="array" ref="W763">IF('Ingest Template'!V763="",(INDEX(DropDown!$L$2:$L$392,MATCH('Ingest Template'!E763,DropDown!$J$2:$J$392,0))&amp;"|"&amp;'Ingest Template'!B763),(INDEX(DropDown!$L$2:$L$392,MATCH('Ingest Template'!E763,DropDown!$J$2:$J$392,0))&amp;"|"&amp;'Ingest Template'!B763)&amp;CHAR(10)&amp;'Ingest Template'!V763)</f>
        <v>#N/A</v>
      </c>
      <c r="X763" s="41" t="str">
        <f>'Ingest Template'!W763</f>
        <v/>
      </c>
      <c r="Y763" s="21" t="str">
        <f>SUBSTITUTE(SUBSTITUTE(SUBSTITUTE('Ingest Template'!X763,"http:",""),"https:",""),"/","")</f>
        <v/>
      </c>
      <c r="Z763" s="21" t="str">
        <f t="array" ref="Z763">IF('Ingest Template'!A763="Standard",(IF(ISBLANK('Ingest Template'!AA763),"", 'Ingest Template'!AA763&amp;"|DAR")),(IF(ISBLANK('Ingest Template'!AA763),"", 'Ingest Template'!AA763&amp;"|Film Ops")))</f>
        <v/>
      </c>
      <c r="AA763" s="21"/>
      <c r="AB763" s="21" t="str">
        <f>'Ingest Template'!M763</f>
        <v/>
      </c>
      <c r="AC763" s="21" t="str">
        <f>'Ingest Template'!Y763</f>
        <v/>
      </c>
      <c r="AD763" s="21" t="str">
        <f>'Ingest Template'!C763</f>
        <v/>
      </c>
      <c r="AE763" s="21" t="str">
        <f>'Ingest Template'!Z763</f>
        <v/>
      </c>
      <c r="AF763" s="29"/>
      <c r="AG763" s="21" t="str">
        <f t="array" ref="AG763">IF('Ingest Template'!A763="Standard",(CONCATENATE(IF(ISBLANK('Ingest Template'!O763),"", 'Ingest Template'!O763&amp;"|DAR"),CHAR(10), IF(ISBLANK('Ingest Template'!P763),"", 'Ingest Template'!P763&amp;"|DAR"),CHAR(10), IF(ISBLANK('Ingest Template'!Q763),"", 'Ingest Template'!Q763&amp;"|DAR"))),(CONCATENATE(IF(ISBLANK('Ingest Template'!O763),"", 'Ingest Template'!O763&amp;"|Operations - Core Title"),CHAR(10), IF(ISBLANK('Ingest Template'!P763),"", 'Ingest Template'!P763&amp;"|Operations - Core Title"),CHAR(10), IF(ISBLANK('Ingest Template'!Q763),"", 'Ingest Template'!Q763&amp;"|Operations - Core Title"))))</f>
        <v>#|Operations - Core Title
#|Operations - Core Title
</v>
      </c>
      <c r="AH763" s="21"/>
      <c r="AI763" s="21"/>
      <c r="AJ763" s="53" t="str">
        <f>if('Ingest Template'!A763="Standard",'Ingest Template'!N763&amp; "|DAR|DAR|2021-01-01",'Ingest Template'!N763&amp; "|Operations - Core Title|Operations - Core Title")</f>
        <v>#N/A</v>
      </c>
      <c r="AK763" s="53" t="str">
        <f>if('Ingest Template'!A763="Standard",'Ingest Template'!R763&amp; "|2021-01-01",'Ingest Template'!R763)</f>
        <v>#N/A</v>
      </c>
      <c r="AL763" s="21"/>
      <c r="AM763" s="21"/>
    </row>
    <row r="764">
      <c r="A764" s="21"/>
      <c r="B764" s="21" t="str">
        <f>'Ingest Template'!B764&amp;IF('Ingest Template'!A764 = "Standard", " - DAR","")</f>
        <v/>
      </c>
      <c r="C764" s="26" t="s">
        <v>109</v>
      </c>
      <c r="D764" s="29" t="str">
        <f t="array" ref="D764">CONCATENATE(INDEX(DropDown!$H$2:$H$10,MATCH(1,COUNTIF('Ingest Template'!F764,"*"&amp;DropDown!$H$2:$H$10&amp;"*"),0)),CHAR(10),'Ingest Template'!G764)</f>
        <v>#N/A</v>
      </c>
      <c r="E764" s="21" t="str">
        <f>CONCATENATE('Ingest Template'!H764,CHAR(10),'Ingest Template'!I764,CHAR(10),'Ingest Template'!J764)</f>
        <v>
</v>
      </c>
      <c r="F764" s="26" t="str">
        <f>'Ingest Template'!H764</f>
        <v/>
      </c>
      <c r="G764" s="21"/>
      <c r="H764" s="29"/>
      <c r="I764" s="21"/>
      <c r="J764" s="29" t="str">
        <f t="array" ref="J764">iF('Ingest Template'!A764="Standard","Pristine Brand",INDEX(DropDown!$M$2:$M$392,MATCH('Ingest Template'!E764,DropDown!$J$2:$J$392,0)))</f>
        <v>#N/A</v>
      </c>
      <c r="K764" s="21" t="str">
        <f>iF('Ingest Template'!A764="Standard",'Ingest Template'!K764&amp;CHAR(10)&amp;'Ingest Template'!L764,"Competitive View")</f>
        <v>Competitive View</v>
      </c>
      <c r="L764" s="29" t="s">
        <v>146</v>
      </c>
      <c r="M764" s="37" t="str">
        <f>'Ingest Template'!D764</f>
        <v/>
      </c>
      <c r="N764" s="21"/>
      <c r="O764" s="21"/>
      <c r="P764" s="21"/>
      <c r="Q764" s="21"/>
      <c r="R764" s="21" t="str">
        <f>'Ingest Template'!E764</f>
        <v/>
      </c>
      <c r="S764" s="29" t="s">
        <v>153</v>
      </c>
      <c r="T764" s="21" t="str">
        <f>'Ingest Template'!T764</f>
        <v/>
      </c>
      <c r="U764" s="21" t="str">
        <f>'Ingest Template'!S764</f>
        <v/>
      </c>
      <c r="V764" s="21" t="str">
        <f>LOWER(SUBSTITUTE(SUBSTITUTE(SUBSTITUTE(SUBSTITUTE(SUBSTITUTE('Ingest Template'!U764,"https:",""),"www.",""),"/",""),"?hl=en",""),"instagram.com",""))</f>
        <v/>
      </c>
      <c r="W764" s="41" t="str">
        <f t="array" ref="W764">IF('Ingest Template'!V764="",(INDEX(DropDown!$L$2:$L$392,MATCH('Ingest Template'!E764,DropDown!$J$2:$J$392,0))&amp;"|"&amp;'Ingest Template'!B764),(INDEX(DropDown!$L$2:$L$392,MATCH('Ingest Template'!E764,DropDown!$J$2:$J$392,0))&amp;"|"&amp;'Ingest Template'!B764)&amp;CHAR(10)&amp;'Ingest Template'!V764)</f>
        <v>#N/A</v>
      </c>
      <c r="X764" s="41" t="str">
        <f>'Ingest Template'!W764</f>
        <v/>
      </c>
      <c r="Y764" s="21" t="str">
        <f>SUBSTITUTE(SUBSTITUTE(SUBSTITUTE('Ingest Template'!X764,"http:",""),"https:",""),"/","")</f>
        <v/>
      </c>
      <c r="Z764" s="21" t="str">
        <f t="array" ref="Z764">IF('Ingest Template'!A764="Standard",(IF(ISBLANK('Ingest Template'!AA764),"", 'Ingest Template'!AA764&amp;"|DAR")),(IF(ISBLANK('Ingest Template'!AA764),"", 'Ingest Template'!AA764&amp;"|Film Ops")))</f>
        <v/>
      </c>
      <c r="AA764" s="21"/>
      <c r="AB764" s="21" t="str">
        <f>'Ingest Template'!M764</f>
        <v/>
      </c>
      <c r="AC764" s="21" t="str">
        <f>'Ingest Template'!Y764</f>
        <v/>
      </c>
      <c r="AD764" s="21" t="str">
        <f>'Ingest Template'!C764</f>
        <v/>
      </c>
      <c r="AE764" s="21" t="str">
        <f>'Ingest Template'!Z764</f>
        <v/>
      </c>
      <c r="AF764" s="29"/>
      <c r="AG764" s="21" t="str">
        <f t="array" ref="AG764">IF('Ingest Template'!A764="Standard",(CONCATENATE(IF(ISBLANK('Ingest Template'!O764),"", 'Ingest Template'!O764&amp;"|DAR"),CHAR(10), IF(ISBLANK('Ingest Template'!P764),"", 'Ingest Template'!P764&amp;"|DAR"),CHAR(10), IF(ISBLANK('Ingest Template'!Q764),"", 'Ingest Template'!Q764&amp;"|DAR"))),(CONCATENATE(IF(ISBLANK('Ingest Template'!O764),"", 'Ingest Template'!O764&amp;"|Operations - Core Title"),CHAR(10), IF(ISBLANK('Ingest Template'!P764),"", 'Ingest Template'!P764&amp;"|Operations - Core Title"),CHAR(10), IF(ISBLANK('Ingest Template'!Q764),"", 'Ingest Template'!Q764&amp;"|Operations - Core Title"))))</f>
        <v>#|Operations - Core Title
#|Operations - Core Title
</v>
      </c>
      <c r="AH764" s="21"/>
      <c r="AI764" s="21"/>
      <c r="AJ764" s="53" t="str">
        <f>if('Ingest Template'!A764="Standard",'Ingest Template'!N764&amp; "|DAR|DAR|2021-01-01",'Ingest Template'!N764&amp; "|Operations - Core Title|Operations - Core Title")</f>
        <v>#N/A</v>
      </c>
      <c r="AK764" s="53" t="str">
        <f>if('Ingest Template'!A764="Standard",'Ingest Template'!R764&amp; "|2021-01-01",'Ingest Template'!R764)</f>
        <v>#N/A</v>
      </c>
      <c r="AL764" s="21"/>
      <c r="AM764" s="21"/>
    </row>
    <row r="765">
      <c r="A765" s="21"/>
      <c r="B765" s="21" t="str">
        <f>'Ingest Template'!B765&amp;IF('Ingest Template'!A765 = "Standard", " - DAR","")</f>
        <v/>
      </c>
      <c r="C765" s="26" t="s">
        <v>109</v>
      </c>
      <c r="D765" s="29" t="str">
        <f t="array" ref="D765">CONCATENATE(INDEX(DropDown!$H$2:$H$10,MATCH(1,COUNTIF('Ingest Template'!F765,"*"&amp;DropDown!$H$2:$H$10&amp;"*"),0)),CHAR(10),'Ingest Template'!G765)</f>
        <v>#N/A</v>
      </c>
      <c r="E765" s="21" t="str">
        <f>CONCATENATE('Ingest Template'!H765,CHAR(10),'Ingest Template'!I765,CHAR(10),'Ingest Template'!J765)</f>
        <v>
</v>
      </c>
      <c r="F765" s="26" t="str">
        <f>'Ingest Template'!H765</f>
        <v/>
      </c>
      <c r="G765" s="21"/>
      <c r="H765" s="29"/>
      <c r="I765" s="21"/>
      <c r="J765" s="29" t="str">
        <f t="array" ref="J765">iF('Ingest Template'!A765="Standard","Pristine Brand",INDEX(DropDown!$M$2:$M$392,MATCH('Ingest Template'!E765,DropDown!$J$2:$J$392,0)))</f>
        <v>#N/A</v>
      </c>
      <c r="K765" s="21" t="str">
        <f>iF('Ingest Template'!A765="Standard",'Ingest Template'!K765&amp;CHAR(10)&amp;'Ingest Template'!L765,"Competitive View")</f>
        <v>Competitive View</v>
      </c>
      <c r="L765" s="29" t="s">
        <v>146</v>
      </c>
      <c r="M765" s="37" t="str">
        <f>'Ingest Template'!D765</f>
        <v/>
      </c>
      <c r="N765" s="21"/>
      <c r="O765" s="21"/>
      <c r="P765" s="21"/>
      <c r="Q765" s="21"/>
      <c r="R765" s="21" t="str">
        <f>'Ingest Template'!E765</f>
        <v/>
      </c>
      <c r="S765" s="29" t="s">
        <v>153</v>
      </c>
      <c r="T765" s="21" t="str">
        <f>'Ingest Template'!T765</f>
        <v/>
      </c>
      <c r="U765" s="21" t="str">
        <f>'Ingest Template'!S765</f>
        <v/>
      </c>
      <c r="V765" s="21" t="str">
        <f>LOWER(SUBSTITUTE(SUBSTITUTE(SUBSTITUTE(SUBSTITUTE(SUBSTITUTE('Ingest Template'!U765,"https:",""),"www.",""),"/",""),"?hl=en",""),"instagram.com",""))</f>
        <v/>
      </c>
      <c r="W765" s="41" t="str">
        <f t="array" ref="W765">IF('Ingest Template'!V765="",(INDEX(DropDown!$L$2:$L$392,MATCH('Ingest Template'!E765,DropDown!$J$2:$J$392,0))&amp;"|"&amp;'Ingest Template'!B765),(INDEX(DropDown!$L$2:$L$392,MATCH('Ingest Template'!E765,DropDown!$J$2:$J$392,0))&amp;"|"&amp;'Ingest Template'!B765)&amp;CHAR(10)&amp;'Ingest Template'!V765)</f>
        <v>#N/A</v>
      </c>
      <c r="X765" s="41" t="str">
        <f>'Ingest Template'!W765</f>
        <v/>
      </c>
      <c r="Y765" s="21" t="str">
        <f>SUBSTITUTE(SUBSTITUTE(SUBSTITUTE('Ingest Template'!X765,"http:",""),"https:",""),"/","")</f>
        <v/>
      </c>
      <c r="Z765" s="21" t="str">
        <f t="array" ref="Z765">IF('Ingest Template'!A765="Standard",(IF(ISBLANK('Ingest Template'!AA765),"", 'Ingest Template'!AA765&amp;"|DAR")),(IF(ISBLANK('Ingest Template'!AA765),"", 'Ingest Template'!AA765&amp;"|Film Ops")))</f>
        <v/>
      </c>
      <c r="AA765" s="21"/>
      <c r="AB765" s="21" t="str">
        <f>'Ingest Template'!M765</f>
        <v/>
      </c>
      <c r="AC765" s="21" t="str">
        <f>'Ingest Template'!Y765</f>
        <v/>
      </c>
      <c r="AD765" s="21" t="str">
        <f>'Ingest Template'!C765</f>
        <v/>
      </c>
      <c r="AE765" s="21" t="str">
        <f>'Ingest Template'!Z765</f>
        <v/>
      </c>
      <c r="AF765" s="29"/>
      <c r="AG765" s="21" t="str">
        <f t="array" ref="AG765">IF('Ingest Template'!A765="Standard",(CONCATENATE(IF(ISBLANK('Ingest Template'!O765),"", 'Ingest Template'!O765&amp;"|DAR"),CHAR(10), IF(ISBLANK('Ingest Template'!P765),"", 'Ingest Template'!P765&amp;"|DAR"),CHAR(10), IF(ISBLANK('Ingest Template'!Q765),"", 'Ingest Template'!Q765&amp;"|DAR"))),(CONCATENATE(IF(ISBLANK('Ingest Template'!O765),"", 'Ingest Template'!O765&amp;"|Operations - Core Title"),CHAR(10), IF(ISBLANK('Ingest Template'!P765),"", 'Ingest Template'!P765&amp;"|Operations - Core Title"),CHAR(10), IF(ISBLANK('Ingest Template'!Q765),"", 'Ingest Template'!Q765&amp;"|Operations - Core Title"))))</f>
        <v>#|Operations - Core Title
#|Operations - Core Title
</v>
      </c>
      <c r="AH765" s="21"/>
      <c r="AI765" s="21"/>
      <c r="AJ765" s="53" t="str">
        <f>if('Ingest Template'!A765="Standard",'Ingest Template'!N765&amp; "|DAR|DAR|2021-01-01",'Ingest Template'!N765&amp; "|Operations - Core Title|Operations - Core Title")</f>
        <v>#N/A</v>
      </c>
      <c r="AK765" s="53" t="str">
        <f>if('Ingest Template'!A765="Standard",'Ingest Template'!R765&amp; "|2021-01-01",'Ingest Template'!R765)</f>
        <v>#N/A</v>
      </c>
      <c r="AL765" s="21"/>
      <c r="AM765" s="21"/>
    </row>
    <row r="766">
      <c r="A766" s="21"/>
      <c r="B766" s="21" t="str">
        <f>'Ingest Template'!B766&amp;IF('Ingest Template'!A766 = "Standard", " - DAR","")</f>
        <v/>
      </c>
      <c r="C766" s="26" t="s">
        <v>109</v>
      </c>
      <c r="D766" s="29" t="str">
        <f t="array" ref="D766">CONCATENATE(INDEX(DropDown!$H$2:$H$10,MATCH(1,COUNTIF('Ingest Template'!F766,"*"&amp;DropDown!$H$2:$H$10&amp;"*"),0)),CHAR(10),'Ingest Template'!G766)</f>
        <v>#N/A</v>
      </c>
      <c r="E766" s="21" t="str">
        <f>CONCATENATE('Ingest Template'!H766,CHAR(10),'Ingest Template'!I766,CHAR(10),'Ingest Template'!J766)</f>
        <v>
</v>
      </c>
      <c r="F766" s="26" t="str">
        <f>'Ingest Template'!H766</f>
        <v/>
      </c>
      <c r="G766" s="21"/>
      <c r="H766" s="29"/>
      <c r="I766" s="21"/>
      <c r="J766" s="29" t="str">
        <f t="array" ref="J766">iF('Ingest Template'!A766="Standard","Pristine Brand",INDEX(DropDown!$M$2:$M$392,MATCH('Ingest Template'!E766,DropDown!$J$2:$J$392,0)))</f>
        <v>#N/A</v>
      </c>
      <c r="K766" s="21" t="str">
        <f>iF('Ingest Template'!A766="Standard",'Ingest Template'!K766&amp;CHAR(10)&amp;'Ingest Template'!L766,"Competitive View")</f>
        <v>Competitive View</v>
      </c>
      <c r="L766" s="29" t="s">
        <v>146</v>
      </c>
      <c r="M766" s="37" t="str">
        <f>'Ingest Template'!D766</f>
        <v/>
      </c>
      <c r="N766" s="21"/>
      <c r="O766" s="21"/>
      <c r="P766" s="21"/>
      <c r="Q766" s="21"/>
      <c r="R766" s="21" t="str">
        <f>'Ingest Template'!E766</f>
        <v/>
      </c>
      <c r="S766" s="29" t="s">
        <v>153</v>
      </c>
      <c r="T766" s="21" t="str">
        <f>'Ingest Template'!T766</f>
        <v/>
      </c>
      <c r="U766" s="21" t="str">
        <f>'Ingest Template'!S766</f>
        <v/>
      </c>
      <c r="V766" s="21" t="str">
        <f>LOWER(SUBSTITUTE(SUBSTITUTE(SUBSTITUTE(SUBSTITUTE(SUBSTITUTE('Ingest Template'!U766,"https:",""),"www.",""),"/",""),"?hl=en",""),"instagram.com",""))</f>
        <v/>
      </c>
      <c r="W766" s="41" t="str">
        <f t="array" ref="W766">IF('Ingest Template'!V766="",(INDEX(DropDown!$L$2:$L$392,MATCH('Ingest Template'!E766,DropDown!$J$2:$J$392,0))&amp;"|"&amp;'Ingest Template'!B766),(INDEX(DropDown!$L$2:$L$392,MATCH('Ingest Template'!E766,DropDown!$J$2:$J$392,0))&amp;"|"&amp;'Ingest Template'!B766)&amp;CHAR(10)&amp;'Ingest Template'!V766)</f>
        <v>#N/A</v>
      </c>
      <c r="X766" s="41" t="str">
        <f>'Ingest Template'!W766</f>
        <v/>
      </c>
      <c r="Y766" s="21" t="str">
        <f>SUBSTITUTE(SUBSTITUTE(SUBSTITUTE('Ingest Template'!X766,"http:",""),"https:",""),"/","")</f>
        <v/>
      </c>
      <c r="Z766" s="21" t="str">
        <f t="array" ref="Z766">IF('Ingest Template'!A766="Standard",(IF(ISBLANK('Ingest Template'!AA766),"", 'Ingest Template'!AA766&amp;"|DAR")),(IF(ISBLANK('Ingest Template'!AA766),"", 'Ingest Template'!AA766&amp;"|Film Ops")))</f>
        <v/>
      </c>
      <c r="AA766" s="21"/>
      <c r="AB766" s="21" t="str">
        <f>'Ingest Template'!M766</f>
        <v/>
      </c>
      <c r="AC766" s="21" t="str">
        <f>'Ingest Template'!Y766</f>
        <v/>
      </c>
      <c r="AD766" s="21" t="str">
        <f>'Ingest Template'!C766</f>
        <v/>
      </c>
      <c r="AE766" s="21" t="str">
        <f>'Ingest Template'!Z766</f>
        <v/>
      </c>
      <c r="AF766" s="29"/>
      <c r="AG766" s="21" t="str">
        <f t="array" ref="AG766">IF('Ingest Template'!A766="Standard",(CONCATENATE(IF(ISBLANK('Ingest Template'!O766),"", 'Ingest Template'!O766&amp;"|DAR"),CHAR(10), IF(ISBLANK('Ingest Template'!P766),"", 'Ingest Template'!P766&amp;"|DAR"),CHAR(10), IF(ISBLANK('Ingest Template'!Q766),"", 'Ingest Template'!Q766&amp;"|DAR"))),(CONCATENATE(IF(ISBLANK('Ingest Template'!O766),"", 'Ingest Template'!O766&amp;"|Operations - Core Title"),CHAR(10), IF(ISBLANK('Ingest Template'!P766),"", 'Ingest Template'!P766&amp;"|Operations - Core Title"),CHAR(10), IF(ISBLANK('Ingest Template'!Q766),"", 'Ingest Template'!Q766&amp;"|Operations - Core Title"))))</f>
        <v>#|Operations - Core Title
#|Operations - Core Title
</v>
      </c>
      <c r="AH766" s="21"/>
      <c r="AI766" s="21"/>
      <c r="AJ766" s="53" t="str">
        <f>if('Ingest Template'!A766="Standard",'Ingest Template'!N766&amp; "|DAR|DAR|2021-01-01",'Ingest Template'!N766&amp; "|Operations - Core Title|Operations - Core Title")</f>
        <v>#N/A</v>
      </c>
      <c r="AK766" s="53" t="str">
        <f>if('Ingest Template'!A766="Standard",'Ingest Template'!R766&amp; "|2021-01-01",'Ingest Template'!R766)</f>
        <v>#N/A</v>
      </c>
      <c r="AL766" s="21"/>
      <c r="AM766" s="21"/>
    </row>
    <row r="767">
      <c r="A767" s="21"/>
      <c r="B767" s="21" t="str">
        <f>'Ingest Template'!B767&amp;IF('Ingest Template'!A767 = "Standard", " - DAR","")</f>
        <v/>
      </c>
      <c r="C767" s="26" t="s">
        <v>109</v>
      </c>
      <c r="D767" s="29" t="str">
        <f t="array" ref="D767">CONCATENATE(INDEX(DropDown!$H$2:$H$10,MATCH(1,COUNTIF('Ingest Template'!F767,"*"&amp;DropDown!$H$2:$H$10&amp;"*"),0)),CHAR(10),'Ingest Template'!G767)</f>
        <v>#N/A</v>
      </c>
      <c r="E767" s="21" t="str">
        <f>CONCATENATE('Ingest Template'!H767,CHAR(10),'Ingest Template'!I767,CHAR(10),'Ingest Template'!J767)</f>
        <v>
</v>
      </c>
      <c r="F767" s="26" t="str">
        <f>'Ingest Template'!H767</f>
        <v/>
      </c>
      <c r="G767" s="21"/>
      <c r="H767" s="29"/>
      <c r="I767" s="21"/>
      <c r="J767" s="29" t="str">
        <f t="array" ref="J767">iF('Ingest Template'!A767="Standard","Pristine Brand",INDEX(DropDown!$M$2:$M$392,MATCH('Ingest Template'!E767,DropDown!$J$2:$J$392,0)))</f>
        <v>#N/A</v>
      </c>
      <c r="K767" s="21" t="str">
        <f>iF('Ingest Template'!A767="Standard",'Ingest Template'!K767&amp;CHAR(10)&amp;'Ingest Template'!L767,"Competitive View")</f>
        <v>Competitive View</v>
      </c>
      <c r="L767" s="29" t="s">
        <v>146</v>
      </c>
      <c r="M767" s="37" t="str">
        <f>'Ingest Template'!D767</f>
        <v/>
      </c>
      <c r="N767" s="21"/>
      <c r="O767" s="21"/>
      <c r="P767" s="21"/>
      <c r="Q767" s="21"/>
      <c r="R767" s="21" t="str">
        <f>'Ingest Template'!E767</f>
        <v/>
      </c>
      <c r="S767" s="29" t="s">
        <v>153</v>
      </c>
      <c r="T767" s="21" t="str">
        <f>'Ingest Template'!T767</f>
        <v/>
      </c>
      <c r="U767" s="21" t="str">
        <f>'Ingest Template'!S767</f>
        <v/>
      </c>
      <c r="V767" s="21" t="str">
        <f>LOWER(SUBSTITUTE(SUBSTITUTE(SUBSTITUTE(SUBSTITUTE(SUBSTITUTE('Ingest Template'!U767,"https:",""),"www.",""),"/",""),"?hl=en",""),"instagram.com",""))</f>
        <v/>
      </c>
      <c r="W767" s="41" t="str">
        <f t="array" ref="W767">IF('Ingest Template'!V767="",(INDEX(DropDown!$L$2:$L$392,MATCH('Ingest Template'!E767,DropDown!$J$2:$J$392,0))&amp;"|"&amp;'Ingest Template'!B767),(INDEX(DropDown!$L$2:$L$392,MATCH('Ingest Template'!E767,DropDown!$J$2:$J$392,0))&amp;"|"&amp;'Ingest Template'!B767)&amp;CHAR(10)&amp;'Ingest Template'!V767)</f>
        <v>#N/A</v>
      </c>
      <c r="X767" s="41" t="str">
        <f>'Ingest Template'!W767</f>
        <v/>
      </c>
      <c r="Y767" s="21" t="str">
        <f>SUBSTITUTE(SUBSTITUTE(SUBSTITUTE('Ingest Template'!X767,"http:",""),"https:",""),"/","")</f>
        <v/>
      </c>
      <c r="Z767" s="21" t="str">
        <f t="array" ref="Z767">IF('Ingest Template'!A767="Standard",(IF(ISBLANK('Ingest Template'!AA767),"", 'Ingest Template'!AA767&amp;"|DAR")),(IF(ISBLANK('Ingest Template'!AA767),"", 'Ingest Template'!AA767&amp;"|Film Ops")))</f>
        <v/>
      </c>
      <c r="AA767" s="21"/>
      <c r="AB767" s="21" t="str">
        <f>'Ingest Template'!M767</f>
        <v/>
      </c>
      <c r="AC767" s="21" t="str">
        <f>'Ingest Template'!Y767</f>
        <v/>
      </c>
      <c r="AD767" s="21" t="str">
        <f>'Ingest Template'!C767</f>
        <v/>
      </c>
      <c r="AE767" s="21" t="str">
        <f>'Ingest Template'!Z767</f>
        <v/>
      </c>
      <c r="AF767" s="29"/>
      <c r="AG767" s="21" t="str">
        <f t="array" ref="AG767">IF('Ingest Template'!A767="Standard",(CONCATENATE(IF(ISBLANK('Ingest Template'!O767),"", 'Ingest Template'!O767&amp;"|DAR"),CHAR(10), IF(ISBLANK('Ingest Template'!P767),"", 'Ingest Template'!P767&amp;"|DAR"),CHAR(10), IF(ISBLANK('Ingest Template'!Q767),"", 'Ingest Template'!Q767&amp;"|DAR"))),(CONCATENATE(IF(ISBLANK('Ingest Template'!O767),"", 'Ingest Template'!O767&amp;"|Operations - Core Title"),CHAR(10), IF(ISBLANK('Ingest Template'!P767),"", 'Ingest Template'!P767&amp;"|Operations - Core Title"),CHAR(10), IF(ISBLANK('Ingest Template'!Q767),"", 'Ingest Template'!Q767&amp;"|Operations - Core Title"))))</f>
        <v>#|Operations - Core Title
#|Operations - Core Title
</v>
      </c>
      <c r="AH767" s="21"/>
      <c r="AI767" s="21"/>
      <c r="AJ767" s="53" t="str">
        <f>if('Ingest Template'!A767="Standard",'Ingest Template'!N767&amp; "|DAR|DAR|2021-01-01",'Ingest Template'!N767&amp; "|Operations - Core Title|Operations - Core Title")</f>
        <v>#N/A</v>
      </c>
      <c r="AK767" s="53" t="str">
        <f>if('Ingest Template'!A767="Standard",'Ingest Template'!R767&amp; "|2021-01-01",'Ingest Template'!R767)</f>
        <v>#N/A</v>
      </c>
      <c r="AL767" s="21"/>
      <c r="AM767" s="21"/>
    </row>
    <row r="768">
      <c r="A768" s="21"/>
      <c r="B768" s="21" t="str">
        <f>'Ingest Template'!B768&amp;IF('Ingest Template'!A768 = "Standard", " - DAR","")</f>
        <v/>
      </c>
      <c r="C768" s="26" t="s">
        <v>109</v>
      </c>
      <c r="D768" s="29" t="str">
        <f t="array" ref="D768">CONCATENATE(INDEX(DropDown!$H$2:$H$10,MATCH(1,COUNTIF('Ingest Template'!F768,"*"&amp;DropDown!$H$2:$H$10&amp;"*"),0)),CHAR(10),'Ingest Template'!G768)</f>
        <v>#N/A</v>
      </c>
      <c r="E768" s="21" t="str">
        <f>CONCATENATE('Ingest Template'!H768,CHAR(10),'Ingest Template'!I768,CHAR(10),'Ingest Template'!J768)</f>
        <v>
</v>
      </c>
      <c r="F768" s="26" t="str">
        <f>'Ingest Template'!H768</f>
        <v/>
      </c>
      <c r="G768" s="21"/>
      <c r="H768" s="29"/>
      <c r="I768" s="21"/>
      <c r="J768" s="29" t="str">
        <f t="array" ref="J768">iF('Ingest Template'!A768="Standard","Pristine Brand",INDEX(DropDown!$M$2:$M$392,MATCH('Ingest Template'!E768,DropDown!$J$2:$J$392,0)))</f>
        <v>#N/A</v>
      </c>
      <c r="K768" s="21" t="str">
        <f>iF('Ingest Template'!A768="Standard",'Ingest Template'!K768&amp;CHAR(10)&amp;'Ingest Template'!L768,"Competitive View")</f>
        <v>Competitive View</v>
      </c>
      <c r="L768" s="29" t="s">
        <v>146</v>
      </c>
      <c r="M768" s="37" t="str">
        <f>'Ingest Template'!D768</f>
        <v/>
      </c>
      <c r="N768" s="21"/>
      <c r="O768" s="21"/>
      <c r="P768" s="21"/>
      <c r="Q768" s="21"/>
      <c r="R768" s="21" t="str">
        <f>'Ingest Template'!E768</f>
        <v/>
      </c>
      <c r="S768" s="29" t="s">
        <v>153</v>
      </c>
      <c r="T768" s="21" t="str">
        <f>'Ingest Template'!T768</f>
        <v/>
      </c>
      <c r="U768" s="21" t="str">
        <f>'Ingest Template'!S768</f>
        <v/>
      </c>
      <c r="V768" s="21" t="str">
        <f>LOWER(SUBSTITUTE(SUBSTITUTE(SUBSTITUTE(SUBSTITUTE(SUBSTITUTE('Ingest Template'!U768,"https:",""),"www.",""),"/",""),"?hl=en",""),"instagram.com",""))</f>
        <v/>
      </c>
      <c r="W768" s="41" t="str">
        <f t="array" ref="W768">IF('Ingest Template'!V768="",(INDEX(DropDown!$L$2:$L$392,MATCH('Ingest Template'!E768,DropDown!$J$2:$J$392,0))&amp;"|"&amp;'Ingest Template'!B768),(INDEX(DropDown!$L$2:$L$392,MATCH('Ingest Template'!E768,DropDown!$J$2:$J$392,0))&amp;"|"&amp;'Ingest Template'!B768)&amp;CHAR(10)&amp;'Ingest Template'!V768)</f>
        <v>#N/A</v>
      </c>
      <c r="X768" s="41" t="str">
        <f>'Ingest Template'!W768</f>
        <v/>
      </c>
      <c r="Y768" s="21" t="str">
        <f>SUBSTITUTE(SUBSTITUTE(SUBSTITUTE('Ingest Template'!X768,"http:",""),"https:",""),"/","")</f>
        <v/>
      </c>
      <c r="Z768" s="21" t="str">
        <f t="array" ref="Z768">IF('Ingest Template'!A768="Standard",(IF(ISBLANK('Ingest Template'!AA768),"", 'Ingest Template'!AA768&amp;"|DAR")),(IF(ISBLANK('Ingest Template'!AA768),"", 'Ingest Template'!AA768&amp;"|Film Ops")))</f>
        <v/>
      </c>
      <c r="AA768" s="21"/>
      <c r="AB768" s="21" t="str">
        <f>'Ingest Template'!M768</f>
        <v/>
      </c>
      <c r="AC768" s="21" t="str">
        <f>'Ingest Template'!Y768</f>
        <v/>
      </c>
      <c r="AD768" s="21" t="str">
        <f>'Ingest Template'!C768</f>
        <v/>
      </c>
      <c r="AE768" s="21" t="str">
        <f>'Ingest Template'!Z768</f>
        <v/>
      </c>
      <c r="AF768" s="29"/>
      <c r="AG768" s="21" t="str">
        <f t="array" ref="AG768">IF('Ingest Template'!A768="Standard",(CONCATENATE(IF(ISBLANK('Ingest Template'!O768),"", 'Ingest Template'!O768&amp;"|DAR"),CHAR(10), IF(ISBLANK('Ingest Template'!P768),"", 'Ingest Template'!P768&amp;"|DAR"),CHAR(10), IF(ISBLANK('Ingest Template'!Q768),"", 'Ingest Template'!Q768&amp;"|DAR"))),(CONCATENATE(IF(ISBLANK('Ingest Template'!O768),"", 'Ingest Template'!O768&amp;"|Operations - Core Title"),CHAR(10), IF(ISBLANK('Ingest Template'!P768),"", 'Ingest Template'!P768&amp;"|Operations - Core Title"),CHAR(10), IF(ISBLANK('Ingest Template'!Q768),"", 'Ingest Template'!Q768&amp;"|Operations - Core Title"))))</f>
        <v>#|Operations - Core Title
#|Operations - Core Title
</v>
      </c>
      <c r="AH768" s="21"/>
      <c r="AI768" s="21"/>
      <c r="AJ768" s="53" t="str">
        <f>if('Ingest Template'!A768="Standard",'Ingest Template'!N768&amp; "|DAR|DAR|2021-01-01",'Ingest Template'!N768&amp; "|Operations - Core Title|Operations - Core Title")</f>
        <v>#N/A</v>
      </c>
      <c r="AK768" s="53" t="str">
        <f>if('Ingest Template'!A768="Standard",'Ingest Template'!R768&amp; "|2021-01-01",'Ingest Template'!R768)</f>
        <v>#N/A</v>
      </c>
      <c r="AL768" s="21"/>
      <c r="AM768" s="21"/>
    </row>
    <row r="769">
      <c r="A769" s="21"/>
      <c r="B769" s="21" t="str">
        <f>'Ingest Template'!B769&amp;IF('Ingest Template'!A769 = "Standard", " - DAR","")</f>
        <v/>
      </c>
      <c r="C769" s="26" t="s">
        <v>109</v>
      </c>
      <c r="D769" s="29" t="str">
        <f t="array" ref="D769">CONCATENATE(INDEX(DropDown!$H$2:$H$10,MATCH(1,COUNTIF('Ingest Template'!F769,"*"&amp;DropDown!$H$2:$H$10&amp;"*"),0)),CHAR(10),'Ingest Template'!G769)</f>
        <v>#N/A</v>
      </c>
      <c r="E769" s="21" t="str">
        <f>CONCATENATE('Ingest Template'!H769,CHAR(10),'Ingest Template'!I769,CHAR(10),'Ingest Template'!J769)</f>
        <v>
</v>
      </c>
      <c r="F769" s="26" t="str">
        <f>'Ingest Template'!H769</f>
        <v/>
      </c>
      <c r="G769" s="21"/>
      <c r="H769" s="29"/>
      <c r="I769" s="21"/>
      <c r="J769" s="29" t="str">
        <f t="array" ref="J769">iF('Ingest Template'!A769="Standard","Pristine Brand",INDEX(DropDown!$M$2:$M$392,MATCH('Ingest Template'!E769,DropDown!$J$2:$J$392,0)))</f>
        <v>#N/A</v>
      </c>
      <c r="K769" s="21" t="str">
        <f>iF('Ingest Template'!A769="Standard",'Ingest Template'!K769&amp;CHAR(10)&amp;'Ingest Template'!L769,"Competitive View")</f>
        <v>Competitive View</v>
      </c>
      <c r="L769" s="29" t="s">
        <v>146</v>
      </c>
      <c r="M769" s="37" t="str">
        <f>'Ingest Template'!D769</f>
        <v/>
      </c>
      <c r="N769" s="21"/>
      <c r="O769" s="21"/>
      <c r="P769" s="21"/>
      <c r="Q769" s="21"/>
      <c r="R769" s="21" t="str">
        <f>'Ingest Template'!E769</f>
        <v/>
      </c>
      <c r="S769" s="29" t="s">
        <v>153</v>
      </c>
      <c r="T769" s="21" t="str">
        <f>'Ingest Template'!T769</f>
        <v/>
      </c>
      <c r="U769" s="21" t="str">
        <f>'Ingest Template'!S769</f>
        <v/>
      </c>
      <c r="V769" s="21" t="str">
        <f>LOWER(SUBSTITUTE(SUBSTITUTE(SUBSTITUTE(SUBSTITUTE(SUBSTITUTE('Ingest Template'!U769,"https:",""),"www.",""),"/",""),"?hl=en",""),"instagram.com",""))</f>
        <v/>
      </c>
      <c r="W769" s="41" t="str">
        <f t="array" ref="W769">IF('Ingest Template'!V769="",(INDEX(DropDown!$L$2:$L$392,MATCH('Ingest Template'!E769,DropDown!$J$2:$J$392,0))&amp;"|"&amp;'Ingest Template'!B769),(INDEX(DropDown!$L$2:$L$392,MATCH('Ingest Template'!E769,DropDown!$J$2:$J$392,0))&amp;"|"&amp;'Ingest Template'!B769)&amp;CHAR(10)&amp;'Ingest Template'!V769)</f>
        <v>#N/A</v>
      </c>
      <c r="X769" s="41" t="str">
        <f>'Ingest Template'!W769</f>
        <v/>
      </c>
      <c r="Y769" s="21" t="str">
        <f>SUBSTITUTE(SUBSTITUTE(SUBSTITUTE('Ingest Template'!X769,"http:",""),"https:",""),"/","")</f>
        <v/>
      </c>
      <c r="Z769" s="21" t="str">
        <f t="array" ref="Z769">IF('Ingest Template'!A769="Standard",(IF(ISBLANK('Ingest Template'!AA769),"", 'Ingest Template'!AA769&amp;"|DAR")),(IF(ISBLANK('Ingest Template'!AA769),"", 'Ingest Template'!AA769&amp;"|Film Ops")))</f>
        <v/>
      </c>
      <c r="AA769" s="21"/>
      <c r="AB769" s="21" t="str">
        <f>'Ingest Template'!M769</f>
        <v/>
      </c>
      <c r="AC769" s="21" t="str">
        <f>'Ingest Template'!Y769</f>
        <v/>
      </c>
      <c r="AD769" s="21" t="str">
        <f>'Ingest Template'!C769</f>
        <v/>
      </c>
      <c r="AE769" s="21" t="str">
        <f>'Ingest Template'!Z769</f>
        <v/>
      </c>
      <c r="AF769" s="29"/>
      <c r="AG769" s="21" t="str">
        <f t="array" ref="AG769">IF('Ingest Template'!A769="Standard",(CONCATENATE(IF(ISBLANK('Ingest Template'!O769),"", 'Ingest Template'!O769&amp;"|DAR"),CHAR(10), IF(ISBLANK('Ingest Template'!P769),"", 'Ingest Template'!P769&amp;"|DAR"),CHAR(10), IF(ISBLANK('Ingest Template'!Q769),"", 'Ingest Template'!Q769&amp;"|DAR"))),(CONCATENATE(IF(ISBLANK('Ingest Template'!O769),"", 'Ingest Template'!O769&amp;"|Operations - Core Title"),CHAR(10), IF(ISBLANK('Ingest Template'!P769),"", 'Ingest Template'!P769&amp;"|Operations - Core Title"),CHAR(10), IF(ISBLANK('Ingest Template'!Q769),"", 'Ingest Template'!Q769&amp;"|Operations - Core Title"))))</f>
        <v>#|Operations - Core Title
#|Operations - Core Title
</v>
      </c>
      <c r="AH769" s="21"/>
      <c r="AI769" s="21"/>
      <c r="AJ769" s="53" t="str">
        <f>if('Ingest Template'!A769="Standard",'Ingest Template'!N769&amp; "|DAR|DAR|2021-01-01",'Ingest Template'!N769&amp; "|Operations - Core Title|Operations - Core Title")</f>
        <v>#N/A</v>
      </c>
      <c r="AK769" s="53" t="str">
        <f>if('Ingest Template'!A769="Standard",'Ingest Template'!R769&amp; "|2021-01-01",'Ingest Template'!R769)</f>
        <v>#N/A</v>
      </c>
      <c r="AL769" s="21"/>
      <c r="AM769" s="21"/>
    </row>
    <row r="770">
      <c r="A770" s="21"/>
      <c r="B770" s="21" t="str">
        <f>'Ingest Template'!B770&amp;IF('Ingest Template'!A770 = "Standard", " - DAR","")</f>
        <v/>
      </c>
      <c r="C770" s="26" t="s">
        <v>109</v>
      </c>
      <c r="D770" s="29" t="str">
        <f t="array" ref="D770">CONCATENATE(INDEX(DropDown!$H$2:$H$10,MATCH(1,COUNTIF('Ingest Template'!F770,"*"&amp;DropDown!$H$2:$H$10&amp;"*"),0)),CHAR(10),'Ingest Template'!G770)</f>
        <v>#N/A</v>
      </c>
      <c r="E770" s="21" t="str">
        <f>CONCATENATE('Ingest Template'!H770,CHAR(10),'Ingest Template'!I770,CHAR(10),'Ingest Template'!J770)</f>
        <v>
</v>
      </c>
      <c r="F770" s="26" t="str">
        <f>'Ingest Template'!H770</f>
        <v/>
      </c>
      <c r="G770" s="21"/>
      <c r="H770" s="29"/>
      <c r="I770" s="21"/>
      <c r="J770" s="29" t="str">
        <f t="array" ref="J770">iF('Ingest Template'!A770="Standard","Pristine Brand",INDEX(DropDown!$M$2:$M$392,MATCH('Ingest Template'!E770,DropDown!$J$2:$J$392,0)))</f>
        <v>#N/A</v>
      </c>
      <c r="K770" s="21" t="str">
        <f>iF('Ingest Template'!A770="Standard",'Ingest Template'!K770&amp;CHAR(10)&amp;'Ingest Template'!L770,"Competitive View")</f>
        <v>Competitive View</v>
      </c>
      <c r="L770" s="29" t="s">
        <v>146</v>
      </c>
      <c r="M770" s="37" t="str">
        <f>'Ingest Template'!D770</f>
        <v/>
      </c>
      <c r="N770" s="21"/>
      <c r="O770" s="21"/>
      <c r="P770" s="21"/>
      <c r="Q770" s="21"/>
      <c r="R770" s="21" t="str">
        <f>'Ingest Template'!E770</f>
        <v/>
      </c>
      <c r="S770" s="29" t="s">
        <v>153</v>
      </c>
      <c r="T770" s="21" t="str">
        <f>'Ingest Template'!T770</f>
        <v/>
      </c>
      <c r="U770" s="21" t="str">
        <f>'Ingest Template'!S770</f>
        <v/>
      </c>
      <c r="V770" s="21" t="str">
        <f>LOWER(SUBSTITUTE(SUBSTITUTE(SUBSTITUTE(SUBSTITUTE(SUBSTITUTE('Ingest Template'!U770,"https:",""),"www.",""),"/",""),"?hl=en",""),"instagram.com",""))</f>
        <v/>
      </c>
      <c r="W770" s="41" t="str">
        <f t="array" ref="W770">IF('Ingest Template'!V770="",(INDEX(DropDown!$L$2:$L$392,MATCH('Ingest Template'!E770,DropDown!$J$2:$J$392,0))&amp;"|"&amp;'Ingest Template'!B770),(INDEX(DropDown!$L$2:$L$392,MATCH('Ingest Template'!E770,DropDown!$J$2:$J$392,0))&amp;"|"&amp;'Ingest Template'!B770)&amp;CHAR(10)&amp;'Ingest Template'!V770)</f>
        <v>#N/A</v>
      </c>
      <c r="X770" s="41" t="str">
        <f>'Ingest Template'!W770</f>
        <v/>
      </c>
      <c r="Y770" s="21" t="str">
        <f>SUBSTITUTE(SUBSTITUTE(SUBSTITUTE('Ingest Template'!X770,"http:",""),"https:",""),"/","")</f>
        <v/>
      </c>
      <c r="Z770" s="21" t="str">
        <f t="array" ref="Z770">IF('Ingest Template'!A770="Standard",(IF(ISBLANK('Ingest Template'!AA770),"", 'Ingest Template'!AA770&amp;"|DAR")),(IF(ISBLANK('Ingest Template'!AA770),"", 'Ingest Template'!AA770&amp;"|Film Ops")))</f>
        <v/>
      </c>
      <c r="AA770" s="21"/>
      <c r="AB770" s="21" t="str">
        <f>'Ingest Template'!M770</f>
        <v/>
      </c>
      <c r="AC770" s="21" t="str">
        <f>'Ingest Template'!Y770</f>
        <v/>
      </c>
      <c r="AD770" s="21" t="str">
        <f>'Ingest Template'!C770</f>
        <v/>
      </c>
      <c r="AE770" s="21" t="str">
        <f>'Ingest Template'!Z770</f>
        <v/>
      </c>
      <c r="AF770" s="29"/>
      <c r="AG770" s="21" t="str">
        <f t="array" ref="AG770">IF('Ingest Template'!A770="Standard",(CONCATENATE(IF(ISBLANK('Ingest Template'!O770),"", 'Ingest Template'!O770&amp;"|DAR"),CHAR(10), IF(ISBLANK('Ingest Template'!P770),"", 'Ingest Template'!P770&amp;"|DAR"),CHAR(10), IF(ISBLANK('Ingest Template'!Q770),"", 'Ingest Template'!Q770&amp;"|DAR"))),(CONCATENATE(IF(ISBLANK('Ingest Template'!O770),"", 'Ingest Template'!O770&amp;"|Operations - Core Title"),CHAR(10), IF(ISBLANK('Ingest Template'!P770),"", 'Ingest Template'!P770&amp;"|Operations - Core Title"),CHAR(10), IF(ISBLANK('Ingest Template'!Q770),"", 'Ingest Template'!Q770&amp;"|Operations - Core Title"))))</f>
        <v>#|Operations - Core Title
#|Operations - Core Title
</v>
      </c>
      <c r="AH770" s="21"/>
      <c r="AI770" s="21"/>
      <c r="AJ770" s="53" t="str">
        <f>if('Ingest Template'!A770="Standard",'Ingest Template'!N770&amp; "|DAR|DAR|2021-01-01",'Ingest Template'!N770&amp; "|Operations - Core Title|Operations - Core Title")</f>
        <v>#N/A</v>
      </c>
      <c r="AK770" s="53" t="str">
        <f>if('Ingest Template'!A770="Standard",'Ingest Template'!R770&amp; "|2021-01-01",'Ingest Template'!R770)</f>
        <v>#N/A</v>
      </c>
      <c r="AL770" s="21"/>
      <c r="AM770" s="21"/>
    </row>
    <row r="771">
      <c r="A771" s="21"/>
      <c r="B771" s="21" t="str">
        <f>'Ingest Template'!B771&amp;IF('Ingest Template'!A771 = "Standard", " - DAR","")</f>
        <v/>
      </c>
      <c r="C771" s="26" t="s">
        <v>109</v>
      </c>
      <c r="D771" s="29" t="str">
        <f t="array" ref="D771">CONCATENATE(INDEX(DropDown!$H$2:$H$10,MATCH(1,COUNTIF('Ingest Template'!F771,"*"&amp;DropDown!$H$2:$H$10&amp;"*"),0)),CHAR(10),'Ingest Template'!G771)</f>
        <v>#N/A</v>
      </c>
      <c r="E771" s="21" t="str">
        <f>CONCATENATE('Ingest Template'!H771,CHAR(10),'Ingest Template'!I771,CHAR(10),'Ingest Template'!J771)</f>
        <v>
</v>
      </c>
      <c r="F771" s="26" t="str">
        <f>'Ingest Template'!H771</f>
        <v/>
      </c>
      <c r="G771" s="21"/>
      <c r="H771" s="29"/>
      <c r="I771" s="21"/>
      <c r="J771" s="29" t="str">
        <f t="array" ref="J771">iF('Ingest Template'!A771="Standard","Pristine Brand",INDEX(DropDown!$M$2:$M$392,MATCH('Ingest Template'!E771,DropDown!$J$2:$J$392,0)))</f>
        <v>#N/A</v>
      </c>
      <c r="K771" s="21" t="str">
        <f>iF('Ingest Template'!A771="Standard",'Ingest Template'!K771&amp;CHAR(10)&amp;'Ingest Template'!L771,"Competitive View")</f>
        <v>Competitive View</v>
      </c>
      <c r="L771" s="29" t="s">
        <v>146</v>
      </c>
      <c r="M771" s="37" t="str">
        <f>'Ingest Template'!D771</f>
        <v/>
      </c>
      <c r="N771" s="21"/>
      <c r="O771" s="21"/>
      <c r="P771" s="21"/>
      <c r="Q771" s="21"/>
      <c r="R771" s="21" t="str">
        <f>'Ingest Template'!E771</f>
        <v/>
      </c>
      <c r="S771" s="29" t="s">
        <v>153</v>
      </c>
      <c r="T771" s="21" t="str">
        <f>'Ingest Template'!T771</f>
        <v/>
      </c>
      <c r="U771" s="21" t="str">
        <f>'Ingest Template'!S771</f>
        <v/>
      </c>
      <c r="V771" s="21" t="str">
        <f>LOWER(SUBSTITUTE(SUBSTITUTE(SUBSTITUTE(SUBSTITUTE(SUBSTITUTE('Ingest Template'!U771,"https:",""),"www.",""),"/",""),"?hl=en",""),"instagram.com",""))</f>
        <v/>
      </c>
      <c r="W771" s="41" t="str">
        <f t="array" ref="W771">IF('Ingest Template'!V771="",(INDEX(DropDown!$L$2:$L$392,MATCH('Ingest Template'!E771,DropDown!$J$2:$J$392,0))&amp;"|"&amp;'Ingest Template'!B771),(INDEX(DropDown!$L$2:$L$392,MATCH('Ingest Template'!E771,DropDown!$J$2:$J$392,0))&amp;"|"&amp;'Ingest Template'!B771)&amp;CHAR(10)&amp;'Ingest Template'!V771)</f>
        <v>#N/A</v>
      </c>
      <c r="X771" s="41" t="str">
        <f>'Ingest Template'!W771</f>
        <v/>
      </c>
      <c r="Y771" s="21" t="str">
        <f>SUBSTITUTE(SUBSTITUTE(SUBSTITUTE('Ingest Template'!X771,"http:",""),"https:",""),"/","")</f>
        <v/>
      </c>
      <c r="Z771" s="21" t="str">
        <f t="array" ref="Z771">IF('Ingest Template'!A771="Standard",(IF(ISBLANK('Ingest Template'!AA771),"", 'Ingest Template'!AA771&amp;"|DAR")),(IF(ISBLANK('Ingest Template'!AA771),"", 'Ingest Template'!AA771&amp;"|Film Ops")))</f>
        <v/>
      </c>
      <c r="AA771" s="21"/>
      <c r="AB771" s="21" t="str">
        <f>'Ingest Template'!M771</f>
        <v/>
      </c>
      <c r="AC771" s="21" t="str">
        <f>'Ingest Template'!Y771</f>
        <v/>
      </c>
      <c r="AD771" s="21" t="str">
        <f>'Ingest Template'!C771</f>
        <v/>
      </c>
      <c r="AE771" s="21" t="str">
        <f>'Ingest Template'!Z771</f>
        <v/>
      </c>
      <c r="AF771" s="29"/>
      <c r="AG771" s="21" t="str">
        <f t="array" ref="AG771">IF('Ingest Template'!A771="Standard",(CONCATENATE(IF(ISBLANK('Ingest Template'!O771),"", 'Ingest Template'!O771&amp;"|DAR"),CHAR(10), IF(ISBLANK('Ingest Template'!P771),"", 'Ingest Template'!P771&amp;"|DAR"),CHAR(10), IF(ISBLANK('Ingest Template'!Q771),"", 'Ingest Template'!Q771&amp;"|DAR"))),(CONCATENATE(IF(ISBLANK('Ingest Template'!O771),"", 'Ingest Template'!O771&amp;"|Operations - Core Title"),CHAR(10), IF(ISBLANK('Ingest Template'!P771),"", 'Ingest Template'!P771&amp;"|Operations - Core Title"),CHAR(10), IF(ISBLANK('Ingest Template'!Q771),"", 'Ingest Template'!Q771&amp;"|Operations - Core Title"))))</f>
        <v>#|Operations - Core Title
#|Operations - Core Title
</v>
      </c>
      <c r="AH771" s="21"/>
      <c r="AI771" s="21"/>
      <c r="AJ771" s="53" t="str">
        <f>if('Ingest Template'!A771="Standard",'Ingest Template'!N771&amp; "|DAR|DAR|2021-01-01",'Ingest Template'!N771&amp; "|Operations - Core Title|Operations - Core Title")</f>
        <v>#N/A</v>
      </c>
      <c r="AK771" s="53" t="str">
        <f>if('Ingest Template'!A771="Standard",'Ingest Template'!R771&amp; "|2021-01-01",'Ingest Template'!R771)</f>
        <v>#N/A</v>
      </c>
      <c r="AL771" s="21"/>
      <c r="AM771" s="21"/>
    </row>
    <row r="772">
      <c r="A772" s="21"/>
      <c r="B772" s="21" t="str">
        <f>'Ingest Template'!B772&amp;IF('Ingest Template'!A772 = "Standard", " - DAR","")</f>
        <v/>
      </c>
      <c r="C772" s="26" t="s">
        <v>109</v>
      </c>
      <c r="D772" s="29" t="str">
        <f t="array" ref="D772">CONCATENATE(INDEX(DropDown!$H$2:$H$10,MATCH(1,COUNTIF('Ingest Template'!F772,"*"&amp;DropDown!$H$2:$H$10&amp;"*"),0)),CHAR(10),'Ingest Template'!G772)</f>
        <v>#N/A</v>
      </c>
      <c r="E772" s="21" t="str">
        <f>CONCATENATE('Ingest Template'!H772,CHAR(10),'Ingest Template'!I772,CHAR(10),'Ingest Template'!J772)</f>
        <v>
</v>
      </c>
      <c r="F772" s="26" t="str">
        <f>'Ingest Template'!H772</f>
        <v/>
      </c>
      <c r="G772" s="21"/>
      <c r="H772" s="29"/>
      <c r="I772" s="21"/>
      <c r="J772" s="29" t="str">
        <f t="array" ref="J772">iF('Ingest Template'!A772="Standard","Pristine Brand",INDEX(DropDown!$M$2:$M$392,MATCH('Ingest Template'!E772,DropDown!$J$2:$J$392,0)))</f>
        <v>#N/A</v>
      </c>
      <c r="K772" s="21" t="str">
        <f>iF('Ingest Template'!A772="Standard",'Ingest Template'!K772&amp;CHAR(10)&amp;'Ingest Template'!L772,"Competitive View")</f>
        <v>Competitive View</v>
      </c>
      <c r="L772" s="29" t="s">
        <v>146</v>
      </c>
      <c r="M772" s="37" t="str">
        <f>'Ingest Template'!D772</f>
        <v/>
      </c>
      <c r="N772" s="21"/>
      <c r="O772" s="21"/>
      <c r="P772" s="21"/>
      <c r="Q772" s="21"/>
      <c r="R772" s="21" t="str">
        <f>'Ingest Template'!E772</f>
        <v/>
      </c>
      <c r="S772" s="29" t="s">
        <v>153</v>
      </c>
      <c r="T772" s="21" t="str">
        <f>'Ingest Template'!T772</f>
        <v/>
      </c>
      <c r="U772" s="21" t="str">
        <f>'Ingest Template'!S772</f>
        <v/>
      </c>
      <c r="V772" s="21" t="str">
        <f>LOWER(SUBSTITUTE(SUBSTITUTE(SUBSTITUTE(SUBSTITUTE(SUBSTITUTE('Ingest Template'!U772,"https:",""),"www.",""),"/",""),"?hl=en",""),"instagram.com",""))</f>
        <v/>
      </c>
      <c r="W772" s="41" t="str">
        <f t="array" ref="W772">IF('Ingest Template'!V772="",(INDEX(DropDown!$L$2:$L$392,MATCH('Ingest Template'!E772,DropDown!$J$2:$J$392,0))&amp;"|"&amp;'Ingest Template'!B772),(INDEX(DropDown!$L$2:$L$392,MATCH('Ingest Template'!E772,DropDown!$J$2:$J$392,0))&amp;"|"&amp;'Ingest Template'!B772)&amp;CHAR(10)&amp;'Ingest Template'!V772)</f>
        <v>#N/A</v>
      </c>
      <c r="X772" s="41" t="str">
        <f>'Ingest Template'!W772</f>
        <v/>
      </c>
      <c r="Y772" s="21" t="str">
        <f>SUBSTITUTE(SUBSTITUTE(SUBSTITUTE('Ingest Template'!X772,"http:",""),"https:",""),"/","")</f>
        <v/>
      </c>
      <c r="Z772" s="21" t="str">
        <f t="array" ref="Z772">IF('Ingest Template'!A772="Standard",(IF(ISBLANK('Ingest Template'!AA772),"", 'Ingest Template'!AA772&amp;"|DAR")),(IF(ISBLANK('Ingest Template'!AA772),"", 'Ingest Template'!AA772&amp;"|Film Ops")))</f>
        <v/>
      </c>
      <c r="AA772" s="21"/>
      <c r="AB772" s="21" t="str">
        <f>'Ingest Template'!M772</f>
        <v/>
      </c>
      <c r="AC772" s="21" t="str">
        <f>'Ingest Template'!Y772</f>
        <v/>
      </c>
      <c r="AD772" s="21" t="str">
        <f>'Ingest Template'!C772</f>
        <v/>
      </c>
      <c r="AE772" s="21" t="str">
        <f>'Ingest Template'!Z772</f>
        <v/>
      </c>
      <c r="AF772" s="29"/>
      <c r="AG772" s="21" t="str">
        <f t="array" ref="AG772">IF('Ingest Template'!A772="Standard",(CONCATENATE(IF(ISBLANK('Ingest Template'!O772),"", 'Ingest Template'!O772&amp;"|DAR"),CHAR(10), IF(ISBLANK('Ingest Template'!P772),"", 'Ingest Template'!P772&amp;"|DAR"),CHAR(10), IF(ISBLANK('Ingest Template'!Q772),"", 'Ingest Template'!Q772&amp;"|DAR"))),(CONCATENATE(IF(ISBLANK('Ingest Template'!O772),"", 'Ingest Template'!O772&amp;"|Operations - Core Title"),CHAR(10), IF(ISBLANK('Ingest Template'!P772),"", 'Ingest Template'!P772&amp;"|Operations - Core Title"),CHAR(10), IF(ISBLANK('Ingest Template'!Q772),"", 'Ingest Template'!Q772&amp;"|Operations - Core Title"))))</f>
        <v>#|Operations - Core Title
#|Operations - Core Title
</v>
      </c>
      <c r="AH772" s="21"/>
      <c r="AI772" s="21"/>
      <c r="AJ772" s="53" t="str">
        <f>if('Ingest Template'!A772="Standard",'Ingest Template'!N772&amp; "|DAR|DAR|2021-01-01",'Ingest Template'!N772&amp; "|Operations - Core Title|Operations - Core Title")</f>
        <v>#N/A</v>
      </c>
      <c r="AK772" s="53" t="str">
        <f>if('Ingest Template'!A772="Standard",'Ingest Template'!R772&amp; "|2021-01-01",'Ingest Template'!R772)</f>
        <v>#N/A</v>
      </c>
      <c r="AL772" s="21"/>
      <c r="AM772" s="21"/>
    </row>
    <row r="773">
      <c r="A773" s="21"/>
      <c r="B773" s="21" t="str">
        <f>'Ingest Template'!B773&amp;IF('Ingest Template'!A773 = "Standard", " - DAR","")</f>
        <v/>
      </c>
      <c r="C773" s="26" t="s">
        <v>109</v>
      </c>
      <c r="D773" s="29" t="str">
        <f t="array" ref="D773">CONCATENATE(INDEX(DropDown!$H$2:$H$10,MATCH(1,COUNTIF('Ingest Template'!F773,"*"&amp;DropDown!$H$2:$H$10&amp;"*"),0)),CHAR(10),'Ingest Template'!G773)</f>
        <v>#N/A</v>
      </c>
      <c r="E773" s="21" t="str">
        <f>CONCATENATE('Ingest Template'!H773,CHAR(10),'Ingest Template'!I773,CHAR(10),'Ingest Template'!J773)</f>
        <v>
</v>
      </c>
      <c r="F773" s="26" t="str">
        <f>'Ingest Template'!H773</f>
        <v/>
      </c>
      <c r="G773" s="21"/>
      <c r="H773" s="29"/>
      <c r="I773" s="21"/>
      <c r="J773" s="29" t="str">
        <f t="array" ref="J773">iF('Ingest Template'!A773="Standard","Pristine Brand",INDEX(DropDown!$M$2:$M$392,MATCH('Ingest Template'!E773,DropDown!$J$2:$J$392,0)))</f>
        <v>#N/A</v>
      </c>
      <c r="K773" s="21" t="str">
        <f>iF('Ingest Template'!A773="Standard",'Ingest Template'!K773&amp;CHAR(10)&amp;'Ingest Template'!L773,"Competitive View")</f>
        <v>Competitive View</v>
      </c>
      <c r="L773" s="29" t="s">
        <v>146</v>
      </c>
      <c r="M773" s="37" t="str">
        <f>'Ingest Template'!D773</f>
        <v/>
      </c>
      <c r="N773" s="21"/>
      <c r="O773" s="21"/>
      <c r="P773" s="21"/>
      <c r="Q773" s="21"/>
      <c r="R773" s="21" t="str">
        <f>'Ingest Template'!E773</f>
        <v/>
      </c>
      <c r="S773" s="29" t="s">
        <v>153</v>
      </c>
      <c r="T773" s="21" t="str">
        <f>'Ingest Template'!T773</f>
        <v/>
      </c>
      <c r="U773" s="21" t="str">
        <f>'Ingest Template'!S773</f>
        <v/>
      </c>
      <c r="V773" s="21" t="str">
        <f>LOWER(SUBSTITUTE(SUBSTITUTE(SUBSTITUTE(SUBSTITUTE(SUBSTITUTE('Ingest Template'!U773,"https:",""),"www.",""),"/",""),"?hl=en",""),"instagram.com",""))</f>
        <v/>
      </c>
      <c r="W773" s="41" t="str">
        <f t="array" ref="W773">IF('Ingest Template'!V773="",(INDEX(DropDown!$L$2:$L$392,MATCH('Ingest Template'!E773,DropDown!$J$2:$J$392,0))&amp;"|"&amp;'Ingest Template'!B773),(INDEX(DropDown!$L$2:$L$392,MATCH('Ingest Template'!E773,DropDown!$J$2:$J$392,0))&amp;"|"&amp;'Ingest Template'!B773)&amp;CHAR(10)&amp;'Ingest Template'!V773)</f>
        <v>#N/A</v>
      </c>
      <c r="X773" s="41" t="str">
        <f>'Ingest Template'!W773</f>
        <v/>
      </c>
      <c r="Y773" s="21" t="str">
        <f>SUBSTITUTE(SUBSTITUTE(SUBSTITUTE('Ingest Template'!X773,"http:",""),"https:",""),"/","")</f>
        <v/>
      </c>
      <c r="Z773" s="21" t="str">
        <f t="array" ref="Z773">IF('Ingest Template'!A773="Standard",(IF(ISBLANK('Ingest Template'!AA773),"", 'Ingest Template'!AA773&amp;"|DAR")),(IF(ISBLANK('Ingest Template'!AA773),"", 'Ingest Template'!AA773&amp;"|Film Ops")))</f>
        <v/>
      </c>
      <c r="AA773" s="21"/>
      <c r="AB773" s="21" t="str">
        <f>'Ingest Template'!M773</f>
        <v/>
      </c>
      <c r="AC773" s="21" t="str">
        <f>'Ingest Template'!Y773</f>
        <v/>
      </c>
      <c r="AD773" s="21" t="str">
        <f>'Ingest Template'!C773</f>
        <v/>
      </c>
      <c r="AE773" s="21" t="str">
        <f>'Ingest Template'!Z773</f>
        <v/>
      </c>
      <c r="AF773" s="29"/>
      <c r="AG773" s="21" t="str">
        <f t="array" ref="AG773">IF('Ingest Template'!A773="Standard",(CONCATENATE(IF(ISBLANK('Ingest Template'!O773),"", 'Ingest Template'!O773&amp;"|DAR"),CHAR(10), IF(ISBLANK('Ingest Template'!P773),"", 'Ingest Template'!P773&amp;"|DAR"),CHAR(10), IF(ISBLANK('Ingest Template'!Q773),"", 'Ingest Template'!Q773&amp;"|DAR"))),(CONCATENATE(IF(ISBLANK('Ingest Template'!O773),"", 'Ingest Template'!O773&amp;"|Operations - Core Title"),CHAR(10), IF(ISBLANK('Ingest Template'!P773),"", 'Ingest Template'!P773&amp;"|Operations - Core Title"),CHAR(10), IF(ISBLANK('Ingest Template'!Q773),"", 'Ingest Template'!Q773&amp;"|Operations - Core Title"))))</f>
        <v>#|Operations - Core Title
#|Operations - Core Title
</v>
      </c>
      <c r="AH773" s="21"/>
      <c r="AI773" s="21"/>
      <c r="AJ773" s="53" t="str">
        <f>if('Ingest Template'!A773="Standard",'Ingest Template'!N773&amp; "|DAR|DAR|2021-01-01",'Ingest Template'!N773&amp; "|Operations - Core Title|Operations - Core Title")</f>
        <v>#N/A</v>
      </c>
      <c r="AK773" s="53" t="str">
        <f>if('Ingest Template'!A773="Standard",'Ingest Template'!R773&amp; "|2021-01-01",'Ingest Template'!R773)</f>
        <v>#N/A</v>
      </c>
      <c r="AL773" s="21"/>
      <c r="AM773" s="21"/>
    </row>
    <row r="774">
      <c r="A774" s="21"/>
      <c r="B774" s="21" t="str">
        <f>'Ingest Template'!B774&amp;IF('Ingest Template'!A774 = "Standard", " - DAR","")</f>
        <v/>
      </c>
      <c r="C774" s="26" t="s">
        <v>109</v>
      </c>
      <c r="D774" s="29" t="str">
        <f t="array" ref="D774">CONCATENATE(INDEX(DropDown!$H$2:$H$10,MATCH(1,COUNTIF('Ingest Template'!F774,"*"&amp;DropDown!$H$2:$H$10&amp;"*"),0)),CHAR(10),'Ingest Template'!G774)</f>
        <v>#N/A</v>
      </c>
      <c r="E774" s="21" t="str">
        <f>CONCATENATE('Ingest Template'!H774,CHAR(10),'Ingest Template'!I774,CHAR(10),'Ingest Template'!J774)</f>
        <v>
</v>
      </c>
      <c r="F774" s="26" t="str">
        <f>'Ingest Template'!H774</f>
        <v/>
      </c>
      <c r="G774" s="21"/>
      <c r="H774" s="29"/>
      <c r="I774" s="21"/>
      <c r="J774" s="29" t="str">
        <f t="array" ref="J774">iF('Ingest Template'!A774="Standard","Pristine Brand",INDEX(DropDown!$M$2:$M$392,MATCH('Ingest Template'!E774,DropDown!$J$2:$J$392,0)))</f>
        <v>#N/A</v>
      </c>
      <c r="K774" s="21" t="str">
        <f>iF('Ingest Template'!A774="Standard",'Ingest Template'!K774&amp;CHAR(10)&amp;'Ingest Template'!L774,"Competitive View")</f>
        <v>Competitive View</v>
      </c>
      <c r="L774" s="29" t="s">
        <v>146</v>
      </c>
      <c r="M774" s="37" t="str">
        <f>'Ingest Template'!D774</f>
        <v/>
      </c>
      <c r="N774" s="21"/>
      <c r="O774" s="21"/>
      <c r="P774" s="21"/>
      <c r="Q774" s="21"/>
      <c r="R774" s="21" t="str">
        <f>'Ingest Template'!E774</f>
        <v/>
      </c>
      <c r="S774" s="29" t="s">
        <v>153</v>
      </c>
      <c r="T774" s="21" t="str">
        <f>'Ingest Template'!T774</f>
        <v/>
      </c>
      <c r="U774" s="21" t="str">
        <f>'Ingest Template'!S774</f>
        <v/>
      </c>
      <c r="V774" s="21" t="str">
        <f>LOWER(SUBSTITUTE(SUBSTITUTE(SUBSTITUTE(SUBSTITUTE(SUBSTITUTE('Ingest Template'!U774,"https:",""),"www.",""),"/",""),"?hl=en",""),"instagram.com",""))</f>
        <v/>
      </c>
      <c r="W774" s="41" t="str">
        <f t="array" ref="W774">IF('Ingest Template'!V774="",(INDEX(DropDown!$L$2:$L$392,MATCH('Ingest Template'!E774,DropDown!$J$2:$J$392,0))&amp;"|"&amp;'Ingest Template'!B774),(INDEX(DropDown!$L$2:$L$392,MATCH('Ingest Template'!E774,DropDown!$J$2:$J$392,0))&amp;"|"&amp;'Ingest Template'!B774)&amp;CHAR(10)&amp;'Ingest Template'!V774)</f>
        <v>#N/A</v>
      </c>
      <c r="X774" s="41" t="str">
        <f>'Ingest Template'!W774</f>
        <v/>
      </c>
      <c r="Y774" s="21" t="str">
        <f>SUBSTITUTE(SUBSTITUTE(SUBSTITUTE('Ingest Template'!X774,"http:",""),"https:",""),"/","")</f>
        <v/>
      </c>
      <c r="Z774" s="21" t="str">
        <f t="array" ref="Z774">IF('Ingest Template'!A774="Standard",(IF(ISBLANK('Ingest Template'!AA774),"", 'Ingest Template'!AA774&amp;"|DAR")),(IF(ISBLANK('Ingest Template'!AA774),"", 'Ingest Template'!AA774&amp;"|Film Ops")))</f>
        <v/>
      </c>
      <c r="AA774" s="21"/>
      <c r="AB774" s="21" t="str">
        <f>'Ingest Template'!M774</f>
        <v/>
      </c>
      <c r="AC774" s="21" t="str">
        <f>'Ingest Template'!Y774</f>
        <v/>
      </c>
      <c r="AD774" s="21" t="str">
        <f>'Ingest Template'!C774</f>
        <v/>
      </c>
      <c r="AE774" s="21" t="str">
        <f>'Ingest Template'!Z774</f>
        <v/>
      </c>
      <c r="AF774" s="29"/>
      <c r="AG774" s="21" t="str">
        <f t="array" ref="AG774">IF('Ingest Template'!A774="Standard",(CONCATENATE(IF(ISBLANK('Ingest Template'!O774),"", 'Ingest Template'!O774&amp;"|DAR"),CHAR(10), IF(ISBLANK('Ingest Template'!P774),"", 'Ingest Template'!P774&amp;"|DAR"),CHAR(10), IF(ISBLANK('Ingest Template'!Q774),"", 'Ingest Template'!Q774&amp;"|DAR"))),(CONCATENATE(IF(ISBLANK('Ingest Template'!O774),"", 'Ingest Template'!O774&amp;"|Operations - Core Title"),CHAR(10), IF(ISBLANK('Ingest Template'!P774),"", 'Ingest Template'!P774&amp;"|Operations - Core Title"),CHAR(10), IF(ISBLANK('Ingest Template'!Q774),"", 'Ingest Template'!Q774&amp;"|Operations - Core Title"))))</f>
        <v>#|Operations - Core Title
#|Operations - Core Title
</v>
      </c>
      <c r="AH774" s="21"/>
      <c r="AI774" s="21"/>
      <c r="AJ774" s="53" t="str">
        <f>if('Ingest Template'!A774="Standard",'Ingest Template'!N774&amp; "|DAR|DAR|2021-01-01",'Ingest Template'!N774&amp; "|Operations - Core Title|Operations - Core Title")</f>
        <v>#N/A</v>
      </c>
      <c r="AK774" s="53" t="str">
        <f>if('Ingest Template'!A774="Standard",'Ingest Template'!R774&amp; "|2021-01-01",'Ingest Template'!R774)</f>
        <v>#N/A</v>
      </c>
      <c r="AL774" s="21"/>
      <c r="AM774" s="21"/>
    </row>
    <row r="775">
      <c r="A775" s="21"/>
      <c r="B775" s="21" t="str">
        <f>'Ingest Template'!B775&amp;IF('Ingest Template'!A775 = "Standard", " - DAR","")</f>
        <v/>
      </c>
      <c r="C775" s="26" t="s">
        <v>109</v>
      </c>
      <c r="D775" s="29" t="str">
        <f t="array" ref="D775">CONCATENATE(INDEX(DropDown!$H$2:$H$10,MATCH(1,COUNTIF('Ingest Template'!F775,"*"&amp;DropDown!$H$2:$H$10&amp;"*"),0)),CHAR(10),'Ingest Template'!G775)</f>
        <v>#N/A</v>
      </c>
      <c r="E775" s="21" t="str">
        <f>CONCATENATE('Ingest Template'!H775,CHAR(10),'Ingest Template'!I775,CHAR(10),'Ingest Template'!J775)</f>
        <v>
</v>
      </c>
      <c r="F775" s="26" t="str">
        <f>'Ingest Template'!H775</f>
        <v/>
      </c>
      <c r="G775" s="21"/>
      <c r="H775" s="29"/>
      <c r="I775" s="21"/>
      <c r="J775" s="29" t="str">
        <f t="array" ref="J775">iF('Ingest Template'!A775="Standard","Pristine Brand",INDEX(DropDown!$M$2:$M$392,MATCH('Ingest Template'!E775,DropDown!$J$2:$J$392,0)))</f>
        <v>#N/A</v>
      </c>
      <c r="K775" s="21" t="str">
        <f>iF('Ingest Template'!A775="Standard",'Ingest Template'!K775&amp;CHAR(10)&amp;'Ingest Template'!L775,"Competitive View")</f>
        <v>Competitive View</v>
      </c>
      <c r="L775" s="29" t="s">
        <v>146</v>
      </c>
      <c r="M775" s="37" t="str">
        <f>'Ingest Template'!D775</f>
        <v/>
      </c>
      <c r="N775" s="21"/>
      <c r="O775" s="21"/>
      <c r="P775" s="21"/>
      <c r="Q775" s="21"/>
      <c r="R775" s="21" t="str">
        <f>'Ingest Template'!E775</f>
        <v/>
      </c>
      <c r="S775" s="29" t="s">
        <v>153</v>
      </c>
      <c r="T775" s="21" t="str">
        <f>'Ingest Template'!T775</f>
        <v/>
      </c>
      <c r="U775" s="21" t="str">
        <f>'Ingest Template'!S775</f>
        <v/>
      </c>
      <c r="V775" s="21" t="str">
        <f>LOWER(SUBSTITUTE(SUBSTITUTE(SUBSTITUTE(SUBSTITUTE(SUBSTITUTE('Ingest Template'!U775,"https:",""),"www.",""),"/",""),"?hl=en",""),"instagram.com",""))</f>
        <v/>
      </c>
      <c r="W775" s="41" t="str">
        <f t="array" ref="W775">IF('Ingest Template'!V775="",(INDEX(DropDown!$L$2:$L$392,MATCH('Ingest Template'!E775,DropDown!$J$2:$J$392,0))&amp;"|"&amp;'Ingest Template'!B775),(INDEX(DropDown!$L$2:$L$392,MATCH('Ingest Template'!E775,DropDown!$J$2:$J$392,0))&amp;"|"&amp;'Ingest Template'!B775)&amp;CHAR(10)&amp;'Ingest Template'!V775)</f>
        <v>#N/A</v>
      </c>
      <c r="X775" s="41" t="str">
        <f>'Ingest Template'!W775</f>
        <v/>
      </c>
      <c r="Y775" s="21" t="str">
        <f>SUBSTITUTE(SUBSTITUTE(SUBSTITUTE('Ingest Template'!X775,"http:",""),"https:",""),"/","")</f>
        <v/>
      </c>
      <c r="Z775" s="21" t="str">
        <f t="array" ref="Z775">IF('Ingest Template'!A775="Standard",(IF(ISBLANK('Ingest Template'!AA775),"", 'Ingest Template'!AA775&amp;"|DAR")),(IF(ISBLANK('Ingest Template'!AA775),"", 'Ingest Template'!AA775&amp;"|Film Ops")))</f>
        <v/>
      </c>
      <c r="AA775" s="21"/>
      <c r="AB775" s="21" t="str">
        <f>'Ingest Template'!M775</f>
        <v/>
      </c>
      <c r="AC775" s="21" t="str">
        <f>'Ingest Template'!Y775</f>
        <v/>
      </c>
      <c r="AD775" s="21" t="str">
        <f>'Ingest Template'!C775</f>
        <v/>
      </c>
      <c r="AE775" s="21" t="str">
        <f>'Ingest Template'!Z775</f>
        <v/>
      </c>
      <c r="AF775" s="29"/>
      <c r="AG775" s="21" t="str">
        <f t="array" ref="AG775">IF('Ingest Template'!A775="Standard",(CONCATENATE(IF(ISBLANK('Ingest Template'!O775),"", 'Ingest Template'!O775&amp;"|DAR"),CHAR(10), IF(ISBLANK('Ingest Template'!P775),"", 'Ingest Template'!P775&amp;"|DAR"),CHAR(10), IF(ISBLANK('Ingest Template'!Q775),"", 'Ingest Template'!Q775&amp;"|DAR"))),(CONCATENATE(IF(ISBLANK('Ingest Template'!O775),"", 'Ingest Template'!O775&amp;"|Operations - Core Title"),CHAR(10), IF(ISBLANK('Ingest Template'!P775),"", 'Ingest Template'!P775&amp;"|Operations - Core Title"),CHAR(10), IF(ISBLANK('Ingest Template'!Q775),"", 'Ingest Template'!Q775&amp;"|Operations - Core Title"))))</f>
        <v>#|Operations - Core Title
#|Operations - Core Title
</v>
      </c>
      <c r="AH775" s="21"/>
      <c r="AI775" s="21"/>
      <c r="AJ775" s="53" t="str">
        <f>if('Ingest Template'!A775="Standard",'Ingest Template'!N775&amp; "|DAR|DAR|2021-01-01",'Ingest Template'!N775&amp; "|Operations - Core Title|Operations - Core Title")</f>
        <v>#N/A</v>
      </c>
      <c r="AK775" s="53" t="str">
        <f>if('Ingest Template'!A775="Standard",'Ingest Template'!R775&amp; "|2021-01-01",'Ingest Template'!R775)</f>
        <v>#N/A</v>
      </c>
      <c r="AL775" s="21"/>
      <c r="AM775" s="21"/>
    </row>
    <row r="776">
      <c r="A776" s="21"/>
      <c r="B776" s="21" t="str">
        <f>'Ingest Template'!B776&amp;IF('Ingest Template'!A776 = "Standard", " - DAR","")</f>
        <v/>
      </c>
      <c r="C776" s="26" t="s">
        <v>109</v>
      </c>
      <c r="D776" s="29" t="str">
        <f t="array" ref="D776">CONCATENATE(INDEX(DropDown!$H$2:$H$10,MATCH(1,COUNTIF('Ingest Template'!F776,"*"&amp;DropDown!$H$2:$H$10&amp;"*"),0)),CHAR(10),'Ingest Template'!G776)</f>
        <v>#N/A</v>
      </c>
      <c r="E776" s="21" t="str">
        <f>CONCATENATE('Ingest Template'!H776,CHAR(10),'Ingest Template'!I776,CHAR(10),'Ingest Template'!J776)</f>
        <v>
</v>
      </c>
      <c r="F776" s="26" t="str">
        <f>'Ingest Template'!H776</f>
        <v/>
      </c>
      <c r="G776" s="21"/>
      <c r="H776" s="29"/>
      <c r="I776" s="21"/>
      <c r="J776" s="29" t="str">
        <f t="array" ref="J776">iF('Ingest Template'!A776="Standard","Pristine Brand",INDEX(DropDown!$M$2:$M$392,MATCH('Ingest Template'!E776,DropDown!$J$2:$J$392,0)))</f>
        <v>#N/A</v>
      </c>
      <c r="K776" s="21" t="str">
        <f>iF('Ingest Template'!A776="Standard",'Ingest Template'!K776&amp;CHAR(10)&amp;'Ingest Template'!L776,"Competitive View")</f>
        <v>Competitive View</v>
      </c>
      <c r="L776" s="29" t="s">
        <v>146</v>
      </c>
      <c r="M776" s="37" t="str">
        <f>'Ingest Template'!D776</f>
        <v/>
      </c>
      <c r="N776" s="21"/>
      <c r="O776" s="21"/>
      <c r="P776" s="21"/>
      <c r="Q776" s="21"/>
      <c r="R776" s="21" t="str">
        <f>'Ingest Template'!E776</f>
        <v/>
      </c>
      <c r="S776" s="29" t="s">
        <v>153</v>
      </c>
      <c r="T776" s="21" t="str">
        <f>'Ingest Template'!T776</f>
        <v/>
      </c>
      <c r="U776" s="21" t="str">
        <f>'Ingest Template'!S776</f>
        <v/>
      </c>
      <c r="V776" s="21" t="str">
        <f>LOWER(SUBSTITUTE(SUBSTITUTE(SUBSTITUTE(SUBSTITUTE(SUBSTITUTE('Ingest Template'!U776,"https:",""),"www.",""),"/",""),"?hl=en",""),"instagram.com",""))</f>
        <v/>
      </c>
      <c r="W776" s="41" t="str">
        <f t="array" ref="W776">IF('Ingest Template'!V776="",(INDEX(DropDown!$L$2:$L$392,MATCH('Ingest Template'!E776,DropDown!$J$2:$J$392,0))&amp;"|"&amp;'Ingest Template'!B776),(INDEX(DropDown!$L$2:$L$392,MATCH('Ingest Template'!E776,DropDown!$J$2:$J$392,0))&amp;"|"&amp;'Ingest Template'!B776)&amp;CHAR(10)&amp;'Ingest Template'!V776)</f>
        <v>#N/A</v>
      </c>
      <c r="X776" s="41" t="str">
        <f>'Ingest Template'!W776</f>
        <v/>
      </c>
      <c r="Y776" s="21" t="str">
        <f>SUBSTITUTE(SUBSTITUTE(SUBSTITUTE('Ingest Template'!X776,"http:",""),"https:",""),"/","")</f>
        <v/>
      </c>
      <c r="Z776" s="21" t="str">
        <f t="array" ref="Z776">IF('Ingest Template'!A776="Standard",(IF(ISBLANK('Ingest Template'!AA776),"", 'Ingest Template'!AA776&amp;"|DAR")),(IF(ISBLANK('Ingest Template'!AA776),"", 'Ingest Template'!AA776&amp;"|Film Ops")))</f>
        <v/>
      </c>
      <c r="AA776" s="21"/>
      <c r="AB776" s="21" t="str">
        <f>'Ingest Template'!M776</f>
        <v/>
      </c>
      <c r="AC776" s="21" t="str">
        <f>'Ingest Template'!Y776</f>
        <v/>
      </c>
      <c r="AD776" s="21" t="str">
        <f>'Ingest Template'!C776</f>
        <v/>
      </c>
      <c r="AE776" s="21" t="str">
        <f>'Ingest Template'!Z776</f>
        <v/>
      </c>
      <c r="AF776" s="29"/>
      <c r="AG776" s="21" t="str">
        <f t="array" ref="AG776">IF('Ingest Template'!A776="Standard",(CONCATENATE(IF(ISBLANK('Ingest Template'!O776),"", 'Ingest Template'!O776&amp;"|DAR"),CHAR(10), IF(ISBLANK('Ingest Template'!P776),"", 'Ingest Template'!P776&amp;"|DAR"),CHAR(10), IF(ISBLANK('Ingest Template'!Q776),"", 'Ingest Template'!Q776&amp;"|DAR"))),(CONCATENATE(IF(ISBLANK('Ingest Template'!O776),"", 'Ingest Template'!O776&amp;"|Operations - Core Title"),CHAR(10), IF(ISBLANK('Ingest Template'!P776),"", 'Ingest Template'!P776&amp;"|Operations - Core Title"),CHAR(10), IF(ISBLANK('Ingest Template'!Q776),"", 'Ingest Template'!Q776&amp;"|Operations - Core Title"))))</f>
        <v>#|Operations - Core Title
#|Operations - Core Title
</v>
      </c>
      <c r="AH776" s="21"/>
      <c r="AI776" s="21"/>
      <c r="AJ776" s="53" t="str">
        <f>if('Ingest Template'!A776="Standard",'Ingest Template'!N776&amp; "|DAR|DAR|2021-01-01",'Ingest Template'!N776&amp; "|Operations - Core Title|Operations - Core Title")</f>
        <v>#N/A</v>
      </c>
      <c r="AK776" s="53" t="str">
        <f>if('Ingest Template'!A776="Standard",'Ingest Template'!R776&amp; "|2021-01-01",'Ingest Template'!R776)</f>
        <v>#N/A</v>
      </c>
      <c r="AL776" s="21"/>
      <c r="AM776" s="21"/>
    </row>
    <row r="777">
      <c r="A777" s="21"/>
      <c r="B777" s="21" t="str">
        <f>'Ingest Template'!B777&amp;IF('Ingest Template'!A777 = "Standard", " - DAR","")</f>
        <v/>
      </c>
      <c r="C777" s="26" t="s">
        <v>109</v>
      </c>
      <c r="D777" s="29" t="str">
        <f t="array" ref="D777">CONCATENATE(INDEX(DropDown!$H$2:$H$10,MATCH(1,COUNTIF('Ingest Template'!F777,"*"&amp;DropDown!$H$2:$H$10&amp;"*"),0)),CHAR(10),'Ingest Template'!G777)</f>
        <v>#N/A</v>
      </c>
      <c r="E777" s="21" t="str">
        <f>CONCATENATE('Ingest Template'!H777,CHAR(10),'Ingest Template'!I777,CHAR(10),'Ingest Template'!J777)</f>
        <v>
</v>
      </c>
      <c r="F777" s="26" t="str">
        <f>'Ingest Template'!H777</f>
        <v/>
      </c>
      <c r="G777" s="21"/>
      <c r="H777" s="29"/>
      <c r="I777" s="21"/>
      <c r="J777" s="29" t="str">
        <f t="array" ref="J777">iF('Ingest Template'!A777="Standard","Pristine Brand",INDEX(DropDown!$M$2:$M$392,MATCH('Ingest Template'!E777,DropDown!$J$2:$J$392,0)))</f>
        <v>#N/A</v>
      </c>
      <c r="K777" s="21" t="str">
        <f>iF('Ingest Template'!A777="Standard",'Ingest Template'!K777&amp;CHAR(10)&amp;'Ingest Template'!L777,"Competitive View")</f>
        <v>Competitive View</v>
      </c>
      <c r="L777" s="29" t="s">
        <v>146</v>
      </c>
      <c r="M777" s="37" t="str">
        <f>'Ingest Template'!D777</f>
        <v/>
      </c>
      <c r="N777" s="21"/>
      <c r="O777" s="21"/>
      <c r="P777" s="21"/>
      <c r="Q777" s="21"/>
      <c r="R777" s="21" t="str">
        <f>'Ingest Template'!E777</f>
        <v/>
      </c>
      <c r="S777" s="29" t="s">
        <v>153</v>
      </c>
      <c r="T777" s="21" t="str">
        <f>'Ingest Template'!T777</f>
        <v/>
      </c>
      <c r="U777" s="21" t="str">
        <f>'Ingest Template'!S777</f>
        <v/>
      </c>
      <c r="V777" s="21" t="str">
        <f>LOWER(SUBSTITUTE(SUBSTITUTE(SUBSTITUTE(SUBSTITUTE(SUBSTITUTE('Ingest Template'!U777,"https:",""),"www.",""),"/",""),"?hl=en",""),"instagram.com",""))</f>
        <v/>
      </c>
      <c r="W777" s="41" t="str">
        <f t="array" ref="W777">IF('Ingest Template'!V777="",(INDEX(DropDown!$L$2:$L$392,MATCH('Ingest Template'!E777,DropDown!$J$2:$J$392,0))&amp;"|"&amp;'Ingest Template'!B777),(INDEX(DropDown!$L$2:$L$392,MATCH('Ingest Template'!E777,DropDown!$J$2:$J$392,0))&amp;"|"&amp;'Ingest Template'!B777)&amp;CHAR(10)&amp;'Ingest Template'!V777)</f>
        <v>#N/A</v>
      </c>
      <c r="X777" s="41" t="str">
        <f>'Ingest Template'!W777</f>
        <v/>
      </c>
      <c r="Y777" s="21" t="str">
        <f>SUBSTITUTE(SUBSTITUTE(SUBSTITUTE('Ingest Template'!X777,"http:",""),"https:",""),"/","")</f>
        <v/>
      </c>
      <c r="Z777" s="21" t="str">
        <f t="array" ref="Z777">IF('Ingest Template'!A777="Standard",(IF(ISBLANK('Ingest Template'!AA777),"", 'Ingest Template'!AA777&amp;"|DAR")),(IF(ISBLANK('Ingest Template'!AA777),"", 'Ingest Template'!AA777&amp;"|Film Ops")))</f>
        <v/>
      </c>
      <c r="AA777" s="21"/>
      <c r="AB777" s="21" t="str">
        <f>'Ingest Template'!M777</f>
        <v/>
      </c>
      <c r="AC777" s="21" t="str">
        <f>'Ingest Template'!Y777</f>
        <v/>
      </c>
      <c r="AD777" s="21" t="str">
        <f>'Ingest Template'!C777</f>
        <v/>
      </c>
      <c r="AE777" s="21" t="str">
        <f>'Ingest Template'!Z777</f>
        <v/>
      </c>
      <c r="AF777" s="29"/>
      <c r="AG777" s="21" t="str">
        <f t="array" ref="AG777">IF('Ingest Template'!A777="Standard",(CONCATENATE(IF(ISBLANK('Ingest Template'!O777),"", 'Ingest Template'!O777&amp;"|DAR"),CHAR(10), IF(ISBLANK('Ingest Template'!P777),"", 'Ingest Template'!P777&amp;"|DAR"),CHAR(10), IF(ISBLANK('Ingest Template'!Q777),"", 'Ingest Template'!Q777&amp;"|DAR"))),(CONCATENATE(IF(ISBLANK('Ingest Template'!O777),"", 'Ingest Template'!O777&amp;"|Operations - Core Title"),CHAR(10), IF(ISBLANK('Ingest Template'!P777),"", 'Ingest Template'!P777&amp;"|Operations - Core Title"),CHAR(10), IF(ISBLANK('Ingest Template'!Q777),"", 'Ingest Template'!Q777&amp;"|Operations - Core Title"))))</f>
        <v>#|Operations - Core Title
#|Operations - Core Title
</v>
      </c>
      <c r="AH777" s="21"/>
      <c r="AI777" s="21"/>
      <c r="AJ777" s="53" t="str">
        <f>if('Ingest Template'!A777="Standard",'Ingest Template'!N777&amp; "|DAR|DAR|2021-01-01",'Ingest Template'!N777&amp; "|Operations - Core Title|Operations - Core Title")</f>
        <v>#N/A</v>
      </c>
      <c r="AK777" s="53" t="str">
        <f>if('Ingest Template'!A777="Standard",'Ingest Template'!R777&amp; "|2021-01-01",'Ingest Template'!R777)</f>
        <v>#N/A</v>
      </c>
      <c r="AL777" s="21"/>
      <c r="AM777" s="21"/>
    </row>
    <row r="778">
      <c r="A778" s="21"/>
      <c r="B778" s="21" t="str">
        <f>'Ingest Template'!B778&amp;IF('Ingest Template'!A778 = "Standard", " - DAR","")</f>
        <v/>
      </c>
      <c r="C778" s="26" t="s">
        <v>109</v>
      </c>
      <c r="D778" s="29" t="str">
        <f t="array" ref="D778">CONCATENATE(INDEX(DropDown!$H$2:$H$10,MATCH(1,COUNTIF('Ingest Template'!F778,"*"&amp;DropDown!$H$2:$H$10&amp;"*"),0)),CHAR(10),'Ingest Template'!G778)</f>
        <v>#N/A</v>
      </c>
      <c r="E778" s="21" t="str">
        <f>CONCATENATE('Ingest Template'!H778,CHAR(10),'Ingest Template'!I778,CHAR(10),'Ingest Template'!J778)</f>
        <v>
</v>
      </c>
      <c r="F778" s="26" t="str">
        <f>'Ingest Template'!H778</f>
        <v/>
      </c>
      <c r="G778" s="21"/>
      <c r="H778" s="29"/>
      <c r="I778" s="21"/>
      <c r="J778" s="29" t="str">
        <f t="array" ref="J778">iF('Ingest Template'!A778="Standard","Pristine Brand",INDEX(DropDown!$M$2:$M$392,MATCH('Ingest Template'!E778,DropDown!$J$2:$J$392,0)))</f>
        <v>#N/A</v>
      </c>
      <c r="K778" s="21" t="str">
        <f>iF('Ingest Template'!A778="Standard",'Ingest Template'!K778&amp;CHAR(10)&amp;'Ingest Template'!L778,"Competitive View")</f>
        <v>Competitive View</v>
      </c>
      <c r="L778" s="29" t="s">
        <v>146</v>
      </c>
      <c r="M778" s="37" t="str">
        <f>'Ingest Template'!D778</f>
        <v/>
      </c>
      <c r="N778" s="21"/>
      <c r="O778" s="21"/>
      <c r="P778" s="21"/>
      <c r="Q778" s="21"/>
      <c r="R778" s="21" t="str">
        <f>'Ingest Template'!E778</f>
        <v/>
      </c>
      <c r="S778" s="29" t="s">
        <v>153</v>
      </c>
      <c r="T778" s="21" t="str">
        <f>'Ingest Template'!T778</f>
        <v/>
      </c>
      <c r="U778" s="21" t="str">
        <f>'Ingest Template'!S778</f>
        <v/>
      </c>
      <c r="V778" s="21" t="str">
        <f>LOWER(SUBSTITUTE(SUBSTITUTE(SUBSTITUTE(SUBSTITUTE(SUBSTITUTE('Ingest Template'!U778,"https:",""),"www.",""),"/",""),"?hl=en",""),"instagram.com",""))</f>
        <v/>
      </c>
      <c r="W778" s="41" t="str">
        <f t="array" ref="W778">IF('Ingest Template'!V778="",(INDEX(DropDown!$L$2:$L$392,MATCH('Ingest Template'!E778,DropDown!$J$2:$J$392,0))&amp;"|"&amp;'Ingest Template'!B778),(INDEX(DropDown!$L$2:$L$392,MATCH('Ingest Template'!E778,DropDown!$J$2:$J$392,0))&amp;"|"&amp;'Ingest Template'!B778)&amp;CHAR(10)&amp;'Ingest Template'!V778)</f>
        <v>#N/A</v>
      </c>
      <c r="X778" s="41" t="str">
        <f>'Ingest Template'!W778</f>
        <v/>
      </c>
      <c r="Y778" s="21" t="str">
        <f>SUBSTITUTE(SUBSTITUTE(SUBSTITUTE('Ingest Template'!X778,"http:",""),"https:",""),"/","")</f>
        <v/>
      </c>
      <c r="Z778" s="21" t="str">
        <f t="array" ref="Z778">IF('Ingest Template'!A778="Standard",(IF(ISBLANK('Ingest Template'!AA778),"", 'Ingest Template'!AA778&amp;"|DAR")),(IF(ISBLANK('Ingest Template'!AA778),"", 'Ingest Template'!AA778&amp;"|Film Ops")))</f>
        <v/>
      </c>
      <c r="AA778" s="21"/>
      <c r="AB778" s="21" t="str">
        <f>'Ingest Template'!M778</f>
        <v/>
      </c>
      <c r="AC778" s="21" t="str">
        <f>'Ingest Template'!Y778</f>
        <v/>
      </c>
      <c r="AD778" s="21" t="str">
        <f>'Ingest Template'!C778</f>
        <v/>
      </c>
      <c r="AE778" s="21" t="str">
        <f>'Ingest Template'!Z778</f>
        <v/>
      </c>
      <c r="AF778" s="29"/>
      <c r="AG778" s="21" t="str">
        <f t="array" ref="AG778">IF('Ingest Template'!A778="Standard",(CONCATENATE(IF(ISBLANK('Ingest Template'!O778),"", 'Ingest Template'!O778&amp;"|DAR"),CHAR(10), IF(ISBLANK('Ingest Template'!P778),"", 'Ingest Template'!P778&amp;"|DAR"),CHAR(10), IF(ISBLANK('Ingest Template'!Q778),"", 'Ingest Template'!Q778&amp;"|DAR"))),(CONCATENATE(IF(ISBLANK('Ingest Template'!O778),"", 'Ingest Template'!O778&amp;"|Operations - Core Title"),CHAR(10), IF(ISBLANK('Ingest Template'!P778),"", 'Ingest Template'!P778&amp;"|Operations - Core Title"),CHAR(10), IF(ISBLANK('Ingest Template'!Q778),"", 'Ingest Template'!Q778&amp;"|Operations - Core Title"))))</f>
        <v>#|Operations - Core Title
#|Operations - Core Title
</v>
      </c>
      <c r="AH778" s="21"/>
      <c r="AI778" s="21"/>
      <c r="AJ778" s="53" t="str">
        <f>if('Ingest Template'!A778="Standard",'Ingest Template'!N778&amp; "|DAR|DAR|2021-01-01",'Ingest Template'!N778&amp; "|Operations - Core Title|Operations - Core Title")</f>
        <v>#N/A</v>
      </c>
      <c r="AK778" s="53" t="str">
        <f>if('Ingest Template'!A778="Standard",'Ingest Template'!R778&amp; "|2021-01-01",'Ingest Template'!R778)</f>
        <v>#N/A</v>
      </c>
      <c r="AL778" s="21"/>
      <c r="AM778" s="21"/>
    </row>
    <row r="779">
      <c r="A779" s="21"/>
      <c r="B779" s="21" t="str">
        <f>'Ingest Template'!B779&amp;IF('Ingest Template'!A779 = "Standard", " - DAR","")</f>
        <v/>
      </c>
      <c r="C779" s="26" t="s">
        <v>109</v>
      </c>
      <c r="D779" s="29" t="str">
        <f t="array" ref="D779">CONCATENATE(INDEX(DropDown!$H$2:$H$10,MATCH(1,COUNTIF('Ingest Template'!F779,"*"&amp;DropDown!$H$2:$H$10&amp;"*"),0)),CHAR(10),'Ingest Template'!G779)</f>
        <v>#N/A</v>
      </c>
      <c r="E779" s="21" t="str">
        <f>CONCATENATE('Ingest Template'!H779,CHAR(10),'Ingest Template'!I779,CHAR(10),'Ingest Template'!J779)</f>
        <v>
</v>
      </c>
      <c r="F779" s="26" t="str">
        <f>'Ingest Template'!H779</f>
        <v/>
      </c>
      <c r="G779" s="21"/>
      <c r="H779" s="29"/>
      <c r="I779" s="21"/>
      <c r="J779" s="29" t="str">
        <f t="array" ref="J779">iF('Ingest Template'!A779="Standard","Pristine Brand",INDEX(DropDown!$M$2:$M$392,MATCH('Ingest Template'!E779,DropDown!$J$2:$J$392,0)))</f>
        <v>#N/A</v>
      </c>
      <c r="K779" s="21" t="str">
        <f>iF('Ingest Template'!A779="Standard",'Ingest Template'!K779&amp;CHAR(10)&amp;'Ingest Template'!L779,"Competitive View")</f>
        <v>Competitive View</v>
      </c>
      <c r="L779" s="29" t="s">
        <v>146</v>
      </c>
      <c r="M779" s="37" t="str">
        <f>'Ingest Template'!D779</f>
        <v/>
      </c>
      <c r="N779" s="21"/>
      <c r="O779" s="21"/>
      <c r="P779" s="21"/>
      <c r="Q779" s="21"/>
      <c r="R779" s="21" t="str">
        <f>'Ingest Template'!E779</f>
        <v/>
      </c>
      <c r="S779" s="29" t="s">
        <v>153</v>
      </c>
      <c r="T779" s="21" t="str">
        <f>'Ingest Template'!T779</f>
        <v/>
      </c>
      <c r="U779" s="21" t="str">
        <f>'Ingest Template'!S779</f>
        <v/>
      </c>
      <c r="V779" s="21" t="str">
        <f>LOWER(SUBSTITUTE(SUBSTITUTE(SUBSTITUTE(SUBSTITUTE(SUBSTITUTE('Ingest Template'!U779,"https:",""),"www.",""),"/",""),"?hl=en",""),"instagram.com",""))</f>
        <v/>
      </c>
      <c r="W779" s="41" t="str">
        <f t="array" ref="W779">IF('Ingest Template'!V779="",(INDEX(DropDown!$L$2:$L$392,MATCH('Ingest Template'!E779,DropDown!$J$2:$J$392,0))&amp;"|"&amp;'Ingest Template'!B779),(INDEX(DropDown!$L$2:$L$392,MATCH('Ingest Template'!E779,DropDown!$J$2:$J$392,0))&amp;"|"&amp;'Ingest Template'!B779)&amp;CHAR(10)&amp;'Ingest Template'!V779)</f>
        <v>#N/A</v>
      </c>
      <c r="X779" s="41" t="str">
        <f>'Ingest Template'!W779</f>
        <v/>
      </c>
      <c r="Y779" s="21" t="str">
        <f>SUBSTITUTE(SUBSTITUTE(SUBSTITUTE('Ingest Template'!X779,"http:",""),"https:",""),"/","")</f>
        <v/>
      </c>
      <c r="Z779" s="21" t="str">
        <f t="array" ref="Z779">IF('Ingest Template'!A779="Standard",(IF(ISBLANK('Ingest Template'!AA779),"", 'Ingest Template'!AA779&amp;"|DAR")),(IF(ISBLANK('Ingest Template'!AA779),"", 'Ingest Template'!AA779&amp;"|Film Ops")))</f>
        <v/>
      </c>
      <c r="AA779" s="21"/>
      <c r="AB779" s="21" t="str">
        <f>'Ingest Template'!M779</f>
        <v/>
      </c>
      <c r="AC779" s="21" t="str">
        <f>'Ingest Template'!Y779</f>
        <v/>
      </c>
      <c r="AD779" s="21" t="str">
        <f>'Ingest Template'!C779</f>
        <v/>
      </c>
      <c r="AE779" s="21" t="str">
        <f>'Ingest Template'!Z779</f>
        <v/>
      </c>
      <c r="AF779" s="29"/>
      <c r="AG779" s="21" t="str">
        <f t="array" ref="AG779">IF('Ingest Template'!A779="Standard",(CONCATENATE(IF(ISBLANK('Ingest Template'!O779),"", 'Ingest Template'!O779&amp;"|DAR"),CHAR(10), IF(ISBLANK('Ingest Template'!P779),"", 'Ingest Template'!P779&amp;"|DAR"),CHAR(10), IF(ISBLANK('Ingest Template'!Q779),"", 'Ingest Template'!Q779&amp;"|DAR"))),(CONCATENATE(IF(ISBLANK('Ingest Template'!O779),"", 'Ingest Template'!O779&amp;"|Operations - Core Title"),CHAR(10), IF(ISBLANK('Ingest Template'!P779),"", 'Ingest Template'!P779&amp;"|Operations - Core Title"),CHAR(10), IF(ISBLANK('Ingest Template'!Q779),"", 'Ingest Template'!Q779&amp;"|Operations - Core Title"))))</f>
        <v>#|Operations - Core Title
#|Operations - Core Title
</v>
      </c>
      <c r="AH779" s="21"/>
      <c r="AI779" s="21"/>
      <c r="AJ779" s="53" t="str">
        <f>if('Ingest Template'!A779="Standard",'Ingest Template'!N779&amp; "|DAR|DAR|2021-01-01",'Ingest Template'!N779&amp; "|Operations - Core Title|Operations - Core Title")</f>
        <v>#N/A</v>
      </c>
      <c r="AK779" s="53" t="str">
        <f>if('Ingest Template'!A779="Standard",'Ingest Template'!R779&amp; "|2021-01-01",'Ingest Template'!R779)</f>
        <v>#N/A</v>
      </c>
      <c r="AL779" s="21"/>
      <c r="AM779" s="21"/>
    </row>
    <row r="780">
      <c r="A780" s="21"/>
      <c r="B780" s="21" t="str">
        <f>'Ingest Template'!B780&amp;IF('Ingest Template'!A780 = "Standard", " - DAR","")</f>
        <v/>
      </c>
      <c r="C780" s="26" t="s">
        <v>109</v>
      </c>
      <c r="D780" s="29" t="str">
        <f t="array" ref="D780">CONCATENATE(INDEX(DropDown!$H$2:$H$10,MATCH(1,COUNTIF('Ingest Template'!F780,"*"&amp;DropDown!$H$2:$H$10&amp;"*"),0)),CHAR(10),'Ingest Template'!G780)</f>
        <v>#N/A</v>
      </c>
      <c r="E780" s="21" t="str">
        <f>CONCATENATE('Ingest Template'!H780,CHAR(10),'Ingest Template'!I780,CHAR(10),'Ingest Template'!J780)</f>
        <v>
</v>
      </c>
      <c r="F780" s="26" t="str">
        <f>'Ingest Template'!H780</f>
        <v/>
      </c>
      <c r="G780" s="21"/>
      <c r="H780" s="29"/>
      <c r="I780" s="21"/>
      <c r="J780" s="29" t="str">
        <f t="array" ref="J780">iF('Ingest Template'!A780="Standard","Pristine Brand",INDEX(DropDown!$M$2:$M$392,MATCH('Ingest Template'!E780,DropDown!$J$2:$J$392,0)))</f>
        <v>#N/A</v>
      </c>
      <c r="K780" s="21" t="str">
        <f>iF('Ingest Template'!A780="Standard",'Ingest Template'!K780&amp;CHAR(10)&amp;'Ingest Template'!L780,"Competitive View")</f>
        <v>Competitive View</v>
      </c>
      <c r="L780" s="29" t="s">
        <v>146</v>
      </c>
      <c r="M780" s="37" t="str">
        <f>'Ingest Template'!D780</f>
        <v/>
      </c>
      <c r="N780" s="21"/>
      <c r="O780" s="21"/>
      <c r="P780" s="21"/>
      <c r="Q780" s="21"/>
      <c r="R780" s="21" t="str">
        <f>'Ingest Template'!E780</f>
        <v/>
      </c>
      <c r="S780" s="29" t="s">
        <v>153</v>
      </c>
      <c r="T780" s="21" t="str">
        <f>'Ingest Template'!T780</f>
        <v/>
      </c>
      <c r="U780" s="21" t="str">
        <f>'Ingest Template'!S780</f>
        <v/>
      </c>
      <c r="V780" s="21" t="str">
        <f>LOWER(SUBSTITUTE(SUBSTITUTE(SUBSTITUTE(SUBSTITUTE(SUBSTITUTE('Ingest Template'!U780,"https:",""),"www.",""),"/",""),"?hl=en",""),"instagram.com",""))</f>
        <v/>
      </c>
      <c r="W780" s="41" t="str">
        <f t="array" ref="W780">IF('Ingest Template'!V780="",(INDEX(DropDown!$L$2:$L$392,MATCH('Ingest Template'!E780,DropDown!$J$2:$J$392,0))&amp;"|"&amp;'Ingest Template'!B780),(INDEX(DropDown!$L$2:$L$392,MATCH('Ingest Template'!E780,DropDown!$J$2:$J$392,0))&amp;"|"&amp;'Ingest Template'!B780)&amp;CHAR(10)&amp;'Ingest Template'!V780)</f>
        <v>#N/A</v>
      </c>
      <c r="X780" s="41" t="str">
        <f>'Ingest Template'!W780</f>
        <v/>
      </c>
      <c r="Y780" s="21" t="str">
        <f>SUBSTITUTE(SUBSTITUTE(SUBSTITUTE('Ingest Template'!X780,"http:",""),"https:",""),"/","")</f>
        <v/>
      </c>
      <c r="Z780" s="21" t="str">
        <f t="array" ref="Z780">IF('Ingest Template'!A780="Standard",(IF(ISBLANK('Ingest Template'!AA780),"", 'Ingest Template'!AA780&amp;"|DAR")),(IF(ISBLANK('Ingest Template'!AA780),"", 'Ingest Template'!AA780&amp;"|Film Ops")))</f>
        <v/>
      </c>
      <c r="AA780" s="21"/>
      <c r="AB780" s="21" t="str">
        <f>'Ingest Template'!M780</f>
        <v/>
      </c>
      <c r="AC780" s="21" t="str">
        <f>'Ingest Template'!Y780</f>
        <v/>
      </c>
      <c r="AD780" s="21" t="str">
        <f>'Ingest Template'!C780</f>
        <v/>
      </c>
      <c r="AE780" s="21" t="str">
        <f>'Ingest Template'!Z780</f>
        <v/>
      </c>
      <c r="AF780" s="29"/>
      <c r="AG780" s="21" t="str">
        <f t="array" ref="AG780">IF('Ingest Template'!A780="Standard",(CONCATENATE(IF(ISBLANK('Ingest Template'!O780),"", 'Ingest Template'!O780&amp;"|DAR"),CHAR(10), IF(ISBLANK('Ingest Template'!P780),"", 'Ingest Template'!P780&amp;"|DAR"),CHAR(10), IF(ISBLANK('Ingest Template'!Q780),"", 'Ingest Template'!Q780&amp;"|DAR"))),(CONCATENATE(IF(ISBLANK('Ingest Template'!O780),"", 'Ingest Template'!O780&amp;"|Operations - Core Title"),CHAR(10), IF(ISBLANK('Ingest Template'!P780),"", 'Ingest Template'!P780&amp;"|Operations - Core Title"),CHAR(10), IF(ISBLANK('Ingest Template'!Q780),"", 'Ingest Template'!Q780&amp;"|Operations - Core Title"))))</f>
        <v>#|Operations - Core Title
#|Operations - Core Title
</v>
      </c>
      <c r="AH780" s="21"/>
      <c r="AI780" s="21"/>
      <c r="AJ780" s="53" t="str">
        <f>if('Ingest Template'!A780="Standard",'Ingest Template'!N780&amp; "|DAR|DAR|2021-01-01",'Ingest Template'!N780&amp; "|Operations - Core Title|Operations - Core Title")</f>
        <v>#N/A</v>
      </c>
      <c r="AK780" s="53" t="str">
        <f>if('Ingest Template'!A780="Standard",'Ingest Template'!R780&amp; "|2021-01-01",'Ingest Template'!R780)</f>
        <v>#N/A</v>
      </c>
      <c r="AL780" s="21"/>
      <c r="AM780" s="21"/>
    </row>
    <row r="781">
      <c r="A781" s="21"/>
      <c r="B781" s="21" t="str">
        <f>'Ingest Template'!B781&amp;IF('Ingest Template'!A781 = "Standard", " - DAR","")</f>
        <v/>
      </c>
      <c r="C781" s="26" t="s">
        <v>109</v>
      </c>
      <c r="D781" s="29" t="str">
        <f t="array" ref="D781">CONCATENATE(INDEX(DropDown!$H$2:$H$10,MATCH(1,COUNTIF('Ingest Template'!F781,"*"&amp;DropDown!$H$2:$H$10&amp;"*"),0)),CHAR(10),'Ingest Template'!G781)</f>
        <v>#N/A</v>
      </c>
      <c r="E781" s="21" t="str">
        <f>CONCATENATE('Ingest Template'!H781,CHAR(10),'Ingest Template'!I781,CHAR(10),'Ingest Template'!J781)</f>
        <v>
</v>
      </c>
      <c r="F781" s="26" t="str">
        <f>'Ingest Template'!H781</f>
        <v/>
      </c>
      <c r="G781" s="21"/>
      <c r="H781" s="29"/>
      <c r="I781" s="21"/>
      <c r="J781" s="29" t="str">
        <f t="array" ref="J781">iF('Ingest Template'!A781="Standard","Pristine Brand",INDEX(DropDown!$M$2:$M$392,MATCH('Ingest Template'!E781,DropDown!$J$2:$J$392,0)))</f>
        <v>#N/A</v>
      </c>
      <c r="K781" s="21" t="str">
        <f>iF('Ingest Template'!A781="Standard",'Ingest Template'!K781&amp;CHAR(10)&amp;'Ingest Template'!L781,"Competitive View")</f>
        <v>Competitive View</v>
      </c>
      <c r="L781" s="29" t="s">
        <v>146</v>
      </c>
      <c r="M781" s="37" t="str">
        <f>'Ingest Template'!D781</f>
        <v/>
      </c>
      <c r="N781" s="21"/>
      <c r="O781" s="21"/>
      <c r="P781" s="21"/>
      <c r="Q781" s="21"/>
      <c r="R781" s="21" t="str">
        <f>'Ingest Template'!E781</f>
        <v/>
      </c>
      <c r="S781" s="29" t="s">
        <v>153</v>
      </c>
      <c r="T781" s="21" t="str">
        <f>'Ingest Template'!T781</f>
        <v/>
      </c>
      <c r="U781" s="21" t="str">
        <f>'Ingest Template'!S781</f>
        <v/>
      </c>
      <c r="V781" s="21" t="str">
        <f>LOWER(SUBSTITUTE(SUBSTITUTE(SUBSTITUTE(SUBSTITUTE(SUBSTITUTE('Ingest Template'!U781,"https:",""),"www.",""),"/",""),"?hl=en",""),"instagram.com",""))</f>
        <v/>
      </c>
      <c r="W781" s="41" t="str">
        <f t="array" ref="W781">IF('Ingest Template'!V781="",(INDEX(DropDown!$L$2:$L$392,MATCH('Ingest Template'!E781,DropDown!$J$2:$J$392,0))&amp;"|"&amp;'Ingest Template'!B781),(INDEX(DropDown!$L$2:$L$392,MATCH('Ingest Template'!E781,DropDown!$J$2:$J$392,0))&amp;"|"&amp;'Ingest Template'!B781)&amp;CHAR(10)&amp;'Ingest Template'!V781)</f>
        <v>#N/A</v>
      </c>
      <c r="X781" s="41" t="str">
        <f>'Ingest Template'!W781</f>
        <v/>
      </c>
      <c r="Y781" s="21" t="str">
        <f>SUBSTITUTE(SUBSTITUTE(SUBSTITUTE('Ingest Template'!X781,"http:",""),"https:",""),"/","")</f>
        <v/>
      </c>
      <c r="Z781" s="21" t="str">
        <f t="array" ref="Z781">IF('Ingest Template'!A781="Standard",(IF(ISBLANK('Ingest Template'!AA781),"", 'Ingest Template'!AA781&amp;"|DAR")),(IF(ISBLANK('Ingest Template'!AA781),"", 'Ingest Template'!AA781&amp;"|Film Ops")))</f>
        <v/>
      </c>
      <c r="AA781" s="21"/>
      <c r="AB781" s="21" t="str">
        <f>'Ingest Template'!M781</f>
        <v/>
      </c>
      <c r="AC781" s="21" t="str">
        <f>'Ingest Template'!Y781</f>
        <v/>
      </c>
      <c r="AD781" s="21" t="str">
        <f>'Ingest Template'!C781</f>
        <v/>
      </c>
      <c r="AE781" s="21" t="str">
        <f>'Ingest Template'!Z781</f>
        <v/>
      </c>
      <c r="AF781" s="29"/>
      <c r="AG781" s="21" t="str">
        <f t="array" ref="AG781">IF('Ingest Template'!A781="Standard",(CONCATENATE(IF(ISBLANK('Ingest Template'!O781),"", 'Ingest Template'!O781&amp;"|DAR"),CHAR(10), IF(ISBLANK('Ingest Template'!P781),"", 'Ingest Template'!P781&amp;"|DAR"),CHAR(10), IF(ISBLANK('Ingest Template'!Q781),"", 'Ingest Template'!Q781&amp;"|DAR"))),(CONCATENATE(IF(ISBLANK('Ingest Template'!O781),"", 'Ingest Template'!O781&amp;"|Operations - Core Title"),CHAR(10), IF(ISBLANK('Ingest Template'!P781),"", 'Ingest Template'!P781&amp;"|Operations - Core Title"),CHAR(10), IF(ISBLANK('Ingest Template'!Q781),"", 'Ingest Template'!Q781&amp;"|Operations - Core Title"))))</f>
        <v>#|Operations - Core Title
#|Operations - Core Title
</v>
      </c>
      <c r="AH781" s="21"/>
      <c r="AI781" s="21"/>
      <c r="AJ781" s="53" t="str">
        <f>if('Ingest Template'!A781="Standard",'Ingest Template'!N781&amp; "|DAR|DAR|2021-01-01",'Ingest Template'!N781&amp; "|Operations - Core Title|Operations - Core Title")</f>
        <v>#N/A</v>
      </c>
      <c r="AK781" s="53" t="str">
        <f>if('Ingest Template'!A781="Standard",'Ingest Template'!R781&amp; "|2021-01-01",'Ingest Template'!R781)</f>
        <v>#N/A</v>
      </c>
      <c r="AL781" s="21"/>
      <c r="AM781" s="21"/>
    </row>
    <row r="782">
      <c r="A782" s="21"/>
      <c r="B782" s="21" t="str">
        <f>'Ingest Template'!B782&amp;IF('Ingest Template'!A782 = "Standard", " - DAR","")</f>
        <v/>
      </c>
      <c r="C782" s="26" t="s">
        <v>109</v>
      </c>
      <c r="D782" s="29" t="str">
        <f t="array" ref="D782">CONCATENATE(INDEX(DropDown!$H$2:$H$10,MATCH(1,COUNTIF('Ingest Template'!F782,"*"&amp;DropDown!$H$2:$H$10&amp;"*"),0)),CHAR(10),'Ingest Template'!G782)</f>
        <v>#N/A</v>
      </c>
      <c r="E782" s="21" t="str">
        <f>CONCATENATE('Ingest Template'!H782,CHAR(10),'Ingest Template'!I782,CHAR(10),'Ingest Template'!J782)</f>
        <v>
</v>
      </c>
      <c r="F782" s="26" t="str">
        <f>'Ingest Template'!H782</f>
        <v/>
      </c>
      <c r="G782" s="21"/>
      <c r="H782" s="29"/>
      <c r="I782" s="21"/>
      <c r="J782" s="29" t="str">
        <f t="array" ref="J782">iF('Ingest Template'!A782="Standard","Pristine Brand",INDEX(DropDown!$M$2:$M$392,MATCH('Ingest Template'!E782,DropDown!$J$2:$J$392,0)))</f>
        <v>#N/A</v>
      </c>
      <c r="K782" s="21" t="str">
        <f>iF('Ingest Template'!A782="Standard",'Ingest Template'!K782&amp;CHAR(10)&amp;'Ingest Template'!L782,"Competitive View")</f>
        <v>Competitive View</v>
      </c>
      <c r="L782" s="29" t="s">
        <v>146</v>
      </c>
      <c r="M782" s="37" t="str">
        <f>'Ingest Template'!D782</f>
        <v/>
      </c>
      <c r="N782" s="21"/>
      <c r="O782" s="21"/>
      <c r="P782" s="21"/>
      <c r="Q782" s="21"/>
      <c r="R782" s="21" t="str">
        <f>'Ingest Template'!E782</f>
        <v/>
      </c>
      <c r="S782" s="29" t="s">
        <v>153</v>
      </c>
      <c r="T782" s="21" t="str">
        <f>'Ingest Template'!T782</f>
        <v/>
      </c>
      <c r="U782" s="21" t="str">
        <f>'Ingest Template'!S782</f>
        <v/>
      </c>
      <c r="V782" s="21" t="str">
        <f>LOWER(SUBSTITUTE(SUBSTITUTE(SUBSTITUTE(SUBSTITUTE(SUBSTITUTE('Ingest Template'!U782,"https:",""),"www.",""),"/",""),"?hl=en",""),"instagram.com",""))</f>
        <v/>
      </c>
      <c r="W782" s="41" t="str">
        <f t="array" ref="W782">IF('Ingest Template'!V782="",(INDEX(DropDown!$L$2:$L$392,MATCH('Ingest Template'!E782,DropDown!$J$2:$J$392,0))&amp;"|"&amp;'Ingest Template'!B782),(INDEX(DropDown!$L$2:$L$392,MATCH('Ingest Template'!E782,DropDown!$J$2:$J$392,0))&amp;"|"&amp;'Ingest Template'!B782)&amp;CHAR(10)&amp;'Ingest Template'!V782)</f>
        <v>#N/A</v>
      </c>
      <c r="X782" s="41" t="str">
        <f>'Ingest Template'!W782</f>
        <v/>
      </c>
      <c r="Y782" s="21" t="str">
        <f>SUBSTITUTE(SUBSTITUTE(SUBSTITUTE('Ingest Template'!X782,"http:",""),"https:",""),"/","")</f>
        <v/>
      </c>
      <c r="Z782" s="21" t="str">
        <f t="array" ref="Z782">IF('Ingest Template'!A782="Standard",(IF(ISBLANK('Ingest Template'!AA782),"", 'Ingest Template'!AA782&amp;"|DAR")),(IF(ISBLANK('Ingest Template'!AA782),"", 'Ingest Template'!AA782&amp;"|Film Ops")))</f>
        <v/>
      </c>
      <c r="AA782" s="21"/>
      <c r="AB782" s="21" t="str">
        <f>'Ingest Template'!M782</f>
        <v/>
      </c>
      <c r="AC782" s="21" t="str">
        <f>'Ingest Template'!Y782</f>
        <v/>
      </c>
      <c r="AD782" s="21" t="str">
        <f>'Ingest Template'!C782</f>
        <v/>
      </c>
      <c r="AE782" s="21" t="str">
        <f>'Ingest Template'!Z782</f>
        <v/>
      </c>
      <c r="AF782" s="29"/>
      <c r="AG782" s="21" t="str">
        <f t="array" ref="AG782">IF('Ingest Template'!A782="Standard",(CONCATENATE(IF(ISBLANK('Ingest Template'!O782),"", 'Ingest Template'!O782&amp;"|DAR"),CHAR(10), IF(ISBLANK('Ingest Template'!P782),"", 'Ingest Template'!P782&amp;"|DAR"),CHAR(10), IF(ISBLANK('Ingest Template'!Q782),"", 'Ingest Template'!Q782&amp;"|DAR"))),(CONCATENATE(IF(ISBLANK('Ingest Template'!O782),"", 'Ingest Template'!O782&amp;"|Operations - Core Title"),CHAR(10), IF(ISBLANK('Ingest Template'!P782),"", 'Ingest Template'!P782&amp;"|Operations - Core Title"),CHAR(10), IF(ISBLANK('Ingest Template'!Q782),"", 'Ingest Template'!Q782&amp;"|Operations - Core Title"))))</f>
        <v>#|Operations - Core Title
#|Operations - Core Title
</v>
      </c>
      <c r="AH782" s="21"/>
      <c r="AI782" s="21"/>
      <c r="AJ782" s="53" t="str">
        <f>if('Ingest Template'!A782="Standard",'Ingest Template'!N782&amp; "|DAR|DAR|2021-01-01",'Ingest Template'!N782&amp; "|Operations - Core Title|Operations - Core Title")</f>
        <v>#N/A</v>
      </c>
      <c r="AK782" s="53" t="str">
        <f>if('Ingest Template'!A782="Standard",'Ingest Template'!R782&amp; "|2021-01-01",'Ingest Template'!R782)</f>
        <v>#N/A</v>
      </c>
      <c r="AL782" s="21"/>
      <c r="AM782" s="21"/>
    </row>
    <row r="783">
      <c r="A783" s="21"/>
      <c r="B783" s="21" t="str">
        <f>'Ingest Template'!B783&amp;IF('Ingest Template'!A783 = "Standard", " - DAR","")</f>
        <v/>
      </c>
      <c r="C783" s="26" t="s">
        <v>109</v>
      </c>
      <c r="D783" s="29" t="str">
        <f t="array" ref="D783">CONCATENATE(INDEX(DropDown!$H$2:$H$10,MATCH(1,COUNTIF('Ingest Template'!F783,"*"&amp;DropDown!$H$2:$H$10&amp;"*"),0)),CHAR(10),'Ingest Template'!G783)</f>
        <v>#N/A</v>
      </c>
      <c r="E783" s="21" t="str">
        <f>CONCATENATE('Ingest Template'!H783,CHAR(10),'Ingest Template'!I783,CHAR(10),'Ingest Template'!J783)</f>
        <v>
</v>
      </c>
      <c r="F783" s="26" t="str">
        <f>'Ingest Template'!H783</f>
        <v/>
      </c>
      <c r="G783" s="21"/>
      <c r="H783" s="29"/>
      <c r="I783" s="21"/>
      <c r="J783" s="29" t="str">
        <f t="array" ref="J783">iF('Ingest Template'!A783="Standard","Pristine Brand",INDEX(DropDown!$M$2:$M$392,MATCH('Ingest Template'!E783,DropDown!$J$2:$J$392,0)))</f>
        <v>#N/A</v>
      </c>
      <c r="K783" s="21" t="str">
        <f>iF('Ingest Template'!A783="Standard",'Ingest Template'!K783&amp;CHAR(10)&amp;'Ingest Template'!L783,"Competitive View")</f>
        <v>Competitive View</v>
      </c>
      <c r="L783" s="29" t="s">
        <v>146</v>
      </c>
      <c r="M783" s="37" t="str">
        <f>'Ingest Template'!D783</f>
        <v/>
      </c>
      <c r="N783" s="21"/>
      <c r="O783" s="21"/>
      <c r="P783" s="21"/>
      <c r="Q783" s="21"/>
      <c r="R783" s="21" t="str">
        <f>'Ingest Template'!E783</f>
        <v/>
      </c>
      <c r="S783" s="29" t="s">
        <v>153</v>
      </c>
      <c r="T783" s="21" t="str">
        <f>'Ingest Template'!T783</f>
        <v/>
      </c>
      <c r="U783" s="21" t="str">
        <f>'Ingest Template'!S783</f>
        <v/>
      </c>
      <c r="V783" s="21" t="str">
        <f>LOWER(SUBSTITUTE(SUBSTITUTE(SUBSTITUTE(SUBSTITUTE(SUBSTITUTE('Ingest Template'!U783,"https:",""),"www.",""),"/",""),"?hl=en",""),"instagram.com",""))</f>
        <v/>
      </c>
      <c r="W783" s="41" t="str">
        <f t="array" ref="W783">IF('Ingest Template'!V783="",(INDEX(DropDown!$L$2:$L$392,MATCH('Ingest Template'!E783,DropDown!$J$2:$J$392,0))&amp;"|"&amp;'Ingest Template'!B783),(INDEX(DropDown!$L$2:$L$392,MATCH('Ingest Template'!E783,DropDown!$J$2:$J$392,0))&amp;"|"&amp;'Ingest Template'!B783)&amp;CHAR(10)&amp;'Ingest Template'!V783)</f>
        <v>#N/A</v>
      </c>
      <c r="X783" s="41" t="str">
        <f>'Ingest Template'!W783</f>
        <v/>
      </c>
      <c r="Y783" s="21" t="str">
        <f>SUBSTITUTE(SUBSTITUTE(SUBSTITUTE('Ingest Template'!X783,"http:",""),"https:",""),"/","")</f>
        <v/>
      </c>
      <c r="Z783" s="21" t="str">
        <f t="array" ref="Z783">IF('Ingest Template'!A783="Standard",(IF(ISBLANK('Ingest Template'!AA783),"", 'Ingest Template'!AA783&amp;"|DAR")),(IF(ISBLANK('Ingest Template'!AA783),"", 'Ingest Template'!AA783&amp;"|Film Ops")))</f>
        <v/>
      </c>
      <c r="AA783" s="21"/>
      <c r="AB783" s="21" t="str">
        <f>'Ingest Template'!M783</f>
        <v/>
      </c>
      <c r="AC783" s="21" t="str">
        <f>'Ingest Template'!Y783</f>
        <v/>
      </c>
      <c r="AD783" s="21" t="str">
        <f>'Ingest Template'!C783</f>
        <v/>
      </c>
      <c r="AE783" s="21" t="str">
        <f>'Ingest Template'!Z783</f>
        <v/>
      </c>
      <c r="AF783" s="29"/>
      <c r="AG783" s="21" t="str">
        <f t="array" ref="AG783">IF('Ingest Template'!A783="Standard",(CONCATENATE(IF(ISBLANK('Ingest Template'!O783),"", 'Ingest Template'!O783&amp;"|DAR"),CHAR(10), IF(ISBLANK('Ingest Template'!P783),"", 'Ingest Template'!P783&amp;"|DAR"),CHAR(10), IF(ISBLANK('Ingest Template'!Q783),"", 'Ingest Template'!Q783&amp;"|DAR"))),(CONCATENATE(IF(ISBLANK('Ingest Template'!O783),"", 'Ingest Template'!O783&amp;"|Operations - Core Title"),CHAR(10), IF(ISBLANK('Ingest Template'!P783),"", 'Ingest Template'!P783&amp;"|Operations - Core Title"),CHAR(10), IF(ISBLANK('Ingest Template'!Q783),"", 'Ingest Template'!Q783&amp;"|Operations - Core Title"))))</f>
        <v>#|Operations - Core Title
#|Operations - Core Title
</v>
      </c>
      <c r="AH783" s="21"/>
      <c r="AI783" s="21"/>
      <c r="AJ783" s="53" t="str">
        <f>if('Ingest Template'!A783="Standard",'Ingest Template'!N783&amp; "|DAR|DAR|2021-01-01",'Ingest Template'!N783&amp; "|Operations - Core Title|Operations - Core Title")</f>
        <v>#N/A</v>
      </c>
      <c r="AK783" s="53" t="str">
        <f>if('Ingest Template'!A783="Standard",'Ingest Template'!R783&amp; "|2021-01-01",'Ingest Template'!R783)</f>
        <v>#N/A</v>
      </c>
      <c r="AL783" s="21"/>
      <c r="AM783" s="21"/>
    </row>
    <row r="784">
      <c r="A784" s="21"/>
      <c r="B784" s="21" t="str">
        <f>'Ingest Template'!B784&amp;IF('Ingest Template'!A784 = "Standard", " - DAR","")</f>
        <v/>
      </c>
      <c r="C784" s="26" t="s">
        <v>109</v>
      </c>
      <c r="D784" s="29" t="str">
        <f t="array" ref="D784">CONCATENATE(INDEX(DropDown!$H$2:$H$10,MATCH(1,COUNTIF('Ingest Template'!F784,"*"&amp;DropDown!$H$2:$H$10&amp;"*"),0)),CHAR(10),'Ingest Template'!G784)</f>
        <v>#N/A</v>
      </c>
      <c r="E784" s="21" t="str">
        <f>CONCATENATE('Ingest Template'!H784,CHAR(10),'Ingest Template'!I784,CHAR(10),'Ingest Template'!J784)</f>
        <v>
</v>
      </c>
      <c r="F784" s="26" t="str">
        <f>'Ingest Template'!H784</f>
        <v/>
      </c>
      <c r="G784" s="21"/>
      <c r="H784" s="29"/>
      <c r="I784" s="21"/>
      <c r="J784" s="29" t="str">
        <f t="array" ref="J784">iF('Ingest Template'!A784="Standard","Pristine Brand",INDEX(DropDown!$M$2:$M$392,MATCH('Ingest Template'!E784,DropDown!$J$2:$J$392,0)))</f>
        <v>#N/A</v>
      </c>
      <c r="K784" s="21" t="str">
        <f>iF('Ingest Template'!A784="Standard",'Ingest Template'!K784&amp;CHAR(10)&amp;'Ingest Template'!L784,"Competitive View")</f>
        <v>Competitive View</v>
      </c>
      <c r="L784" s="29" t="s">
        <v>146</v>
      </c>
      <c r="M784" s="37" t="str">
        <f>'Ingest Template'!D784</f>
        <v/>
      </c>
      <c r="N784" s="21"/>
      <c r="O784" s="21"/>
      <c r="P784" s="21"/>
      <c r="Q784" s="21"/>
      <c r="R784" s="21" t="str">
        <f>'Ingest Template'!E784</f>
        <v/>
      </c>
      <c r="S784" s="29" t="s">
        <v>153</v>
      </c>
      <c r="T784" s="21" t="str">
        <f>'Ingest Template'!T784</f>
        <v/>
      </c>
      <c r="U784" s="21" t="str">
        <f>'Ingest Template'!S784</f>
        <v/>
      </c>
      <c r="V784" s="21" t="str">
        <f>LOWER(SUBSTITUTE(SUBSTITUTE(SUBSTITUTE(SUBSTITUTE(SUBSTITUTE('Ingest Template'!U784,"https:",""),"www.",""),"/",""),"?hl=en",""),"instagram.com",""))</f>
        <v/>
      </c>
      <c r="W784" s="41" t="str">
        <f t="array" ref="W784">IF('Ingest Template'!V784="",(INDEX(DropDown!$L$2:$L$392,MATCH('Ingest Template'!E784,DropDown!$J$2:$J$392,0))&amp;"|"&amp;'Ingest Template'!B784),(INDEX(DropDown!$L$2:$L$392,MATCH('Ingest Template'!E784,DropDown!$J$2:$J$392,0))&amp;"|"&amp;'Ingest Template'!B784)&amp;CHAR(10)&amp;'Ingest Template'!V784)</f>
        <v>#N/A</v>
      </c>
      <c r="X784" s="41" t="str">
        <f>'Ingest Template'!W784</f>
        <v/>
      </c>
      <c r="Y784" s="21" t="str">
        <f>SUBSTITUTE(SUBSTITUTE(SUBSTITUTE('Ingest Template'!X784,"http:",""),"https:",""),"/","")</f>
        <v/>
      </c>
      <c r="Z784" s="21" t="str">
        <f t="array" ref="Z784">IF('Ingest Template'!A784="Standard",(IF(ISBLANK('Ingest Template'!AA784),"", 'Ingest Template'!AA784&amp;"|DAR")),(IF(ISBLANK('Ingest Template'!AA784),"", 'Ingest Template'!AA784&amp;"|Film Ops")))</f>
        <v/>
      </c>
      <c r="AA784" s="21"/>
      <c r="AB784" s="21" t="str">
        <f>'Ingest Template'!M784</f>
        <v/>
      </c>
      <c r="AC784" s="21" t="str">
        <f>'Ingest Template'!Y784</f>
        <v/>
      </c>
      <c r="AD784" s="21" t="str">
        <f>'Ingest Template'!C784</f>
        <v/>
      </c>
      <c r="AE784" s="21" t="str">
        <f>'Ingest Template'!Z784</f>
        <v/>
      </c>
      <c r="AF784" s="29"/>
      <c r="AG784" s="21" t="str">
        <f t="array" ref="AG784">IF('Ingest Template'!A784="Standard",(CONCATENATE(IF(ISBLANK('Ingest Template'!O784),"", 'Ingest Template'!O784&amp;"|DAR"),CHAR(10), IF(ISBLANK('Ingest Template'!P784),"", 'Ingest Template'!P784&amp;"|DAR"),CHAR(10), IF(ISBLANK('Ingest Template'!Q784),"", 'Ingest Template'!Q784&amp;"|DAR"))),(CONCATENATE(IF(ISBLANK('Ingest Template'!O784),"", 'Ingest Template'!O784&amp;"|Operations - Core Title"),CHAR(10), IF(ISBLANK('Ingest Template'!P784),"", 'Ingest Template'!P784&amp;"|Operations - Core Title"),CHAR(10), IF(ISBLANK('Ingest Template'!Q784),"", 'Ingest Template'!Q784&amp;"|Operations - Core Title"))))</f>
        <v>#|Operations - Core Title
#|Operations - Core Title
</v>
      </c>
      <c r="AH784" s="21"/>
      <c r="AI784" s="21"/>
      <c r="AJ784" s="53" t="str">
        <f>if('Ingest Template'!A784="Standard",'Ingest Template'!N784&amp; "|DAR|DAR|2021-01-01",'Ingest Template'!N784&amp; "|Operations - Core Title|Operations - Core Title")</f>
        <v>#N/A</v>
      </c>
      <c r="AK784" s="53" t="str">
        <f>if('Ingest Template'!A784="Standard",'Ingest Template'!R784&amp; "|2021-01-01",'Ingest Template'!R784)</f>
        <v>#N/A</v>
      </c>
      <c r="AL784" s="21"/>
      <c r="AM784" s="21"/>
    </row>
    <row r="785">
      <c r="A785" s="21"/>
      <c r="B785" s="21" t="str">
        <f>'Ingest Template'!B785&amp;IF('Ingest Template'!A785 = "Standard", " - DAR","")</f>
        <v/>
      </c>
      <c r="C785" s="26" t="s">
        <v>109</v>
      </c>
      <c r="D785" s="29" t="str">
        <f t="array" ref="D785">CONCATENATE(INDEX(DropDown!$H$2:$H$10,MATCH(1,COUNTIF('Ingest Template'!F785,"*"&amp;DropDown!$H$2:$H$10&amp;"*"),0)),CHAR(10),'Ingest Template'!G785)</f>
        <v>#N/A</v>
      </c>
      <c r="E785" s="21" t="str">
        <f>CONCATENATE('Ingest Template'!H785,CHAR(10),'Ingest Template'!I785,CHAR(10),'Ingest Template'!J785)</f>
        <v>
</v>
      </c>
      <c r="F785" s="26" t="str">
        <f>'Ingest Template'!H785</f>
        <v/>
      </c>
      <c r="G785" s="21"/>
      <c r="H785" s="29"/>
      <c r="I785" s="21"/>
      <c r="J785" s="29" t="str">
        <f t="array" ref="J785">iF('Ingest Template'!A785="Standard","Pristine Brand",INDEX(DropDown!$M$2:$M$392,MATCH('Ingest Template'!E785,DropDown!$J$2:$J$392,0)))</f>
        <v>#N/A</v>
      </c>
      <c r="K785" s="21" t="str">
        <f>iF('Ingest Template'!A785="Standard",'Ingest Template'!K785&amp;CHAR(10)&amp;'Ingest Template'!L785,"Competitive View")</f>
        <v>Competitive View</v>
      </c>
      <c r="L785" s="29" t="s">
        <v>146</v>
      </c>
      <c r="M785" s="37" t="str">
        <f>'Ingest Template'!D785</f>
        <v/>
      </c>
      <c r="N785" s="21"/>
      <c r="O785" s="21"/>
      <c r="P785" s="21"/>
      <c r="Q785" s="21"/>
      <c r="R785" s="21" t="str">
        <f>'Ingest Template'!E785</f>
        <v/>
      </c>
      <c r="S785" s="29" t="s">
        <v>153</v>
      </c>
      <c r="T785" s="21" t="str">
        <f>'Ingest Template'!T785</f>
        <v/>
      </c>
      <c r="U785" s="21" t="str">
        <f>'Ingest Template'!S785</f>
        <v/>
      </c>
      <c r="V785" s="21" t="str">
        <f>LOWER(SUBSTITUTE(SUBSTITUTE(SUBSTITUTE(SUBSTITUTE(SUBSTITUTE('Ingest Template'!U785,"https:",""),"www.",""),"/",""),"?hl=en",""),"instagram.com",""))</f>
        <v/>
      </c>
      <c r="W785" s="41" t="str">
        <f t="array" ref="W785">IF('Ingest Template'!V785="",(INDEX(DropDown!$L$2:$L$392,MATCH('Ingest Template'!E785,DropDown!$J$2:$J$392,0))&amp;"|"&amp;'Ingest Template'!B785),(INDEX(DropDown!$L$2:$L$392,MATCH('Ingest Template'!E785,DropDown!$J$2:$J$392,0))&amp;"|"&amp;'Ingest Template'!B785)&amp;CHAR(10)&amp;'Ingest Template'!V785)</f>
        <v>#N/A</v>
      </c>
      <c r="X785" s="41" t="str">
        <f>'Ingest Template'!W785</f>
        <v/>
      </c>
      <c r="Y785" s="21" t="str">
        <f>SUBSTITUTE(SUBSTITUTE(SUBSTITUTE('Ingest Template'!X785,"http:",""),"https:",""),"/","")</f>
        <v/>
      </c>
      <c r="Z785" s="21" t="str">
        <f t="array" ref="Z785">IF('Ingest Template'!A785="Standard",(IF(ISBLANK('Ingest Template'!AA785),"", 'Ingest Template'!AA785&amp;"|DAR")),(IF(ISBLANK('Ingest Template'!AA785),"", 'Ingest Template'!AA785&amp;"|Film Ops")))</f>
        <v/>
      </c>
      <c r="AA785" s="21"/>
      <c r="AB785" s="21" t="str">
        <f>'Ingest Template'!M785</f>
        <v/>
      </c>
      <c r="AC785" s="21" t="str">
        <f>'Ingest Template'!Y785</f>
        <v/>
      </c>
      <c r="AD785" s="21" t="str">
        <f>'Ingest Template'!C785</f>
        <v/>
      </c>
      <c r="AE785" s="21" t="str">
        <f>'Ingest Template'!Z785</f>
        <v/>
      </c>
      <c r="AF785" s="29"/>
      <c r="AG785" s="21" t="str">
        <f t="array" ref="AG785">IF('Ingest Template'!A785="Standard",(CONCATENATE(IF(ISBLANK('Ingest Template'!O785),"", 'Ingest Template'!O785&amp;"|DAR"),CHAR(10), IF(ISBLANK('Ingest Template'!P785),"", 'Ingest Template'!P785&amp;"|DAR"),CHAR(10), IF(ISBLANK('Ingest Template'!Q785),"", 'Ingest Template'!Q785&amp;"|DAR"))),(CONCATENATE(IF(ISBLANK('Ingest Template'!O785),"", 'Ingest Template'!O785&amp;"|Operations - Core Title"),CHAR(10), IF(ISBLANK('Ingest Template'!P785),"", 'Ingest Template'!P785&amp;"|Operations - Core Title"),CHAR(10), IF(ISBLANK('Ingest Template'!Q785),"", 'Ingest Template'!Q785&amp;"|Operations - Core Title"))))</f>
        <v>#|Operations - Core Title
#|Operations - Core Title
</v>
      </c>
      <c r="AH785" s="21"/>
      <c r="AI785" s="21"/>
      <c r="AJ785" s="53" t="str">
        <f>if('Ingest Template'!A785="Standard",'Ingest Template'!N785&amp; "|DAR|DAR|2021-01-01",'Ingest Template'!N785&amp; "|Operations - Core Title|Operations - Core Title")</f>
        <v>#N/A</v>
      </c>
      <c r="AK785" s="53" t="str">
        <f>if('Ingest Template'!A785="Standard",'Ingest Template'!R785&amp; "|2021-01-01",'Ingest Template'!R785)</f>
        <v>#N/A</v>
      </c>
      <c r="AL785" s="21"/>
      <c r="AM785" s="21"/>
    </row>
    <row r="786">
      <c r="A786" s="21"/>
      <c r="B786" s="21" t="str">
        <f>'Ingest Template'!B786&amp;IF('Ingest Template'!A786 = "Standard", " - DAR","")</f>
        <v/>
      </c>
      <c r="C786" s="26" t="s">
        <v>109</v>
      </c>
      <c r="D786" s="29" t="str">
        <f t="array" ref="D786">CONCATENATE(INDEX(DropDown!$H$2:$H$10,MATCH(1,COUNTIF('Ingest Template'!F786,"*"&amp;DropDown!$H$2:$H$10&amp;"*"),0)),CHAR(10),'Ingest Template'!G786)</f>
        <v>#N/A</v>
      </c>
      <c r="E786" s="21" t="str">
        <f>CONCATENATE('Ingest Template'!H786,CHAR(10),'Ingest Template'!I786,CHAR(10),'Ingest Template'!J786)</f>
        <v>
</v>
      </c>
      <c r="F786" s="26" t="str">
        <f>'Ingest Template'!H786</f>
        <v/>
      </c>
      <c r="G786" s="21"/>
      <c r="H786" s="29"/>
      <c r="I786" s="21"/>
      <c r="J786" s="29" t="str">
        <f t="array" ref="J786">iF('Ingest Template'!A786="Standard","Pristine Brand",INDEX(DropDown!$M$2:$M$392,MATCH('Ingest Template'!E786,DropDown!$J$2:$J$392,0)))</f>
        <v>#N/A</v>
      </c>
      <c r="K786" s="21" t="str">
        <f>iF('Ingest Template'!A786="Standard",'Ingest Template'!K786&amp;CHAR(10)&amp;'Ingest Template'!L786,"Competitive View")</f>
        <v>Competitive View</v>
      </c>
      <c r="L786" s="29" t="s">
        <v>146</v>
      </c>
      <c r="M786" s="37" t="str">
        <f>'Ingest Template'!D786</f>
        <v/>
      </c>
      <c r="N786" s="21"/>
      <c r="O786" s="21"/>
      <c r="P786" s="21"/>
      <c r="Q786" s="21"/>
      <c r="R786" s="21" t="str">
        <f>'Ingest Template'!E786</f>
        <v/>
      </c>
      <c r="S786" s="29" t="s">
        <v>153</v>
      </c>
      <c r="T786" s="21" t="str">
        <f>'Ingest Template'!T786</f>
        <v/>
      </c>
      <c r="U786" s="21" t="str">
        <f>'Ingest Template'!S786</f>
        <v/>
      </c>
      <c r="V786" s="21" t="str">
        <f>LOWER(SUBSTITUTE(SUBSTITUTE(SUBSTITUTE(SUBSTITUTE(SUBSTITUTE('Ingest Template'!U786,"https:",""),"www.",""),"/",""),"?hl=en",""),"instagram.com",""))</f>
        <v/>
      </c>
      <c r="W786" s="41" t="str">
        <f t="array" ref="W786">IF('Ingest Template'!V786="",(INDEX(DropDown!$L$2:$L$392,MATCH('Ingest Template'!E786,DropDown!$J$2:$J$392,0))&amp;"|"&amp;'Ingest Template'!B786),(INDEX(DropDown!$L$2:$L$392,MATCH('Ingest Template'!E786,DropDown!$J$2:$J$392,0))&amp;"|"&amp;'Ingest Template'!B786)&amp;CHAR(10)&amp;'Ingest Template'!V786)</f>
        <v>#N/A</v>
      </c>
      <c r="X786" s="41" t="str">
        <f>'Ingest Template'!W786</f>
        <v/>
      </c>
      <c r="Y786" s="21" t="str">
        <f>SUBSTITUTE(SUBSTITUTE(SUBSTITUTE('Ingest Template'!X786,"http:",""),"https:",""),"/","")</f>
        <v/>
      </c>
      <c r="Z786" s="21" t="str">
        <f t="array" ref="Z786">IF('Ingest Template'!A786="Standard",(IF(ISBLANK('Ingest Template'!AA786),"", 'Ingest Template'!AA786&amp;"|DAR")),(IF(ISBLANK('Ingest Template'!AA786),"", 'Ingest Template'!AA786&amp;"|Film Ops")))</f>
        <v/>
      </c>
      <c r="AA786" s="21"/>
      <c r="AB786" s="21" t="str">
        <f>'Ingest Template'!M786</f>
        <v/>
      </c>
      <c r="AC786" s="21" t="str">
        <f>'Ingest Template'!Y786</f>
        <v/>
      </c>
      <c r="AD786" s="21" t="str">
        <f>'Ingest Template'!C786</f>
        <v/>
      </c>
      <c r="AE786" s="21" t="str">
        <f>'Ingest Template'!Z786</f>
        <v/>
      </c>
      <c r="AF786" s="29"/>
      <c r="AG786" s="21" t="str">
        <f t="array" ref="AG786">IF('Ingest Template'!A786="Standard",(CONCATENATE(IF(ISBLANK('Ingest Template'!O786),"", 'Ingest Template'!O786&amp;"|DAR"),CHAR(10), IF(ISBLANK('Ingest Template'!P786),"", 'Ingest Template'!P786&amp;"|DAR"),CHAR(10), IF(ISBLANK('Ingest Template'!Q786),"", 'Ingest Template'!Q786&amp;"|DAR"))),(CONCATENATE(IF(ISBLANK('Ingest Template'!O786),"", 'Ingest Template'!O786&amp;"|Operations - Core Title"),CHAR(10), IF(ISBLANK('Ingest Template'!P786),"", 'Ingest Template'!P786&amp;"|Operations - Core Title"),CHAR(10), IF(ISBLANK('Ingest Template'!Q786),"", 'Ingest Template'!Q786&amp;"|Operations - Core Title"))))</f>
        <v>#|Operations - Core Title
#|Operations - Core Title
</v>
      </c>
      <c r="AH786" s="21"/>
      <c r="AI786" s="21"/>
      <c r="AJ786" s="53" t="str">
        <f>if('Ingest Template'!A786="Standard",'Ingest Template'!N786&amp; "|DAR|DAR|2021-01-01",'Ingest Template'!N786&amp; "|Operations - Core Title|Operations - Core Title")</f>
        <v>#N/A</v>
      </c>
      <c r="AK786" s="53" t="str">
        <f>if('Ingest Template'!A786="Standard",'Ingest Template'!R786&amp; "|2021-01-01",'Ingest Template'!R786)</f>
        <v>#N/A</v>
      </c>
      <c r="AL786" s="21"/>
      <c r="AM786" s="21"/>
    </row>
    <row r="787">
      <c r="A787" s="21"/>
      <c r="B787" s="21" t="str">
        <f>'Ingest Template'!B787&amp;IF('Ingest Template'!A787 = "Standard", " - DAR","")</f>
        <v/>
      </c>
      <c r="C787" s="26" t="s">
        <v>109</v>
      </c>
      <c r="D787" s="29" t="str">
        <f t="array" ref="D787">CONCATENATE(INDEX(DropDown!$H$2:$H$10,MATCH(1,COUNTIF('Ingest Template'!F787,"*"&amp;DropDown!$H$2:$H$10&amp;"*"),0)),CHAR(10),'Ingest Template'!G787)</f>
        <v>#N/A</v>
      </c>
      <c r="E787" s="21" t="str">
        <f>CONCATENATE('Ingest Template'!H787,CHAR(10),'Ingest Template'!I787,CHAR(10),'Ingest Template'!J787)</f>
        <v>
</v>
      </c>
      <c r="F787" s="26" t="str">
        <f>'Ingest Template'!H787</f>
        <v/>
      </c>
      <c r="G787" s="21"/>
      <c r="H787" s="29"/>
      <c r="I787" s="21"/>
      <c r="J787" s="29" t="str">
        <f t="array" ref="J787">iF('Ingest Template'!A787="Standard","Pristine Brand",INDEX(DropDown!$M$2:$M$392,MATCH('Ingest Template'!E787,DropDown!$J$2:$J$392,0)))</f>
        <v>#N/A</v>
      </c>
      <c r="K787" s="21" t="str">
        <f>iF('Ingest Template'!A787="Standard",'Ingest Template'!K787&amp;CHAR(10)&amp;'Ingest Template'!L787,"Competitive View")</f>
        <v>Competitive View</v>
      </c>
      <c r="L787" s="29" t="s">
        <v>146</v>
      </c>
      <c r="M787" s="37" t="str">
        <f>'Ingest Template'!D787</f>
        <v/>
      </c>
      <c r="N787" s="21"/>
      <c r="O787" s="21"/>
      <c r="P787" s="21"/>
      <c r="Q787" s="21"/>
      <c r="R787" s="21" t="str">
        <f>'Ingest Template'!E787</f>
        <v/>
      </c>
      <c r="S787" s="29" t="s">
        <v>153</v>
      </c>
      <c r="T787" s="21" t="str">
        <f>'Ingest Template'!T787</f>
        <v/>
      </c>
      <c r="U787" s="21" t="str">
        <f>'Ingest Template'!S787</f>
        <v/>
      </c>
      <c r="V787" s="21" t="str">
        <f>LOWER(SUBSTITUTE(SUBSTITUTE(SUBSTITUTE(SUBSTITUTE(SUBSTITUTE('Ingest Template'!U787,"https:",""),"www.",""),"/",""),"?hl=en",""),"instagram.com",""))</f>
        <v/>
      </c>
      <c r="W787" s="41" t="str">
        <f t="array" ref="W787">IF('Ingest Template'!V787="",(INDEX(DropDown!$L$2:$L$392,MATCH('Ingest Template'!E787,DropDown!$J$2:$J$392,0))&amp;"|"&amp;'Ingest Template'!B787),(INDEX(DropDown!$L$2:$L$392,MATCH('Ingest Template'!E787,DropDown!$J$2:$J$392,0))&amp;"|"&amp;'Ingest Template'!B787)&amp;CHAR(10)&amp;'Ingest Template'!V787)</f>
        <v>#N/A</v>
      </c>
      <c r="X787" s="41" t="str">
        <f>'Ingest Template'!W787</f>
        <v/>
      </c>
      <c r="Y787" s="21" t="str">
        <f>SUBSTITUTE(SUBSTITUTE(SUBSTITUTE('Ingest Template'!X787,"http:",""),"https:",""),"/","")</f>
        <v/>
      </c>
      <c r="Z787" s="21" t="str">
        <f t="array" ref="Z787">IF('Ingest Template'!A787="Standard",(IF(ISBLANK('Ingest Template'!AA787),"", 'Ingest Template'!AA787&amp;"|DAR")),(IF(ISBLANK('Ingest Template'!AA787),"", 'Ingest Template'!AA787&amp;"|Film Ops")))</f>
        <v/>
      </c>
      <c r="AA787" s="21"/>
      <c r="AB787" s="21" t="str">
        <f>'Ingest Template'!M787</f>
        <v/>
      </c>
      <c r="AC787" s="21" t="str">
        <f>'Ingest Template'!Y787</f>
        <v/>
      </c>
      <c r="AD787" s="21" t="str">
        <f>'Ingest Template'!C787</f>
        <v/>
      </c>
      <c r="AE787" s="21" t="str">
        <f>'Ingest Template'!Z787</f>
        <v/>
      </c>
      <c r="AF787" s="29"/>
      <c r="AG787" s="21" t="str">
        <f t="array" ref="AG787">IF('Ingest Template'!A787="Standard",(CONCATENATE(IF(ISBLANK('Ingest Template'!O787),"", 'Ingest Template'!O787&amp;"|DAR"),CHAR(10), IF(ISBLANK('Ingest Template'!P787),"", 'Ingest Template'!P787&amp;"|DAR"),CHAR(10), IF(ISBLANK('Ingest Template'!Q787),"", 'Ingest Template'!Q787&amp;"|DAR"))),(CONCATENATE(IF(ISBLANK('Ingest Template'!O787),"", 'Ingest Template'!O787&amp;"|Operations - Core Title"),CHAR(10), IF(ISBLANK('Ingest Template'!P787),"", 'Ingest Template'!P787&amp;"|Operations - Core Title"),CHAR(10), IF(ISBLANK('Ingest Template'!Q787),"", 'Ingest Template'!Q787&amp;"|Operations - Core Title"))))</f>
        <v>#|Operations - Core Title
#|Operations - Core Title
</v>
      </c>
      <c r="AH787" s="21"/>
      <c r="AI787" s="21"/>
      <c r="AJ787" s="53" t="str">
        <f>if('Ingest Template'!A787="Standard",'Ingest Template'!N787&amp; "|DAR|DAR|2021-01-01",'Ingest Template'!N787&amp; "|Operations - Core Title|Operations - Core Title")</f>
        <v>#N/A</v>
      </c>
      <c r="AK787" s="53" t="str">
        <f>if('Ingest Template'!A787="Standard",'Ingest Template'!R787&amp; "|2021-01-01",'Ingest Template'!R787)</f>
        <v>#N/A</v>
      </c>
      <c r="AL787" s="21"/>
      <c r="AM787" s="21"/>
    </row>
    <row r="788">
      <c r="A788" s="21"/>
      <c r="B788" s="21" t="str">
        <f>'Ingest Template'!B788&amp;IF('Ingest Template'!A788 = "Standard", " - DAR","")</f>
        <v/>
      </c>
      <c r="C788" s="26" t="s">
        <v>109</v>
      </c>
      <c r="D788" s="29" t="str">
        <f t="array" ref="D788">CONCATENATE(INDEX(DropDown!$H$2:$H$10,MATCH(1,COUNTIF('Ingest Template'!F788,"*"&amp;DropDown!$H$2:$H$10&amp;"*"),0)),CHAR(10),'Ingest Template'!G788)</f>
        <v>#N/A</v>
      </c>
      <c r="E788" s="21" t="str">
        <f>CONCATENATE('Ingest Template'!H788,CHAR(10),'Ingest Template'!I788,CHAR(10),'Ingest Template'!J788)</f>
        <v>
</v>
      </c>
      <c r="F788" s="26" t="str">
        <f>'Ingest Template'!H788</f>
        <v/>
      </c>
      <c r="G788" s="21"/>
      <c r="H788" s="29"/>
      <c r="I788" s="21"/>
      <c r="J788" s="29" t="str">
        <f t="array" ref="J788">iF('Ingest Template'!A788="Standard","Pristine Brand",INDEX(DropDown!$M$2:$M$392,MATCH('Ingest Template'!E788,DropDown!$J$2:$J$392,0)))</f>
        <v>#N/A</v>
      </c>
      <c r="K788" s="21" t="str">
        <f>iF('Ingest Template'!A788="Standard",'Ingest Template'!K788&amp;CHAR(10)&amp;'Ingest Template'!L788,"Competitive View")</f>
        <v>Competitive View</v>
      </c>
      <c r="L788" s="29" t="s">
        <v>146</v>
      </c>
      <c r="M788" s="37" t="str">
        <f>'Ingest Template'!D788</f>
        <v/>
      </c>
      <c r="N788" s="21"/>
      <c r="O788" s="21"/>
      <c r="P788" s="21"/>
      <c r="Q788" s="21"/>
      <c r="R788" s="21" t="str">
        <f>'Ingest Template'!E788</f>
        <v/>
      </c>
      <c r="S788" s="29" t="s">
        <v>153</v>
      </c>
      <c r="T788" s="21" t="str">
        <f>'Ingest Template'!T788</f>
        <v/>
      </c>
      <c r="U788" s="21" t="str">
        <f>'Ingest Template'!S788</f>
        <v/>
      </c>
      <c r="V788" s="21" t="str">
        <f>LOWER(SUBSTITUTE(SUBSTITUTE(SUBSTITUTE(SUBSTITUTE(SUBSTITUTE('Ingest Template'!U788,"https:",""),"www.",""),"/",""),"?hl=en",""),"instagram.com",""))</f>
        <v/>
      </c>
      <c r="W788" s="41" t="str">
        <f t="array" ref="W788">IF('Ingest Template'!V788="",(INDEX(DropDown!$L$2:$L$392,MATCH('Ingest Template'!E788,DropDown!$J$2:$J$392,0))&amp;"|"&amp;'Ingest Template'!B788),(INDEX(DropDown!$L$2:$L$392,MATCH('Ingest Template'!E788,DropDown!$J$2:$J$392,0))&amp;"|"&amp;'Ingest Template'!B788)&amp;CHAR(10)&amp;'Ingest Template'!V788)</f>
        <v>#N/A</v>
      </c>
      <c r="X788" s="41" t="str">
        <f>'Ingest Template'!W788</f>
        <v/>
      </c>
      <c r="Y788" s="21" t="str">
        <f>SUBSTITUTE(SUBSTITUTE(SUBSTITUTE('Ingest Template'!X788,"http:",""),"https:",""),"/","")</f>
        <v/>
      </c>
      <c r="Z788" s="21" t="str">
        <f t="array" ref="Z788">IF('Ingest Template'!A788="Standard",(IF(ISBLANK('Ingest Template'!AA788),"", 'Ingest Template'!AA788&amp;"|DAR")),(IF(ISBLANK('Ingest Template'!AA788),"", 'Ingest Template'!AA788&amp;"|Film Ops")))</f>
        <v/>
      </c>
      <c r="AA788" s="21"/>
      <c r="AB788" s="21" t="str">
        <f>'Ingest Template'!M788</f>
        <v/>
      </c>
      <c r="AC788" s="21" t="str">
        <f>'Ingest Template'!Y788</f>
        <v/>
      </c>
      <c r="AD788" s="21" t="str">
        <f>'Ingest Template'!C788</f>
        <v/>
      </c>
      <c r="AE788" s="21" t="str">
        <f>'Ingest Template'!Z788</f>
        <v/>
      </c>
      <c r="AF788" s="29"/>
      <c r="AG788" s="21" t="str">
        <f t="array" ref="AG788">IF('Ingest Template'!A788="Standard",(CONCATENATE(IF(ISBLANK('Ingest Template'!O788),"", 'Ingest Template'!O788&amp;"|DAR"),CHAR(10), IF(ISBLANK('Ingest Template'!P788),"", 'Ingest Template'!P788&amp;"|DAR"),CHAR(10), IF(ISBLANK('Ingest Template'!Q788),"", 'Ingest Template'!Q788&amp;"|DAR"))),(CONCATENATE(IF(ISBLANK('Ingest Template'!O788),"", 'Ingest Template'!O788&amp;"|Operations - Core Title"),CHAR(10), IF(ISBLANK('Ingest Template'!P788),"", 'Ingest Template'!P788&amp;"|Operations - Core Title"),CHAR(10), IF(ISBLANK('Ingest Template'!Q788),"", 'Ingest Template'!Q788&amp;"|Operations - Core Title"))))</f>
        <v>#|Operations - Core Title
#|Operations - Core Title
</v>
      </c>
      <c r="AH788" s="21"/>
      <c r="AI788" s="21"/>
      <c r="AJ788" s="53" t="str">
        <f>if('Ingest Template'!A788="Standard",'Ingest Template'!N788&amp; "|DAR|DAR|2021-01-01",'Ingest Template'!N788&amp; "|Operations - Core Title|Operations - Core Title")</f>
        <v>#N/A</v>
      </c>
      <c r="AK788" s="53" t="str">
        <f>if('Ingest Template'!A788="Standard",'Ingest Template'!R788&amp; "|2021-01-01",'Ingest Template'!R788)</f>
        <v>#N/A</v>
      </c>
      <c r="AL788" s="21"/>
      <c r="AM788" s="21"/>
    </row>
    <row r="789">
      <c r="A789" s="21"/>
      <c r="B789" s="21" t="str">
        <f>'Ingest Template'!B789&amp;IF('Ingest Template'!A789 = "Standard", " - DAR","")</f>
        <v/>
      </c>
      <c r="C789" s="26" t="s">
        <v>109</v>
      </c>
      <c r="D789" s="29" t="str">
        <f t="array" ref="D789">CONCATENATE(INDEX(DropDown!$H$2:$H$10,MATCH(1,COUNTIF('Ingest Template'!F789,"*"&amp;DropDown!$H$2:$H$10&amp;"*"),0)),CHAR(10),'Ingest Template'!G789)</f>
        <v>#N/A</v>
      </c>
      <c r="E789" s="21" t="str">
        <f>CONCATENATE('Ingest Template'!H789,CHAR(10),'Ingest Template'!I789,CHAR(10),'Ingest Template'!J789)</f>
        <v>
</v>
      </c>
      <c r="F789" s="26" t="str">
        <f>'Ingest Template'!H789</f>
        <v/>
      </c>
      <c r="G789" s="21"/>
      <c r="H789" s="29"/>
      <c r="I789" s="21"/>
      <c r="J789" s="29" t="str">
        <f t="array" ref="J789">iF('Ingest Template'!A789="Standard","Pristine Brand",INDEX(DropDown!$M$2:$M$392,MATCH('Ingest Template'!E789,DropDown!$J$2:$J$392,0)))</f>
        <v>#N/A</v>
      </c>
      <c r="K789" s="21" t="str">
        <f>iF('Ingest Template'!A789="Standard",'Ingest Template'!K789&amp;CHAR(10)&amp;'Ingest Template'!L789,"Competitive View")</f>
        <v>Competitive View</v>
      </c>
      <c r="L789" s="29" t="s">
        <v>146</v>
      </c>
      <c r="M789" s="37" t="str">
        <f>'Ingest Template'!D789</f>
        <v/>
      </c>
      <c r="N789" s="21"/>
      <c r="O789" s="21"/>
      <c r="P789" s="21"/>
      <c r="Q789" s="21"/>
      <c r="R789" s="21" t="str">
        <f>'Ingest Template'!E789</f>
        <v/>
      </c>
      <c r="S789" s="29" t="s">
        <v>153</v>
      </c>
      <c r="T789" s="21" t="str">
        <f>'Ingest Template'!T789</f>
        <v/>
      </c>
      <c r="U789" s="21" t="str">
        <f>'Ingest Template'!S789</f>
        <v/>
      </c>
      <c r="V789" s="21" t="str">
        <f>LOWER(SUBSTITUTE(SUBSTITUTE(SUBSTITUTE(SUBSTITUTE(SUBSTITUTE('Ingest Template'!U789,"https:",""),"www.",""),"/",""),"?hl=en",""),"instagram.com",""))</f>
        <v/>
      </c>
      <c r="W789" s="41" t="str">
        <f t="array" ref="W789">IF('Ingest Template'!V789="",(INDEX(DropDown!$L$2:$L$392,MATCH('Ingest Template'!E789,DropDown!$J$2:$J$392,0))&amp;"|"&amp;'Ingest Template'!B789),(INDEX(DropDown!$L$2:$L$392,MATCH('Ingest Template'!E789,DropDown!$J$2:$J$392,0))&amp;"|"&amp;'Ingest Template'!B789)&amp;CHAR(10)&amp;'Ingest Template'!V789)</f>
        <v>#N/A</v>
      </c>
      <c r="X789" s="41" t="str">
        <f>'Ingest Template'!W789</f>
        <v/>
      </c>
      <c r="Y789" s="21" t="str">
        <f>SUBSTITUTE(SUBSTITUTE(SUBSTITUTE('Ingest Template'!X789,"http:",""),"https:",""),"/","")</f>
        <v/>
      </c>
      <c r="Z789" s="21" t="str">
        <f t="array" ref="Z789">IF('Ingest Template'!A789="Standard",(IF(ISBLANK('Ingest Template'!AA789),"", 'Ingest Template'!AA789&amp;"|DAR")),(IF(ISBLANK('Ingest Template'!AA789),"", 'Ingest Template'!AA789&amp;"|Film Ops")))</f>
        <v/>
      </c>
      <c r="AA789" s="21"/>
      <c r="AB789" s="21" t="str">
        <f>'Ingest Template'!M789</f>
        <v/>
      </c>
      <c r="AC789" s="21" t="str">
        <f>'Ingest Template'!Y789</f>
        <v/>
      </c>
      <c r="AD789" s="21" t="str">
        <f>'Ingest Template'!C789</f>
        <v/>
      </c>
      <c r="AE789" s="21" t="str">
        <f>'Ingest Template'!Z789</f>
        <v/>
      </c>
      <c r="AF789" s="29"/>
      <c r="AG789" s="21" t="str">
        <f t="array" ref="AG789">IF('Ingest Template'!A789="Standard",(CONCATENATE(IF(ISBLANK('Ingest Template'!O789),"", 'Ingest Template'!O789&amp;"|DAR"),CHAR(10), IF(ISBLANK('Ingest Template'!P789),"", 'Ingest Template'!P789&amp;"|DAR"),CHAR(10), IF(ISBLANK('Ingest Template'!Q789),"", 'Ingest Template'!Q789&amp;"|DAR"))),(CONCATENATE(IF(ISBLANK('Ingest Template'!O789),"", 'Ingest Template'!O789&amp;"|Operations - Core Title"),CHAR(10), IF(ISBLANK('Ingest Template'!P789),"", 'Ingest Template'!P789&amp;"|Operations - Core Title"),CHAR(10), IF(ISBLANK('Ingest Template'!Q789),"", 'Ingest Template'!Q789&amp;"|Operations - Core Title"))))</f>
        <v>#|Operations - Core Title
#|Operations - Core Title
</v>
      </c>
      <c r="AH789" s="21"/>
      <c r="AI789" s="21"/>
      <c r="AJ789" s="53" t="str">
        <f>if('Ingest Template'!A789="Standard",'Ingest Template'!N789&amp; "|DAR|DAR|2021-01-01",'Ingest Template'!N789&amp; "|Operations - Core Title|Operations - Core Title")</f>
        <v>#N/A</v>
      </c>
      <c r="AK789" s="53" t="str">
        <f>if('Ingest Template'!A789="Standard",'Ingest Template'!R789&amp; "|2021-01-01",'Ingest Template'!R789)</f>
        <v>#N/A</v>
      </c>
      <c r="AL789" s="21"/>
      <c r="AM789" s="21"/>
    </row>
    <row r="790">
      <c r="A790" s="21"/>
      <c r="B790" s="21" t="str">
        <f>'Ingest Template'!B790&amp;IF('Ingest Template'!A790 = "Standard", " - DAR","")</f>
        <v/>
      </c>
      <c r="C790" s="26" t="s">
        <v>109</v>
      </c>
      <c r="D790" s="29" t="str">
        <f t="array" ref="D790">CONCATENATE(INDEX(DropDown!$H$2:$H$10,MATCH(1,COUNTIF('Ingest Template'!F790,"*"&amp;DropDown!$H$2:$H$10&amp;"*"),0)),CHAR(10),'Ingest Template'!G790)</f>
        <v>#N/A</v>
      </c>
      <c r="E790" s="21" t="str">
        <f>CONCATENATE('Ingest Template'!H790,CHAR(10),'Ingest Template'!I790,CHAR(10),'Ingest Template'!J790)</f>
        <v>
</v>
      </c>
      <c r="F790" s="26" t="str">
        <f>'Ingest Template'!H790</f>
        <v/>
      </c>
      <c r="G790" s="21"/>
      <c r="H790" s="29"/>
      <c r="I790" s="21"/>
      <c r="J790" s="29" t="str">
        <f t="array" ref="J790">iF('Ingest Template'!A790="Standard","Pristine Brand",INDEX(DropDown!$M$2:$M$392,MATCH('Ingest Template'!E790,DropDown!$J$2:$J$392,0)))</f>
        <v>#N/A</v>
      </c>
      <c r="K790" s="21" t="str">
        <f>iF('Ingest Template'!A790="Standard",'Ingest Template'!K790&amp;CHAR(10)&amp;'Ingest Template'!L790,"Competitive View")</f>
        <v>Competitive View</v>
      </c>
      <c r="L790" s="29" t="s">
        <v>146</v>
      </c>
      <c r="M790" s="37" t="str">
        <f>'Ingest Template'!D790</f>
        <v/>
      </c>
      <c r="N790" s="21"/>
      <c r="O790" s="21"/>
      <c r="P790" s="21"/>
      <c r="Q790" s="21"/>
      <c r="R790" s="21" t="str">
        <f>'Ingest Template'!E790</f>
        <v/>
      </c>
      <c r="S790" s="29" t="s">
        <v>153</v>
      </c>
      <c r="T790" s="21" t="str">
        <f>'Ingest Template'!T790</f>
        <v/>
      </c>
      <c r="U790" s="21" t="str">
        <f>'Ingest Template'!S790</f>
        <v/>
      </c>
      <c r="V790" s="21" t="str">
        <f>LOWER(SUBSTITUTE(SUBSTITUTE(SUBSTITUTE(SUBSTITUTE(SUBSTITUTE('Ingest Template'!U790,"https:",""),"www.",""),"/",""),"?hl=en",""),"instagram.com",""))</f>
        <v/>
      </c>
      <c r="W790" s="41" t="str">
        <f t="array" ref="W790">IF('Ingest Template'!V790="",(INDEX(DropDown!$L$2:$L$392,MATCH('Ingest Template'!E790,DropDown!$J$2:$J$392,0))&amp;"|"&amp;'Ingest Template'!B790),(INDEX(DropDown!$L$2:$L$392,MATCH('Ingest Template'!E790,DropDown!$J$2:$J$392,0))&amp;"|"&amp;'Ingest Template'!B790)&amp;CHAR(10)&amp;'Ingest Template'!V790)</f>
        <v>#N/A</v>
      </c>
      <c r="X790" s="41" t="str">
        <f>'Ingest Template'!W790</f>
        <v/>
      </c>
      <c r="Y790" s="21" t="str">
        <f>SUBSTITUTE(SUBSTITUTE(SUBSTITUTE('Ingest Template'!X790,"http:",""),"https:",""),"/","")</f>
        <v/>
      </c>
      <c r="Z790" s="21" t="str">
        <f t="array" ref="Z790">IF('Ingest Template'!A790="Standard",(IF(ISBLANK('Ingest Template'!AA790),"", 'Ingest Template'!AA790&amp;"|DAR")),(IF(ISBLANK('Ingest Template'!AA790),"", 'Ingest Template'!AA790&amp;"|Film Ops")))</f>
        <v/>
      </c>
      <c r="AA790" s="21"/>
      <c r="AB790" s="21" t="str">
        <f>'Ingest Template'!M790</f>
        <v/>
      </c>
      <c r="AC790" s="21" t="str">
        <f>'Ingest Template'!Y790</f>
        <v/>
      </c>
      <c r="AD790" s="21" t="str">
        <f>'Ingest Template'!C790</f>
        <v/>
      </c>
      <c r="AE790" s="21" t="str">
        <f>'Ingest Template'!Z790</f>
        <v/>
      </c>
      <c r="AF790" s="29"/>
      <c r="AG790" s="21" t="str">
        <f t="array" ref="AG790">IF('Ingest Template'!A790="Standard",(CONCATENATE(IF(ISBLANK('Ingest Template'!O790),"", 'Ingest Template'!O790&amp;"|DAR"),CHAR(10), IF(ISBLANK('Ingest Template'!P790),"", 'Ingest Template'!P790&amp;"|DAR"),CHAR(10), IF(ISBLANK('Ingest Template'!Q790),"", 'Ingest Template'!Q790&amp;"|DAR"))),(CONCATENATE(IF(ISBLANK('Ingest Template'!O790),"", 'Ingest Template'!O790&amp;"|Operations - Core Title"),CHAR(10), IF(ISBLANK('Ingest Template'!P790),"", 'Ingest Template'!P790&amp;"|Operations - Core Title"),CHAR(10), IF(ISBLANK('Ingest Template'!Q790),"", 'Ingest Template'!Q790&amp;"|Operations - Core Title"))))</f>
        <v>#|Operations - Core Title
#|Operations - Core Title
</v>
      </c>
      <c r="AH790" s="21"/>
      <c r="AI790" s="21"/>
      <c r="AJ790" s="53" t="str">
        <f>if('Ingest Template'!A790="Standard",'Ingest Template'!N790&amp; "|DAR|DAR|2021-01-01",'Ingest Template'!N790&amp; "|Operations - Core Title|Operations - Core Title")</f>
        <v>#N/A</v>
      </c>
      <c r="AK790" s="53" t="str">
        <f>if('Ingest Template'!A790="Standard",'Ingest Template'!R790&amp; "|2021-01-01",'Ingest Template'!R790)</f>
        <v>#N/A</v>
      </c>
      <c r="AL790" s="21"/>
      <c r="AM790" s="21"/>
    </row>
    <row r="791">
      <c r="A791" s="21"/>
      <c r="B791" s="21" t="str">
        <f>'Ingest Template'!B791&amp;IF('Ingest Template'!A791 = "Standard", " - DAR","")</f>
        <v/>
      </c>
      <c r="C791" s="26" t="s">
        <v>109</v>
      </c>
      <c r="D791" s="29" t="str">
        <f t="array" ref="D791">CONCATENATE(INDEX(DropDown!$H$2:$H$10,MATCH(1,COUNTIF('Ingest Template'!F791,"*"&amp;DropDown!$H$2:$H$10&amp;"*"),0)),CHAR(10),'Ingest Template'!G791)</f>
        <v>#N/A</v>
      </c>
      <c r="E791" s="21" t="str">
        <f>CONCATENATE('Ingest Template'!H791,CHAR(10),'Ingest Template'!I791,CHAR(10),'Ingest Template'!J791)</f>
        <v>
</v>
      </c>
      <c r="F791" s="26" t="str">
        <f>'Ingest Template'!H791</f>
        <v/>
      </c>
      <c r="G791" s="21"/>
      <c r="H791" s="29"/>
      <c r="I791" s="21"/>
      <c r="J791" s="29" t="str">
        <f t="array" ref="J791">iF('Ingest Template'!A791="Standard","Pristine Brand",INDEX(DropDown!$M$2:$M$392,MATCH('Ingest Template'!E791,DropDown!$J$2:$J$392,0)))</f>
        <v>#N/A</v>
      </c>
      <c r="K791" s="21" t="str">
        <f>iF('Ingest Template'!A791="Standard",'Ingest Template'!K791&amp;CHAR(10)&amp;'Ingest Template'!L791,"Competitive View")</f>
        <v>Competitive View</v>
      </c>
      <c r="L791" s="29" t="s">
        <v>146</v>
      </c>
      <c r="M791" s="37" t="str">
        <f>'Ingest Template'!D791</f>
        <v/>
      </c>
      <c r="N791" s="21"/>
      <c r="O791" s="21"/>
      <c r="P791" s="21"/>
      <c r="Q791" s="21"/>
      <c r="R791" s="21" t="str">
        <f>'Ingest Template'!E791</f>
        <v/>
      </c>
      <c r="S791" s="29" t="s">
        <v>153</v>
      </c>
      <c r="T791" s="21" t="str">
        <f>'Ingest Template'!T791</f>
        <v/>
      </c>
      <c r="U791" s="21" t="str">
        <f>'Ingest Template'!S791</f>
        <v/>
      </c>
      <c r="V791" s="21" t="str">
        <f>LOWER(SUBSTITUTE(SUBSTITUTE(SUBSTITUTE(SUBSTITUTE(SUBSTITUTE('Ingest Template'!U791,"https:",""),"www.",""),"/",""),"?hl=en",""),"instagram.com",""))</f>
        <v/>
      </c>
      <c r="W791" s="41" t="str">
        <f t="array" ref="W791">IF('Ingest Template'!V791="",(INDEX(DropDown!$L$2:$L$392,MATCH('Ingest Template'!E791,DropDown!$J$2:$J$392,0))&amp;"|"&amp;'Ingest Template'!B791),(INDEX(DropDown!$L$2:$L$392,MATCH('Ingest Template'!E791,DropDown!$J$2:$J$392,0))&amp;"|"&amp;'Ingest Template'!B791)&amp;CHAR(10)&amp;'Ingest Template'!V791)</f>
        <v>#N/A</v>
      </c>
      <c r="X791" s="41" t="str">
        <f>'Ingest Template'!W791</f>
        <v/>
      </c>
      <c r="Y791" s="21" t="str">
        <f>SUBSTITUTE(SUBSTITUTE(SUBSTITUTE('Ingest Template'!X791,"http:",""),"https:",""),"/","")</f>
        <v/>
      </c>
      <c r="Z791" s="21" t="str">
        <f t="array" ref="Z791">IF('Ingest Template'!A791="Standard",(IF(ISBLANK('Ingest Template'!AA791),"", 'Ingest Template'!AA791&amp;"|DAR")),(IF(ISBLANK('Ingest Template'!AA791),"", 'Ingest Template'!AA791&amp;"|Film Ops")))</f>
        <v/>
      </c>
      <c r="AA791" s="21"/>
      <c r="AB791" s="21" t="str">
        <f>'Ingest Template'!M791</f>
        <v/>
      </c>
      <c r="AC791" s="21" t="str">
        <f>'Ingest Template'!Y791</f>
        <v/>
      </c>
      <c r="AD791" s="21" t="str">
        <f>'Ingest Template'!C791</f>
        <v/>
      </c>
      <c r="AE791" s="21" t="str">
        <f>'Ingest Template'!Z791</f>
        <v/>
      </c>
      <c r="AF791" s="29"/>
      <c r="AG791" s="21" t="str">
        <f t="array" ref="AG791">IF('Ingest Template'!A791="Standard",(CONCATENATE(IF(ISBLANK('Ingest Template'!O791),"", 'Ingest Template'!O791&amp;"|DAR"),CHAR(10), IF(ISBLANK('Ingest Template'!P791),"", 'Ingest Template'!P791&amp;"|DAR"),CHAR(10), IF(ISBLANK('Ingest Template'!Q791),"", 'Ingest Template'!Q791&amp;"|DAR"))),(CONCATENATE(IF(ISBLANK('Ingest Template'!O791),"", 'Ingest Template'!O791&amp;"|Operations - Core Title"),CHAR(10), IF(ISBLANK('Ingest Template'!P791),"", 'Ingest Template'!P791&amp;"|Operations - Core Title"),CHAR(10), IF(ISBLANK('Ingest Template'!Q791),"", 'Ingest Template'!Q791&amp;"|Operations - Core Title"))))</f>
        <v>#|Operations - Core Title
#|Operations - Core Title
</v>
      </c>
      <c r="AH791" s="21"/>
      <c r="AI791" s="21"/>
      <c r="AJ791" s="53" t="str">
        <f>if('Ingest Template'!A791="Standard",'Ingest Template'!N791&amp; "|DAR|DAR|2021-01-01",'Ingest Template'!N791&amp; "|Operations - Core Title|Operations - Core Title")</f>
        <v>#N/A</v>
      </c>
      <c r="AK791" s="53" t="str">
        <f>if('Ingest Template'!A791="Standard",'Ingest Template'!R791&amp; "|2021-01-01",'Ingest Template'!R791)</f>
        <v>#N/A</v>
      </c>
      <c r="AL791" s="21"/>
      <c r="AM791" s="21"/>
    </row>
    <row r="792">
      <c r="A792" s="21"/>
      <c r="B792" s="21" t="str">
        <f>'Ingest Template'!B792&amp;IF('Ingest Template'!A792 = "Standard", " - DAR","")</f>
        <v/>
      </c>
      <c r="C792" s="26" t="s">
        <v>109</v>
      </c>
      <c r="D792" s="29" t="str">
        <f t="array" ref="D792">CONCATENATE(INDEX(DropDown!$H$2:$H$10,MATCH(1,COUNTIF('Ingest Template'!F792,"*"&amp;DropDown!$H$2:$H$10&amp;"*"),0)),CHAR(10),'Ingest Template'!G792)</f>
        <v>#N/A</v>
      </c>
      <c r="E792" s="21" t="str">
        <f>CONCATENATE('Ingest Template'!H792,CHAR(10),'Ingest Template'!I792,CHAR(10),'Ingest Template'!J792)</f>
        <v>
</v>
      </c>
      <c r="F792" s="26" t="str">
        <f>'Ingest Template'!H792</f>
        <v/>
      </c>
      <c r="G792" s="21"/>
      <c r="H792" s="29"/>
      <c r="I792" s="21"/>
      <c r="J792" s="29" t="str">
        <f t="array" ref="J792">iF('Ingest Template'!A792="Standard","Pristine Brand",INDEX(DropDown!$M$2:$M$392,MATCH('Ingest Template'!E792,DropDown!$J$2:$J$392,0)))</f>
        <v>#N/A</v>
      </c>
      <c r="K792" s="21" t="str">
        <f>iF('Ingest Template'!A792="Standard",'Ingest Template'!K792&amp;CHAR(10)&amp;'Ingest Template'!L792,"Competitive View")</f>
        <v>Competitive View</v>
      </c>
      <c r="L792" s="29" t="s">
        <v>146</v>
      </c>
      <c r="M792" s="37" t="str">
        <f>'Ingest Template'!D792</f>
        <v/>
      </c>
      <c r="N792" s="21"/>
      <c r="O792" s="21"/>
      <c r="P792" s="21"/>
      <c r="Q792" s="21"/>
      <c r="R792" s="21" t="str">
        <f>'Ingest Template'!E792</f>
        <v/>
      </c>
      <c r="S792" s="29" t="s">
        <v>153</v>
      </c>
      <c r="T792" s="21" t="str">
        <f>'Ingest Template'!T792</f>
        <v/>
      </c>
      <c r="U792" s="21" t="str">
        <f>'Ingest Template'!S792</f>
        <v/>
      </c>
      <c r="V792" s="21" t="str">
        <f>LOWER(SUBSTITUTE(SUBSTITUTE(SUBSTITUTE(SUBSTITUTE(SUBSTITUTE('Ingest Template'!U792,"https:",""),"www.",""),"/",""),"?hl=en",""),"instagram.com",""))</f>
        <v/>
      </c>
      <c r="W792" s="41" t="str">
        <f t="array" ref="W792">IF('Ingest Template'!V792="",(INDEX(DropDown!$L$2:$L$392,MATCH('Ingest Template'!E792,DropDown!$J$2:$J$392,0))&amp;"|"&amp;'Ingest Template'!B792),(INDEX(DropDown!$L$2:$L$392,MATCH('Ingest Template'!E792,DropDown!$J$2:$J$392,0))&amp;"|"&amp;'Ingest Template'!B792)&amp;CHAR(10)&amp;'Ingest Template'!V792)</f>
        <v>#N/A</v>
      </c>
      <c r="X792" s="41" t="str">
        <f>'Ingest Template'!W792</f>
        <v/>
      </c>
      <c r="Y792" s="21" t="str">
        <f>SUBSTITUTE(SUBSTITUTE(SUBSTITUTE('Ingest Template'!X792,"http:",""),"https:",""),"/","")</f>
        <v/>
      </c>
      <c r="Z792" s="21" t="str">
        <f t="array" ref="Z792">IF('Ingest Template'!A792="Standard",(IF(ISBLANK('Ingest Template'!AA792),"", 'Ingest Template'!AA792&amp;"|DAR")),(IF(ISBLANK('Ingest Template'!AA792),"", 'Ingest Template'!AA792&amp;"|Film Ops")))</f>
        <v/>
      </c>
      <c r="AA792" s="21"/>
      <c r="AB792" s="21" t="str">
        <f>'Ingest Template'!M792</f>
        <v/>
      </c>
      <c r="AC792" s="21" t="str">
        <f>'Ingest Template'!Y792</f>
        <v/>
      </c>
      <c r="AD792" s="21" t="str">
        <f>'Ingest Template'!C792</f>
        <v/>
      </c>
      <c r="AE792" s="21" t="str">
        <f>'Ingest Template'!Z792</f>
        <v/>
      </c>
      <c r="AF792" s="29"/>
      <c r="AG792" s="21" t="str">
        <f t="array" ref="AG792">IF('Ingest Template'!A792="Standard",(CONCATENATE(IF(ISBLANK('Ingest Template'!O792),"", 'Ingest Template'!O792&amp;"|DAR"),CHAR(10), IF(ISBLANK('Ingest Template'!P792),"", 'Ingest Template'!P792&amp;"|DAR"),CHAR(10), IF(ISBLANK('Ingest Template'!Q792),"", 'Ingest Template'!Q792&amp;"|DAR"))),(CONCATENATE(IF(ISBLANK('Ingest Template'!O792),"", 'Ingest Template'!O792&amp;"|Operations - Core Title"),CHAR(10), IF(ISBLANK('Ingest Template'!P792),"", 'Ingest Template'!P792&amp;"|Operations - Core Title"),CHAR(10), IF(ISBLANK('Ingest Template'!Q792),"", 'Ingest Template'!Q792&amp;"|Operations - Core Title"))))</f>
        <v>#|Operations - Core Title
#|Operations - Core Title
</v>
      </c>
      <c r="AH792" s="21"/>
      <c r="AI792" s="21"/>
      <c r="AJ792" s="53" t="str">
        <f>if('Ingest Template'!A792="Standard",'Ingest Template'!N792&amp; "|DAR|DAR|2021-01-01",'Ingest Template'!N792&amp; "|Operations - Core Title|Operations - Core Title")</f>
        <v>#N/A</v>
      </c>
      <c r="AK792" s="53" t="str">
        <f>if('Ingest Template'!A792="Standard",'Ingest Template'!R792&amp; "|2021-01-01",'Ingest Template'!R792)</f>
        <v>#N/A</v>
      </c>
      <c r="AL792" s="21"/>
      <c r="AM792" s="21"/>
    </row>
    <row r="793">
      <c r="A793" s="21"/>
      <c r="B793" s="21" t="str">
        <f>'Ingest Template'!B793&amp;IF('Ingest Template'!A793 = "Standard", " - DAR","")</f>
        <v/>
      </c>
      <c r="C793" s="26" t="s">
        <v>109</v>
      </c>
      <c r="D793" s="29" t="str">
        <f t="array" ref="D793">CONCATENATE(INDEX(DropDown!$H$2:$H$10,MATCH(1,COUNTIF('Ingest Template'!F793,"*"&amp;DropDown!$H$2:$H$10&amp;"*"),0)),CHAR(10),'Ingest Template'!G793)</f>
        <v>#N/A</v>
      </c>
      <c r="E793" s="21" t="str">
        <f>CONCATENATE('Ingest Template'!H793,CHAR(10),'Ingest Template'!I793,CHAR(10),'Ingest Template'!J793)</f>
        <v>
</v>
      </c>
      <c r="F793" s="26" t="str">
        <f>'Ingest Template'!H793</f>
        <v/>
      </c>
      <c r="G793" s="21"/>
      <c r="H793" s="29"/>
      <c r="I793" s="21"/>
      <c r="J793" s="29" t="str">
        <f t="array" ref="J793">iF('Ingest Template'!A793="Standard","Pristine Brand",INDEX(DropDown!$M$2:$M$392,MATCH('Ingest Template'!E793,DropDown!$J$2:$J$392,0)))</f>
        <v>#N/A</v>
      </c>
      <c r="K793" s="21" t="str">
        <f>iF('Ingest Template'!A793="Standard",'Ingest Template'!K793&amp;CHAR(10)&amp;'Ingest Template'!L793,"Competitive View")</f>
        <v>Competitive View</v>
      </c>
      <c r="L793" s="29" t="s">
        <v>146</v>
      </c>
      <c r="M793" s="37" t="str">
        <f>'Ingest Template'!D793</f>
        <v/>
      </c>
      <c r="N793" s="21"/>
      <c r="O793" s="21"/>
      <c r="P793" s="21"/>
      <c r="Q793" s="21"/>
      <c r="R793" s="21" t="str">
        <f>'Ingest Template'!E793</f>
        <v/>
      </c>
      <c r="S793" s="29" t="s">
        <v>153</v>
      </c>
      <c r="T793" s="21" t="str">
        <f>'Ingest Template'!T793</f>
        <v/>
      </c>
      <c r="U793" s="21" t="str">
        <f>'Ingest Template'!S793</f>
        <v/>
      </c>
      <c r="V793" s="21" t="str">
        <f>LOWER(SUBSTITUTE(SUBSTITUTE(SUBSTITUTE(SUBSTITUTE(SUBSTITUTE('Ingest Template'!U793,"https:",""),"www.",""),"/",""),"?hl=en",""),"instagram.com",""))</f>
        <v/>
      </c>
      <c r="W793" s="41" t="str">
        <f t="array" ref="W793">IF('Ingest Template'!V793="",(INDEX(DropDown!$L$2:$L$392,MATCH('Ingest Template'!E793,DropDown!$J$2:$J$392,0))&amp;"|"&amp;'Ingest Template'!B793),(INDEX(DropDown!$L$2:$L$392,MATCH('Ingest Template'!E793,DropDown!$J$2:$J$392,0))&amp;"|"&amp;'Ingest Template'!B793)&amp;CHAR(10)&amp;'Ingest Template'!V793)</f>
        <v>#N/A</v>
      </c>
      <c r="X793" s="41" t="str">
        <f>'Ingest Template'!W793</f>
        <v/>
      </c>
      <c r="Y793" s="21" t="str">
        <f>SUBSTITUTE(SUBSTITUTE(SUBSTITUTE('Ingest Template'!X793,"http:",""),"https:",""),"/","")</f>
        <v/>
      </c>
      <c r="Z793" s="21" t="str">
        <f t="array" ref="Z793">IF('Ingest Template'!A793="Standard",(IF(ISBLANK('Ingest Template'!AA793),"", 'Ingest Template'!AA793&amp;"|DAR")),(IF(ISBLANK('Ingest Template'!AA793),"", 'Ingest Template'!AA793&amp;"|Film Ops")))</f>
        <v/>
      </c>
      <c r="AA793" s="21"/>
      <c r="AB793" s="21" t="str">
        <f>'Ingest Template'!M793</f>
        <v/>
      </c>
      <c r="AC793" s="21" t="str">
        <f>'Ingest Template'!Y793</f>
        <v/>
      </c>
      <c r="AD793" s="21" t="str">
        <f>'Ingest Template'!C793</f>
        <v/>
      </c>
      <c r="AE793" s="21" t="str">
        <f>'Ingest Template'!Z793</f>
        <v/>
      </c>
      <c r="AF793" s="29"/>
      <c r="AG793" s="21" t="str">
        <f t="array" ref="AG793">IF('Ingest Template'!A793="Standard",(CONCATENATE(IF(ISBLANK('Ingest Template'!O793),"", 'Ingest Template'!O793&amp;"|DAR"),CHAR(10), IF(ISBLANK('Ingest Template'!P793),"", 'Ingest Template'!P793&amp;"|DAR"),CHAR(10), IF(ISBLANK('Ingest Template'!Q793),"", 'Ingest Template'!Q793&amp;"|DAR"))),(CONCATENATE(IF(ISBLANK('Ingest Template'!O793),"", 'Ingest Template'!O793&amp;"|Operations - Core Title"),CHAR(10), IF(ISBLANK('Ingest Template'!P793),"", 'Ingest Template'!P793&amp;"|Operations - Core Title"),CHAR(10), IF(ISBLANK('Ingest Template'!Q793),"", 'Ingest Template'!Q793&amp;"|Operations - Core Title"))))</f>
        <v>#|Operations - Core Title
#|Operations - Core Title
</v>
      </c>
      <c r="AH793" s="21"/>
      <c r="AI793" s="21"/>
      <c r="AJ793" s="53" t="str">
        <f>if('Ingest Template'!A793="Standard",'Ingest Template'!N793&amp; "|DAR|DAR|2021-01-01",'Ingest Template'!N793&amp; "|Operations - Core Title|Operations - Core Title")</f>
        <v>#N/A</v>
      </c>
      <c r="AK793" s="53" t="str">
        <f>if('Ingest Template'!A793="Standard",'Ingest Template'!R793&amp; "|2021-01-01",'Ingest Template'!R793)</f>
        <v>#N/A</v>
      </c>
      <c r="AL793" s="21"/>
      <c r="AM793" s="21"/>
    </row>
    <row r="794">
      <c r="A794" s="21"/>
      <c r="B794" s="21" t="str">
        <f>'Ingest Template'!B794&amp;IF('Ingest Template'!A794 = "Standard", " - DAR","")</f>
        <v/>
      </c>
      <c r="C794" s="26" t="s">
        <v>109</v>
      </c>
      <c r="D794" s="29" t="str">
        <f t="array" ref="D794">CONCATENATE(INDEX(DropDown!$H$2:$H$10,MATCH(1,COUNTIF('Ingest Template'!F794,"*"&amp;DropDown!$H$2:$H$10&amp;"*"),0)),CHAR(10),'Ingest Template'!G794)</f>
        <v>#N/A</v>
      </c>
      <c r="E794" s="21" t="str">
        <f>CONCATENATE('Ingest Template'!H794,CHAR(10),'Ingest Template'!I794,CHAR(10),'Ingest Template'!J794)</f>
        <v>
</v>
      </c>
      <c r="F794" s="26" t="str">
        <f>'Ingest Template'!H794</f>
        <v/>
      </c>
      <c r="G794" s="21"/>
      <c r="H794" s="29"/>
      <c r="I794" s="21"/>
      <c r="J794" s="29" t="str">
        <f t="array" ref="J794">iF('Ingest Template'!A794="Standard","Pristine Brand",INDEX(DropDown!$M$2:$M$392,MATCH('Ingest Template'!E794,DropDown!$J$2:$J$392,0)))</f>
        <v>#N/A</v>
      </c>
      <c r="K794" s="21" t="str">
        <f>iF('Ingest Template'!A794="Standard",'Ingest Template'!K794&amp;CHAR(10)&amp;'Ingest Template'!L794,"Competitive View")</f>
        <v>Competitive View</v>
      </c>
      <c r="L794" s="29" t="s">
        <v>146</v>
      </c>
      <c r="M794" s="37" t="str">
        <f>'Ingest Template'!D794</f>
        <v/>
      </c>
      <c r="N794" s="21"/>
      <c r="O794" s="21"/>
      <c r="P794" s="21"/>
      <c r="Q794" s="21"/>
      <c r="R794" s="21" t="str">
        <f>'Ingest Template'!E794</f>
        <v/>
      </c>
      <c r="S794" s="29" t="s">
        <v>153</v>
      </c>
      <c r="T794" s="21" t="str">
        <f>'Ingest Template'!T794</f>
        <v/>
      </c>
      <c r="U794" s="21" t="str">
        <f>'Ingest Template'!S794</f>
        <v/>
      </c>
      <c r="V794" s="21" t="str">
        <f>LOWER(SUBSTITUTE(SUBSTITUTE(SUBSTITUTE(SUBSTITUTE(SUBSTITUTE('Ingest Template'!U794,"https:",""),"www.",""),"/",""),"?hl=en",""),"instagram.com",""))</f>
        <v/>
      </c>
      <c r="W794" s="41" t="str">
        <f t="array" ref="W794">IF('Ingest Template'!V794="",(INDEX(DropDown!$L$2:$L$392,MATCH('Ingest Template'!E794,DropDown!$J$2:$J$392,0))&amp;"|"&amp;'Ingest Template'!B794),(INDEX(DropDown!$L$2:$L$392,MATCH('Ingest Template'!E794,DropDown!$J$2:$J$392,0))&amp;"|"&amp;'Ingest Template'!B794)&amp;CHAR(10)&amp;'Ingest Template'!V794)</f>
        <v>#N/A</v>
      </c>
      <c r="X794" s="41" t="str">
        <f>'Ingest Template'!W794</f>
        <v/>
      </c>
      <c r="Y794" s="21" t="str">
        <f>SUBSTITUTE(SUBSTITUTE(SUBSTITUTE('Ingest Template'!X794,"http:",""),"https:",""),"/","")</f>
        <v/>
      </c>
      <c r="Z794" s="21" t="str">
        <f t="array" ref="Z794">IF('Ingest Template'!A794="Standard",(IF(ISBLANK('Ingest Template'!AA794),"", 'Ingest Template'!AA794&amp;"|DAR")),(IF(ISBLANK('Ingest Template'!AA794),"", 'Ingest Template'!AA794&amp;"|Film Ops")))</f>
        <v/>
      </c>
      <c r="AA794" s="21"/>
      <c r="AB794" s="21" t="str">
        <f>'Ingest Template'!M794</f>
        <v/>
      </c>
      <c r="AC794" s="21" t="str">
        <f>'Ingest Template'!Y794</f>
        <v/>
      </c>
      <c r="AD794" s="21" t="str">
        <f>'Ingest Template'!C794</f>
        <v/>
      </c>
      <c r="AE794" s="21" t="str">
        <f>'Ingest Template'!Z794</f>
        <v/>
      </c>
      <c r="AF794" s="29"/>
      <c r="AG794" s="21" t="str">
        <f t="array" ref="AG794">IF('Ingest Template'!A794="Standard",(CONCATENATE(IF(ISBLANK('Ingest Template'!O794),"", 'Ingest Template'!O794&amp;"|DAR"),CHAR(10), IF(ISBLANK('Ingest Template'!P794),"", 'Ingest Template'!P794&amp;"|DAR"),CHAR(10), IF(ISBLANK('Ingest Template'!Q794),"", 'Ingest Template'!Q794&amp;"|DAR"))),(CONCATENATE(IF(ISBLANK('Ingest Template'!O794),"", 'Ingest Template'!O794&amp;"|Operations - Core Title"),CHAR(10), IF(ISBLANK('Ingest Template'!P794),"", 'Ingest Template'!P794&amp;"|Operations - Core Title"),CHAR(10), IF(ISBLANK('Ingest Template'!Q794),"", 'Ingest Template'!Q794&amp;"|Operations - Core Title"))))</f>
        <v>#|Operations - Core Title
#|Operations - Core Title
</v>
      </c>
      <c r="AH794" s="21"/>
      <c r="AI794" s="21"/>
      <c r="AJ794" s="53" t="str">
        <f>if('Ingest Template'!A794="Standard",'Ingest Template'!N794&amp; "|DAR|DAR|2021-01-01",'Ingest Template'!N794&amp; "|Operations - Core Title|Operations - Core Title")</f>
        <v>#N/A</v>
      </c>
      <c r="AK794" s="53" t="str">
        <f>if('Ingest Template'!A794="Standard",'Ingest Template'!R794&amp; "|2021-01-01",'Ingest Template'!R794)</f>
        <v>#N/A</v>
      </c>
      <c r="AL794" s="21"/>
      <c r="AM794" s="21"/>
    </row>
    <row r="795">
      <c r="A795" s="21"/>
      <c r="B795" s="21" t="str">
        <f>'Ingest Template'!B795&amp;IF('Ingest Template'!A795 = "Standard", " - DAR","")</f>
        <v/>
      </c>
      <c r="C795" s="26" t="s">
        <v>109</v>
      </c>
      <c r="D795" s="29" t="str">
        <f t="array" ref="D795">CONCATENATE(INDEX(DropDown!$H$2:$H$10,MATCH(1,COUNTIF('Ingest Template'!F795,"*"&amp;DropDown!$H$2:$H$10&amp;"*"),0)),CHAR(10),'Ingest Template'!G795)</f>
        <v>#N/A</v>
      </c>
      <c r="E795" s="21" t="str">
        <f>CONCATENATE('Ingest Template'!H795,CHAR(10),'Ingest Template'!I795,CHAR(10),'Ingest Template'!J795)</f>
        <v>
</v>
      </c>
      <c r="F795" s="26" t="str">
        <f>'Ingest Template'!H795</f>
        <v/>
      </c>
      <c r="G795" s="21"/>
      <c r="H795" s="29"/>
      <c r="I795" s="21"/>
      <c r="J795" s="29" t="str">
        <f t="array" ref="J795">iF('Ingest Template'!A795="Standard","Pristine Brand",INDEX(DropDown!$M$2:$M$392,MATCH('Ingest Template'!E795,DropDown!$J$2:$J$392,0)))</f>
        <v>#N/A</v>
      </c>
      <c r="K795" s="21" t="str">
        <f>iF('Ingest Template'!A795="Standard",'Ingest Template'!K795&amp;CHAR(10)&amp;'Ingest Template'!L795,"Competitive View")</f>
        <v>Competitive View</v>
      </c>
      <c r="L795" s="29" t="s">
        <v>146</v>
      </c>
      <c r="M795" s="37" t="str">
        <f>'Ingest Template'!D795</f>
        <v/>
      </c>
      <c r="N795" s="21"/>
      <c r="O795" s="21"/>
      <c r="P795" s="21"/>
      <c r="Q795" s="21"/>
      <c r="R795" s="21" t="str">
        <f>'Ingest Template'!E795</f>
        <v/>
      </c>
      <c r="S795" s="29" t="s">
        <v>153</v>
      </c>
      <c r="T795" s="21" t="str">
        <f>'Ingest Template'!T795</f>
        <v/>
      </c>
      <c r="U795" s="21" t="str">
        <f>'Ingest Template'!S795</f>
        <v/>
      </c>
      <c r="V795" s="21" t="str">
        <f>LOWER(SUBSTITUTE(SUBSTITUTE(SUBSTITUTE(SUBSTITUTE(SUBSTITUTE('Ingest Template'!U795,"https:",""),"www.",""),"/",""),"?hl=en",""),"instagram.com",""))</f>
        <v/>
      </c>
      <c r="W795" s="41" t="str">
        <f t="array" ref="W795">IF('Ingest Template'!V795="",(INDEX(DropDown!$L$2:$L$392,MATCH('Ingest Template'!E795,DropDown!$J$2:$J$392,0))&amp;"|"&amp;'Ingest Template'!B795),(INDEX(DropDown!$L$2:$L$392,MATCH('Ingest Template'!E795,DropDown!$J$2:$J$392,0))&amp;"|"&amp;'Ingest Template'!B795)&amp;CHAR(10)&amp;'Ingest Template'!V795)</f>
        <v>#N/A</v>
      </c>
      <c r="X795" s="41" t="str">
        <f>'Ingest Template'!W795</f>
        <v/>
      </c>
      <c r="Y795" s="21" t="str">
        <f>SUBSTITUTE(SUBSTITUTE(SUBSTITUTE('Ingest Template'!X795,"http:",""),"https:",""),"/","")</f>
        <v/>
      </c>
      <c r="Z795" s="21" t="str">
        <f t="array" ref="Z795">IF('Ingest Template'!A795="Standard",(IF(ISBLANK('Ingest Template'!AA795),"", 'Ingest Template'!AA795&amp;"|DAR")),(IF(ISBLANK('Ingest Template'!AA795),"", 'Ingest Template'!AA795&amp;"|Film Ops")))</f>
        <v/>
      </c>
      <c r="AA795" s="21"/>
      <c r="AB795" s="21" t="str">
        <f>'Ingest Template'!M795</f>
        <v/>
      </c>
      <c r="AC795" s="21" t="str">
        <f>'Ingest Template'!Y795</f>
        <v/>
      </c>
      <c r="AD795" s="21" t="str">
        <f>'Ingest Template'!C795</f>
        <v/>
      </c>
      <c r="AE795" s="21" t="str">
        <f>'Ingest Template'!Z795</f>
        <v/>
      </c>
      <c r="AF795" s="29"/>
      <c r="AG795" s="21" t="str">
        <f t="array" ref="AG795">IF('Ingest Template'!A795="Standard",(CONCATENATE(IF(ISBLANK('Ingest Template'!O795),"", 'Ingest Template'!O795&amp;"|DAR"),CHAR(10), IF(ISBLANK('Ingest Template'!P795),"", 'Ingest Template'!P795&amp;"|DAR"),CHAR(10), IF(ISBLANK('Ingest Template'!Q795),"", 'Ingest Template'!Q795&amp;"|DAR"))),(CONCATENATE(IF(ISBLANK('Ingest Template'!O795),"", 'Ingest Template'!O795&amp;"|Operations - Core Title"),CHAR(10), IF(ISBLANK('Ingest Template'!P795),"", 'Ingest Template'!P795&amp;"|Operations - Core Title"),CHAR(10), IF(ISBLANK('Ingest Template'!Q795),"", 'Ingest Template'!Q795&amp;"|Operations - Core Title"))))</f>
        <v>#|Operations - Core Title
#|Operations - Core Title
</v>
      </c>
      <c r="AH795" s="21"/>
      <c r="AI795" s="21"/>
      <c r="AJ795" s="53" t="str">
        <f>if('Ingest Template'!A795="Standard",'Ingest Template'!N795&amp; "|DAR|DAR|2021-01-01",'Ingest Template'!N795&amp; "|Operations - Core Title|Operations - Core Title")</f>
        <v>#N/A</v>
      </c>
      <c r="AK795" s="53" t="str">
        <f>if('Ingest Template'!A795="Standard",'Ingest Template'!R795&amp; "|2021-01-01",'Ingest Template'!R795)</f>
        <v>#N/A</v>
      </c>
      <c r="AL795" s="21"/>
      <c r="AM795" s="21"/>
    </row>
    <row r="796">
      <c r="A796" s="21"/>
      <c r="B796" s="21" t="str">
        <f>'Ingest Template'!B796&amp;IF('Ingest Template'!A796 = "Standard", " - DAR","")</f>
        <v/>
      </c>
      <c r="C796" s="26" t="s">
        <v>109</v>
      </c>
      <c r="D796" s="29" t="str">
        <f t="array" ref="D796">CONCATENATE(INDEX(DropDown!$H$2:$H$10,MATCH(1,COUNTIF('Ingest Template'!F796,"*"&amp;DropDown!$H$2:$H$10&amp;"*"),0)),CHAR(10),'Ingest Template'!G796)</f>
        <v>#N/A</v>
      </c>
      <c r="E796" s="21" t="str">
        <f>CONCATENATE('Ingest Template'!H796,CHAR(10),'Ingest Template'!I796,CHAR(10),'Ingest Template'!J796)</f>
        <v>
</v>
      </c>
      <c r="F796" s="26" t="str">
        <f>'Ingest Template'!H796</f>
        <v/>
      </c>
      <c r="G796" s="21"/>
      <c r="H796" s="29"/>
      <c r="I796" s="21"/>
      <c r="J796" s="29" t="str">
        <f t="array" ref="J796">iF('Ingest Template'!A796="Standard","Pristine Brand",INDEX(DropDown!$M$2:$M$392,MATCH('Ingest Template'!E796,DropDown!$J$2:$J$392,0)))</f>
        <v>#N/A</v>
      </c>
      <c r="K796" s="21" t="str">
        <f>iF('Ingest Template'!A796="Standard",'Ingest Template'!K796&amp;CHAR(10)&amp;'Ingest Template'!L796,"Competitive View")</f>
        <v>Competitive View</v>
      </c>
      <c r="L796" s="29" t="s">
        <v>146</v>
      </c>
      <c r="M796" s="37" t="str">
        <f>'Ingest Template'!D796</f>
        <v/>
      </c>
      <c r="N796" s="21"/>
      <c r="O796" s="21"/>
      <c r="P796" s="21"/>
      <c r="Q796" s="21"/>
      <c r="R796" s="21" t="str">
        <f>'Ingest Template'!E796</f>
        <v/>
      </c>
      <c r="S796" s="29" t="s">
        <v>153</v>
      </c>
      <c r="T796" s="21" t="str">
        <f>'Ingest Template'!T796</f>
        <v/>
      </c>
      <c r="U796" s="21" t="str">
        <f>'Ingest Template'!S796</f>
        <v/>
      </c>
      <c r="V796" s="21" t="str">
        <f>LOWER(SUBSTITUTE(SUBSTITUTE(SUBSTITUTE(SUBSTITUTE(SUBSTITUTE('Ingest Template'!U796,"https:",""),"www.",""),"/",""),"?hl=en",""),"instagram.com",""))</f>
        <v/>
      </c>
      <c r="W796" s="41" t="str">
        <f t="array" ref="W796">IF('Ingest Template'!V796="",(INDEX(DropDown!$L$2:$L$392,MATCH('Ingest Template'!E796,DropDown!$J$2:$J$392,0))&amp;"|"&amp;'Ingest Template'!B796),(INDEX(DropDown!$L$2:$L$392,MATCH('Ingest Template'!E796,DropDown!$J$2:$J$392,0))&amp;"|"&amp;'Ingest Template'!B796)&amp;CHAR(10)&amp;'Ingest Template'!V796)</f>
        <v>#N/A</v>
      </c>
      <c r="X796" s="41" t="str">
        <f>'Ingest Template'!W796</f>
        <v/>
      </c>
      <c r="Y796" s="21" t="str">
        <f>SUBSTITUTE(SUBSTITUTE(SUBSTITUTE('Ingest Template'!X796,"http:",""),"https:",""),"/","")</f>
        <v/>
      </c>
      <c r="Z796" s="21" t="str">
        <f t="array" ref="Z796">IF('Ingest Template'!A796="Standard",(IF(ISBLANK('Ingest Template'!AA796),"", 'Ingest Template'!AA796&amp;"|DAR")),(IF(ISBLANK('Ingest Template'!AA796),"", 'Ingest Template'!AA796&amp;"|Film Ops")))</f>
        <v/>
      </c>
      <c r="AA796" s="21"/>
      <c r="AB796" s="21" t="str">
        <f>'Ingest Template'!M796</f>
        <v/>
      </c>
      <c r="AC796" s="21" t="str">
        <f>'Ingest Template'!Y796</f>
        <v/>
      </c>
      <c r="AD796" s="21" t="str">
        <f>'Ingest Template'!C796</f>
        <v/>
      </c>
      <c r="AE796" s="21" t="str">
        <f>'Ingest Template'!Z796</f>
        <v/>
      </c>
      <c r="AF796" s="29"/>
      <c r="AG796" s="21" t="str">
        <f t="array" ref="AG796">IF('Ingest Template'!A796="Standard",(CONCATENATE(IF(ISBLANK('Ingest Template'!O796),"", 'Ingest Template'!O796&amp;"|DAR"),CHAR(10), IF(ISBLANK('Ingest Template'!P796),"", 'Ingest Template'!P796&amp;"|DAR"),CHAR(10), IF(ISBLANK('Ingest Template'!Q796),"", 'Ingest Template'!Q796&amp;"|DAR"))),(CONCATENATE(IF(ISBLANK('Ingest Template'!O796),"", 'Ingest Template'!O796&amp;"|Operations - Core Title"),CHAR(10), IF(ISBLANK('Ingest Template'!P796),"", 'Ingest Template'!P796&amp;"|Operations - Core Title"),CHAR(10), IF(ISBLANK('Ingest Template'!Q796),"", 'Ingest Template'!Q796&amp;"|Operations - Core Title"))))</f>
        <v>#|Operations - Core Title
#|Operations - Core Title
</v>
      </c>
      <c r="AH796" s="21"/>
      <c r="AI796" s="21"/>
      <c r="AJ796" s="53" t="str">
        <f>if('Ingest Template'!A796="Standard",'Ingest Template'!N796&amp; "|DAR|DAR|2021-01-01",'Ingest Template'!N796&amp; "|Operations - Core Title|Operations - Core Title")</f>
        <v>#N/A</v>
      </c>
      <c r="AK796" s="53" t="str">
        <f>if('Ingest Template'!A796="Standard",'Ingest Template'!R796&amp; "|2021-01-01",'Ingest Template'!R796)</f>
        <v>#N/A</v>
      </c>
      <c r="AL796" s="21"/>
      <c r="AM796" s="21"/>
    </row>
    <row r="797">
      <c r="A797" s="21"/>
      <c r="B797" s="21" t="str">
        <f>'Ingest Template'!B797&amp;IF('Ingest Template'!A797 = "Standard", " - DAR","")</f>
        <v/>
      </c>
      <c r="C797" s="26" t="s">
        <v>109</v>
      </c>
      <c r="D797" s="29" t="str">
        <f t="array" ref="D797">CONCATENATE(INDEX(DropDown!$H$2:$H$10,MATCH(1,COUNTIF('Ingest Template'!F797,"*"&amp;DropDown!$H$2:$H$10&amp;"*"),0)),CHAR(10),'Ingest Template'!G797)</f>
        <v>#N/A</v>
      </c>
      <c r="E797" s="21" t="str">
        <f>CONCATENATE('Ingest Template'!H797,CHAR(10),'Ingest Template'!I797,CHAR(10),'Ingest Template'!J797)</f>
        <v>
</v>
      </c>
      <c r="F797" s="26" t="str">
        <f>'Ingest Template'!H797</f>
        <v/>
      </c>
      <c r="G797" s="21"/>
      <c r="H797" s="29"/>
      <c r="I797" s="21"/>
      <c r="J797" s="29" t="str">
        <f t="array" ref="J797">iF('Ingest Template'!A797="Standard","Pristine Brand",INDEX(DropDown!$M$2:$M$392,MATCH('Ingest Template'!E797,DropDown!$J$2:$J$392,0)))</f>
        <v>#N/A</v>
      </c>
      <c r="K797" s="21" t="str">
        <f>iF('Ingest Template'!A797="Standard",'Ingest Template'!K797&amp;CHAR(10)&amp;'Ingest Template'!L797,"Competitive View")</f>
        <v>Competitive View</v>
      </c>
      <c r="L797" s="29" t="s">
        <v>146</v>
      </c>
      <c r="M797" s="37" t="str">
        <f>'Ingest Template'!D797</f>
        <v/>
      </c>
      <c r="N797" s="21"/>
      <c r="O797" s="21"/>
      <c r="P797" s="21"/>
      <c r="Q797" s="21"/>
      <c r="R797" s="21" t="str">
        <f>'Ingest Template'!E797</f>
        <v/>
      </c>
      <c r="S797" s="29" t="s">
        <v>153</v>
      </c>
      <c r="T797" s="21" t="str">
        <f>'Ingest Template'!T797</f>
        <v/>
      </c>
      <c r="U797" s="21" t="str">
        <f>'Ingest Template'!S797</f>
        <v/>
      </c>
      <c r="V797" s="21" t="str">
        <f>LOWER(SUBSTITUTE(SUBSTITUTE(SUBSTITUTE(SUBSTITUTE(SUBSTITUTE('Ingest Template'!U797,"https:",""),"www.",""),"/",""),"?hl=en",""),"instagram.com",""))</f>
        <v/>
      </c>
      <c r="W797" s="41" t="str">
        <f t="array" ref="W797">IF('Ingest Template'!V797="",(INDEX(DropDown!$L$2:$L$392,MATCH('Ingest Template'!E797,DropDown!$J$2:$J$392,0))&amp;"|"&amp;'Ingest Template'!B797),(INDEX(DropDown!$L$2:$L$392,MATCH('Ingest Template'!E797,DropDown!$J$2:$J$392,0))&amp;"|"&amp;'Ingest Template'!B797)&amp;CHAR(10)&amp;'Ingest Template'!V797)</f>
        <v>#N/A</v>
      </c>
      <c r="X797" s="41" t="str">
        <f>'Ingest Template'!W797</f>
        <v/>
      </c>
      <c r="Y797" s="21" t="str">
        <f>SUBSTITUTE(SUBSTITUTE(SUBSTITUTE('Ingest Template'!X797,"http:",""),"https:",""),"/","")</f>
        <v/>
      </c>
      <c r="Z797" s="21" t="str">
        <f t="array" ref="Z797">IF('Ingest Template'!A797="Standard",(IF(ISBLANK('Ingest Template'!AA797),"", 'Ingest Template'!AA797&amp;"|DAR")),(IF(ISBLANK('Ingest Template'!AA797),"", 'Ingest Template'!AA797&amp;"|Film Ops")))</f>
        <v/>
      </c>
      <c r="AA797" s="21"/>
      <c r="AB797" s="21" t="str">
        <f>'Ingest Template'!M797</f>
        <v/>
      </c>
      <c r="AC797" s="21" t="str">
        <f>'Ingest Template'!Y797</f>
        <v/>
      </c>
      <c r="AD797" s="21" t="str">
        <f>'Ingest Template'!C797</f>
        <v/>
      </c>
      <c r="AE797" s="21" t="str">
        <f>'Ingest Template'!Z797</f>
        <v/>
      </c>
      <c r="AF797" s="29"/>
      <c r="AG797" s="21" t="str">
        <f t="array" ref="AG797">IF('Ingest Template'!A797="Standard",(CONCATENATE(IF(ISBLANK('Ingest Template'!O797),"", 'Ingest Template'!O797&amp;"|DAR"),CHAR(10), IF(ISBLANK('Ingest Template'!P797),"", 'Ingest Template'!P797&amp;"|DAR"),CHAR(10), IF(ISBLANK('Ingest Template'!Q797),"", 'Ingest Template'!Q797&amp;"|DAR"))),(CONCATENATE(IF(ISBLANK('Ingest Template'!O797),"", 'Ingest Template'!O797&amp;"|Operations - Core Title"),CHAR(10), IF(ISBLANK('Ingest Template'!P797),"", 'Ingest Template'!P797&amp;"|Operations - Core Title"),CHAR(10), IF(ISBLANK('Ingest Template'!Q797),"", 'Ingest Template'!Q797&amp;"|Operations - Core Title"))))</f>
        <v>#|Operations - Core Title
#|Operations - Core Title
</v>
      </c>
      <c r="AH797" s="21"/>
      <c r="AI797" s="21"/>
      <c r="AJ797" s="53" t="str">
        <f>if('Ingest Template'!A797="Standard",'Ingest Template'!N797&amp; "|DAR|DAR|2021-01-01",'Ingest Template'!N797&amp; "|Operations - Core Title|Operations - Core Title")</f>
        <v>#N/A</v>
      </c>
      <c r="AK797" s="53" t="str">
        <f>if('Ingest Template'!A797="Standard",'Ingest Template'!R797&amp; "|2021-01-01",'Ingest Template'!R797)</f>
        <v>#N/A</v>
      </c>
      <c r="AL797" s="21"/>
      <c r="AM797" s="21"/>
    </row>
    <row r="798">
      <c r="A798" s="21"/>
      <c r="B798" s="21" t="str">
        <f>'Ingest Template'!B798&amp;IF('Ingest Template'!A798 = "Standard", " - DAR","")</f>
        <v/>
      </c>
      <c r="C798" s="26" t="s">
        <v>109</v>
      </c>
      <c r="D798" s="29" t="str">
        <f t="array" ref="D798">CONCATENATE(INDEX(DropDown!$H$2:$H$10,MATCH(1,COUNTIF('Ingest Template'!F798,"*"&amp;DropDown!$H$2:$H$10&amp;"*"),0)),CHAR(10),'Ingest Template'!G798)</f>
        <v>#N/A</v>
      </c>
      <c r="E798" s="21" t="str">
        <f>CONCATENATE('Ingest Template'!H798,CHAR(10),'Ingest Template'!I798,CHAR(10),'Ingest Template'!J798)</f>
        <v>
</v>
      </c>
      <c r="F798" s="26" t="str">
        <f>'Ingest Template'!H798</f>
        <v/>
      </c>
      <c r="G798" s="21"/>
      <c r="H798" s="29"/>
      <c r="I798" s="21"/>
      <c r="J798" s="29" t="str">
        <f t="array" ref="J798">iF('Ingest Template'!A798="Standard","Pristine Brand",INDEX(DropDown!$M$2:$M$392,MATCH('Ingest Template'!E798,DropDown!$J$2:$J$392,0)))</f>
        <v>#N/A</v>
      </c>
      <c r="K798" s="21" t="str">
        <f>iF('Ingest Template'!A798="Standard",'Ingest Template'!K798&amp;CHAR(10)&amp;'Ingest Template'!L798,"Competitive View")</f>
        <v>Competitive View</v>
      </c>
      <c r="L798" s="29" t="s">
        <v>146</v>
      </c>
      <c r="M798" s="37" t="str">
        <f>'Ingest Template'!D798</f>
        <v/>
      </c>
      <c r="N798" s="21"/>
      <c r="O798" s="21"/>
      <c r="P798" s="21"/>
      <c r="Q798" s="21"/>
      <c r="R798" s="21" t="str">
        <f>'Ingest Template'!E798</f>
        <v/>
      </c>
      <c r="S798" s="29" t="s">
        <v>153</v>
      </c>
      <c r="T798" s="21" t="str">
        <f>'Ingest Template'!T798</f>
        <v/>
      </c>
      <c r="U798" s="21" t="str">
        <f>'Ingest Template'!S798</f>
        <v/>
      </c>
      <c r="V798" s="21" t="str">
        <f>LOWER(SUBSTITUTE(SUBSTITUTE(SUBSTITUTE(SUBSTITUTE(SUBSTITUTE('Ingest Template'!U798,"https:",""),"www.",""),"/",""),"?hl=en",""),"instagram.com",""))</f>
        <v/>
      </c>
      <c r="W798" s="41" t="str">
        <f t="array" ref="W798">IF('Ingest Template'!V798="",(INDEX(DropDown!$L$2:$L$392,MATCH('Ingest Template'!E798,DropDown!$J$2:$J$392,0))&amp;"|"&amp;'Ingest Template'!B798),(INDEX(DropDown!$L$2:$L$392,MATCH('Ingest Template'!E798,DropDown!$J$2:$J$392,0))&amp;"|"&amp;'Ingest Template'!B798)&amp;CHAR(10)&amp;'Ingest Template'!V798)</f>
        <v>#N/A</v>
      </c>
      <c r="X798" s="41" t="str">
        <f>'Ingest Template'!W798</f>
        <v/>
      </c>
      <c r="Y798" s="21" t="str">
        <f>SUBSTITUTE(SUBSTITUTE(SUBSTITUTE('Ingest Template'!X798,"http:",""),"https:",""),"/","")</f>
        <v/>
      </c>
      <c r="Z798" s="21" t="str">
        <f t="array" ref="Z798">IF('Ingest Template'!A798="Standard",(IF(ISBLANK('Ingest Template'!AA798),"", 'Ingest Template'!AA798&amp;"|DAR")),(IF(ISBLANK('Ingest Template'!AA798),"", 'Ingest Template'!AA798&amp;"|Film Ops")))</f>
        <v/>
      </c>
      <c r="AA798" s="21"/>
      <c r="AB798" s="21" t="str">
        <f>'Ingest Template'!M798</f>
        <v/>
      </c>
      <c r="AC798" s="21" t="str">
        <f>'Ingest Template'!Y798</f>
        <v/>
      </c>
      <c r="AD798" s="21" t="str">
        <f>'Ingest Template'!C798</f>
        <v/>
      </c>
      <c r="AE798" s="21" t="str">
        <f>'Ingest Template'!Z798</f>
        <v/>
      </c>
      <c r="AF798" s="29"/>
      <c r="AG798" s="21" t="str">
        <f t="array" ref="AG798">IF('Ingest Template'!A798="Standard",(CONCATENATE(IF(ISBLANK('Ingest Template'!O798),"", 'Ingest Template'!O798&amp;"|DAR"),CHAR(10), IF(ISBLANK('Ingest Template'!P798),"", 'Ingest Template'!P798&amp;"|DAR"),CHAR(10), IF(ISBLANK('Ingest Template'!Q798),"", 'Ingest Template'!Q798&amp;"|DAR"))),(CONCATENATE(IF(ISBLANK('Ingest Template'!O798),"", 'Ingest Template'!O798&amp;"|Operations - Core Title"),CHAR(10), IF(ISBLANK('Ingest Template'!P798),"", 'Ingest Template'!P798&amp;"|Operations - Core Title"),CHAR(10), IF(ISBLANK('Ingest Template'!Q798),"", 'Ingest Template'!Q798&amp;"|Operations - Core Title"))))</f>
        <v>#|Operations - Core Title
#|Operations - Core Title
</v>
      </c>
      <c r="AH798" s="21"/>
      <c r="AI798" s="21"/>
      <c r="AJ798" s="53" t="str">
        <f>if('Ingest Template'!A798="Standard",'Ingest Template'!N798&amp; "|DAR|DAR|2021-01-01",'Ingest Template'!N798&amp; "|Operations - Core Title|Operations - Core Title")</f>
        <v>#N/A</v>
      </c>
      <c r="AK798" s="53" t="str">
        <f>if('Ingest Template'!A798="Standard",'Ingest Template'!R798&amp; "|2021-01-01",'Ingest Template'!R798)</f>
        <v>#N/A</v>
      </c>
      <c r="AL798" s="21"/>
      <c r="AM798" s="21"/>
    </row>
    <row r="799">
      <c r="A799" s="21"/>
      <c r="B799" s="21" t="str">
        <f>'Ingest Template'!B799&amp;IF('Ingest Template'!A799 = "Standard", " - DAR","")</f>
        <v/>
      </c>
      <c r="C799" s="26" t="s">
        <v>109</v>
      </c>
      <c r="D799" s="29" t="str">
        <f t="array" ref="D799">CONCATENATE(INDEX(DropDown!$H$2:$H$10,MATCH(1,COUNTIF('Ingest Template'!F799,"*"&amp;DropDown!$H$2:$H$10&amp;"*"),0)),CHAR(10),'Ingest Template'!G799)</f>
        <v>#N/A</v>
      </c>
      <c r="E799" s="21" t="str">
        <f>CONCATENATE('Ingest Template'!H799,CHAR(10),'Ingest Template'!I799,CHAR(10),'Ingest Template'!J799)</f>
        <v>
</v>
      </c>
      <c r="F799" s="26" t="str">
        <f>'Ingest Template'!H799</f>
        <v/>
      </c>
      <c r="G799" s="21"/>
      <c r="H799" s="29"/>
      <c r="I799" s="21"/>
      <c r="J799" s="29" t="str">
        <f t="array" ref="J799">iF('Ingest Template'!A799="Standard","Pristine Brand",INDEX(DropDown!$M$2:$M$392,MATCH('Ingest Template'!E799,DropDown!$J$2:$J$392,0)))</f>
        <v>#N/A</v>
      </c>
      <c r="K799" s="21" t="str">
        <f>iF('Ingest Template'!A799="Standard",'Ingest Template'!K799&amp;CHAR(10)&amp;'Ingest Template'!L799,"Competitive View")</f>
        <v>Competitive View</v>
      </c>
      <c r="L799" s="29" t="s">
        <v>146</v>
      </c>
      <c r="M799" s="37" t="str">
        <f>'Ingest Template'!D799</f>
        <v/>
      </c>
      <c r="N799" s="21"/>
      <c r="O799" s="21"/>
      <c r="P799" s="21"/>
      <c r="Q799" s="21"/>
      <c r="R799" s="21" t="str">
        <f>'Ingest Template'!E799</f>
        <v/>
      </c>
      <c r="S799" s="29" t="s">
        <v>153</v>
      </c>
      <c r="T799" s="21" t="str">
        <f>'Ingest Template'!T799</f>
        <v/>
      </c>
      <c r="U799" s="21" t="str">
        <f>'Ingest Template'!S799</f>
        <v/>
      </c>
      <c r="V799" s="21" t="str">
        <f>LOWER(SUBSTITUTE(SUBSTITUTE(SUBSTITUTE(SUBSTITUTE(SUBSTITUTE('Ingest Template'!U799,"https:",""),"www.",""),"/",""),"?hl=en",""),"instagram.com",""))</f>
        <v/>
      </c>
      <c r="W799" s="41" t="str">
        <f t="array" ref="W799">IF('Ingest Template'!V799="",(INDEX(DropDown!$L$2:$L$392,MATCH('Ingest Template'!E799,DropDown!$J$2:$J$392,0))&amp;"|"&amp;'Ingest Template'!B799),(INDEX(DropDown!$L$2:$L$392,MATCH('Ingest Template'!E799,DropDown!$J$2:$J$392,0))&amp;"|"&amp;'Ingest Template'!B799)&amp;CHAR(10)&amp;'Ingest Template'!V799)</f>
        <v>#N/A</v>
      </c>
      <c r="X799" s="41" t="str">
        <f>'Ingest Template'!W799</f>
        <v/>
      </c>
      <c r="Y799" s="21" t="str">
        <f>SUBSTITUTE(SUBSTITUTE(SUBSTITUTE('Ingest Template'!X799,"http:",""),"https:",""),"/","")</f>
        <v/>
      </c>
      <c r="Z799" s="21" t="str">
        <f t="array" ref="Z799">IF('Ingest Template'!A799="Standard",(IF(ISBLANK('Ingest Template'!AA799),"", 'Ingest Template'!AA799&amp;"|DAR")),(IF(ISBLANK('Ingest Template'!AA799),"", 'Ingest Template'!AA799&amp;"|Film Ops")))</f>
        <v/>
      </c>
      <c r="AA799" s="21"/>
      <c r="AB799" s="21" t="str">
        <f>'Ingest Template'!M799</f>
        <v/>
      </c>
      <c r="AC799" s="21" t="str">
        <f>'Ingest Template'!Y799</f>
        <v/>
      </c>
      <c r="AD799" s="21" t="str">
        <f>'Ingest Template'!C799</f>
        <v/>
      </c>
      <c r="AE799" s="21" t="str">
        <f>'Ingest Template'!Z799</f>
        <v/>
      </c>
      <c r="AF799" s="29"/>
      <c r="AG799" s="21" t="str">
        <f t="array" ref="AG799">IF('Ingest Template'!A799="Standard",(CONCATENATE(IF(ISBLANK('Ingest Template'!O799),"", 'Ingest Template'!O799&amp;"|DAR"),CHAR(10), IF(ISBLANK('Ingest Template'!P799),"", 'Ingest Template'!P799&amp;"|DAR"),CHAR(10), IF(ISBLANK('Ingest Template'!Q799),"", 'Ingest Template'!Q799&amp;"|DAR"))),(CONCATENATE(IF(ISBLANK('Ingest Template'!O799),"", 'Ingest Template'!O799&amp;"|Operations - Core Title"),CHAR(10), IF(ISBLANK('Ingest Template'!P799),"", 'Ingest Template'!P799&amp;"|Operations - Core Title"),CHAR(10), IF(ISBLANK('Ingest Template'!Q799),"", 'Ingest Template'!Q799&amp;"|Operations - Core Title"))))</f>
        <v>#|Operations - Core Title
#|Operations - Core Title
</v>
      </c>
      <c r="AH799" s="21"/>
      <c r="AI799" s="21"/>
      <c r="AJ799" s="53" t="str">
        <f>if('Ingest Template'!A799="Standard",'Ingest Template'!N799&amp; "|DAR|DAR|2021-01-01",'Ingest Template'!N799&amp; "|Operations - Core Title|Operations - Core Title")</f>
        <v>#N/A</v>
      </c>
      <c r="AK799" s="53" t="str">
        <f>if('Ingest Template'!A799="Standard",'Ingest Template'!R799&amp; "|2021-01-01",'Ingest Template'!R799)</f>
        <v>#N/A</v>
      </c>
      <c r="AL799" s="21"/>
      <c r="AM799" s="21"/>
    </row>
    <row r="800">
      <c r="A800" s="21"/>
      <c r="B800" s="21" t="str">
        <f>'Ingest Template'!B800&amp;IF('Ingest Template'!A800 = "Standard", " - DAR","")</f>
        <v/>
      </c>
      <c r="C800" s="26" t="s">
        <v>109</v>
      </c>
      <c r="D800" s="29" t="str">
        <f t="array" ref="D800">CONCATENATE(INDEX(DropDown!$H$2:$H$10,MATCH(1,COUNTIF('Ingest Template'!F800,"*"&amp;DropDown!$H$2:$H$10&amp;"*"),0)),CHAR(10),'Ingest Template'!G800)</f>
        <v>#N/A</v>
      </c>
      <c r="E800" s="21" t="str">
        <f>CONCATENATE('Ingest Template'!H800,CHAR(10),'Ingest Template'!I800,CHAR(10),'Ingest Template'!J800)</f>
        <v>
</v>
      </c>
      <c r="F800" s="26" t="str">
        <f>'Ingest Template'!H800</f>
        <v/>
      </c>
      <c r="G800" s="21"/>
      <c r="H800" s="29"/>
      <c r="I800" s="21"/>
      <c r="J800" s="29" t="str">
        <f t="array" ref="J800">iF('Ingest Template'!A800="Standard","Pristine Brand",INDEX(DropDown!$M$2:$M$392,MATCH('Ingest Template'!E800,DropDown!$J$2:$J$392,0)))</f>
        <v>#N/A</v>
      </c>
      <c r="K800" s="21" t="str">
        <f>iF('Ingest Template'!A800="Standard",'Ingest Template'!K800&amp;CHAR(10)&amp;'Ingest Template'!L800,"Competitive View")</f>
        <v>Competitive View</v>
      </c>
      <c r="L800" s="29" t="s">
        <v>146</v>
      </c>
      <c r="M800" s="37" t="str">
        <f>'Ingest Template'!D800</f>
        <v/>
      </c>
      <c r="N800" s="21"/>
      <c r="O800" s="21"/>
      <c r="P800" s="21"/>
      <c r="Q800" s="21"/>
      <c r="R800" s="21" t="str">
        <f>'Ingest Template'!E800</f>
        <v/>
      </c>
      <c r="S800" s="29" t="s">
        <v>153</v>
      </c>
      <c r="T800" s="21" t="str">
        <f>'Ingest Template'!T800</f>
        <v/>
      </c>
      <c r="U800" s="21" t="str">
        <f>'Ingest Template'!S800</f>
        <v/>
      </c>
      <c r="V800" s="21" t="str">
        <f>LOWER(SUBSTITUTE(SUBSTITUTE(SUBSTITUTE(SUBSTITUTE(SUBSTITUTE('Ingest Template'!U800,"https:",""),"www.",""),"/",""),"?hl=en",""),"instagram.com",""))</f>
        <v/>
      </c>
      <c r="W800" s="41" t="str">
        <f t="array" ref="W800">IF('Ingest Template'!V800="",(INDEX(DropDown!$L$2:$L$392,MATCH('Ingest Template'!E800,DropDown!$J$2:$J$392,0))&amp;"|"&amp;'Ingest Template'!B800),(INDEX(DropDown!$L$2:$L$392,MATCH('Ingest Template'!E800,DropDown!$J$2:$J$392,0))&amp;"|"&amp;'Ingest Template'!B800)&amp;CHAR(10)&amp;'Ingest Template'!V800)</f>
        <v>#N/A</v>
      </c>
      <c r="X800" s="41" t="str">
        <f>'Ingest Template'!W800</f>
        <v/>
      </c>
      <c r="Y800" s="21" t="str">
        <f>SUBSTITUTE(SUBSTITUTE(SUBSTITUTE('Ingest Template'!X800,"http:",""),"https:",""),"/","")</f>
        <v/>
      </c>
      <c r="Z800" s="21" t="str">
        <f t="array" ref="Z800">IF('Ingest Template'!A800="Standard",(IF(ISBLANK('Ingest Template'!AA800),"", 'Ingest Template'!AA800&amp;"|DAR")),(IF(ISBLANK('Ingest Template'!AA800),"", 'Ingest Template'!AA800&amp;"|Film Ops")))</f>
        <v/>
      </c>
      <c r="AA800" s="21"/>
      <c r="AB800" s="21" t="str">
        <f>'Ingest Template'!M800</f>
        <v/>
      </c>
      <c r="AC800" s="21" t="str">
        <f>'Ingest Template'!Y800</f>
        <v/>
      </c>
      <c r="AD800" s="21" t="str">
        <f>'Ingest Template'!C800</f>
        <v/>
      </c>
      <c r="AE800" s="21" t="str">
        <f>'Ingest Template'!Z800</f>
        <v/>
      </c>
      <c r="AF800" s="29"/>
      <c r="AG800" s="21" t="str">
        <f t="array" ref="AG800">IF('Ingest Template'!A800="Standard",(CONCATENATE(IF(ISBLANK('Ingest Template'!O800),"", 'Ingest Template'!O800&amp;"|DAR"),CHAR(10), IF(ISBLANK('Ingest Template'!P800),"", 'Ingest Template'!P800&amp;"|DAR"),CHAR(10), IF(ISBLANK('Ingest Template'!Q800),"", 'Ingest Template'!Q800&amp;"|DAR"))),(CONCATENATE(IF(ISBLANK('Ingest Template'!O800),"", 'Ingest Template'!O800&amp;"|Operations - Core Title"),CHAR(10), IF(ISBLANK('Ingest Template'!P800),"", 'Ingest Template'!P800&amp;"|Operations - Core Title"),CHAR(10), IF(ISBLANK('Ingest Template'!Q800),"", 'Ingest Template'!Q800&amp;"|Operations - Core Title"))))</f>
        <v>#|Operations - Core Title
#|Operations - Core Title
</v>
      </c>
      <c r="AH800" s="21"/>
      <c r="AI800" s="21"/>
      <c r="AJ800" s="53" t="str">
        <f>if('Ingest Template'!A800="Standard",'Ingest Template'!N800&amp; "|DAR|DAR|2021-01-01",'Ingest Template'!N800&amp; "|Operations - Core Title|Operations - Core Title")</f>
        <v>#N/A</v>
      </c>
      <c r="AK800" s="53" t="str">
        <f>if('Ingest Template'!A800="Standard",'Ingest Template'!R800&amp; "|2021-01-01",'Ingest Template'!R800)</f>
        <v>#N/A</v>
      </c>
      <c r="AL800" s="21"/>
      <c r="AM800" s="21"/>
    </row>
    <row r="801">
      <c r="A801" s="21"/>
      <c r="B801" s="21" t="str">
        <f>'Ingest Template'!B801&amp;IF('Ingest Template'!A801 = "Standard", " - DAR","")</f>
        <v/>
      </c>
      <c r="C801" s="26" t="s">
        <v>109</v>
      </c>
      <c r="D801" s="29" t="str">
        <f t="array" ref="D801">CONCATENATE(INDEX(DropDown!$H$2:$H$10,MATCH(1,COUNTIF('Ingest Template'!F801,"*"&amp;DropDown!$H$2:$H$10&amp;"*"),0)),CHAR(10),'Ingest Template'!G801)</f>
        <v>#N/A</v>
      </c>
      <c r="E801" s="21" t="str">
        <f>CONCATENATE('Ingest Template'!H801,CHAR(10),'Ingest Template'!I801,CHAR(10),'Ingest Template'!J801)</f>
        <v>
</v>
      </c>
      <c r="F801" s="26" t="str">
        <f>'Ingest Template'!H801</f>
        <v/>
      </c>
      <c r="G801" s="21"/>
      <c r="H801" s="29"/>
      <c r="I801" s="21"/>
      <c r="J801" s="29" t="str">
        <f t="array" ref="J801">iF('Ingest Template'!A801="Standard","Pristine Brand",INDEX(DropDown!$M$2:$M$392,MATCH('Ingest Template'!E801,DropDown!$J$2:$J$392,0)))</f>
        <v>#N/A</v>
      </c>
      <c r="K801" s="21" t="str">
        <f>iF('Ingest Template'!A801="Standard",'Ingest Template'!K801&amp;CHAR(10)&amp;'Ingest Template'!L801,"Competitive View")</f>
        <v>Competitive View</v>
      </c>
      <c r="L801" s="29" t="s">
        <v>146</v>
      </c>
      <c r="M801" s="37" t="str">
        <f>'Ingest Template'!D801</f>
        <v/>
      </c>
      <c r="N801" s="21"/>
      <c r="O801" s="21"/>
      <c r="P801" s="21"/>
      <c r="Q801" s="21"/>
      <c r="R801" s="21" t="str">
        <f>'Ingest Template'!E801</f>
        <v/>
      </c>
      <c r="S801" s="29" t="s">
        <v>153</v>
      </c>
      <c r="T801" s="21" t="str">
        <f>'Ingest Template'!T801</f>
        <v/>
      </c>
      <c r="U801" s="21" t="str">
        <f>'Ingest Template'!S801</f>
        <v/>
      </c>
      <c r="V801" s="21" t="str">
        <f>LOWER(SUBSTITUTE(SUBSTITUTE(SUBSTITUTE(SUBSTITUTE(SUBSTITUTE('Ingest Template'!U801,"https:",""),"www.",""),"/",""),"?hl=en",""),"instagram.com",""))</f>
        <v/>
      </c>
      <c r="W801" s="41" t="str">
        <f t="array" ref="W801">IF('Ingest Template'!V801="",(INDEX(DropDown!$L$2:$L$392,MATCH('Ingest Template'!E801,DropDown!$J$2:$J$392,0))&amp;"|"&amp;'Ingest Template'!B801),(INDEX(DropDown!$L$2:$L$392,MATCH('Ingest Template'!E801,DropDown!$J$2:$J$392,0))&amp;"|"&amp;'Ingest Template'!B801)&amp;CHAR(10)&amp;'Ingest Template'!V801)</f>
        <v>#N/A</v>
      </c>
      <c r="X801" s="41" t="str">
        <f>'Ingest Template'!W801</f>
        <v/>
      </c>
      <c r="Y801" s="21" t="str">
        <f>SUBSTITUTE(SUBSTITUTE(SUBSTITUTE('Ingest Template'!X801,"http:",""),"https:",""),"/","")</f>
        <v/>
      </c>
      <c r="Z801" s="21" t="str">
        <f t="array" ref="Z801">IF('Ingest Template'!A801="Standard",(IF(ISBLANK('Ingest Template'!AA801),"", 'Ingest Template'!AA801&amp;"|DAR")),(IF(ISBLANK('Ingest Template'!AA801),"", 'Ingest Template'!AA801&amp;"|Film Ops")))</f>
        <v/>
      </c>
      <c r="AA801" s="21"/>
      <c r="AB801" s="21" t="str">
        <f>'Ingest Template'!M801</f>
        <v/>
      </c>
      <c r="AC801" s="21" t="str">
        <f>'Ingest Template'!Y801</f>
        <v/>
      </c>
      <c r="AD801" s="21" t="str">
        <f>'Ingest Template'!C801</f>
        <v/>
      </c>
      <c r="AE801" s="21" t="str">
        <f>'Ingest Template'!Z801</f>
        <v/>
      </c>
      <c r="AF801" s="29"/>
      <c r="AG801" s="21" t="str">
        <f t="array" ref="AG801">IF('Ingest Template'!A801="Standard",(CONCATENATE(IF(ISBLANK('Ingest Template'!O801),"", 'Ingest Template'!O801&amp;"|DAR"),CHAR(10), IF(ISBLANK('Ingest Template'!P801),"", 'Ingest Template'!P801&amp;"|DAR"),CHAR(10), IF(ISBLANK('Ingest Template'!Q801),"", 'Ingest Template'!Q801&amp;"|DAR"))),(CONCATENATE(IF(ISBLANK('Ingest Template'!O801),"", 'Ingest Template'!O801&amp;"|Operations - Core Title"),CHAR(10), IF(ISBLANK('Ingest Template'!P801),"", 'Ingest Template'!P801&amp;"|Operations - Core Title"),CHAR(10), IF(ISBLANK('Ingest Template'!Q801),"", 'Ingest Template'!Q801&amp;"|Operations - Core Title"))))</f>
        <v>#|Operations - Core Title
#|Operations - Core Title
</v>
      </c>
      <c r="AH801" s="21"/>
      <c r="AI801" s="21"/>
      <c r="AJ801" s="53" t="str">
        <f>if('Ingest Template'!A801="Standard",'Ingest Template'!N801&amp; "|DAR|DAR|2021-01-01",'Ingest Template'!N801&amp; "|Operations - Core Title|Operations - Core Title")</f>
        <v>#N/A</v>
      </c>
      <c r="AK801" s="53" t="str">
        <f>if('Ingest Template'!A801="Standard",'Ingest Template'!R801&amp; "|2021-01-01",'Ingest Template'!R801)</f>
        <v>#N/A</v>
      </c>
      <c r="AL801" s="21"/>
      <c r="AM801" s="21"/>
    </row>
    <row r="802">
      <c r="A802" s="21"/>
      <c r="B802" s="21" t="str">
        <f>'Ingest Template'!B802&amp;IF('Ingest Template'!A802 = "Standard", " - DAR","")</f>
        <v/>
      </c>
      <c r="C802" s="26" t="s">
        <v>109</v>
      </c>
      <c r="D802" s="29" t="str">
        <f t="array" ref="D802">CONCATENATE(INDEX(DropDown!$H$2:$H$10,MATCH(1,COUNTIF('Ingest Template'!F802,"*"&amp;DropDown!$H$2:$H$10&amp;"*"),0)),CHAR(10),'Ingest Template'!G802)</f>
        <v>#N/A</v>
      </c>
      <c r="E802" s="21" t="str">
        <f>CONCATENATE('Ingest Template'!H802,CHAR(10),'Ingest Template'!I802,CHAR(10),'Ingest Template'!J802)</f>
        <v>
</v>
      </c>
      <c r="F802" s="26" t="str">
        <f>'Ingest Template'!H802</f>
        <v/>
      </c>
      <c r="G802" s="21"/>
      <c r="H802" s="29"/>
      <c r="I802" s="21"/>
      <c r="J802" s="29" t="str">
        <f t="array" ref="J802">iF('Ingest Template'!A802="Standard","Pristine Brand",INDEX(DropDown!$M$2:$M$392,MATCH('Ingest Template'!E802,DropDown!$J$2:$J$392,0)))</f>
        <v>#N/A</v>
      </c>
      <c r="K802" s="21" t="str">
        <f>iF('Ingest Template'!A802="Standard",'Ingest Template'!K802&amp;CHAR(10)&amp;'Ingest Template'!L802,"Competitive View")</f>
        <v>Competitive View</v>
      </c>
      <c r="L802" s="29" t="s">
        <v>146</v>
      </c>
      <c r="M802" s="37" t="str">
        <f>'Ingest Template'!D802</f>
        <v/>
      </c>
      <c r="N802" s="21"/>
      <c r="O802" s="21"/>
      <c r="P802" s="21"/>
      <c r="Q802" s="21"/>
      <c r="R802" s="21" t="str">
        <f>'Ingest Template'!E802</f>
        <v/>
      </c>
      <c r="S802" s="29" t="s">
        <v>153</v>
      </c>
      <c r="T802" s="21" t="str">
        <f>'Ingest Template'!T802</f>
        <v/>
      </c>
      <c r="U802" s="21" t="str">
        <f>'Ingest Template'!S802</f>
        <v/>
      </c>
      <c r="V802" s="21" t="str">
        <f>LOWER(SUBSTITUTE(SUBSTITUTE(SUBSTITUTE(SUBSTITUTE(SUBSTITUTE('Ingest Template'!U802,"https:",""),"www.",""),"/",""),"?hl=en",""),"instagram.com",""))</f>
        <v/>
      </c>
      <c r="W802" s="41" t="str">
        <f t="array" ref="W802">IF('Ingest Template'!V802="",(INDEX(DropDown!$L$2:$L$392,MATCH('Ingest Template'!E802,DropDown!$J$2:$J$392,0))&amp;"|"&amp;'Ingest Template'!B802),(INDEX(DropDown!$L$2:$L$392,MATCH('Ingest Template'!E802,DropDown!$J$2:$J$392,0))&amp;"|"&amp;'Ingest Template'!B802)&amp;CHAR(10)&amp;'Ingest Template'!V802)</f>
        <v>#N/A</v>
      </c>
      <c r="X802" s="41" t="str">
        <f>'Ingest Template'!W802</f>
        <v/>
      </c>
      <c r="Y802" s="21" t="str">
        <f>SUBSTITUTE(SUBSTITUTE(SUBSTITUTE('Ingest Template'!X802,"http:",""),"https:",""),"/","")</f>
        <v/>
      </c>
      <c r="Z802" s="21" t="str">
        <f t="array" ref="Z802">IF('Ingest Template'!A802="Standard",(IF(ISBLANK('Ingest Template'!AA802),"", 'Ingest Template'!AA802&amp;"|DAR")),(IF(ISBLANK('Ingest Template'!AA802),"", 'Ingest Template'!AA802&amp;"|Film Ops")))</f>
        <v/>
      </c>
      <c r="AA802" s="21"/>
      <c r="AB802" s="21" t="str">
        <f>'Ingest Template'!M802</f>
        <v/>
      </c>
      <c r="AC802" s="21" t="str">
        <f>'Ingest Template'!Y802</f>
        <v/>
      </c>
      <c r="AD802" s="21" t="str">
        <f>'Ingest Template'!C802</f>
        <v/>
      </c>
      <c r="AE802" s="21" t="str">
        <f>'Ingest Template'!Z802</f>
        <v/>
      </c>
      <c r="AF802" s="29"/>
      <c r="AG802" s="21" t="str">
        <f t="array" ref="AG802">IF('Ingest Template'!A802="Standard",(CONCATENATE(IF(ISBLANK('Ingest Template'!O802),"", 'Ingest Template'!O802&amp;"|DAR"),CHAR(10), IF(ISBLANK('Ingest Template'!P802),"", 'Ingest Template'!P802&amp;"|DAR"),CHAR(10), IF(ISBLANK('Ingest Template'!Q802),"", 'Ingest Template'!Q802&amp;"|DAR"))),(CONCATENATE(IF(ISBLANK('Ingest Template'!O802),"", 'Ingest Template'!O802&amp;"|Operations - Core Title"),CHAR(10), IF(ISBLANK('Ingest Template'!P802),"", 'Ingest Template'!P802&amp;"|Operations - Core Title"),CHAR(10), IF(ISBLANK('Ingest Template'!Q802),"", 'Ingest Template'!Q802&amp;"|Operations - Core Title"))))</f>
        <v>#|Operations - Core Title
#|Operations - Core Title
</v>
      </c>
      <c r="AH802" s="21"/>
      <c r="AI802" s="21"/>
      <c r="AJ802" s="53" t="str">
        <f>if('Ingest Template'!A802="Standard",'Ingest Template'!N802&amp; "|DAR|DAR|2021-01-01",'Ingest Template'!N802&amp; "|Operations - Core Title|Operations - Core Title")</f>
        <v>#N/A</v>
      </c>
      <c r="AK802" s="53" t="str">
        <f>if('Ingest Template'!A802="Standard",'Ingest Template'!R802&amp; "|2021-01-01",'Ingest Template'!R802)</f>
        <v>#N/A</v>
      </c>
      <c r="AL802" s="21"/>
      <c r="AM802" s="21"/>
    </row>
    <row r="803">
      <c r="A803" s="21"/>
      <c r="B803" s="21" t="str">
        <f>'Ingest Template'!B803&amp;IF('Ingest Template'!A803 = "Standard", " - DAR","")</f>
        <v/>
      </c>
      <c r="C803" s="26" t="s">
        <v>109</v>
      </c>
      <c r="D803" s="29" t="str">
        <f t="array" ref="D803">CONCATENATE(INDEX(DropDown!$H$2:$H$10,MATCH(1,COUNTIF('Ingest Template'!F803,"*"&amp;DropDown!$H$2:$H$10&amp;"*"),0)),CHAR(10),'Ingest Template'!G803)</f>
        <v>#N/A</v>
      </c>
      <c r="E803" s="21" t="str">
        <f>CONCATENATE('Ingest Template'!H803,CHAR(10),'Ingest Template'!I803,CHAR(10),'Ingest Template'!J803)</f>
        <v>
</v>
      </c>
      <c r="F803" s="26" t="str">
        <f>'Ingest Template'!H803</f>
        <v/>
      </c>
      <c r="G803" s="21"/>
      <c r="H803" s="29"/>
      <c r="I803" s="21"/>
      <c r="J803" s="29" t="str">
        <f t="array" ref="J803">iF('Ingest Template'!A803="Standard","Pristine Brand",INDEX(DropDown!$M$2:$M$392,MATCH('Ingest Template'!E803,DropDown!$J$2:$J$392,0)))</f>
        <v>#N/A</v>
      </c>
      <c r="K803" s="21" t="str">
        <f>iF('Ingest Template'!A803="Standard",'Ingest Template'!K803&amp;CHAR(10)&amp;'Ingest Template'!L803,"Competitive View")</f>
        <v>Competitive View</v>
      </c>
      <c r="L803" s="29" t="s">
        <v>146</v>
      </c>
      <c r="M803" s="37" t="str">
        <f>'Ingest Template'!D803</f>
        <v/>
      </c>
      <c r="N803" s="21"/>
      <c r="O803" s="21"/>
      <c r="P803" s="21"/>
      <c r="Q803" s="21"/>
      <c r="R803" s="21" t="str">
        <f>'Ingest Template'!E803</f>
        <v/>
      </c>
      <c r="S803" s="29" t="s">
        <v>153</v>
      </c>
      <c r="T803" s="21" t="str">
        <f>'Ingest Template'!T803</f>
        <v/>
      </c>
      <c r="U803" s="21" t="str">
        <f>'Ingest Template'!S803</f>
        <v/>
      </c>
      <c r="V803" s="21" t="str">
        <f>LOWER(SUBSTITUTE(SUBSTITUTE(SUBSTITUTE(SUBSTITUTE(SUBSTITUTE('Ingest Template'!U803,"https:",""),"www.",""),"/",""),"?hl=en",""),"instagram.com",""))</f>
        <v/>
      </c>
      <c r="W803" s="41" t="str">
        <f t="array" ref="W803">IF('Ingest Template'!V803="",(INDEX(DropDown!$L$2:$L$392,MATCH('Ingest Template'!E803,DropDown!$J$2:$J$392,0))&amp;"|"&amp;'Ingest Template'!B803),(INDEX(DropDown!$L$2:$L$392,MATCH('Ingest Template'!E803,DropDown!$J$2:$J$392,0))&amp;"|"&amp;'Ingest Template'!B803)&amp;CHAR(10)&amp;'Ingest Template'!V803)</f>
        <v>#N/A</v>
      </c>
      <c r="X803" s="41" t="str">
        <f>'Ingest Template'!W803</f>
        <v/>
      </c>
      <c r="Y803" s="21" t="str">
        <f>SUBSTITUTE(SUBSTITUTE(SUBSTITUTE('Ingest Template'!X803,"http:",""),"https:",""),"/","")</f>
        <v/>
      </c>
      <c r="Z803" s="21" t="str">
        <f t="array" ref="Z803">IF('Ingest Template'!A803="Standard",(IF(ISBLANK('Ingest Template'!AA803),"", 'Ingest Template'!AA803&amp;"|DAR")),(IF(ISBLANK('Ingest Template'!AA803),"", 'Ingest Template'!AA803&amp;"|Film Ops")))</f>
        <v/>
      </c>
      <c r="AA803" s="21"/>
      <c r="AB803" s="21" t="str">
        <f>'Ingest Template'!M803</f>
        <v/>
      </c>
      <c r="AC803" s="21" t="str">
        <f>'Ingest Template'!Y803</f>
        <v/>
      </c>
      <c r="AD803" s="21" t="str">
        <f>'Ingest Template'!C803</f>
        <v/>
      </c>
      <c r="AE803" s="21" t="str">
        <f>'Ingest Template'!Z803</f>
        <v/>
      </c>
      <c r="AF803" s="29"/>
      <c r="AG803" s="21" t="str">
        <f t="array" ref="AG803">IF('Ingest Template'!A803="Standard",(CONCATENATE(IF(ISBLANK('Ingest Template'!O803),"", 'Ingest Template'!O803&amp;"|DAR"),CHAR(10), IF(ISBLANK('Ingest Template'!P803),"", 'Ingest Template'!P803&amp;"|DAR"),CHAR(10), IF(ISBLANK('Ingest Template'!Q803),"", 'Ingest Template'!Q803&amp;"|DAR"))),(CONCATENATE(IF(ISBLANK('Ingest Template'!O803),"", 'Ingest Template'!O803&amp;"|Operations - Core Title"),CHAR(10), IF(ISBLANK('Ingest Template'!P803),"", 'Ingest Template'!P803&amp;"|Operations - Core Title"),CHAR(10), IF(ISBLANK('Ingest Template'!Q803),"", 'Ingest Template'!Q803&amp;"|Operations - Core Title"))))</f>
        <v>#|Operations - Core Title
#|Operations - Core Title
</v>
      </c>
      <c r="AH803" s="21"/>
      <c r="AI803" s="21"/>
      <c r="AJ803" s="53" t="str">
        <f>if('Ingest Template'!A803="Standard",'Ingest Template'!N803&amp; "|DAR|DAR|2021-01-01",'Ingest Template'!N803&amp; "|Operations - Core Title|Operations - Core Title")</f>
        <v>#N/A</v>
      </c>
      <c r="AK803" s="53" t="str">
        <f>if('Ingest Template'!A803="Standard",'Ingest Template'!R803&amp; "|2021-01-01",'Ingest Template'!R803)</f>
        <v>#N/A</v>
      </c>
      <c r="AL803" s="21"/>
      <c r="AM803" s="21"/>
    </row>
    <row r="804">
      <c r="A804" s="21"/>
      <c r="B804" s="21" t="str">
        <f>'Ingest Template'!B804&amp;IF('Ingest Template'!A804 = "Standard", " - DAR","")</f>
        <v/>
      </c>
      <c r="C804" s="26" t="s">
        <v>109</v>
      </c>
      <c r="D804" s="29" t="str">
        <f t="array" ref="D804">CONCATENATE(INDEX(DropDown!$H$2:$H$10,MATCH(1,COUNTIF('Ingest Template'!F804,"*"&amp;DropDown!$H$2:$H$10&amp;"*"),0)),CHAR(10),'Ingest Template'!G804)</f>
        <v>#N/A</v>
      </c>
      <c r="E804" s="21" t="str">
        <f>CONCATENATE('Ingest Template'!H804,CHAR(10),'Ingest Template'!I804,CHAR(10),'Ingest Template'!J804)</f>
        <v>
</v>
      </c>
      <c r="F804" s="26" t="str">
        <f>'Ingest Template'!H804</f>
        <v/>
      </c>
      <c r="G804" s="21"/>
      <c r="H804" s="29"/>
      <c r="I804" s="21"/>
      <c r="J804" s="29" t="str">
        <f t="array" ref="J804">iF('Ingest Template'!A804="Standard","Pristine Brand",INDEX(DropDown!$M$2:$M$392,MATCH('Ingest Template'!E804,DropDown!$J$2:$J$392,0)))</f>
        <v>#N/A</v>
      </c>
      <c r="K804" s="21" t="str">
        <f>iF('Ingest Template'!A804="Standard",'Ingest Template'!K804&amp;CHAR(10)&amp;'Ingest Template'!L804,"Competitive View")</f>
        <v>Competitive View</v>
      </c>
      <c r="L804" s="29" t="s">
        <v>146</v>
      </c>
      <c r="M804" s="37" t="str">
        <f>'Ingest Template'!D804</f>
        <v/>
      </c>
      <c r="N804" s="21"/>
      <c r="O804" s="21"/>
      <c r="P804" s="21"/>
      <c r="Q804" s="21"/>
      <c r="R804" s="21" t="str">
        <f>'Ingest Template'!E804</f>
        <v/>
      </c>
      <c r="S804" s="29" t="s">
        <v>153</v>
      </c>
      <c r="T804" s="21" t="str">
        <f>'Ingest Template'!T804</f>
        <v/>
      </c>
      <c r="U804" s="21" t="str">
        <f>'Ingest Template'!S804</f>
        <v/>
      </c>
      <c r="V804" s="21" t="str">
        <f>LOWER(SUBSTITUTE(SUBSTITUTE(SUBSTITUTE(SUBSTITUTE(SUBSTITUTE('Ingest Template'!U804,"https:",""),"www.",""),"/",""),"?hl=en",""),"instagram.com",""))</f>
        <v/>
      </c>
      <c r="W804" s="41" t="str">
        <f t="array" ref="W804">IF('Ingest Template'!V804="",(INDEX(DropDown!$L$2:$L$392,MATCH('Ingest Template'!E804,DropDown!$J$2:$J$392,0))&amp;"|"&amp;'Ingest Template'!B804),(INDEX(DropDown!$L$2:$L$392,MATCH('Ingest Template'!E804,DropDown!$J$2:$J$392,0))&amp;"|"&amp;'Ingest Template'!B804)&amp;CHAR(10)&amp;'Ingest Template'!V804)</f>
        <v>#N/A</v>
      </c>
      <c r="X804" s="41" t="str">
        <f>'Ingest Template'!W804</f>
        <v/>
      </c>
      <c r="Y804" s="21" t="str">
        <f>SUBSTITUTE(SUBSTITUTE(SUBSTITUTE('Ingest Template'!X804,"http:",""),"https:",""),"/","")</f>
        <v/>
      </c>
      <c r="Z804" s="21" t="str">
        <f t="array" ref="Z804">IF('Ingest Template'!A804="Standard",(IF(ISBLANK('Ingest Template'!AA804),"", 'Ingest Template'!AA804&amp;"|DAR")),(IF(ISBLANK('Ingest Template'!AA804),"", 'Ingest Template'!AA804&amp;"|Film Ops")))</f>
        <v/>
      </c>
      <c r="AA804" s="21"/>
      <c r="AB804" s="21" t="str">
        <f>'Ingest Template'!M804</f>
        <v/>
      </c>
      <c r="AC804" s="21" t="str">
        <f>'Ingest Template'!Y804</f>
        <v/>
      </c>
      <c r="AD804" s="21" t="str">
        <f>'Ingest Template'!C804</f>
        <v/>
      </c>
      <c r="AE804" s="21" t="str">
        <f>'Ingest Template'!Z804</f>
        <v/>
      </c>
      <c r="AF804" s="29"/>
      <c r="AG804" s="21" t="str">
        <f t="array" ref="AG804">IF('Ingest Template'!A804="Standard",(CONCATENATE(IF(ISBLANK('Ingest Template'!O804),"", 'Ingest Template'!O804&amp;"|DAR"),CHAR(10), IF(ISBLANK('Ingest Template'!P804),"", 'Ingest Template'!P804&amp;"|DAR"),CHAR(10), IF(ISBLANK('Ingest Template'!Q804),"", 'Ingest Template'!Q804&amp;"|DAR"))),(CONCATENATE(IF(ISBLANK('Ingest Template'!O804),"", 'Ingest Template'!O804&amp;"|Operations - Core Title"),CHAR(10), IF(ISBLANK('Ingest Template'!P804),"", 'Ingest Template'!P804&amp;"|Operations - Core Title"),CHAR(10), IF(ISBLANK('Ingest Template'!Q804),"", 'Ingest Template'!Q804&amp;"|Operations - Core Title"))))</f>
        <v>#|Operations - Core Title
#|Operations - Core Title
</v>
      </c>
      <c r="AH804" s="21"/>
      <c r="AI804" s="21"/>
      <c r="AJ804" s="53" t="str">
        <f>if('Ingest Template'!A804="Standard",'Ingest Template'!N804&amp; "|DAR|DAR|2021-01-01",'Ingest Template'!N804&amp; "|Operations - Core Title|Operations - Core Title")</f>
        <v>#N/A</v>
      </c>
      <c r="AK804" s="53" t="str">
        <f>if('Ingest Template'!A804="Standard",'Ingest Template'!R804&amp; "|2021-01-01",'Ingest Template'!R804)</f>
        <v>#N/A</v>
      </c>
      <c r="AL804" s="21"/>
      <c r="AM804" s="21"/>
    </row>
    <row r="805">
      <c r="A805" s="21"/>
      <c r="B805" s="21" t="str">
        <f>'Ingest Template'!B805&amp;IF('Ingest Template'!A805 = "Standard", " - DAR","")</f>
        <v/>
      </c>
      <c r="C805" s="26" t="s">
        <v>109</v>
      </c>
      <c r="D805" s="29" t="str">
        <f t="array" ref="D805">CONCATENATE(INDEX(DropDown!$H$2:$H$10,MATCH(1,COUNTIF('Ingest Template'!F805,"*"&amp;DropDown!$H$2:$H$10&amp;"*"),0)),CHAR(10),'Ingest Template'!G805)</f>
        <v>#N/A</v>
      </c>
      <c r="E805" s="21" t="str">
        <f>CONCATENATE('Ingest Template'!H805,CHAR(10),'Ingest Template'!I805,CHAR(10),'Ingest Template'!J805)</f>
        <v>
</v>
      </c>
      <c r="F805" s="26" t="str">
        <f>'Ingest Template'!H805</f>
        <v/>
      </c>
      <c r="G805" s="21"/>
      <c r="H805" s="29"/>
      <c r="I805" s="21"/>
      <c r="J805" s="29" t="str">
        <f t="array" ref="J805">iF('Ingest Template'!A805="Standard","Pristine Brand",INDEX(DropDown!$M$2:$M$392,MATCH('Ingest Template'!E805,DropDown!$J$2:$J$392,0)))</f>
        <v>#N/A</v>
      </c>
      <c r="K805" s="21" t="str">
        <f>iF('Ingest Template'!A805="Standard",'Ingest Template'!K805&amp;CHAR(10)&amp;'Ingest Template'!L805,"Competitive View")</f>
        <v>Competitive View</v>
      </c>
      <c r="L805" s="29" t="s">
        <v>146</v>
      </c>
      <c r="M805" s="37" t="str">
        <f>'Ingest Template'!D805</f>
        <v/>
      </c>
      <c r="N805" s="21"/>
      <c r="O805" s="21"/>
      <c r="P805" s="21"/>
      <c r="Q805" s="21"/>
      <c r="R805" s="21" t="str">
        <f>'Ingest Template'!E805</f>
        <v/>
      </c>
      <c r="S805" s="29" t="s">
        <v>153</v>
      </c>
      <c r="T805" s="21" t="str">
        <f>'Ingest Template'!T805</f>
        <v/>
      </c>
      <c r="U805" s="21" t="str">
        <f>'Ingest Template'!S805</f>
        <v/>
      </c>
      <c r="V805" s="21" t="str">
        <f>LOWER(SUBSTITUTE(SUBSTITUTE(SUBSTITUTE(SUBSTITUTE(SUBSTITUTE('Ingest Template'!U805,"https:",""),"www.",""),"/",""),"?hl=en",""),"instagram.com",""))</f>
        <v/>
      </c>
      <c r="W805" s="41" t="str">
        <f t="array" ref="W805">IF('Ingest Template'!V805="",(INDEX(DropDown!$L$2:$L$392,MATCH('Ingest Template'!E805,DropDown!$J$2:$J$392,0))&amp;"|"&amp;'Ingest Template'!B805),(INDEX(DropDown!$L$2:$L$392,MATCH('Ingest Template'!E805,DropDown!$J$2:$J$392,0))&amp;"|"&amp;'Ingest Template'!B805)&amp;CHAR(10)&amp;'Ingest Template'!V805)</f>
        <v>#N/A</v>
      </c>
      <c r="X805" s="41" t="str">
        <f>'Ingest Template'!W805</f>
        <v/>
      </c>
      <c r="Y805" s="21" t="str">
        <f>SUBSTITUTE(SUBSTITUTE(SUBSTITUTE('Ingest Template'!X805,"http:",""),"https:",""),"/","")</f>
        <v/>
      </c>
      <c r="Z805" s="21" t="str">
        <f t="array" ref="Z805">IF('Ingest Template'!A805="Standard",(IF(ISBLANK('Ingest Template'!AA805),"", 'Ingest Template'!AA805&amp;"|DAR")),(IF(ISBLANK('Ingest Template'!AA805),"", 'Ingest Template'!AA805&amp;"|Film Ops")))</f>
        <v/>
      </c>
      <c r="AA805" s="21"/>
      <c r="AB805" s="21" t="str">
        <f>'Ingest Template'!M805</f>
        <v/>
      </c>
      <c r="AC805" s="21" t="str">
        <f>'Ingest Template'!Y805</f>
        <v/>
      </c>
      <c r="AD805" s="21" t="str">
        <f>'Ingest Template'!C805</f>
        <v/>
      </c>
      <c r="AE805" s="21" t="str">
        <f>'Ingest Template'!Z805</f>
        <v/>
      </c>
      <c r="AF805" s="29"/>
      <c r="AG805" s="21" t="str">
        <f t="array" ref="AG805">IF('Ingest Template'!A805="Standard",(CONCATENATE(IF(ISBLANK('Ingest Template'!O805),"", 'Ingest Template'!O805&amp;"|DAR"),CHAR(10), IF(ISBLANK('Ingest Template'!P805),"", 'Ingest Template'!P805&amp;"|DAR"),CHAR(10), IF(ISBLANK('Ingest Template'!Q805),"", 'Ingest Template'!Q805&amp;"|DAR"))),(CONCATENATE(IF(ISBLANK('Ingest Template'!O805),"", 'Ingest Template'!O805&amp;"|Operations - Core Title"),CHAR(10), IF(ISBLANK('Ingest Template'!P805),"", 'Ingest Template'!P805&amp;"|Operations - Core Title"),CHAR(10), IF(ISBLANK('Ingest Template'!Q805),"", 'Ingest Template'!Q805&amp;"|Operations - Core Title"))))</f>
        <v>#|Operations - Core Title
#|Operations - Core Title
</v>
      </c>
      <c r="AH805" s="21"/>
      <c r="AI805" s="21"/>
      <c r="AJ805" s="53" t="str">
        <f>if('Ingest Template'!A805="Standard",'Ingest Template'!N805&amp; "|DAR|DAR|2021-01-01",'Ingest Template'!N805&amp; "|Operations - Core Title|Operations - Core Title")</f>
        <v>#N/A</v>
      </c>
      <c r="AK805" s="53" t="str">
        <f>if('Ingest Template'!A805="Standard",'Ingest Template'!R805&amp; "|2021-01-01",'Ingest Template'!R805)</f>
        <v>#N/A</v>
      </c>
      <c r="AL805" s="21"/>
      <c r="AM805" s="21"/>
    </row>
    <row r="806">
      <c r="A806" s="21"/>
      <c r="B806" s="21" t="str">
        <f>'Ingest Template'!B806&amp;IF('Ingest Template'!A806 = "Standard", " - DAR","")</f>
        <v/>
      </c>
      <c r="C806" s="26" t="s">
        <v>109</v>
      </c>
      <c r="D806" s="29" t="str">
        <f t="array" ref="D806">CONCATENATE(INDEX(DropDown!$H$2:$H$10,MATCH(1,COUNTIF('Ingest Template'!F806,"*"&amp;DropDown!$H$2:$H$10&amp;"*"),0)),CHAR(10),'Ingest Template'!G806)</f>
        <v>#N/A</v>
      </c>
      <c r="E806" s="21" t="str">
        <f>CONCATENATE('Ingest Template'!H806,CHAR(10),'Ingest Template'!I806,CHAR(10),'Ingest Template'!J806)</f>
        <v>
</v>
      </c>
      <c r="F806" s="26" t="str">
        <f>'Ingest Template'!H806</f>
        <v/>
      </c>
      <c r="G806" s="21"/>
      <c r="H806" s="29"/>
      <c r="I806" s="21"/>
      <c r="J806" s="29" t="str">
        <f t="array" ref="J806">iF('Ingest Template'!A806="Standard","Pristine Brand",INDEX(DropDown!$M$2:$M$392,MATCH('Ingest Template'!E806,DropDown!$J$2:$J$392,0)))</f>
        <v>#N/A</v>
      </c>
      <c r="K806" s="21" t="str">
        <f>iF('Ingest Template'!A806="Standard",'Ingest Template'!K806&amp;CHAR(10)&amp;'Ingest Template'!L806,"Competitive View")</f>
        <v>Competitive View</v>
      </c>
      <c r="L806" s="29" t="s">
        <v>146</v>
      </c>
      <c r="M806" s="37" t="str">
        <f>'Ingest Template'!D806</f>
        <v/>
      </c>
      <c r="N806" s="21"/>
      <c r="O806" s="21"/>
      <c r="P806" s="21"/>
      <c r="Q806" s="21"/>
      <c r="R806" s="21" t="str">
        <f>'Ingest Template'!E806</f>
        <v/>
      </c>
      <c r="S806" s="29" t="s">
        <v>153</v>
      </c>
      <c r="T806" s="21" t="str">
        <f>'Ingest Template'!T806</f>
        <v/>
      </c>
      <c r="U806" s="21" t="str">
        <f>'Ingest Template'!S806</f>
        <v/>
      </c>
      <c r="V806" s="21" t="str">
        <f>LOWER(SUBSTITUTE(SUBSTITUTE(SUBSTITUTE(SUBSTITUTE(SUBSTITUTE('Ingest Template'!U806,"https:",""),"www.",""),"/",""),"?hl=en",""),"instagram.com",""))</f>
        <v/>
      </c>
      <c r="W806" s="41" t="str">
        <f t="array" ref="W806">IF('Ingest Template'!V806="",(INDEX(DropDown!$L$2:$L$392,MATCH('Ingest Template'!E806,DropDown!$J$2:$J$392,0))&amp;"|"&amp;'Ingest Template'!B806),(INDEX(DropDown!$L$2:$L$392,MATCH('Ingest Template'!E806,DropDown!$J$2:$J$392,0))&amp;"|"&amp;'Ingest Template'!B806)&amp;CHAR(10)&amp;'Ingest Template'!V806)</f>
        <v>#N/A</v>
      </c>
      <c r="X806" s="41" t="str">
        <f>'Ingest Template'!W806</f>
        <v/>
      </c>
      <c r="Y806" s="21" t="str">
        <f>SUBSTITUTE(SUBSTITUTE(SUBSTITUTE('Ingest Template'!X806,"http:",""),"https:",""),"/","")</f>
        <v/>
      </c>
      <c r="Z806" s="21" t="str">
        <f t="array" ref="Z806">IF('Ingest Template'!A806="Standard",(IF(ISBLANK('Ingest Template'!AA806),"", 'Ingest Template'!AA806&amp;"|DAR")),(IF(ISBLANK('Ingest Template'!AA806),"", 'Ingest Template'!AA806&amp;"|Film Ops")))</f>
        <v/>
      </c>
      <c r="AA806" s="21"/>
      <c r="AB806" s="21" t="str">
        <f>'Ingest Template'!M806</f>
        <v/>
      </c>
      <c r="AC806" s="21" t="str">
        <f>'Ingest Template'!Y806</f>
        <v/>
      </c>
      <c r="AD806" s="21" t="str">
        <f>'Ingest Template'!C806</f>
        <v/>
      </c>
      <c r="AE806" s="21" t="str">
        <f>'Ingest Template'!Z806</f>
        <v/>
      </c>
      <c r="AF806" s="29"/>
      <c r="AG806" s="21" t="str">
        <f t="array" ref="AG806">IF('Ingest Template'!A806="Standard",(CONCATENATE(IF(ISBLANK('Ingest Template'!O806),"", 'Ingest Template'!O806&amp;"|DAR"),CHAR(10), IF(ISBLANK('Ingest Template'!P806),"", 'Ingest Template'!P806&amp;"|DAR"),CHAR(10), IF(ISBLANK('Ingest Template'!Q806),"", 'Ingest Template'!Q806&amp;"|DAR"))),(CONCATENATE(IF(ISBLANK('Ingest Template'!O806),"", 'Ingest Template'!O806&amp;"|Operations - Core Title"),CHAR(10), IF(ISBLANK('Ingest Template'!P806),"", 'Ingest Template'!P806&amp;"|Operations - Core Title"),CHAR(10), IF(ISBLANK('Ingest Template'!Q806),"", 'Ingest Template'!Q806&amp;"|Operations - Core Title"))))</f>
        <v>#|Operations - Core Title
#|Operations - Core Title
</v>
      </c>
      <c r="AH806" s="21"/>
      <c r="AI806" s="21"/>
      <c r="AJ806" s="53" t="str">
        <f>if('Ingest Template'!A806="Standard",'Ingest Template'!N806&amp; "|DAR|DAR|2021-01-01",'Ingest Template'!N806&amp; "|Operations - Core Title|Operations - Core Title")</f>
        <v>#N/A</v>
      </c>
      <c r="AK806" s="53" t="str">
        <f>if('Ingest Template'!A806="Standard",'Ingest Template'!R806&amp; "|2021-01-01",'Ingest Template'!R806)</f>
        <v>#N/A</v>
      </c>
      <c r="AL806" s="21"/>
      <c r="AM806" s="21"/>
    </row>
    <row r="807">
      <c r="A807" s="21"/>
      <c r="B807" s="21" t="str">
        <f>'Ingest Template'!B807&amp;IF('Ingest Template'!A807 = "Standard", " - DAR","")</f>
        <v/>
      </c>
      <c r="C807" s="26" t="s">
        <v>109</v>
      </c>
      <c r="D807" s="29" t="str">
        <f t="array" ref="D807">CONCATENATE(INDEX(DropDown!$H$2:$H$10,MATCH(1,COUNTIF('Ingest Template'!F807,"*"&amp;DropDown!$H$2:$H$10&amp;"*"),0)),CHAR(10),'Ingest Template'!G807)</f>
        <v>#N/A</v>
      </c>
      <c r="E807" s="21" t="str">
        <f>CONCATENATE('Ingest Template'!H807,CHAR(10),'Ingest Template'!I807,CHAR(10),'Ingest Template'!J807)</f>
        <v>
</v>
      </c>
      <c r="F807" s="26" t="str">
        <f>'Ingest Template'!H807</f>
        <v/>
      </c>
      <c r="G807" s="21"/>
      <c r="H807" s="29"/>
      <c r="I807" s="21"/>
      <c r="J807" s="29" t="str">
        <f t="array" ref="J807">iF('Ingest Template'!A807="Standard","Pristine Brand",INDEX(DropDown!$M$2:$M$392,MATCH('Ingest Template'!E807,DropDown!$J$2:$J$392,0)))</f>
        <v>#N/A</v>
      </c>
      <c r="K807" s="21" t="str">
        <f>iF('Ingest Template'!A807="Standard",'Ingest Template'!K807&amp;CHAR(10)&amp;'Ingest Template'!L807,"Competitive View")</f>
        <v>Competitive View</v>
      </c>
      <c r="L807" s="29" t="s">
        <v>146</v>
      </c>
      <c r="M807" s="37" t="str">
        <f>'Ingest Template'!D807</f>
        <v/>
      </c>
      <c r="N807" s="21"/>
      <c r="O807" s="21"/>
      <c r="P807" s="21"/>
      <c r="Q807" s="21"/>
      <c r="R807" s="21" t="str">
        <f>'Ingest Template'!E807</f>
        <v/>
      </c>
      <c r="S807" s="29" t="s">
        <v>153</v>
      </c>
      <c r="T807" s="21" t="str">
        <f>'Ingest Template'!T807</f>
        <v/>
      </c>
      <c r="U807" s="21" t="str">
        <f>'Ingest Template'!S807</f>
        <v/>
      </c>
      <c r="V807" s="21" t="str">
        <f>LOWER(SUBSTITUTE(SUBSTITUTE(SUBSTITUTE(SUBSTITUTE(SUBSTITUTE('Ingest Template'!U807,"https:",""),"www.",""),"/",""),"?hl=en",""),"instagram.com",""))</f>
        <v/>
      </c>
      <c r="W807" s="41" t="str">
        <f t="array" ref="W807">IF('Ingest Template'!V807="",(INDEX(DropDown!$L$2:$L$392,MATCH('Ingest Template'!E807,DropDown!$J$2:$J$392,0))&amp;"|"&amp;'Ingest Template'!B807),(INDEX(DropDown!$L$2:$L$392,MATCH('Ingest Template'!E807,DropDown!$J$2:$J$392,0))&amp;"|"&amp;'Ingest Template'!B807)&amp;CHAR(10)&amp;'Ingest Template'!V807)</f>
        <v>#N/A</v>
      </c>
      <c r="X807" s="41" t="str">
        <f>'Ingest Template'!W807</f>
        <v/>
      </c>
      <c r="Y807" s="21" t="str">
        <f>SUBSTITUTE(SUBSTITUTE(SUBSTITUTE('Ingest Template'!X807,"http:",""),"https:",""),"/","")</f>
        <v/>
      </c>
      <c r="Z807" s="21" t="str">
        <f t="array" ref="Z807">IF('Ingest Template'!A807="Standard",(IF(ISBLANK('Ingest Template'!AA807),"", 'Ingest Template'!AA807&amp;"|DAR")),(IF(ISBLANK('Ingest Template'!AA807),"", 'Ingest Template'!AA807&amp;"|Film Ops")))</f>
        <v/>
      </c>
      <c r="AA807" s="21"/>
      <c r="AB807" s="21" t="str">
        <f>'Ingest Template'!M807</f>
        <v/>
      </c>
      <c r="AC807" s="21" t="str">
        <f>'Ingest Template'!Y807</f>
        <v/>
      </c>
      <c r="AD807" s="21" t="str">
        <f>'Ingest Template'!C807</f>
        <v/>
      </c>
      <c r="AE807" s="21" t="str">
        <f>'Ingest Template'!Z807</f>
        <v/>
      </c>
      <c r="AF807" s="29"/>
      <c r="AG807" s="21" t="str">
        <f t="array" ref="AG807">IF('Ingest Template'!A807="Standard",(CONCATENATE(IF(ISBLANK('Ingest Template'!O807),"", 'Ingest Template'!O807&amp;"|DAR"),CHAR(10), IF(ISBLANK('Ingest Template'!P807),"", 'Ingest Template'!P807&amp;"|DAR"),CHAR(10), IF(ISBLANK('Ingest Template'!Q807),"", 'Ingest Template'!Q807&amp;"|DAR"))),(CONCATENATE(IF(ISBLANK('Ingest Template'!O807),"", 'Ingest Template'!O807&amp;"|Operations - Core Title"),CHAR(10), IF(ISBLANK('Ingest Template'!P807),"", 'Ingest Template'!P807&amp;"|Operations - Core Title"),CHAR(10), IF(ISBLANK('Ingest Template'!Q807),"", 'Ingest Template'!Q807&amp;"|Operations - Core Title"))))</f>
        <v>#|Operations - Core Title
#|Operations - Core Title
</v>
      </c>
      <c r="AH807" s="21"/>
      <c r="AI807" s="21"/>
      <c r="AJ807" s="53" t="str">
        <f>if('Ingest Template'!A807="Standard",'Ingest Template'!N807&amp; "|DAR|DAR|2021-01-01",'Ingest Template'!N807&amp; "|Operations - Core Title|Operations - Core Title")</f>
        <v>#N/A</v>
      </c>
      <c r="AK807" s="53" t="str">
        <f>if('Ingest Template'!A807="Standard",'Ingest Template'!R807&amp; "|2021-01-01",'Ingest Template'!R807)</f>
        <v>#N/A</v>
      </c>
      <c r="AL807" s="21"/>
      <c r="AM807" s="21"/>
    </row>
    <row r="808">
      <c r="A808" s="21"/>
      <c r="B808" s="21" t="str">
        <f>'Ingest Template'!B808&amp;IF('Ingest Template'!A808 = "Standard", " - DAR","")</f>
        <v/>
      </c>
      <c r="C808" s="26" t="s">
        <v>109</v>
      </c>
      <c r="D808" s="29" t="str">
        <f t="array" ref="D808">CONCATENATE(INDEX(DropDown!$H$2:$H$10,MATCH(1,COUNTIF('Ingest Template'!F808,"*"&amp;DropDown!$H$2:$H$10&amp;"*"),0)),CHAR(10),'Ingest Template'!G808)</f>
        <v>#N/A</v>
      </c>
      <c r="E808" s="21" t="str">
        <f>CONCATENATE('Ingest Template'!H808,CHAR(10),'Ingest Template'!I808,CHAR(10),'Ingest Template'!J808)</f>
        <v>
</v>
      </c>
      <c r="F808" s="26" t="str">
        <f>'Ingest Template'!H808</f>
        <v/>
      </c>
      <c r="G808" s="21"/>
      <c r="H808" s="29"/>
      <c r="I808" s="21"/>
      <c r="J808" s="29" t="str">
        <f t="array" ref="J808">iF('Ingest Template'!A808="Standard","Pristine Brand",INDEX(DropDown!$M$2:$M$392,MATCH('Ingest Template'!E808,DropDown!$J$2:$J$392,0)))</f>
        <v>#N/A</v>
      </c>
      <c r="K808" s="21" t="str">
        <f>iF('Ingest Template'!A808="Standard",'Ingest Template'!K808&amp;CHAR(10)&amp;'Ingest Template'!L808,"Competitive View")</f>
        <v>Competitive View</v>
      </c>
      <c r="L808" s="29" t="s">
        <v>146</v>
      </c>
      <c r="M808" s="37" t="str">
        <f>'Ingest Template'!D808</f>
        <v/>
      </c>
      <c r="N808" s="21"/>
      <c r="O808" s="21"/>
      <c r="P808" s="21"/>
      <c r="Q808" s="21"/>
      <c r="R808" s="21" t="str">
        <f>'Ingest Template'!E808</f>
        <v/>
      </c>
      <c r="S808" s="29" t="s">
        <v>153</v>
      </c>
      <c r="T808" s="21" t="str">
        <f>'Ingest Template'!T808</f>
        <v/>
      </c>
      <c r="U808" s="21" t="str">
        <f>'Ingest Template'!S808</f>
        <v/>
      </c>
      <c r="V808" s="21" t="str">
        <f>LOWER(SUBSTITUTE(SUBSTITUTE(SUBSTITUTE(SUBSTITUTE(SUBSTITUTE('Ingest Template'!U808,"https:",""),"www.",""),"/",""),"?hl=en",""),"instagram.com",""))</f>
        <v/>
      </c>
      <c r="W808" s="41" t="str">
        <f t="array" ref="W808">IF('Ingest Template'!V808="",(INDEX(DropDown!$L$2:$L$392,MATCH('Ingest Template'!E808,DropDown!$J$2:$J$392,0))&amp;"|"&amp;'Ingest Template'!B808),(INDEX(DropDown!$L$2:$L$392,MATCH('Ingest Template'!E808,DropDown!$J$2:$J$392,0))&amp;"|"&amp;'Ingest Template'!B808)&amp;CHAR(10)&amp;'Ingest Template'!V808)</f>
        <v>#N/A</v>
      </c>
      <c r="X808" s="41" t="str">
        <f>'Ingest Template'!W808</f>
        <v/>
      </c>
      <c r="Y808" s="21" t="str">
        <f>SUBSTITUTE(SUBSTITUTE(SUBSTITUTE('Ingest Template'!X808,"http:",""),"https:",""),"/","")</f>
        <v/>
      </c>
      <c r="Z808" s="21" t="str">
        <f t="array" ref="Z808">IF('Ingest Template'!A808="Standard",(IF(ISBLANK('Ingest Template'!AA808),"", 'Ingest Template'!AA808&amp;"|DAR")),(IF(ISBLANK('Ingest Template'!AA808),"", 'Ingest Template'!AA808&amp;"|Film Ops")))</f>
        <v/>
      </c>
      <c r="AA808" s="21"/>
      <c r="AB808" s="21" t="str">
        <f>'Ingest Template'!M808</f>
        <v/>
      </c>
      <c r="AC808" s="21" t="str">
        <f>'Ingest Template'!Y808</f>
        <v/>
      </c>
      <c r="AD808" s="21" t="str">
        <f>'Ingest Template'!C808</f>
        <v/>
      </c>
      <c r="AE808" s="21" t="str">
        <f>'Ingest Template'!Z808</f>
        <v/>
      </c>
      <c r="AF808" s="29"/>
      <c r="AG808" s="21" t="str">
        <f t="array" ref="AG808">IF('Ingest Template'!A808="Standard",(CONCATENATE(IF(ISBLANK('Ingest Template'!O808),"", 'Ingest Template'!O808&amp;"|DAR"),CHAR(10), IF(ISBLANK('Ingest Template'!P808),"", 'Ingest Template'!P808&amp;"|DAR"),CHAR(10), IF(ISBLANK('Ingest Template'!Q808),"", 'Ingest Template'!Q808&amp;"|DAR"))),(CONCATENATE(IF(ISBLANK('Ingest Template'!O808),"", 'Ingest Template'!O808&amp;"|Operations - Core Title"),CHAR(10), IF(ISBLANK('Ingest Template'!P808),"", 'Ingest Template'!P808&amp;"|Operations - Core Title"),CHAR(10), IF(ISBLANK('Ingest Template'!Q808),"", 'Ingest Template'!Q808&amp;"|Operations - Core Title"))))</f>
        <v>#|Operations - Core Title
#|Operations - Core Title
</v>
      </c>
      <c r="AH808" s="21"/>
      <c r="AI808" s="21"/>
      <c r="AJ808" s="53" t="str">
        <f>if('Ingest Template'!A808="Standard",'Ingest Template'!N808&amp; "|DAR|DAR|2021-01-01",'Ingest Template'!N808&amp; "|Operations - Core Title|Operations - Core Title")</f>
        <v>#N/A</v>
      </c>
      <c r="AK808" s="53" t="str">
        <f>if('Ingest Template'!A808="Standard",'Ingest Template'!R808&amp; "|2021-01-01",'Ingest Template'!R808)</f>
        <v>#N/A</v>
      </c>
      <c r="AL808" s="21"/>
      <c r="AM808" s="21"/>
    </row>
    <row r="809">
      <c r="A809" s="21"/>
      <c r="B809" s="21" t="str">
        <f>'Ingest Template'!B809&amp;IF('Ingest Template'!A809 = "Standard", " - DAR","")</f>
        <v/>
      </c>
      <c r="C809" s="26" t="s">
        <v>109</v>
      </c>
      <c r="D809" s="29" t="str">
        <f t="array" ref="D809">CONCATENATE(INDEX(DropDown!$H$2:$H$10,MATCH(1,COUNTIF('Ingest Template'!F809,"*"&amp;DropDown!$H$2:$H$10&amp;"*"),0)),CHAR(10),'Ingest Template'!G809)</f>
        <v>#N/A</v>
      </c>
      <c r="E809" s="21" t="str">
        <f>CONCATENATE('Ingest Template'!H809,CHAR(10),'Ingest Template'!I809,CHAR(10),'Ingest Template'!J809)</f>
        <v>
</v>
      </c>
      <c r="F809" s="26" t="str">
        <f>'Ingest Template'!H809</f>
        <v/>
      </c>
      <c r="G809" s="21"/>
      <c r="H809" s="29"/>
      <c r="I809" s="21"/>
      <c r="J809" s="29" t="str">
        <f t="array" ref="J809">iF('Ingest Template'!A809="Standard","Pristine Brand",INDEX(DropDown!$M$2:$M$392,MATCH('Ingest Template'!E809,DropDown!$J$2:$J$392,0)))</f>
        <v>#N/A</v>
      </c>
      <c r="K809" s="21" t="str">
        <f>iF('Ingest Template'!A809="Standard",'Ingest Template'!K809&amp;CHAR(10)&amp;'Ingest Template'!L809,"Competitive View")</f>
        <v>Competitive View</v>
      </c>
      <c r="L809" s="29" t="s">
        <v>146</v>
      </c>
      <c r="M809" s="37" t="str">
        <f>'Ingest Template'!D809</f>
        <v/>
      </c>
      <c r="N809" s="21"/>
      <c r="O809" s="21"/>
      <c r="P809" s="21"/>
      <c r="Q809" s="21"/>
      <c r="R809" s="21" t="str">
        <f>'Ingest Template'!E809</f>
        <v/>
      </c>
      <c r="S809" s="29" t="s">
        <v>153</v>
      </c>
      <c r="T809" s="21" t="str">
        <f>'Ingest Template'!T809</f>
        <v/>
      </c>
      <c r="U809" s="21" t="str">
        <f>'Ingest Template'!S809</f>
        <v/>
      </c>
      <c r="V809" s="21" t="str">
        <f>LOWER(SUBSTITUTE(SUBSTITUTE(SUBSTITUTE(SUBSTITUTE(SUBSTITUTE('Ingest Template'!U809,"https:",""),"www.",""),"/",""),"?hl=en",""),"instagram.com",""))</f>
        <v/>
      </c>
      <c r="W809" s="41" t="str">
        <f t="array" ref="W809">IF('Ingest Template'!V809="",(INDEX(DropDown!$L$2:$L$392,MATCH('Ingest Template'!E809,DropDown!$J$2:$J$392,0))&amp;"|"&amp;'Ingest Template'!B809),(INDEX(DropDown!$L$2:$L$392,MATCH('Ingest Template'!E809,DropDown!$J$2:$J$392,0))&amp;"|"&amp;'Ingest Template'!B809)&amp;CHAR(10)&amp;'Ingest Template'!V809)</f>
        <v>#N/A</v>
      </c>
      <c r="X809" s="41" t="str">
        <f>'Ingest Template'!W809</f>
        <v/>
      </c>
      <c r="Y809" s="21" t="str">
        <f>SUBSTITUTE(SUBSTITUTE(SUBSTITUTE('Ingest Template'!X809,"http:",""),"https:",""),"/","")</f>
        <v/>
      </c>
      <c r="Z809" s="21" t="str">
        <f t="array" ref="Z809">IF('Ingest Template'!A809="Standard",(IF(ISBLANK('Ingest Template'!AA809),"", 'Ingest Template'!AA809&amp;"|DAR")),(IF(ISBLANK('Ingest Template'!AA809),"", 'Ingest Template'!AA809&amp;"|Film Ops")))</f>
        <v/>
      </c>
      <c r="AA809" s="21"/>
      <c r="AB809" s="21" t="str">
        <f>'Ingest Template'!M809</f>
        <v/>
      </c>
      <c r="AC809" s="21" t="str">
        <f>'Ingest Template'!Y809</f>
        <v/>
      </c>
      <c r="AD809" s="21" t="str">
        <f>'Ingest Template'!C809</f>
        <v/>
      </c>
      <c r="AE809" s="21" t="str">
        <f>'Ingest Template'!Z809</f>
        <v/>
      </c>
      <c r="AF809" s="29"/>
      <c r="AG809" s="21" t="str">
        <f t="array" ref="AG809">IF('Ingest Template'!A809="Standard",(CONCATENATE(IF(ISBLANK('Ingest Template'!O809),"", 'Ingest Template'!O809&amp;"|DAR"),CHAR(10), IF(ISBLANK('Ingest Template'!P809),"", 'Ingest Template'!P809&amp;"|DAR"),CHAR(10), IF(ISBLANK('Ingest Template'!Q809),"", 'Ingest Template'!Q809&amp;"|DAR"))),(CONCATENATE(IF(ISBLANK('Ingest Template'!O809),"", 'Ingest Template'!O809&amp;"|Operations - Core Title"),CHAR(10), IF(ISBLANK('Ingest Template'!P809),"", 'Ingest Template'!P809&amp;"|Operations - Core Title"),CHAR(10), IF(ISBLANK('Ingest Template'!Q809),"", 'Ingest Template'!Q809&amp;"|Operations - Core Title"))))</f>
        <v>#|Operations - Core Title
#|Operations - Core Title
</v>
      </c>
      <c r="AH809" s="21"/>
      <c r="AI809" s="21"/>
      <c r="AJ809" s="53" t="str">
        <f>if('Ingest Template'!A809="Standard",'Ingest Template'!N809&amp; "|DAR|DAR|2021-01-01",'Ingest Template'!N809&amp; "|Operations - Core Title|Operations - Core Title")</f>
        <v>#N/A</v>
      </c>
      <c r="AK809" s="53" t="str">
        <f>if('Ingest Template'!A809="Standard",'Ingest Template'!R809&amp; "|2021-01-01",'Ingest Template'!R809)</f>
        <v>#N/A</v>
      </c>
      <c r="AL809" s="21"/>
      <c r="AM809" s="21"/>
    </row>
    <row r="810">
      <c r="A810" s="21"/>
      <c r="B810" s="21" t="str">
        <f>'Ingest Template'!B810&amp;IF('Ingest Template'!A810 = "Standard", " - DAR","")</f>
        <v/>
      </c>
      <c r="C810" s="26" t="s">
        <v>109</v>
      </c>
      <c r="D810" s="29" t="str">
        <f t="array" ref="D810">CONCATENATE(INDEX(DropDown!$H$2:$H$10,MATCH(1,COUNTIF('Ingest Template'!F810,"*"&amp;DropDown!$H$2:$H$10&amp;"*"),0)),CHAR(10),'Ingest Template'!G810)</f>
        <v>#N/A</v>
      </c>
      <c r="E810" s="21" t="str">
        <f>CONCATENATE('Ingest Template'!H810,CHAR(10),'Ingest Template'!I810,CHAR(10),'Ingest Template'!J810)</f>
        <v>
</v>
      </c>
      <c r="F810" s="26" t="str">
        <f>'Ingest Template'!H810</f>
        <v/>
      </c>
      <c r="G810" s="21"/>
      <c r="H810" s="29"/>
      <c r="I810" s="21"/>
      <c r="J810" s="29" t="str">
        <f t="array" ref="J810">iF('Ingest Template'!A810="Standard","Pristine Brand",INDEX(DropDown!$M$2:$M$392,MATCH('Ingest Template'!E810,DropDown!$J$2:$J$392,0)))</f>
        <v>#N/A</v>
      </c>
      <c r="K810" s="21" t="str">
        <f>iF('Ingest Template'!A810="Standard",'Ingest Template'!K810&amp;CHAR(10)&amp;'Ingest Template'!L810,"Competitive View")</f>
        <v>Competitive View</v>
      </c>
      <c r="L810" s="29" t="s">
        <v>146</v>
      </c>
      <c r="M810" s="37" t="str">
        <f>'Ingest Template'!D810</f>
        <v/>
      </c>
      <c r="N810" s="21"/>
      <c r="O810" s="21"/>
      <c r="P810" s="21"/>
      <c r="Q810" s="21"/>
      <c r="R810" s="21" t="str">
        <f>'Ingest Template'!E810</f>
        <v/>
      </c>
      <c r="S810" s="29" t="s">
        <v>153</v>
      </c>
      <c r="T810" s="21" t="str">
        <f>'Ingest Template'!T810</f>
        <v/>
      </c>
      <c r="U810" s="21" t="str">
        <f>'Ingest Template'!S810</f>
        <v/>
      </c>
      <c r="V810" s="21" t="str">
        <f>LOWER(SUBSTITUTE(SUBSTITUTE(SUBSTITUTE(SUBSTITUTE(SUBSTITUTE('Ingest Template'!U810,"https:",""),"www.",""),"/",""),"?hl=en",""),"instagram.com",""))</f>
        <v/>
      </c>
      <c r="W810" s="41" t="str">
        <f t="array" ref="W810">IF('Ingest Template'!V810="",(INDEX(DropDown!$L$2:$L$392,MATCH('Ingest Template'!E810,DropDown!$J$2:$J$392,0))&amp;"|"&amp;'Ingest Template'!B810),(INDEX(DropDown!$L$2:$L$392,MATCH('Ingest Template'!E810,DropDown!$J$2:$J$392,0))&amp;"|"&amp;'Ingest Template'!B810)&amp;CHAR(10)&amp;'Ingest Template'!V810)</f>
        <v>#N/A</v>
      </c>
      <c r="X810" s="41" t="str">
        <f>'Ingest Template'!W810</f>
        <v/>
      </c>
      <c r="Y810" s="21" t="str">
        <f>SUBSTITUTE(SUBSTITUTE(SUBSTITUTE('Ingest Template'!X810,"http:",""),"https:",""),"/","")</f>
        <v/>
      </c>
      <c r="Z810" s="21" t="str">
        <f t="array" ref="Z810">IF('Ingest Template'!A810="Standard",(IF(ISBLANK('Ingest Template'!AA810),"", 'Ingest Template'!AA810&amp;"|DAR")),(IF(ISBLANK('Ingest Template'!AA810),"", 'Ingest Template'!AA810&amp;"|Film Ops")))</f>
        <v/>
      </c>
      <c r="AA810" s="21"/>
      <c r="AB810" s="21" t="str">
        <f>'Ingest Template'!M810</f>
        <v/>
      </c>
      <c r="AC810" s="21" t="str">
        <f>'Ingest Template'!Y810</f>
        <v/>
      </c>
      <c r="AD810" s="21" t="str">
        <f>'Ingest Template'!C810</f>
        <v/>
      </c>
      <c r="AE810" s="21" t="str">
        <f>'Ingest Template'!Z810</f>
        <v/>
      </c>
      <c r="AF810" s="29"/>
      <c r="AG810" s="21" t="str">
        <f t="array" ref="AG810">IF('Ingest Template'!A810="Standard",(CONCATENATE(IF(ISBLANK('Ingest Template'!O810),"", 'Ingest Template'!O810&amp;"|DAR"),CHAR(10), IF(ISBLANK('Ingest Template'!P810),"", 'Ingest Template'!P810&amp;"|DAR"),CHAR(10), IF(ISBLANK('Ingest Template'!Q810),"", 'Ingest Template'!Q810&amp;"|DAR"))),(CONCATENATE(IF(ISBLANK('Ingest Template'!O810),"", 'Ingest Template'!O810&amp;"|Operations - Core Title"),CHAR(10), IF(ISBLANK('Ingest Template'!P810),"", 'Ingest Template'!P810&amp;"|Operations - Core Title"),CHAR(10), IF(ISBLANK('Ingest Template'!Q810),"", 'Ingest Template'!Q810&amp;"|Operations - Core Title"))))</f>
        <v>#|Operations - Core Title
#|Operations - Core Title
</v>
      </c>
      <c r="AH810" s="21"/>
      <c r="AI810" s="21"/>
      <c r="AJ810" s="53" t="str">
        <f>if('Ingest Template'!A810="Standard",'Ingest Template'!N810&amp; "|DAR|DAR|2021-01-01",'Ingest Template'!N810&amp; "|Operations - Core Title|Operations - Core Title")</f>
        <v>#N/A</v>
      </c>
      <c r="AK810" s="53" t="str">
        <f>if('Ingest Template'!A810="Standard",'Ingest Template'!R810&amp; "|2021-01-01",'Ingest Template'!R810)</f>
        <v>#N/A</v>
      </c>
      <c r="AL810" s="21"/>
      <c r="AM810" s="21"/>
    </row>
    <row r="811">
      <c r="A811" s="21"/>
      <c r="B811" s="21" t="str">
        <f>'Ingest Template'!B811&amp;IF('Ingest Template'!A811 = "Standard", " - DAR","")</f>
        <v/>
      </c>
      <c r="C811" s="26" t="s">
        <v>109</v>
      </c>
      <c r="D811" s="29" t="str">
        <f t="array" ref="D811">CONCATENATE(INDEX(DropDown!$H$2:$H$10,MATCH(1,COUNTIF('Ingest Template'!F811,"*"&amp;DropDown!$H$2:$H$10&amp;"*"),0)),CHAR(10),'Ingest Template'!G811)</f>
        <v>#N/A</v>
      </c>
      <c r="E811" s="21" t="str">
        <f>CONCATENATE('Ingest Template'!H811,CHAR(10),'Ingest Template'!I811,CHAR(10),'Ingest Template'!J811)</f>
        <v>
</v>
      </c>
      <c r="F811" s="26" t="str">
        <f>'Ingest Template'!H811</f>
        <v/>
      </c>
      <c r="G811" s="21"/>
      <c r="H811" s="29"/>
      <c r="I811" s="21"/>
      <c r="J811" s="29" t="str">
        <f t="array" ref="J811">iF('Ingest Template'!A811="Standard","Pristine Brand",INDEX(DropDown!$M$2:$M$392,MATCH('Ingest Template'!E811,DropDown!$J$2:$J$392,0)))</f>
        <v>#N/A</v>
      </c>
      <c r="K811" s="21" t="str">
        <f>iF('Ingest Template'!A811="Standard",'Ingest Template'!K811&amp;CHAR(10)&amp;'Ingest Template'!L811,"Competitive View")</f>
        <v>Competitive View</v>
      </c>
      <c r="L811" s="29" t="s">
        <v>146</v>
      </c>
      <c r="M811" s="37" t="str">
        <f>'Ingest Template'!D811</f>
        <v/>
      </c>
      <c r="N811" s="21"/>
      <c r="O811" s="21"/>
      <c r="P811" s="21"/>
      <c r="Q811" s="21"/>
      <c r="R811" s="21" t="str">
        <f>'Ingest Template'!E811</f>
        <v/>
      </c>
      <c r="S811" s="29" t="s">
        <v>153</v>
      </c>
      <c r="T811" s="21" t="str">
        <f>'Ingest Template'!T811</f>
        <v/>
      </c>
      <c r="U811" s="21" t="str">
        <f>'Ingest Template'!S811</f>
        <v/>
      </c>
      <c r="V811" s="21" t="str">
        <f>LOWER(SUBSTITUTE(SUBSTITUTE(SUBSTITUTE(SUBSTITUTE(SUBSTITUTE('Ingest Template'!U811,"https:",""),"www.",""),"/",""),"?hl=en",""),"instagram.com",""))</f>
        <v/>
      </c>
      <c r="W811" s="41" t="str">
        <f t="array" ref="W811">IF('Ingest Template'!V811="",(INDEX(DropDown!$L$2:$L$392,MATCH('Ingest Template'!E811,DropDown!$J$2:$J$392,0))&amp;"|"&amp;'Ingest Template'!B811),(INDEX(DropDown!$L$2:$L$392,MATCH('Ingest Template'!E811,DropDown!$J$2:$J$392,0))&amp;"|"&amp;'Ingest Template'!B811)&amp;CHAR(10)&amp;'Ingest Template'!V811)</f>
        <v>#N/A</v>
      </c>
      <c r="X811" s="41" t="str">
        <f>'Ingest Template'!W811</f>
        <v/>
      </c>
      <c r="Y811" s="21" t="str">
        <f>SUBSTITUTE(SUBSTITUTE(SUBSTITUTE('Ingest Template'!X811,"http:",""),"https:",""),"/","")</f>
        <v/>
      </c>
      <c r="Z811" s="21" t="str">
        <f t="array" ref="Z811">IF('Ingest Template'!A811="Standard",(IF(ISBLANK('Ingest Template'!AA811),"", 'Ingest Template'!AA811&amp;"|DAR")),(IF(ISBLANK('Ingest Template'!AA811),"", 'Ingest Template'!AA811&amp;"|Film Ops")))</f>
        <v/>
      </c>
      <c r="AA811" s="21"/>
      <c r="AB811" s="21" t="str">
        <f>'Ingest Template'!M811</f>
        <v/>
      </c>
      <c r="AC811" s="21" t="str">
        <f>'Ingest Template'!Y811</f>
        <v/>
      </c>
      <c r="AD811" s="21" t="str">
        <f>'Ingest Template'!C811</f>
        <v/>
      </c>
      <c r="AE811" s="21" t="str">
        <f>'Ingest Template'!Z811</f>
        <v/>
      </c>
      <c r="AF811" s="29"/>
      <c r="AG811" s="21" t="str">
        <f t="array" ref="AG811">IF('Ingest Template'!A811="Standard",(CONCATENATE(IF(ISBLANK('Ingest Template'!O811),"", 'Ingest Template'!O811&amp;"|DAR"),CHAR(10), IF(ISBLANK('Ingest Template'!P811),"", 'Ingest Template'!P811&amp;"|DAR"),CHAR(10), IF(ISBLANK('Ingest Template'!Q811),"", 'Ingest Template'!Q811&amp;"|DAR"))),(CONCATENATE(IF(ISBLANK('Ingest Template'!O811),"", 'Ingest Template'!O811&amp;"|Operations - Core Title"),CHAR(10), IF(ISBLANK('Ingest Template'!P811),"", 'Ingest Template'!P811&amp;"|Operations - Core Title"),CHAR(10), IF(ISBLANK('Ingest Template'!Q811),"", 'Ingest Template'!Q811&amp;"|Operations - Core Title"))))</f>
        <v>#|Operations - Core Title
#|Operations - Core Title
</v>
      </c>
      <c r="AH811" s="21"/>
      <c r="AI811" s="21"/>
      <c r="AJ811" s="53" t="str">
        <f>if('Ingest Template'!A811="Standard",'Ingest Template'!N811&amp; "|DAR|DAR|2021-01-01",'Ingest Template'!N811&amp; "|Operations - Core Title|Operations - Core Title")</f>
        <v>#N/A</v>
      </c>
      <c r="AK811" s="53" t="str">
        <f>if('Ingest Template'!A811="Standard",'Ingest Template'!R811&amp; "|2021-01-01",'Ingest Template'!R811)</f>
        <v>#N/A</v>
      </c>
      <c r="AL811" s="21"/>
      <c r="AM811" s="21"/>
    </row>
    <row r="812">
      <c r="A812" s="21"/>
      <c r="B812" s="21" t="str">
        <f>'Ingest Template'!B812&amp;IF('Ingest Template'!A812 = "Standard", " - DAR","")</f>
        <v/>
      </c>
      <c r="C812" s="26" t="s">
        <v>109</v>
      </c>
      <c r="D812" s="29" t="str">
        <f t="array" ref="D812">CONCATENATE(INDEX(DropDown!$H$2:$H$10,MATCH(1,COUNTIF('Ingest Template'!F812,"*"&amp;DropDown!$H$2:$H$10&amp;"*"),0)),CHAR(10),'Ingest Template'!G812)</f>
        <v>#N/A</v>
      </c>
      <c r="E812" s="21" t="str">
        <f>CONCATENATE('Ingest Template'!H812,CHAR(10),'Ingest Template'!I812,CHAR(10),'Ingest Template'!J812)</f>
        <v>
</v>
      </c>
      <c r="F812" s="26" t="str">
        <f>'Ingest Template'!H812</f>
        <v/>
      </c>
      <c r="G812" s="21"/>
      <c r="H812" s="29"/>
      <c r="I812" s="21"/>
      <c r="J812" s="29" t="str">
        <f t="array" ref="J812">iF('Ingest Template'!A812="Standard","Pristine Brand",INDEX(DropDown!$M$2:$M$392,MATCH('Ingest Template'!E812,DropDown!$J$2:$J$392,0)))</f>
        <v>#N/A</v>
      </c>
      <c r="K812" s="21" t="str">
        <f>iF('Ingest Template'!A812="Standard",'Ingest Template'!K812&amp;CHAR(10)&amp;'Ingest Template'!L812,"Competitive View")</f>
        <v>Competitive View</v>
      </c>
      <c r="L812" s="29" t="s">
        <v>146</v>
      </c>
      <c r="M812" s="37" t="str">
        <f>'Ingest Template'!D812</f>
        <v/>
      </c>
      <c r="N812" s="21"/>
      <c r="O812" s="21"/>
      <c r="P812" s="21"/>
      <c r="Q812" s="21"/>
      <c r="R812" s="21" t="str">
        <f>'Ingest Template'!E812</f>
        <v/>
      </c>
      <c r="S812" s="29" t="s">
        <v>153</v>
      </c>
      <c r="T812" s="21" t="str">
        <f>'Ingest Template'!T812</f>
        <v/>
      </c>
      <c r="U812" s="21" t="str">
        <f>'Ingest Template'!S812</f>
        <v/>
      </c>
      <c r="V812" s="21" t="str">
        <f>LOWER(SUBSTITUTE(SUBSTITUTE(SUBSTITUTE(SUBSTITUTE(SUBSTITUTE('Ingest Template'!U812,"https:",""),"www.",""),"/",""),"?hl=en",""),"instagram.com",""))</f>
        <v/>
      </c>
      <c r="W812" s="41" t="str">
        <f t="array" ref="W812">IF('Ingest Template'!V812="",(INDEX(DropDown!$L$2:$L$392,MATCH('Ingest Template'!E812,DropDown!$J$2:$J$392,0))&amp;"|"&amp;'Ingest Template'!B812),(INDEX(DropDown!$L$2:$L$392,MATCH('Ingest Template'!E812,DropDown!$J$2:$J$392,0))&amp;"|"&amp;'Ingest Template'!B812)&amp;CHAR(10)&amp;'Ingest Template'!V812)</f>
        <v>#N/A</v>
      </c>
      <c r="X812" s="41" t="str">
        <f>'Ingest Template'!W812</f>
        <v/>
      </c>
      <c r="Y812" s="21" t="str">
        <f>SUBSTITUTE(SUBSTITUTE(SUBSTITUTE('Ingest Template'!X812,"http:",""),"https:",""),"/","")</f>
        <v/>
      </c>
      <c r="Z812" s="21" t="str">
        <f t="array" ref="Z812">IF('Ingest Template'!A812="Standard",(IF(ISBLANK('Ingest Template'!AA812),"", 'Ingest Template'!AA812&amp;"|DAR")),(IF(ISBLANK('Ingest Template'!AA812),"", 'Ingest Template'!AA812&amp;"|Film Ops")))</f>
        <v/>
      </c>
      <c r="AA812" s="21"/>
      <c r="AB812" s="21" t="str">
        <f>'Ingest Template'!M812</f>
        <v/>
      </c>
      <c r="AC812" s="21" t="str">
        <f>'Ingest Template'!Y812</f>
        <v/>
      </c>
      <c r="AD812" s="21" t="str">
        <f>'Ingest Template'!C812</f>
        <v/>
      </c>
      <c r="AE812" s="21" t="str">
        <f>'Ingest Template'!Z812</f>
        <v/>
      </c>
      <c r="AF812" s="29"/>
      <c r="AG812" s="21" t="str">
        <f t="array" ref="AG812">IF('Ingest Template'!A812="Standard",(CONCATENATE(IF(ISBLANK('Ingest Template'!O812),"", 'Ingest Template'!O812&amp;"|DAR"),CHAR(10), IF(ISBLANK('Ingest Template'!P812),"", 'Ingest Template'!P812&amp;"|DAR"),CHAR(10), IF(ISBLANK('Ingest Template'!Q812),"", 'Ingest Template'!Q812&amp;"|DAR"))),(CONCATENATE(IF(ISBLANK('Ingest Template'!O812),"", 'Ingest Template'!O812&amp;"|Operations - Core Title"),CHAR(10), IF(ISBLANK('Ingest Template'!P812),"", 'Ingest Template'!P812&amp;"|Operations - Core Title"),CHAR(10), IF(ISBLANK('Ingest Template'!Q812),"", 'Ingest Template'!Q812&amp;"|Operations - Core Title"))))</f>
        <v>#|Operations - Core Title
#|Operations - Core Title
</v>
      </c>
      <c r="AH812" s="21"/>
      <c r="AI812" s="21"/>
      <c r="AJ812" s="53" t="str">
        <f>if('Ingest Template'!A812="Standard",'Ingest Template'!N812&amp; "|DAR|DAR|2021-01-01",'Ingest Template'!N812&amp; "|Operations - Core Title|Operations - Core Title")</f>
        <v>#N/A</v>
      </c>
      <c r="AK812" s="53" t="str">
        <f>if('Ingest Template'!A812="Standard",'Ingest Template'!R812&amp; "|2021-01-01",'Ingest Template'!R812)</f>
        <v>#N/A</v>
      </c>
      <c r="AL812" s="21"/>
      <c r="AM812" s="21"/>
    </row>
    <row r="813">
      <c r="A813" s="21"/>
      <c r="B813" s="21" t="str">
        <f>'Ingest Template'!B813&amp;IF('Ingest Template'!A813 = "Standard", " - DAR","")</f>
        <v/>
      </c>
      <c r="C813" s="26" t="s">
        <v>109</v>
      </c>
      <c r="D813" s="29" t="str">
        <f t="array" ref="D813">CONCATENATE(INDEX(DropDown!$H$2:$H$10,MATCH(1,COUNTIF('Ingest Template'!F813,"*"&amp;DropDown!$H$2:$H$10&amp;"*"),0)),CHAR(10),'Ingest Template'!G813)</f>
        <v>#N/A</v>
      </c>
      <c r="E813" s="21" t="str">
        <f>CONCATENATE('Ingest Template'!H813,CHAR(10),'Ingest Template'!I813,CHAR(10),'Ingest Template'!J813)</f>
        <v>
</v>
      </c>
      <c r="F813" s="26" t="str">
        <f>'Ingest Template'!H813</f>
        <v/>
      </c>
      <c r="G813" s="21"/>
      <c r="H813" s="29"/>
      <c r="I813" s="21"/>
      <c r="J813" s="29" t="str">
        <f t="array" ref="J813">iF('Ingest Template'!A813="Standard","Pristine Brand",INDEX(DropDown!$M$2:$M$392,MATCH('Ingest Template'!E813,DropDown!$J$2:$J$392,0)))</f>
        <v>#N/A</v>
      </c>
      <c r="K813" s="21" t="str">
        <f>iF('Ingest Template'!A813="Standard",'Ingest Template'!K813&amp;CHAR(10)&amp;'Ingest Template'!L813,"Competitive View")</f>
        <v>Competitive View</v>
      </c>
      <c r="L813" s="29" t="s">
        <v>146</v>
      </c>
      <c r="M813" s="37" t="str">
        <f>'Ingest Template'!D813</f>
        <v/>
      </c>
      <c r="N813" s="21"/>
      <c r="O813" s="21"/>
      <c r="P813" s="21"/>
      <c r="Q813" s="21"/>
      <c r="R813" s="21" t="str">
        <f>'Ingest Template'!E813</f>
        <v/>
      </c>
      <c r="S813" s="29" t="s">
        <v>153</v>
      </c>
      <c r="T813" s="21" t="str">
        <f>'Ingest Template'!T813</f>
        <v/>
      </c>
      <c r="U813" s="21" t="str">
        <f>'Ingest Template'!S813</f>
        <v/>
      </c>
      <c r="V813" s="21" t="str">
        <f>LOWER(SUBSTITUTE(SUBSTITUTE(SUBSTITUTE(SUBSTITUTE(SUBSTITUTE('Ingest Template'!U813,"https:",""),"www.",""),"/",""),"?hl=en",""),"instagram.com",""))</f>
        <v/>
      </c>
      <c r="W813" s="41" t="str">
        <f t="array" ref="W813">IF('Ingest Template'!V813="",(INDEX(DropDown!$L$2:$L$392,MATCH('Ingest Template'!E813,DropDown!$J$2:$J$392,0))&amp;"|"&amp;'Ingest Template'!B813),(INDEX(DropDown!$L$2:$L$392,MATCH('Ingest Template'!E813,DropDown!$J$2:$J$392,0))&amp;"|"&amp;'Ingest Template'!B813)&amp;CHAR(10)&amp;'Ingest Template'!V813)</f>
        <v>#N/A</v>
      </c>
      <c r="X813" s="41" t="str">
        <f>'Ingest Template'!W813</f>
        <v/>
      </c>
      <c r="Y813" s="21" t="str">
        <f>SUBSTITUTE(SUBSTITUTE(SUBSTITUTE('Ingest Template'!X813,"http:",""),"https:",""),"/","")</f>
        <v/>
      </c>
      <c r="Z813" s="21" t="str">
        <f t="array" ref="Z813">IF('Ingest Template'!A813="Standard",(IF(ISBLANK('Ingest Template'!AA813),"", 'Ingest Template'!AA813&amp;"|DAR")),(IF(ISBLANK('Ingest Template'!AA813),"", 'Ingest Template'!AA813&amp;"|Film Ops")))</f>
        <v/>
      </c>
      <c r="AA813" s="21"/>
      <c r="AB813" s="21" t="str">
        <f>'Ingest Template'!M813</f>
        <v/>
      </c>
      <c r="AC813" s="21" t="str">
        <f>'Ingest Template'!Y813</f>
        <v/>
      </c>
      <c r="AD813" s="21" t="str">
        <f>'Ingest Template'!C813</f>
        <v/>
      </c>
      <c r="AE813" s="21" t="str">
        <f>'Ingest Template'!Z813</f>
        <v/>
      </c>
      <c r="AF813" s="29"/>
      <c r="AG813" s="21" t="str">
        <f t="array" ref="AG813">IF('Ingest Template'!A813="Standard",(CONCATENATE(IF(ISBLANK('Ingest Template'!O813),"", 'Ingest Template'!O813&amp;"|DAR"),CHAR(10), IF(ISBLANK('Ingest Template'!P813),"", 'Ingest Template'!P813&amp;"|DAR"),CHAR(10), IF(ISBLANK('Ingest Template'!Q813),"", 'Ingest Template'!Q813&amp;"|DAR"))),(CONCATENATE(IF(ISBLANK('Ingest Template'!O813),"", 'Ingest Template'!O813&amp;"|Operations - Core Title"),CHAR(10), IF(ISBLANK('Ingest Template'!P813),"", 'Ingest Template'!P813&amp;"|Operations - Core Title"),CHAR(10), IF(ISBLANK('Ingest Template'!Q813),"", 'Ingest Template'!Q813&amp;"|Operations - Core Title"))))</f>
        <v>#|Operations - Core Title
#|Operations - Core Title
</v>
      </c>
      <c r="AH813" s="21"/>
      <c r="AI813" s="21"/>
      <c r="AJ813" s="53" t="str">
        <f>if('Ingest Template'!A813="Standard",'Ingest Template'!N813&amp; "|DAR|DAR|2021-01-01",'Ingest Template'!N813&amp; "|Operations - Core Title|Operations - Core Title")</f>
        <v>#N/A</v>
      </c>
      <c r="AK813" s="53" t="str">
        <f>if('Ingest Template'!A813="Standard",'Ingest Template'!R813&amp; "|2021-01-01",'Ingest Template'!R813)</f>
        <v>#N/A</v>
      </c>
      <c r="AL813" s="21"/>
      <c r="AM813" s="21"/>
    </row>
    <row r="814">
      <c r="A814" s="21"/>
      <c r="B814" s="21" t="str">
        <f>'Ingest Template'!B814&amp;IF('Ingest Template'!A814 = "Standard", " - DAR","")</f>
        <v/>
      </c>
      <c r="C814" s="26" t="s">
        <v>109</v>
      </c>
      <c r="D814" s="29" t="str">
        <f t="array" ref="D814">CONCATENATE(INDEX(DropDown!$H$2:$H$10,MATCH(1,COUNTIF('Ingest Template'!F814,"*"&amp;DropDown!$H$2:$H$10&amp;"*"),0)),CHAR(10),'Ingest Template'!G814)</f>
        <v>#N/A</v>
      </c>
      <c r="E814" s="21" t="str">
        <f>CONCATENATE('Ingest Template'!H814,CHAR(10),'Ingest Template'!I814,CHAR(10),'Ingest Template'!J814)</f>
        <v>
</v>
      </c>
      <c r="F814" s="26" t="str">
        <f>'Ingest Template'!H814</f>
        <v/>
      </c>
      <c r="G814" s="21"/>
      <c r="H814" s="29"/>
      <c r="I814" s="21"/>
      <c r="J814" s="29" t="str">
        <f t="array" ref="J814">iF('Ingest Template'!A814="Standard","Pristine Brand",INDEX(DropDown!$M$2:$M$392,MATCH('Ingest Template'!E814,DropDown!$J$2:$J$392,0)))</f>
        <v>#N/A</v>
      </c>
      <c r="K814" s="21" t="str">
        <f>iF('Ingest Template'!A814="Standard",'Ingest Template'!K814&amp;CHAR(10)&amp;'Ingest Template'!L814,"Competitive View")</f>
        <v>Competitive View</v>
      </c>
      <c r="L814" s="29" t="s">
        <v>146</v>
      </c>
      <c r="M814" s="37" t="str">
        <f>'Ingest Template'!D814</f>
        <v/>
      </c>
      <c r="N814" s="21"/>
      <c r="O814" s="21"/>
      <c r="P814" s="21"/>
      <c r="Q814" s="21"/>
      <c r="R814" s="21" t="str">
        <f>'Ingest Template'!E814</f>
        <v/>
      </c>
      <c r="S814" s="29" t="s">
        <v>153</v>
      </c>
      <c r="T814" s="21" t="str">
        <f>'Ingest Template'!T814</f>
        <v/>
      </c>
      <c r="U814" s="21" t="str">
        <f>'Ingest Template'!S814</f>
        <v/>
      </c>
      <c r="V814" s="21" t="str">
        <f>LOWER(SUBSTITUTE(SUBSTITUTE(SUBSTITUTE(SUBSTITUTE(SUBSTITUTE('Ingest Template'!U814,"https:",""),"www.",""),"/",""),"?hl=en",""),"instagram.com",""))</f>
        <v/>
      </c>
      <c r="W814" s="41" t="str">
        <f t="array" ref="W814">IF('Ingest Template'!V814="",(INDEX(DropDown!$L$2:$L$392,MATCH('Ingest Template'!E814,DropDown!$J$2:$J$392,0))&amp;"|"&amp;'Ingest Template'!B814),(INDEX(DropDown!$L$2:$L$392,MATCH('Ingest Template'!E814,DropDown!$J$2:$J$392,0))&amp;"|"&amp;'Ingest Template'!B814)&amp;CHAR(10)&amp;'Ingest Template'!V814)</f>
        <v>#N/A</v>
      </c>
      <c r="X814" s="41" t="str">
        <f>'Ingest Template'!W814</f>
        <v/>
      </c>
      <c r="Y814" s="21" t="str">
        <f>SUBSTITUTE(SUBSTITUTE(SUBSTITUTE('Ingest Template'!X814,"http:",""),"https:",""),"/","")</f>
        <v/>
      </c>
      <c r="Z814" s="21" t="str">
        <f t="array" ref="Z814">IF('Ingest Template'!A814="Standard",(IF(ISBLANK('Ingest Template'!AA814),"", 'Ingest Template'!AA814&amp;"|DAR")),(IF(ISBLANK('Ingest Template'!AA814),"", 'Ingest Template'!AA814&amp;"|Film Ops")))</f>
        <v/>
      </c>
      <c r="AA814" s="21"/>
      <c r="AB814" s="21" t="str">
        <f>'Ingest Template'!M814</f>
        <v/>
      </c>
      <c r="AC814" s="21" t="str">
        <f>'Ingest Template'!Y814</f>
        <v/>
      </c>
      <c r="AD814" s="21" t="str">
        <f>'Ingest Template'!C814</f>
        <v/>
      </c>
      <c r="AE814" s="21" t="str">
        <f>'Ingest Template'!Z814</f>
        <v/>
      </c>
      <c r="AF814" s="29"/>
      <c r="AG814" s="21" t="str">
        <f t="array" ref="AG814">IF('Ingest Template'!A814="Standard",(CONCATENATE(IF(ISBLANK('Ingest Template'!O814),"", 'Ingest Template'!O814&amp;"|DAR"),CHAR(10), IF(ISBLANK('Ingest Template'!P814),"", 'Ingest Template'!P814&amp;"|DAR"),CHAR(10), IF(ISBLANK('Ingest Template'!Q814),"", 'Ingest Template'!Q814&amp;"|DAR"))),(CONCATENATE(IF(ISBLANK('Ingest Template'!O814),"", 'Ingest Template'!O814&amp;"|Operations - Core Title"),CHAR(10), IF(ISBLANK('Ingest Template'!P814),"", 'Ingest Template'!P814&amp;"|Operations - Core Title"),CHAR(10), IF(ISBLANK('Ingest Template'!Q814),"", 'Ingest Template'!Q814&amp;"|Operations - Core Title"))))</f>
        <v>#|Operations - Core Title
#|Operations - Core Title
</v>
      </c>
      <c r="AH814" s="21"/>
      <c r="AI814" s="21"/>
      <c r="AJ814" s="53" t="str">
        <f>if('Ingest Template'!A814="Standard",'Ingest Template'!N814&amp; "|DAR|DAR|2021-01-01",'Ingest Template'!N814&amp; "|Operations - Core Title|Operations - Core Title")</f>
        <v>#N/A</v>
      </c>
      <c r="AK814" s="53" t="str">
        <f>if('Ingest Template'!A814="Standard",'Ingest Template'!R814&amp; "|2021-01-01",'Ingest Template'!R814)</f>
        <v>#N/A</v>
      </c>
      <c r="AL814" s="21"/>
      <c r="AM814" s="21"/>
    </row>
    <row r="815">
      <c r="A815" s="21"/>
      <c r="B815" s="21" t="str">
        <f>'Ingest Template'!B815&amp;IF('Ingest Template'!A815 = "Standard", " - DAR","")</f>
        <v/>
      </c>
      <c r="C815" s="26" t="s">
        <v>109</v>
      </c>
      <c r="D815" s="29" t="str">
        <f t="array" ref="D815">CONCATENATE(INDEX(DropDown!$H$2:$H$10,MATCH(1,COUNTIF('Ingest Template'!F815,"*"&amp;DropDown!$H$2:$H$10&amp;"*"),0)),CHAR(10),'Ingest Template'!G815)</f>
        <v>#N/A</v>
      </c>
      <c r="E815" s="21" t="str">
        <f>CONCATENATE('Ingest Template'!H815,CHAR(10),'Ingest Template'!I815,CHAR(10),'Ingest Template'!J815)</f>
        <v>
</v>
      </c>
      <c r="F815" s="26" t="str">
        <f>'Ingest Template'!H815</f>
        <v/>
      </c>
      <c r="G815" s="21"/>
      <c r="H815" s="29"/>
      <c r="I815" s="21"/>
      <c r="J815" s="29" t="str">
        <f t="array" ref="J815">iF('Ingest Template'!A815="Standard","Pristine Brand",INDEX(DropDown!$M$2:$M$392,MATCH('Ingest Template'!E815,DropDown!$J$2:$J$392,0)))</f>
        <v>#N/A</v>
      </c>
      <c r="K815" s="21" t="str">
        <f>iF('Ingest Template'!A815="Standard",'Ingest Template'!K815&amp;CHAR(10)&amp;'Ingest Template'!L815,"Competitive View")</f>
        <v>Competitive View</v>
      </c>
      <c r="L815" s="29" t="s">
        <v>146</v>
      </c>
      <c r="M815" s="37" t="str">
        <f>'Ingest Template'!D815</f>
        <v/>
      </c>
      <c r="N815" s="21"/>
      <c r="O815" s="21"/>
      <c r="P815" s="21"/>
      <c r="Q815" s="21"/>
      <c r="R815" s="21" t="str">
        <f>'Ingest Template'!E815</f>
        <v/>
      </c>
      <c r="S815" s="29" t="s">
        <v>153</v>
      </c>
      <c r="T815" s="21" t="str">
        <f>'Ingest Template'!T815</f>
        <v/>
      </c>
      <c r="U815" s="21" t="str">
        <f>'Ingest Template'!S815</f>
        <v/>
      </c>
      <c r="V815" s="21" t="str">
        <f>LOWER(SUBSTITUTE(SUBSTITUTE(SUBSTITUTE(SUBSTITUTE(SUBSTITUTE('Ingest Template'!U815,"https:",""),"www.",""),"/",""),"?hl=en",""),"instagram.com",""))</f>
        <v/>
      </c>
      <c r="W815" s="41" t="str">
        <f t="array" ref="W815">IF('Ingest Template'!V815="",(INDEX(DropDown!$L$2:$L$392,MATCH('Ingest Template'!E815,DropDown!$J$2:$J$392,0))&amp;"|"&amp;'Ingest Template'!B815),(INDEX(DropDown!$L$2:$L$392,MATCH('Ingest Template'!E815,DropDown!$J$2:$J$392,0))&amp;"|"&amp;'Ingest Template'!B815)&amp;CHAR(10)&amp;'Ingest Template'!V815)</f>
        <v>#N/A</v>
      </c>
      <c r="X815" s="41" t="str">
        <f>'Ingest Template'!W815</f>
        <v/>
      </c>
      <c r="Y815" s="21" t="str">
        <f>SUBSTITUTE(SUBSTITUTE(SUBSTITUTE('Ingest Template'!X815,"http:",""),"https:",""),"/","")</f>
        <v/>
      </c>
      <c r="Z815" s="21" t="str">
        <f t="array" ref="Z815">IF('Ingest Template'!A815="Standard",(IF(ISBLANK('Ingest Template'!AA815),"", 'Ingest Template'!AA815&amp;"|DAR")),(IF(ISBLANK('Ingest Template'!AA815),"", 'Ingest Template'!AA815&amp;"|Film Ops")))</f>
        <v/>
      </c>
      <c r="AA815" s="21"/>
      <c r="AB815" s="21" t="str">
        <f>'Ingest Template'!M815</f>
        <v/>
      </c>
      <c r="AC815" s="21" t="str">
        <f>'Ingest Template'!Y815</f>
        <v/>
      </c>
      <c r="AD815" s="21" t="str">
        <f>'Ingest Template'!C815</f>
        <v/>
      </c>
      <c r="AE815" s="21" t="str">
        <f>'Ingest Template'!Z815</f>
        <v/>
      </c>
      <c r="AF815" s="29"/>
      <c r="AG815" s="21" t="str">
        <f t="array" ref="AG815">IF('Ingest Template'!A815="Standard",(CONCATENATE(IF(ISBLANK('Ingest Template'!O815),"", 'Ingest Template'!O815&amp;"|DAR"),CHAR(10), IF(ISBLANK('Ingest Template'!P815),"", 'Ingest Template'!P815&amp;"|DAR"),CHAR(10), IF(ISBLANK('Ingest Template'!Q815),"", 'Ingest Template'!Q815&amp;"|DAR"))),(CONCATENATE(IF(ISBLANK('Ingest Template'!O815),"", 'Ingest Template'!O815&amp;"|Operations - Core Title"),CHAR(10), IF(ISBLANK('Ingest Template'!P815),"", 'Ingest Template'!P815&amp;"|Operations - Core Title"),CHAR(10), IF(ISBLANK('Ingest Template'!Q815),"", 'Ingest Template'!Q815&amp;"|Operations - Core Title"))))</f>
        <v>#|Operations - Core Title
#|Operations - Core Title
</v>
      </c>
      <c r="AH815" s="21"/>
      <c r="AI815" s="21"/>
      <c r="AJ815" s="53" t="str">
        <f>if('Ingest Template'!A815="Standard",'Ingest Template'!N815&amp; "|DAR|DAR|2021-01-01",'Ingest Template'!N815&amp; "|Operations - Core Title|Operations - Core Title")</f>
        <v>#N/A</v>
      </c>
      <c r="AK815" s="53" t="str">
        <f>if('Ingest Template'!A815="Standard",'Ingest Template'!R815&amp; "|2021-01-01",'Ingest Template'!R815)</f>
        <v>#N/A</v>
      </c>
      <c r="AL815" s="21"/>
      <c r="AM815" s="21"/>
    </row>
    <row r="816">
      <c r="A816" s="21"/>
      <c r="B816" s="21" t="str">
        <f>'Ingest Template'!B816&amp;IF('Ingest Template'!A816 = "Standard", " - DAR","")</f>
        <v/>
      </c>
      <c r="C816" s="26" t="s">
        <v>109</v>
      </c>
      <c r="D816" s="29" t="str">
        <f t="array" ref="D816">CONCATENATE(INDEX(DropDown!$H$2:$H$10,MATCH(1,COUNTIF('Ingest Template'!F816,"*"&amp;DropDown!$H$2:$H$10&amp;"*"),0)),CHAR(10),'Ingest Template'!G816)</f>
        <v>#N/A</v>
      </c>
      <c r="E816" s="21" t="str">
        <f>CONCATENATE('Ingest Template'!H816,CHAR(10),'Ingest Template'!I816,CHAR(10),'Ingest Template'!J816)</f>
        <v>
</v>
      </c>
      <c r="F816" s="26" t="str">
        <f>'Ingest Template'!H816</f>
        <v/>
      </c>
      <c r="G816" s="21"/>
      <c r="H816" s="29"/>
      <c r="I816" s="21"/>
      <c r="J816" s="29" t="str">
        <f t="array" ref="J816">iF('Ingest Template'!A816="Standard","Pristine Brand",INDEX(DropDown!$M$2:$M$392,MATCH('Ingest Template'!E816,DropDown!$J$2:$J$392,0)))</f>
        <v>#N/A</v>
      </c>
      <c r="K816" s="21" t="str">
        <f>iF('Ingest Template'!A816="Standard",'Ingest Template'!K816&amp;CHAR(10)&amp;'Ingest Template'!L816,"Competitive View")</f>
        <v>Competitive View</v>
      </c>
      <c r="L816" s="29" t="s">
        <v>146</v>
      </c>
      <c r="M816" s="37" t="str">
        <f>'Ingest Template'!D816</f>
        <v/>
      </c>
      <c r="N816" s="21"/>
      <c r="O816" s="21"/>
      <c r="P816" s="21"/>
      <c r="Q816" s="21"/>
      <c r="R816" s="21" t="str">
        <f>'Ingest Template'!E816</f>
        <v/>
      </c>
      <c r="S816" s="29" t="s">
        <v>153</v>
      </c>
      <c r="T816" s="21" t="str">
        <f>'Ingest Template'!T816</f>
        <v/>
      </c>
      <c r="U816" s="21" t="str">
        <f>'Ingest Template'!S816</f>
        <v/>
      </c>
      <c r="V816" s="21" t="str">
        <f>LOWER(SUBSTITUTE(SUBSTITUTE(SUBSTITUTE(SUBSTITUTE(SUBSTITUTE('Ingest Template'!U816,"https:",""),"www.",""),"/",""),"?hl=en",""),"instagram.com",""))</f>
        <v/>
      </c>
      <c r="W816" s="41" t="str">
        <f t="array" ref="W816">IF('Ingest Template'!V816="",(INDEX(DropDown!$L$2:$L$392,MATCH('Ingest Template'!E816,DropDown!$J$2:$J$392,0))&amp;"|"&amp;'Ingest Template'!B816),(INDEX(DropDown!$L$2:$L$392,MATCH('Ingest Template'!E816,DropDown!$J$2:$J$392,0))&amp;"|"&amp;'Ingest Template'!B816)&amp;CHAR(10)&amp;'Ingest Template'!V816)</f>
        <v>#N/A</v>
      </c>
      <c r="X816" s="41" t="str">
        <f>'Ingest Template'!W816</f>
        <v/>
      </c>
      <c r="Y816" s="21" t="str">
        <f>SUBSTITUTE(SUBSTITUTE(SUBSTITUTE('Ingest Template'!X816,"http:",""),"https:",""),"/","")</f>
        <v/>
      </c>
      <c r="Z816" s="21" t="str">
        <f t="array" ref="Z816">IF('Ingest Template'!A816="Standard",(IF(ISBLANK('Ingest Template'!AA816),"", 'Ingest Template'!AA816&amp;"|DAR")),(IF(ISBLANK('Ingest Template'!AA816),"", 'Ingest Template'!AA816&amp;"|Film Ops")))</f>
        <v/>
      </c>
      <c r="AA816" s="21"/>
      <c r="AB816" s="21" t="str">
        <f>'Ingest Template'!M816</f>
        <v/>
      </c>
      <c r="AC816" s="21" t="str">
        <f>'Ingest Template'!Y816</f>
        <v/>
      </c>
      <c r="AD816" s="21" t="str">
        <f>'Ingest Template'!C816</f>
        <v/>
      </c>
      <c r="AE816" s="21" t="str">
        <f>'Ingest Template'!Z816</f>
        <v/>
      </c>
      <c r="AF816" s="29"/>
      <c r="AG816" s="21" t="str">
        <f t="array" ref="AG816">IF('Ingest Template'!A816="Standard",(CONCATENATE(IF(ISBLANK('Ingest Template'!O816),"", 'Ingest Template'!O816&amp;"|DAR"),CHAR(10), IF(ISBLANK('Ingest Template'!P816),"", 'Ingest Template'!P816&amp;"|DAR"),CHAR(10), IF(ISBLANK('Ingest Template'!Q816),"", 'Ingest Template'!Q816&amp;"|DAR"))),(CONCATENATE(IF(ISBLANK('Ingest Template'!O816),"", 'Ingest Template'!O816&amp;"|Operations - Core Title"),CHAR(10), IF(ISBLANK('Ingest Template'!P816),"", 'Ingest Template'!P816&amp;"|Operations - Core Title"),CHAR(10), IF(ISBLANK('Ingest Template'!Q816),"", 'Ingest Template'!Q816&amp;"|Operations - Core Title"))))</f>
        <v>#|Operations - Core Title
#|Operations - Core Title
</v>
      </c>
      <c r="AH816" s="21"/>
      <c r="AI816" s="21"/>
      <c r="AJ816" s="53" t="str">
        <f>if('Ingest Template'!A816="Standard",'Ingest Template'!N816&amp; "|DAR|DAR|2021-01-01",'Ingest Template'!N816&amp; "|Operations - Core Title|Operations - Core Title")</f>
        <v>#N/A</v>
      </c>
      <c r="AK816" s="53" t="str">
        <f>if('Ingest Template'!A816="Standard",'Ingest Template'!R816&amp; "|2021-01-01",'Ingest Template'!R816)</f>
        <v>#N/A</v>
      </c>
      <c r="AL816" s="21"/>
      <c r="AM816" s="21"/>
    </row>
    <row r="817">
      <c r="A817" s="21"/>
      <c r="B817" s="21" t="str">
        <f>'Ingest Template'!B817&amp;IF('Ingest Template'!A817 = "Standard", " - DAR","")</f>
        <v/>
      </c>
      <c r="C817" s="26" t="s">
        <v>109</v>
      </c>
      <c r="D817" s="29" t="str">
        <f t="array" ref="D817">CONCATENATE(INDEX(DropDown!$H$2:$H$10,MATCH(1,COUNTIF('Ingest Template'!F817,"*"&amp;DropDown!$H$2:$H$10&amp;"*"),0)),CHAR(10),'Ingest Template'!G817)</f>
        <v>#N/A</v>
      </c>
      <c r="E817" s="21" t="str">
        <f>CONCATENATE('Ingest Template'!H817,CHAR(10),'Ingest Template'!I817,CHAR(10),'Ingest Template'!J817)</f>
        <v>
</v>
      </c>
      <c r="F817" s="26" t="str">
        <f>'Ingest Template'!H817</f>
        <v/>
      </c>
      <c r="G817" s="21"/>
      <c r="H817" s="29"/>
      <c r="I817" s="21"/>
      <c r="J817" s="29" t="str">
        <f t="array" ref="J817">iF('Ingest Template'!A817="Standard","Pristine Brand",INDEX(DropDown!$M$2:$M$392,MATCH('Ingest Template'!E817,DropDown!$J$2:$J$392,0)))</f>
        <v>#N/A</v>
      </c>
      <c r="K817" s="21" t="str">
        <f>iF('Ingest Template'!A817="Standard",'Ingest Template'!K817&amp;CHAR(10)&amp;'Ingest Template'!L817,"Competitive View")</f>
        <v>Competitive View</v>
      </c>
      <c r="L817" s="29" t="s">
        <v>146</v>
      </c>
      <c r="M817" s="37" t="str">
        <f>'Ingest Template'!D817</f>
        <v/>
      </c>
      <c r="N817" s="21"/>
      <c r="O817" s="21"/>
      <c r="P817" s="21"/>
      <c r="Q817" s="21"/>
      <c r="R817" s="21" t="str">
        <f>'Ingest Template'!E817</f>
        <v/>
      </c>
      <c r="S817" s="29" t="s">
        <v>153</v>
      </c>
      <c r="T817" s="21" t="str">
        <f>'Ingest Template'!T817</f>
        <v/>
      </c>
      <c r="U817" s="21" t="str">
        <f>'Ingest Template'!S817</f>
        <v/>
      </c>
      <c r="V817" s="21" t="str">
        <f>LOWER(SUBSTITUTE(SUBSTITUTE(SUBSTITUTE(SUBSTITUTE(SUBSTITUTE('Ingest Template'!U817,"https:",""),"www.",""),"/",""),"?hl=en",""),"instagram.com",""))</f>
        <v/>
      </c>
      <c r="W817" s="41" t="str">
        <f t="array" ref="W817">IF('Ingest Template'!V817="",(INDEX(DropDown!$L$2:$L$392,MATCH('Ingest Template'!E817,DropDown!$J$2:$J$392,0))&amp;"|"&amp;'Ingest Template'!B817),(INDEX(DropDown!$L$2:$L$392,MATCH('Ingest Template'!E817,DropDown!$J$2:$J$392,0))&amp;"|"&amp;'Ingest Template'!B817)&amp;CHAR(10)&amp;'Ingest Template'!V817)</f>
        <v>#N/A</v>
      </c>
      <c r="X817" s="41" t="str">
        <f>'Ingest Template'!W817</f>
        <v/>
      </c>
      <c r="Y817" s="21" t="str">
        <f>SUBSTITUTE(SUBSTITUTE(SUBSTITUTE('Ingest Template'!X817,"http:",""),"https:",""),"/","")</f>
        <v/>
      </c>
      <c r="Z817" s="21" t="str">
        <f t="array" ref="Z817">IF('Ingest Template'!A817="Standard",(IF(ISBLANK('Ingest Template'!AA817),"", 'Ingest Template'!AA817&amp;"|DAR")),(IF(ISBLANK('Ingest Template'!AA817),"", 'Ingest Template'!AA817&amp;"|Film Ops")))</f>
        <v/>
      </c>
      <c r="AA817" s="21"/>
      <c r="AB817" s="21" t="str">
        <f>'Ingest Template'!M817</f>
        <v/>
      </c>
      <c r="AC817" s="21" t="str">
        <f>'Ingest Template'!Y817</f>
        <v/>
      </c>
      <c r="AD817" s="21" t="str">
        <f>'Ingest Template'!C817</f>
        <v/>
      </c>
      <c r="AE817" s="21" t="str">
        <f>'Ingest Template'!Z817</f>
        <v/>
      </c>
      <c r="AF817" s="29"/>
      <c r="AG817" s="21" t="str">
        <f t="array" ref="AG817">IF('Ingest Template'!A817="Standard",(CONCATENATE(IF(ISBLANK('Ingest Template'!O817),"", 'Ingest Template'!O817&amp;"|DAR"),CHAR(10), IF(ISBLANK('Ingest Template'!P817),"", 'Ingest Template'!P817&amp;"|DAR"),CHAR(10), IF(ISBLANK('Ingest Template'!Q817),"", 'Ingest Template'!Q817&amp;"|DAR"))),(CONCATENATE(IF(ISBLANK('Ingest Template'!O817),"", 'Ingest Template'!O817&amp;"|Operations - Core Title"),CHAR(10), IF(ISBLANK('Ingest Template'!P817),"", 'Ingest Template'!P817&amp;"|Operations - Core Title"),CHAR(10), IF(ISBLANK('Ingest Template'!Q817),"", 'Ingest Template'!Q817&amp;"|Operations - Core Title"))))</f>
        <v>#|Operations - Core Title
#|Operations - Core Title
</v>
      </c>
      <c r="AH817" s="21"/>
      <c r="AI817" s="21"/>
      <c r="AJ817" s="53" t="str">
        <f>if('Ingest Template'!A817="Standard",'Ingest Template'!N817&amp; "|DAR|DAR|2021-01-01",'Ingest Template'!N817&amp; "|Operations - Core Title|Operations - Core Title")</f>
        <v>#N/A</v>
      </c>
      <c r="AK817" s="53" t="str">
        <f>if('Ingest Template'!A817="Standard",'Ingest Template'!R817&amp; "|2021-01-01",'Ingest Template'!R817)</f>
        <v>#N/A</v>
      </c>
      <c r="AL817" s="21"/>
      <c r="AM817" s="21"/>
    </row>
    <row r="818">
      <c r="A818" s="21"/>
      <c r="B818" s="21" t="str">
        <f>'Ingest Template'!B818&amp;IF('Ingest Template'!A818 = "Standard", " - DAR","")</f>
        <v/>
      </c>
      <c r="C818" s="26" t="s">
        <v>109</v>
      </c>
      <c r="D818" s="29" t="str">
        <f t="array" ref="D818">CONCATENATE(INDEX(DropDown!$H$2:$H$10,MATCH(1,COUNTIF('Ingest Template'!F818,"*"&amp;DropDown!$H$2:$H$10&amp;"*"),0)),CHAR(10),'Ingest Template'!G818)</f>
        <v>#N/A</v>
      </c>
      <c r="E818" s="21" t="str">
        <f>CONCATENATE('Ingest Template'!H818,CHAR(10),'Ingest Template'!I818,CHAR(10),'Ingest Template'!J818)</f>
        <v>
</v>
      </c>
      <c r="F818" s="26" t="str">
        <f>'Ingest Template'!H818</f>
        <v/>
      </c>
      <c r="G818" s="21"/>
      <c r="H818" s="29"/>
      <c r="I818" s="21"/>
      <c r="J818" s="29" t="str">
        <f t="array" ref="J818">iF('Ingest Template'!A818="Standard","Pristine Brand",INDEX(DropDown!$M$2:$M$392,MATCH('Ingest Template'!E818,DropDown!$J$2:$J$392,0)))</f>
        <v>#N/A</v>
      </c>
      <c r="K818" s="21" t="str">
        <f>iF('Ingest Template'!A818="Standard",'Ingest Template'!K818&amp;CHAR(10)&amp;'Ingest Template'!L818,"Competitive View")</f>
        <v>Competitive View</v>
      </c>
      <c r="L818" s="29" t="s">
        <v>146</v>
      </c>
      <c r="M818" s="37" t="str">
        <f>'Ingest Template'!D818</f>
        <v/>
      </c>
      <c r="N818" s="21"/>
      <c r="O818" s="21"/>
      <c r="P818" s="21"/>
      <c r="Q818" s="21"/>
      <c r="R818" s="21" t="str">
        <f>'Ingest Template'!E818</f>
        <v/>
      </c>
      <c r="S818" s="29" t="s">
        <v>153</v>
      </c>
      <c r="T818" s="21" t="str">
        <f>'Ingest Template'!T818</f>
        <v/>
      </c>
      <c r="U818" s="21" t="str">
        <f>'Ingest Template'!S818</f>
        <v/>
      </c>
      <c r="V818" s="21" t="str">
        <f>LOWER(SUBSTITUTE(SUBSTITUTE(SUBSTITUTE(SUBSTITUTE(SUBSTITUTE('Ingest Template'!U818,"https:",""),"www.",""),"/",""),"?hl=en",""),"instagram.com",""))</f>
        <v/>
      </c>
      <c r="W818" s="41" t="str">
        <f t="array" ref="W818">IF('Ingest Template'!V818="",(INDEX(DropDown!$L$2:$L$392,MATCH('Ingest Template'!E818,DropDown!$J$2:$J$392,0))&amp;"|"&amp;'Ingest Template'!B818),(INDEX(DropDown!$L$2:$L$392,MATCH('Ingest Template'!E818,DropDown!$J$2:$J$392,0))&amp;"|"&amp;'Ingest Template'!B818)&amp;CHAR(10)&amp;'Ingest Template'!V818)</f>
        <v>#N/A</v>
      </c>
      <c r="X818" s="41" t="str">
        <f>'Ingest Template'!W818</f>
        <v/>
      </c>
      <c r="Y818" s="21" t="str">
        <f>SUBSTITUTE(SUBSTITUTE(SUBSTITUTE('Ingest Template'!X818,"http:",""),"https:",""),"/","")</f>
        <v/>
      </c>
      <c r="Z818" s="21" t="str">
        <f t="array" ref="Z818">IF('Ingest Template'!A818="Standard",(IF(ISBLANK('Ingest Template'!AA818),"", 'Ingest Template'!AA818&amp;"|DAR")),(IF(ISBLANK('Ingest Template'!AA818),"", 'Ingest Template'!AA818&amp;"|Film Ops")))</f>
        <v/>
      </c>
      <c r="AA818" s="21"/>
      <c r="AB818" s="21" t="str">
        <f>'Ingest Template'!M818</f>
        <v/>
      </c>
      <c r="AC818" s="21" t="str">
        <f>'Ingest Template'!Y818</f>
        <v/>
      </c>
      <c r="AD818" s="21" t="str">
        <f>'Ingest Template'!C818</f>
        <v/>
      </c>
      <c r="AE818" s="21" t="str">
        <f>'Ingest Template'!Z818</f>
        <v/>
      </c>
      <c r="AF818" s="29"/>
      <c r="AG818" s="21" t="str">
        <f t="array" ref="AG818">IF('Ingest Template'!A818="Standard",(CONCATENATE(IF(ISBLANK('Ingest Template'!O818),"", 'Ingest Template'!O818&amp;"|DAR"),CHAR(10), IF(ISBLANK('Ingest Template'!P818),"", 'Ingest Template'!P818&amp;"|DAR"),CHAR(10), IF(ISBLANK('Ingest Template'!Q818),"", 'Ingest Template'!Q818&amp;"|DAR"))),(CONCATENATE(IF(ISBLANK('Ingest Template'!O818),"", 'Ingest Template'!O818&amp;"|Operations - Core Title"),CHAR(10), IF(ISBLANK('Ingest Template'!P818),"", 'Ingest Template'!P818&amp;"|Operations - Core Title"),CHAR(10), IF(ISBLANK('Ingest Template'!Q818),"", 'Ingest Template'!Q818&amp;"|Operations - Core Title"))))</f>
        <v>#|Operations - Core Title
#|Operations - Core Title
</v>
      </c>
      <c r="AH818" s="21"/>
      <c r="AI818" s="21"/>
      <c r="AJ818" s="53" t="str">
        <f>if('Ingest Template'!A818="Standard",'Ingest Template'!N818&amp; "|DAR|DAR|2021-01-01",'Ingest Template'!N818&amp; "|Operations - Core Title|Operations - Core Title")</f>
        <v>#N/A</v>
      </c>
      <c r="AK818" s="53" t="str">
        <f>if('Ingest Template'!A818="Standard",'Ingest Template'!R818&amp; "|2021-01-01",'Ingest Template'!R818)</f>
        <v>#N/A</v>
      </c>
      <c r="AL818" s="21"/>
      <c r="AM818" s="21"/>
    </row>
    <row r="819">
      <c r="A819" s="21"/>
      <c r="B819" s="21" t="str">
        <f>'Ingest Template'!B819&amp;IF('Ingest Template'!A819 = "Standard", " - DAR","")</f>
        <v/>
      </c>
      <c r="C819" s="26" t="s">
        <v>109</v>
      </c>
      <c r="D819" s="29" t="str">
        <f t="array" ref="D819">CONCATENATE(INDEX(DropDown!$H$2:$H$10,MATCH(1,COUNTIF('Ingest Template'!F819,"*"&amp;DropDown!$H$2:$H$10&amp;"*"),0)),CHAR(10),'Ingest Template'!G819)</f>
        <v>#N/A</v>
      </c>
      <c r="E819" s="21" t="str">
        <f>CONCATENATE('Ingest Template'!H819,CHAR(10),'Ingest Template'!I819,CHAR(10),'Ingest Template'!J819)</f>
        <v>
</v>
      </c>
      <c r="F819" s="26" t="str">
        <f>'Ingest Template'!H819</f>
        <v/>
      </c>
      <c r="G819" s="21"/>
      <c r="H819" s="29"/>
      <c r="I819" s="21"/>
      <c r="J819" s="29" t="str">
        <f t="array" ref="J819">iF('Ingest Template'!A819="Standard","Pristine Brand",INDEX(DropDown!$M$2:$M$392,MATCH('Ingest Template'!E819,DropDown!$J$2:$J$392,0)))</f>
        <v>#N/A</v>
      </c>
      <c r="K819" s="21" t="str">
        <f>iF('Ingest Template'!A819="Standard",'Ingest Template'!K819&amp;CHAR(10)&amp;'Ingest Template'!L819,"Competitive View")</f>
        <v>Competitive View</v>
      </c>
      <c r="L819" s="29" t="s">
        <v>146</v>
      </c>
      <c r="M819" s="37" t="str">
        <f>'Ingest Template'!D819</f>
        <v/>
      </c>
      <c r="N819" s="21"/>
      <c r="O819" s="21"/>
      <c r="P819" s="21"/>
      <c r="Q819" s="21"/>
      <c r="R819" s="21" t="str">
        <f>'Ingest Template'!E819</f>
        <v/>
      </c>
      <c r="S819" s="29" t="s">
        <v>153</v>
      </c>
      <c r="T819" s="21" t="str">
        <f>'Ingest Template'!T819</f>
        <v/>
      </c>
      <c r="U819" s="21" t="str">
        <f>'Ingest Template'!S819</f>
        <v/>
      </c>
      <c r="V819" s="21" t="str">
        <f>LOWER(SUBSTITUTE(SUBSTITUTE(SUBSTITUTE(SUBSTITUTE(SUBSTITUTE('Ingest Template'!U819,"https:",""),"www.",""),"/",""),"?hl=en",""),"instagram.com",""))</f>
        <v/>
      </c>
      <c r="W819" s="41" t="str">
        <f t="array" ref="W819">IF('Ingest Template'!V819="",(INDEX(DropDown!$L$2:$L$392,MATCH('Ingest Template'!E819,DropDown!$J$2:$J$392,0))&amp;"|"&amp;'Ingest Template'!B819),(INDEX(DropDown!$L$2:$L$392,MATCH('Ingest Template'!E819,DropDown!$J$2:$J$392,0))&amp;"|"&amp;'Ingest Template'!B819)&amp;CHAR(10)&amp;'Ingest Template'!V819)</f>
        <v>#N/A</v>
      </c>
      <c r="X819" s="41" t="str">
        <f>'Ingest Template'!W819</f>
        <v/>
      </c>
      <c r="Y819" s="21" t="str">
        <f>SUBSTITUTE(SUBSTITUTE(SUBSTITUTE('Ingest Template'!X819,"http:",""),"https:",""),"/","")</f>
        <v/>
      </c>
      <c r="Z819" s="21" t="str">
        <f t="array" ref="Z819">IF('Ingest Template'!A819="Standard",(IF(ISBLANK('Ingest Template'!AA819),"", 'Ingest Template'!AA819&amp;"|DAR")),(IF(ISBLANK('Ingest Template'!AA819),"", 'Ingest Template'!AA819&amp;"|Film Ops")))</f>
        <v/>
      </c>
      <c r="AA819" s="21"/>
      <c r="AB819" s="21" t="str">
        <f>'Ingest Template'!M819</f>
        <v/>
      </c>
      <c r="AC819" s="21" t="str">
        <f>'Ingest Template'!Y819</f>
        <v/>
      </c>
      <c r="AD819" s="21" t="str">
        <f>'Ingest Template'!C819</f>
        <v/>
      </c>
      <c r="AE819" s="21" t="str">
        <f>'Ingest Template'!Z819</f>
        <v/>
      </c>
      <c r="AF819" s="29"/>
      <c r="AG819" s="21" t="str">
        <f t="array" ref="AG819">IF('Ingest Template'!A819="Standard",(CONCATENATE(IF(ISBLANK('Ingest Template'!O819),"", 'Ingest Template'!O819&amp;"|DAR"),CHAR(10), IF(ISBLANK('Ingest Template'!P819),"", 'Ingest Template'!P819&amp;"|DAR"),CHAR(10), IF(ISBLANK('Ingest Template'!Q819),"", 'Ingest Template'!Q819&amp;"|DAR"))),(CONCATENATE(IF(ISBLANK('Ingest Template'!O819),"", 'Ingest Template'!O819&amp;"|Operations - Core Title"),CHAR(10), IF(ISBLANK('Ingest Template'!P819),"", 'Ingest Template'!P819&amp;"|Operations - Core Title"),CHAR(10), IF(ISBLANK('Ingest Template'!Q819),"", 'Ingest Template'!Q819&amp;"|Operations - Core Title"))))</f>
        <v>#|Operations - Core Title
#|Operations - Core Title
</v>
      </c>
      <c r="AH819" s="21"/>
      <c r="AI819" s="21"/>
      <c r="AJ819" s="53" t="str">
        <f>if('Ingest Template'!A819="Standard",'Ingest Template'!N819&amp; "|DAR|DAR|2021-01-01",'Ingest Template'!N819&amp; "|Operations - Core Title|Operations - Core Title")</f>
        <v>#N/A</v>
      </c>
      <c r="AK819" s="53" t="str">
        <f>if('Ingest Template'!A819="Standard",'Ingest Template'!R819&amp; "|2021-01-01",'Ingest Template'!R819)</f>
        <v>#N/A</v>
      </c>
      <c r="AL819" s="21"/>
      <c r="AM819" s="21"/>
    </row>
    <row r="820">
      <c r="A820" s="21"/>
      <c r="B820" s="21" t="str">
        <f>'Ingest Template'!B820&amp;IF('Ingest Template'!A820 = "Standard", " - DAR","")</f>
        <v/>
      </c>
      <c r="C820" s="26" t="s">
        <v>109</v>
      </c>
      <c r="D820" s="29" t="str">
        <f t="array" ref="D820">CONCATENATE(INDEX(DropDown!$H$2:$H$10,MATCH(1,COUNTIF('Ingest Template'!F820,"*"&amp;DropDown!$H$2:$H$10&amp;"*"),0)),CHAR(10),'Ingest Template'!G820)</f>
        <v>#N/A</v>
      </c>
      <c r="E820" s="21" t="str">
        <f>CONCATENATE('Ingest Template'!H820,CHAR(10),'Ingest Template'!I820,CHAR(10),'Ingest Template'!J820)</f>
        <v>
</v>
      </c>
      <c r="F820" s="26" t="str">
        <f>'Ingest Template'!H820</f>
        <v/>
      </c>
      <c r="G820" s="21"/>
      <c r="H820" s="29"/>
      <c r="I820" s="21"/>
      <c r="J820" s="29" t="str">
        <f t="array" ref="J820">iF('Ingest Template'!A820="Standard","Pristine Brand",INDEX(DropDown!$M$2:$M$392,MATCH('Ingest Template'!E820,DropDown!$J$2:$J$392,0)))</f>
        <v>#N/A</v>
      </c>
      <c r="K820" s="21" t="str">
        <f>iF('Ingest Template'!A820="Standard",'Ingest Template'!K820&amp;CHAR(10)&amp;'Ingest Template'!L820,"Competitive View")</f>
        <v>Competitive View</v>
      </c>
      <c r="L820" s="29" t="s">
        <v>146</v>
      </c>
      <c r="M820" s="37" t="str">
        <f>'Ingest Template'!D820</f>
        <v/>
      </c>
      <c r="N820" s="21"/>
      <c r="O820" s="21"/>
      <c r="P820" s="21"/>
      <c r="Q820" s="21"/>
      <c r="R820" s="21" t="str">
        <f>'Ingest Template'!E820</f>
        <v/>
      </c>
      <c r="S820" s="29" t="s">
        <v>153</v>
      </c>
      <c r="T820" s="21" t="str">
        <f>'Ingest Template'!T820</f>
        <v/>
      </c>
      <c r="U820" s="21" t="str">
        <f>'Ingest Template'!S820</f>
        <v/>
      </c>
      <c r="V820" s="21" t="str">
        <f>LOWER(SUBSTITUTE(SUBSTITUTE(SUBSTITUTE(SUBSTITUTE(SUBSTITUTE('Ingest Template'!U820,"https:",""),"www.",""),"/",""),"?hl=en",""),"instagram.com",""))</f>
        <v/>
      </c>
      <c r="W820" s="41" t="str">
        <f t="array" ref="W820">IF('Ingest Template'!V820="",(INDEX(DropDown!$L$2:$L$392,MATCH('Ingest Template'!E820,DropDown!$J$2:$J$392,0))&amp;"|"&amp;'Ingest Template'!B820),(INDEX(DropDown!$L$2:$L$392,MATCH('Ingest Template'!E820,DropDown!$J$2:$J$392,0))&amp;"|"&amp;'Ingest Template'!B820)&amp;CHAR(10)&amp;'Ingest Template'!V820)</f>
        <v>#N/A</v>
      </c>
      <c r="X820" s="41" t="str">
        <f>'Ingest Template'!W820</f>
        <v/>
      </c>
      <c r="Y820" s="21" t="str">
        <f>SUBSTITUTE(SUBSTITUTE(SUBSTITUTE('Ingest Template'!X820,"http:",""),"https:",""),"/","")</f>
        <v/>
      </c>
      <c r="Z820" s="21" t="str">
        <f t="array" ref="Z820">IF('Ingest Template'!A820="Standard",(IF(ISBLANK('Ingest Template'!AA820),"", 'Ingest Template'!AA820&amp;"|DAR")),(IF(ISBLANK('Ingest Template'!AA820),"", 'Ingest Template'!AA820&amp;"|Film Ops")))</f>
        <v/>
      </c>
      <c r="AA820" s="21"/>
      <c r="AB820" s="21" t="str">
        <f>'Ingest Template'!M820</f>
        <v/>
      </c>
      <c r="AC820" s="21" t="str">
        <f>'Ingest Template'!Y820</f>
        <v/>
      </c>
      <c r="AD820" s="21" t="str">
        <f>'Ingest Template'!C820</f>
        <v/>
      </c>
      <c r="AE820" s="21" t="str">
        <f>'Ingest Template'!Z820</f>
        <v/>
      </c>
      <c r="AF820" s="29"/>
      <c r="AG820" s="21" t="str">
        <f t="array" ref="AG820">IF('Ingest Template'!A820="Standard",(CONCATENATE(IF(ISBLANK('Ingest Template'!O820),"", 'Ingest Template'!O820&amp;"|DAR"),CHAR(10), IF(ISBLANK('Ingest Template'!P820),"", 'Ingest Template'!P820&amp;"|DAR"),CHAR(10), IF(ISBLANK('Ingest Template'!Q820),"", 'Ingest Template'!Q820&amp;"|DAR"))),(CONCATENATE(IF(ISBLANK('Ingest Template'!O820),"", 'Ingest Template'!O820&amp;"|Operations - Core Title"),CHAR(10), IF(ISBLANK('Ingest Template'!P820),"", 'Ingest Template'!P820&amp;"|Operations - Core Title"),CHAR(10), IF(ISBLANK('Ingest Template'!Q820),"", 'Ingest Template'!Q820&amp;"|Operations - Core Title"))))</f>
        <v>#|Operations - Core Title
#|Operations - Core Title
</v>
      </c>
      <c r="AH820" s="21"/>
      <c r="AI820" s="21"/>
      <c r="AJ820" s="53" t="str">
        <f>if('Ingest Template'!A820="Standard",'Ingest Template'!N820&amp; "|DAR|DAR|2021-01-01",'Ingest Template'!N820&amp; "|Operations - Core Title|Operations - Core Title")</f>
        <v>#N/A</v>
      </c>
      <c r="AK820" s="53" t="str">
        <f>if('Ingest Template'!A820="Standard",'Ingest Template'!R820&amp; "|2021-01-01",'Ingest Template'!R820)</f>
        <v>#N/A</v>
      </c>
      <c r="AL820" s="21"/>
      <c r="AM820" s="21"/>
    </row>
    <row r="821">
      <c r="A821" s="21"/>
      <c r="B821" s="21" t="str">
        <f>'Ingest Template'!B821&amp;IF('Ingest Template'!A821 = "Standard", " - DAR","")</f>
        <v/>
      </c>
      <c r="C821" s="26" t="s">
        <v>109</v>
      </c>
      <c r="D821" s="29" t="str">
        <f t="array" ref="D821">CONCATENATE(INDEX(DropDown!$H$2:$H$10,MATCH(1,COUNTIF('Ingest Template'!F821,"*"&amp;DropDown!$H$2:$H$10&amp;"*"),0)),CHAR(10),'Ingest Template'!G821)</f>
        <v>#N/A</v>
      </c>
      <c r="E821" s="21" t="str">
        <f>CONCATENATE('Ingest Template'!H821,CHAR(10),'Ingest Template'!I821,CHAR(10),'Ingest Template'!J821)</f>
        <v>
</v>
      </c>
      <c r="F821" s="26" t="str">
        <f>'Ingest Template'!H821</f>
        <v/>
      </c>
      <c r="G821" s="21"/>
      <c r="H821" s="29"/>
      <c r="I821" s="21"/>
      <c r="J821" s="29" t="str">
        <f t="array" ref="J821">iF('Ingest Template'!A821="Standard","Pristine Brand",INDEX(DropDown!$M$2:$M$392,MATCH('Ingest Template'!E821,DropDown!$J$2:$J$392,0)))</f>
        <v>#N/A</v>
      </c>
      <c r="K821" s="21" t="str">
        <f>iF('Ingest Template'!A821="Standard",'Ingest Template'!K821&amp;CHAR(10)&amp;'Ingest Template'!L821,"Competitive View")</f>
        <v>Competitive View</v>
      </c>
      <c r="L821" s="29" t="s">
        <v>146</v>
      </c>
      <c r="M821" s="37" t="str">
        <f>'Ingest Template'!D821</f>
        <v/>
      </c>
      <c r="N821" s="21"/>
      <c r="O821" s="21"/>
      <c r="P821" s="21"/>
      <c r="Q821" s="21"/>
      <c r="R821" s="21" t="str">
        <f>'Ingest Template'!E821</f>
        <v/>
      </c>
      <c r="S821" s="29" t="s">
        <v>153</v>
      </c>
      <c r="T821" s="21" t="str">
        <f>'Ingest Template'!T821</f>
        <v/>
      </c>
      <c r="U821" s="21" t="str">
        <f>'Ingest Template'!S821</f>
        <v/>
      </c>
      <c r="V821" s="21" t="str">
        <f>LOWER(SUBSTITUTE(SUBSTITUTE(SUBSTITUTE(SUBSTITUTE(SUBSTITUTE('Ingest Template'!U821,"https:",""),"www.",""),"/",""),"?hl=en",""),"instagram.com",""))</f>
        <v/>
      </c>
      <c r="W821" s="41" t="str">
        <f t="array" ref="W821">IF('Ingest Template'!V821="",(INDEX(DropDown!$L$2:$L$392,MATCH('Ingest Template'!E821,DropDown!$J$2:$J$392,0))&amp;"|"&amp;'Ingest Template'!B821),(INDEX(DropDown!$L$2:$L$392,MATCH('Ingest Template'!E821,DropDown!$J$2:$J$392,0))&amp;"|"&amp;'Ingest Template'!B821)&amp;CHAR(10)&amp;'Ingest Template'!V821)</f>
        <v>#N/A</v>
      </c>
      <c r="X821" s="41" t="str">
        <f>'Ingest Template'!W821</f>
        <v/>
      </c>
      <c r="Y821" s="21" t="str">
        <f>SUBSTITUTE(SUBSTITUTE(SUBSTITUTE('Ingest Template'!X821,"http:",""),"https:",""),"/","")</f>
        <v/>
      </c>
      <c r="Z821" s="21" t="str">
        <f t="array" ref="Z821">IF('Ingest Template'!A821="Standard",(IF(ISBLANK('Ingest Template'!AA821),"", 'Ingest Template'!AA821&amp;"|DAR")),(IF(ISBLANK('Ingest Template'!AA821),"", 'Ingest Template'!AA821&amp;"|Film Ops")))</f>
        <v/>
      </c>
      <c r="AA821" s="21"/>
      <c r="AB821" s="21" t="str">
        <f>'Ingest Template'!M821</f>
        <v/>
      </c>
      <c r="AC821" s="21" t="str">
        <f>'Ingest Template'!Y821</f>
        <v/>
      </c>
      <c r="AD821" s="21" t="str">
        <f>'Ingest Template'!C821</f>
        <v/>
      </c>
      <c r="AE821" s="21" t="str">
        <f>'Ingest Template'!Z821</f>
        <v/>
      </c>
      <c r="AF821" s="29"/>
      <c r="AG821" s="21" t="str">
        <f t="array" ref="AG821">IF('Ingest Template'!A821="Standard",(CONCATENATE(IF(ISBLANK('Ingest Template'!O821),"", 'Ingest Template'!O821&amp;"|DAR"),CHAR(10), IF(ISBLANK('Ingest Template'!P821),"", 'Ingest Template'!P821&amp;"|DAR"),CHAR(10), IF(ISBLANK('Ingest Template'!Q821),"", 'Ingest Template'!Q821&amp;"|DAR"))),(CONCATENATE(IF(ISBLANK('Ingest Template'!O821),"", 'Ingest Template'!O821&amp;"|Operations - Core Title"),CHAR(10), IF(ISBLANK('Ingest Template'!P821),"", 'Ingest Template'!P821&amp;"|Operations - Core Title"),CHAR(10), IF(ISBLANK('Ingest Template'!Q821),"", 'Ingest Template'!Q821&amp;"|Operations - Core Title"))))</f>
        <v>#|Operations - Core Title
#|Operations - Core Title
</v>
      </c>
      <c r="AH821" s="21"/>
      <c r="AI821" s="21"/>
      <c r="AJ821" s="53" t="str">
        <f>if('Ingest Template'!A821="Standard",'Ingest Template'!N821&amp; "|DAR|DAR|2021-01-01",'Ingest Template'!N821&amp; "|Operations - Core Title|Operations - Core Title")</f>
        <v>#N/A</v>
      </c>
      <c r="AK821" s="53" t="str">
        <f>if('Ingest Template'!A821="Standard",'Ingest Template'!R821&amp; "|2021-01-01",'Ingest Template'!R821)</f>
        <v>#N/A</v>
      </c>
      <c r="AL821" s="21"/>
      <c r="AM821" s="21"/>
    </row>
    <row r="822">
      <c r="A822" s="21"/>
      <c r="B822" s="21" t="str">
        <f>'Ingest Template'!B822&amp;IF('Ingest Template'!A822 = "Standard", " - DAR","")</f>
        <v/>
      </c>
      <c r="C822" s="26" t="s">
        <v>109</v>
      </c>
      <c r="D822" s="29" t="str">
        <f t="array" ref="D822">CONCATENATE(INDEX(DropDown!$H$2:$H$10,MATCH(1,COUNTIF('Ingest Template'!F822,"*"&amp;DropDown!$H$2:$H$10&amp;"*"),0)),CHAR(10),'Ingest Template'!G822)</f>
        <v>#N/A</v>
      </c>
      <c r="E822" s="21" t="str">
        <f>CONCATENATE('Ingest Template'!H822,CHAR(10),'Ingest Template'!I822,CHAR(10),'Ingest Template'!J822)</f>
        <v>
</v>
      </c>
      <c r="F822" s="26" t="str">
        <f>'Ingest Template'!H822</f>
        <v/>
      </c>
      <c r="G822" s="21"/>
      <c r="H822" s="29"/>
      <c r="I822" s="21"/>
      <c r="J822" s="29" t="str">
        <f t="array" ref="J822">iF('Ingest Template'!A822="Standard","Pristine Brand",INDEX(DropDown!$M$2:$M$392,MATCH('Ingest Template'!E822,DropDown!$J$2:$J$392,0)))</f>
        <v>#N/A</v>
      </c>
      <c r="K822" s="21" t="str">
        <f>iF('Ingest Template'!A822="Standard",'Ingest Template'!K822&amp;CHAR(10)&amp;'Ingest Template'!L822,"Competitive View")</f>
        <v>Competitive View</v>
      </c>
      <c r="L822" s="29" t="s">
        <v>146</v>
      </c>
      <c r="M822" s="37" t="str">
        <f>'Ingest Template'!D822</f>
        <v/>
      </c>
      <c r="N822" s="21"/>
      <c r="O822" s="21"/>
      <c r="P822" s="21"/>
      <c r="Q822" s="21"/>
      <c r="R822" s="21" t="str">
        <f>'Ingest Template'!E822</f>
        <v/>
      </c>
      <c r="S822" s="29" t="s">
        <v>153</v>
      </c>
      <c r="T822" s="21" t="str">
        <f>'Ingest Template'!T822</f>
        <v/>
      </c>
      <c r="U822" s="21" t="str">
        <f>'Ingest Template'!S822</f>
        <v/>
      </c>
      <c r="V822" s="21" t="str">
        <f>LOWER(SUBSTITUTE(SUBSTITUTE(SUBSTITUTE(SUBSTITUTE(SUBSTITUTE('Ingest Template'!U822,"https:",""),"www.",""),"/",""),"?hl=en",""),"instagram.com",""))</f>
        <v/>
      </c>
      <c r="W822" s="41" t="str">
        <f t="array" ref="W822">IF('Ingest Template'!V822="",(INDEX(DropDown!$L$2:$L$392,MATCH('Ingest Template'!E822,DropDown!$J$2:$J$392,0))&amp;"|"&amp;'Ingest Template'!B822),(INDEX(DropDown!$L$2:$L$392,MATCH('Ingest Template'!E822,DropDown!$J$2:$J$392,0))&amp;"|"&amp;'Ingest Template'!B822)&amp;CHAR(10)&amp;'Ingest Template'!V822)</f>
        <v>#N/A</v>
      </c>
      <c r="X822" s="41" t="str">
        <f>'Ingest Template'!W822</f>
        <v/>
      </c>
      <c r="Y822" s="21" t="str">
        <f>SUBSTITUTE(SUBSTITUTE(SUBSTITUTE('Ingest Template'!X822,"http:",""),"https:",""),"/","")</f>
        <v/>
      </c>
      <c r="Z822" s="21" t="str">
        <f t="array" ref="Z822">IF('Ingest Template'!A822="Standard",(IF(ISBLANK('Ingest Template'!AA822),"", 'Ingest Template'!AA822&amp;"|DAR")),(IF(ISBLANK('Ingest Template'!AA822),"", 'Ingest Template'!AA822&amp;"|Film Ops")))</f>
        <v/>
      </c>
      <c r="AA822" s="21"/>
      <c r="AB822" s="21" t="str">
        <f>'Ingest Template'!M822</f>
        <v/>
      </c>
      <c r="AC822" s="21" t="str">
        <f>'Ingest Template'!Y822</f>
        <v/>
      </c>
      <c r="AD822" s="21" t="str">
        <f>'Ingest Template'!C822</f>
        <v/>
      </c>
      <c r="AE822" s="21" t="str">
        <f>'Ingest Template'!Z822</f>
        <v/>
      </c>
      <c r="AF822" s="29"/>
      <c r="AG822" s="21" t="str">
        <f t="array" ref="AG822">IF('Ingest Template'!A822="Standard",(CONCATENATE(IF(ISBLANK('Ingest Template'!O822),"", 'Ingest Template'!O822&amp;"|DAR"),CHAR(10), IF(ISBLANK('Ingest Template'!P822),"", 'Ingest Template'!P822&amp;"|DAR"),CHAR(10), IF(ISBLANK('Ingest Template'!Q822),"", 'Ingest Template'!Q822&amp;"|DAR"))),(CONCATENATE(IF(ISBLANK('Ingest Template'!O822),"", 'Ingest Template'!O822&amp;"|Operations - Core Title"),CHAR(10), IF(ISBLANK('Ingest Template'!P822),"", 'Ingest Template'!P822&amp;"|Operations - Core Title"),CHAR(10), IF(ISBLANK('Ingest Template'!Q822),"", 'Ingest Template'!Q822&amp;"|Operations - Core Title"))))</f>
        <v>#|Operations - Core Title
#|Operations - Core Title
</v>
      </c>
      <c r="AH822" s="21"/>
      <c r="AI822" s="21"/>
      <c r="AJ822" s="53" t="str">
        <f>if('Ingest Template'!A822="Standard",'Ingest Template'!N822&amp; "|DAR|DAR|2021-01-01",'Ingest Template'!N822&amp; "|Operations - Core Title|Operations - Core Title")</f>
        <v>#N/A</v>
      </c>
      <c r="AK822" s="53" t="str">
        <f>if('Ingest Template'!A822="Standard",'Ingest Template'!R822&amp; "|2021-01-01",'Ingest Template'!R822)</f>
        <v>#N/A</v>
      </c>
      <c r="AL822" s="21"/>
      <c r="AM822" s="21"/>
    </row>
    <row r="823">
      <c r="A823" s="21"/>
      <c r="B823" s="21" t="str">
        <f>'Ingest Template'!B823&amp;IF('Ingest Template'!A823 = "Standard", " - DAR","")</f>
        <v/>
      </c>
      <c r="C823" s="26" t="s">
        <v>109</v>
      </c>
      <c r="D823" s="29" t="str">
        <f t="array" ref="D823">CONCATENATE(INDEX(DropDown!$H$2:$H$10,MATCH(1,COUNTIF('Ingest Template'!F823,"*"&amp;DropDown!$H$2:$H$10&amp;"*"),0)),CHAR(10),'Ingest Template'!G823)</f>
        <v>#N/A</v>
      </c>
      <c r="E823" s="21" t="str">
        <f>CONCATENATE('Ingest Template'!H823,CHAR(10),'Ingest Template'!I823,CHAR(10),'Ingest Template'!J823)</f>
        <v>
</v>
      </c>
      <c r="F823" s="26" t="str">
        <f>'Ingest Template'!H823</f>
        <v/>
      </c>
      <c r="G823" s="21"/>
      <c r="H823" s="29"/>
      <c r="I823" s="21"/>
      <c r="J823" s="29" t="str">
        <f t="array" ref="J823">iF('Ingest Template'!A823="Standard","Pristine Brand",INDEX(DropDown!$M$2:$M$392,MATCH('Ingest Template'!E823,DropDown!$J$2:$J$392,0)))</f>
        <v>#N/A</v>
      </c>
      <c r="K823" s="21" t="str">
        <f>iF('Ingest Template'!A823="Standard",'Ingest Template'!K823&amp;CHAR(10)&amp;'Ingest Template'!L823,"Competitive View")</f>
        <v>Competitive View</v>
      </c>
      <c r="L823" s="29" t="s">
        <v>146</v>
      </c>
      <c r="M823" s="37" t="str">
        <f>'Ingest Template'!D823</f>
        <v/>
      </c>
      <c r="N823" s="21"/>
      <c r="O823" s="21"/>
      <c r="P823" s="21"/>
      <c r="Q823" s="21"/>
      <c r="R823" s="21" t="str">
        <f>'Ingest Template'!E823</f>
        <v/>
      </c>
      <c r="S823" s="29" t="s">
        <v>153</v>
      </c>
      <c r="T823" s="21" t="str">
        <f>'Ingest Template'!T823</f>
        <v/>
      </c>
      <c r="U823" s="21" t="str">
        <f>'Ingest Template'!S823</f>
        <v/>
      </c>
      <c r="V823" s="21" t="str">
        <f>LOWER(SUBSTITUTE(SUBSTITUTE(SUBSTITUTE(SUBSTITUTE(SUBSTITUTE('Ingest Template'!U823,"https:",""),"www.",""),"/",""),"?hl=en",""),"instagram.com",""))</f>
        <v/>
      </c>
      <c r="W823" s="41" t="str">
        <f t="array" ref="W823">IF('Ingest Template'!V823="",(INDEX(DropDown!$L$2:$L$392,MATCH('Ingest Template'!E823,DropDown!$J$2:$J$392,0))&amp;"|"&amp;'Ingest Template'!B823),(INDEX(DropDown!$L$2:$L$392,MATCH('Ingest Template'!E823,DropDown!$J$2:$J$392,0))&amp;"|"&amp;'Ingest Template'!B823)&amp;CHAR(10)&amp;'Ingest Template'!V823)</f>
        <v>#N/A</v>
      </c>
      <c r="X823" s="41" t="str">
        <f>'Ingest Template'!W823</f>
        <v/>
      </c>
      <c r="Y823" s="21" t="str">
        <f>SUBSTITUTE(SUBSTITUTE(SUBSTITUTE('Ingest Template'!X823,"http:",""),"https:",""),"/","")</f>
        <v/>
      </c>
      <c r="Z823" s="21" t="str">
        <f t="array" ref="Z823">IF('Ingest Template'!A823="Standard",(IF(ISBLANK('Ingest Template'!AA823),"", 'Ingest Template'!AA823&amp;"|DAR")),(IF(ISBLANK('Ingest Template'!AA823),"", 'Ingest Template'!AA823&amp;"|Film Ops")))</f>
        <v/>
      </c>
      <c r="AA823" s="21"/>
      <c r="AB823" s="21" t="str">
        <f>'Ingest Template'!M823</f>
        <v/>
      </c>
      <c r="AC823" s="21" t="str">
        <f>'Ingest Template'!Y823</f>
        <v/>
      </c>
      <c r="AD823" s="21" t="str">
        <f>'Ingest Template'!C823</f>
        <v/>
      </c>
      <c r="AE823" s="21" t="str">
        <f>'Ingest Template'!Z823</f>
        <v/>
      </c>
      <c r="AF823" s="29"/>
      <c r="AG823" s="21" t="str">
        <f t="array" ref="AG823">IF('Ingest Template'!A823="Standard",(CONCATENATE(IF(ISBLANK('Ingest Template'!O823),"", 'Ingest Template'!O823&amp;"|DAR"),CHAR(10), IF(ISBLANK('Ingest Template'!P823),"", 'Ingest Template'!P823&amp;"|DAR"),CHAR(10), IF(ISBLANK('Ingest Template'!Q823),"", 'Ingest Template'!Q823&amp;"|DAR"))),(CONCATENATE(IF(ISBLANK('Ingest Template'!O823),"", 'Ingest Template'!O823&amp;"|Operations - Core Title"),CHAR(10), IF(ISBLANK('Ingest Template'!P823),"", 'Ingest Template'!P823&amp;"|Operations - Core Title"),CHAR(10), IF(ISBLANK('Ingest Template'!Q823),"", 'Ingest Template'!Q823&amp;"|Operations - Core Title"))))</f>
        <v>#|Operations - Core Title
#|Operations - Core Title
</v>
      </c>
      <c r="AH823" s="21"/>
      <c r="AI823" s="21"/>
      <c r="AJ823" s="53" t="str">
        <f>if('Ingest Template'!A823="Standard",'Ingest Template'!N823&amp; "|DAR|DAR|2021-01-01",'Ingest Template'!N823&amp; "|Operations - Core Title|Operations - Core Title")</f>
        <v>#N/A</v>
      </c>
      <c r="AK823" s="53" t="str">
        <f>if('Ingest Template'!A823="Standard",'Ingest Template'!R823&amp; "|2021-01-01",'Ingest Template'!R823)</f>
        <v>#N/A</v>
      </c>
      <c r="AL823" s="21"/>
      <c r="AM823" s="21"/>
    </row>
    <row r="824">
      <c r="A824" s="21"/>
      <c r="B824" s="21" t="str">
        <f>'Ingest Template'!B824&amp;IF('Ingest Template'!A824 = "Standard", " - DAR","")</f>
        <v/>
      </c>
      <c r="C824" s="26" t="s">
        <v>109</v>
      </c>
      <c r="D824" s="29" t="str">
        <f t="array" ref="D824">CONCATENATE(INDEX(DropDown!$H$2:$H$10,MATCH(1,COUNTIF('Ingest Template'!F824,"*"&amp;DropDown!$H$2:$H$10&amp;"*"),0)),CHAR(10),'Ingest Template'!G824)</f>
        <v>#N/A</v>
      </c>
      <c r="E824" s="21" t="str">
        <f>CONCATENATE('Ingest Template'!H824,CHAR(10),'Ingest Template'!I824,CHAR(10),'Ingest Template'!J824)</f>
        <v>
</v>
      </c>
      <c r="F824" s="26" t="str">
        <f>'Ingest Template'!H824</f>
        <v/>
      </c>
      <c r="G824" s="21"/>
      <c r="H824" s="29"/>
      <c r="I824" s="21"/>
      <c r="J824" s="29" t="str">
        <f t="array" ref="J824">iF('Ingest Template'!A824="Standard","Pristine Brand",INDEX(DropDown!$M$2:$M$392,MATCH('Ingest Template'!E824,DropDown!$J$2:$J$392,0)))</f>
        <v>#N/A</v>
      </c>
      <c r="K824" s="21" t="str">
        <f>iF('Ingest Template'!A824="Standard",'Ingest Template'!K824&amp;CHAR(10)&amp;'Ingest Template'!L824,"Competitive View")</f>
        <v>Competitive View</v>
      </c>
      <c r="L824" s="29" t="s">
        <v>146</v>
      </c>
      <c r="M824" s="37" t="str">
        <f>'Ingest Template'!D824</f>
        <v/>
      </c>
      <c r="N824" s="21"/>
      <c r="O824" s="21"/>
      <c r="P824" s="21"/>
      <c r="Q824" s="21"/>
      <c r="R824" s="21" t="str">
        <f>'Ingest Template'!E824</f>
        <v/>
      </c>
      <c r="S824" s="29" t="s">
        <v>153</v>
      </c>
      <c r="T824" s="21" t="str">
        <f>'Ingest Template'!T824</f>
        <v/>
      </c>
      <c r="U824" s="21" t="str">
        <f>'Ingest Template'!S824</f>
        <v/>
      </c>
      <c r="V824" s="21" t="str">
        <f>LOWER(SUBSTITUTE(SUBSTITUTE(SUBSTITUTE(SUBSTITUTE(SUBSTITUTE('Ingest Template'!U824,"https:",""),"www.",""),"/",""),"?hl=en",""),"instagram.com",""))</f>
        <v/>
      </c>
      <c r="W824" s="41" t="str">
        <f t="array" ref="W824">IF('Ingest Template'!V824="",(INDEX(DropDown!$L$2:$L$392,MATCH('Ingest Template'!E824,DropDown!$J$2:$J$392,0))&amp;"|"&amp;'Ingest Template'!B824),(INDEX(DropDown!$L$2:$L$392,MATCH('Ingest Template'!E824,DropDown!$J$2:$J$392,0))&amp;"|"&amp;'Ingest Template'!B824)&amp;CHAR(10)&amp;'Ingest Template'!V824)</f>
        <v>#N/A</v>
      </c>
      <c r="X824" s="41" t="str">
        <f>'Ingest Template'!W824</f>
        <v/>
      </c>
      <c r="Y824" s="21" t="str">
        <f>SUBSTITUTE(SUBSTITUTE(SUBSTITUTE('Ingest Template'!X824,"http:",""),"https:",""),"/","")</f>
        <v/>
      </c>
      <c r="Z824" s="21" t="str">
        <f t="array" ref="Z824">IF('Ingest Template'!A824="Standard",(IF(ISBLANK('Ingest Template'!AA824),"", 'Ingest Template'!AA824&amp;"|DAR")),(IF(ISBLANK('Ingest Template'!AA824),"", 'Ingest Template'!AA824&amp;"|Film Ops")))</f>
        <v/>
      </c>
      <c r="AA824" s="21"/>
      <c r="AB824" s="21" t="str">
        <f>'Ingest Template'!M824</f>
        <v/>
      </c>
      <c r="AC824" s="21" t="str">
        <f>'Ingest Template'!Y824</f>
        <v/>
      </c>
      <c r="AD824" s="21" t="str">
        <f>'Ingest Template'!C824</f>
        <v/>
      </c>
      <c r="AE824" s="21" t="str">
        <f>'Ingest Template'!Z824</f>
        <v/>
      </c>
      <c r="AF824" s="29"/>
      <c r="AG824" s="21" t="str">
        <f t="array" ref="AG824">IF('Ingest Template'!A824="Standard",(CONCATENATE(IF(ISBLANK('Ingest Template'!O824),"", 'Ingest Template'!O824&amp;"|DAR"),CHAR(10), IF(ISBLANK('Ingest Template'!P824),"", 'Ingest Template'!P824&amp;"|DAR"),CHAR(10), IF(ISBLANK('Ingest Template'!Q824),"", 'Ingest Template'!Q824&amp;"|DAR"))),(CONCATENATE(IF(ISBLANK('Ingest Template'!O824),"", 'Ingest Template'!O824&amp;"|Operations - Core Title"),CHAR(10), IF(ISBLANK('Ingest Template'!P824),"", 'Ingest Template'!P824&amp;"|Operations - Core Title"),CHAR(10), IF(ISBLANK('Ingest Template'!Q824),"", 'Ingest Template'!Q824&amp;"|Operations - Core Title"))))</f>
        <v>#|Operations - Core Title
#|Operations - Core Title
</v>
      </c>
      <c r="AH824" s="21"/>
      <c r="AI824" s="21"/>
      <c r="AJ824" s="53" t="str">
        <f>if('Ingest Template'!A824="Standard",'Ingest Template'!N824&amp; "|DAR|DAR|2021-01-01",'Ingest Template'!N824&amp; "|Operations - Core Title|Operations - Core Title")</f>
        <v>#N/A</v>
      </c>
      <c r="AK824" s="53" t="str">
        <f>if('Ingest Template'!A824="Standard",'Ingest Template'!R824&amp; "|2021-01-01",'Ingest Template'!R824)</f>
        <v>#N/A</v>
      </c>
      <c r="AL824" s="21"/>
      <c r="AM824" s="21"/>
    </row>
    <row r="825">
      <c r="A825" s="21"/>
      <c r="B825" s="21" t="str">
        <f>'Ingest Template'!B825&amp;IF('Ingest Template'!A825 = "Standard", " - DAR","")</f>
        <v/>
      </c>
      <c r="C825" s="26" t="s">
        <v>109</v>
      </c>
      <c r="D825" s="29" t="str">
        <f t="array" ref="D825">CONCATENATE(INDEX(DropDown!$H$2:$H$10,MATCH(1,COUNTIF('Ingest Template'!F825,"*"&amp;DropDown!$H$2:$H$10&amp;"*"),0)),CHAR(10),'Ingest Template'!G825)</f>
        <v>#N/A</v>
      </c>
      <c r="E825" s="21" t="str">
        <f>CONCATENATE('Ingest Template'!H825,CHAR(10),'Ingest Template'!I825,CHAR(10),'Ingest Template'!J825)</f>
        <v>
</v>
      </c>
      <c r="F825" s="26" t="str">
        <f>'Ingest Template'!H825</f>
        <v/>
      </c>
      <c r="G825" s="21"/>
      <c r="H825" s="29"/>
      <c r="I825" s="21"/>
      <c r="J825" s="29" t="str">
        <f t="array" ref="J825">iF('Ingest Template'!A825="Standard","Pristine Brand",INDEX(DropDown!$M$2:$M$392,MATCH('Ingest Template'!E825,DropDown!$J$2:$J$392,0)))</f>
        <v>#N/A</v>
      </c>
      <c r="K825" s="21" t="str">
        <f>iF('Ingest Template'!A825="Standard",'Ingest Template'!K825&amp;CHAR(10)&amp;'Ingest Template'!L825,"Competitive View")</f>
        <v>Competitive View</v>
      </c>
      <c r="L825" s="29" t="s">
        <v>146</v>
      </c>
      <c r="M825" s="37" t="str">
        <f>'Ingest Template'!D825</f>
        <v/>
      </c>
      <c r="N825" s="21"/>
      <c r="O825" s="21"/>
      <c r="P825" s="21"/>
      <c r="Q825" s="21"/>
      <c r="R825" s="21" t="str">
        <f>'Ingest Template'!E825</f>
        <v/>
      </c>
      <c r="S825" s="29" t="s">
        <v>153</v>
      </c>
      <c r="T825" s="21" t="str">
        <f>'Ingest Template'!T825</f>
        <v/>
      </c>
      <c r="U825" s="21" t="str">
        <f>'Ingest Template'!S825</f>
        <v/>
      </c>
      <c r="V825" s="21" t="str">
        <f>LOWER(SUBSTITUTE(SUBSTITUTE(SUBSTITUTE(SUBSTITUTE(SUBSTITUTE('Ingest Template'!U825,"https:",""),"www.",""),"/",""),"?hl=en",""),"instagram.com",""))</f>
        <v/>
      </c>
      <c r="W825" s="41" t="str">
        <f t="array" ref="W825">IF('Ingest Template'!V825="",(INDEX(DropDown!$L$2:$L$392,MATCH('Ingest Template'!E825,DropDown!$J$2:$J$392,0))&amp;"|"&amp;'Ingest Template'!B825),(INDEX(DropDown!$L$2:$L$392,MATCH('Ingest Template'!E825,DropDown!$J$2:$J$392,0))&amp;"|"&amp;'Ingest Template'!B825)&amp;CHAR(10)&amp;'Ingest Template'!V825)</f>
        <v>#N/A</v>
      </c>
      <c r="X825" s="41" t="str">
        <f>'Ingest Template'!W825</f>
        <v/>
      </c>
      <c r="Y825" s="21" t="str">
        <f>SUBSTITUTE(SUBSTITUTE(SUBSTITUTE('Ingest Template'!X825,"http:",""),"https:",""),"/","")</f>
        <v/>
      </c>
      <c r="Z825" s="21" t="str">
        <f t="array" ref="Z825">IF('Ingest Template'!A825="Standard",(IF(ISBLANK('Ingest Template'!AA825),"", 'Ingest Template'!AA825&amp;"|DAR")),(IF(ISBLANK('Ingest Template'!AA825),"", 'Ingest Template'!AA825&amp;"|Film Ops")))</f>
        <v/>
      </c>
      <c r="AA825" s="21"/>
      <c r="AB825" s="21" t="str">
        <f>'Ingest Template'!M825</f>
        <v/>
      </c>
      <c r="AC825" s="21" t="str">
        <f>'Ingest Template'!Y825</f>
        <v/>
      </c>
      <c r="AD825" s="21" t="str">
        <f>'Ingest Template'!C825</f>
        <v/>
      </c>
      <c r="AE825" s="21" t="str">
        <f>'Ingest Template'!Z825</f>
        <v/>
      </c>
      <c r="AF825" s="29"/>
      <c r="AG825" s="21" t="str">
        <f t="array" ref="AG825">IF('Ingest Template'!A825="Standard",(CONCATENATE(IF(ISBLANK('Ingest Template'!O825),"", 'Ingest Template'!O825&amp;"|DAR"),CHAR(10), IF(ISBLANK('Ingest Template'!P825),"", 'Ingest Template'!P825&amp;"|DAR"),CHAR(10), IF(ISBLANK('Ingest Template'!Q825),"", 'Ingest Template'!Q825&amp;"|DAR"))),(CONCATENATE(IF(ISBLANK('Ingest Template'!O825),"", 'Ingest Template'!O825&amp;"|Operations - Core Title"),CHAR(10), IF(ISBLANK('Ingest Template'!P825),"", 'Ingest Template'!P825&amp;"|Operations - Core Title"),CHAR(10), IF(ISBLANK('Ingest Template'!Q825),"", 'Ingest Template'!Q825&amp;"|Operations - Core Title"))))</f>
        <v>#|Operations - Core Title
#|Operations - Core Title
</v>
      </c>
      <c r="AH825" s="21"/>
      <c r="AI825" s="21"/>
      <c r="AJ825" s="53" t="str">
        <f>if('Ingest Template'!A825="Standard",'Ingest Template'!N825&amp; "|DAR|DAR|2021-01-01",'Ingest Template'!N825&amp; "|Operations - Core Title|Operations - Core Title")</f>
        <v>#N/A</v>
      </c>
      <c r="AK825" s="53" t="str">
        <f>if('Ingest Template'!A825="Standard",'Ingest Template'!R825&amp; "|2021-01-01",'Ingest Template'!R825)</f>
        <v>#N/A</v>
      </c>
      <c r="AL825" s="21"/>
      <c r="AM825" s="21"/>
    </row>
    <row r="826">
      <c r="A826" s="21"/>
      <c r="B826" s="21" t="str">
        <f>'Ingest Template'!B826&amp;IF('Ingest Template'!A826 = "Standard", " - DAR","")</f>
        <v/>
      </c>
      <c r="C826" s="26" t="s">
        <v>109</v>
      </c>
      <c r="D826" s="29" t="str">
        <f t="array" ref="D826">CONCATENATE(INDEX(DropDown!$H$2:$H$10,MATCH(1,COUNTIF('Ingest Template'!F826,"*"&amp;DropDown!$H$2:$H$10&amp;"*"),0)),CHAR(10),'Ingest Template'!G826)</f>
        <v>#N/A</v>
      </c>
      <c r="E826" s="21" t="str">
        <f>CONCATENATE('Ingest Template'!H826,CHAR(10),'Ingest Template'!I826,CHAR(10),'Ingest Template'!J826)</f>
        <v>
</v>
      </c>
      <c r="F826" s="26" t="str">
        <f>'Ingest Template'!H826</f>
        <v/>
      </c>
      <c r="G826" s="21"/>
      <c r="H826" s="29"/>
      <c r="I826" s="21"/>
      <c r="J826" s="29" t="str">
        <f t="array" ref="J826">iF('Ingest Template'!A826="Standard","Pristine Brand",INDEX(DropDown!$M$2:$M$392,MATCH('Ingest Template'!E826,DropDown!$J$2:$J$392,0)))</f>
        <v>#N/A</v>
      </c>
      <c r="K826" s="21" t="str">
        <f>iF('Ingest Template'!A826="Standard",'Ingest Template'!K826&amp;CHAR(10)&amp;'Ingest Template'!L826,"Competitive View")</f>
        <v>Competitive View</v>
      </c>
      <c r="L826" s="29" t="s">
        <v>146</v>
      </c>
      <c r="M826" s="37" t="str">
        <f>'Ingest Template'!D826</f>
        <v/>
      </c>
      <c r="N826" s="21"/>
      <c r="O826" s="21"/>
      <c r="P826" s="21"/>
      <c r="Q826" s="21"/>
      <c r="R826" s="21" t="str">
        <f>'Ingest Template'!E826</f>
        <v/>
      </c>
      <c r="S826" s="29" t="s">
        <v>153</v>
      </c>
      <c r="T826" s="21" t="str">
        <f>'Ingest Template'!T826</f>
        <v/>
      </c>
      <c r="U826" s="21" t="str">
        <f>'Ingest Template'!S826</f>
        <v/>
      </c>
      <c r="V826" s="21" t="str">
        <f>LOWER(SUBSTITUTE(SUBSTITUTE(SUBSTITUTE(SUBSTITUTE(SUBSTITUTE('Ingest Template'!U826,"https:",""),"www.",""),"/",""),"?hl=en",""),"instagram.com",""))</f>
        <v/>
      </c>
      <c r="W826" s="41" t="str">
        <f t="array" ref="W826">IF('Ingest Template'!V826="",(INDEX(DropDown!$L$2:$L$392,MATCH('Ingest Template'!E826,DropDown!$J$2:$J$392,0))&amp;"|"&amp;'Ingest Template'!B826),(INDEX(DropDown!$L$2:$L$392,MATCH('Ingest Template'!E826,DropDown!$J$2:$J$392,0))&amp;"|"&amp;'Ingest Template'!B826)&amp;CHAR(10)&amp;'Ingest Template'!V826)</f>
        <v>#N/A</v>
      </c>
      <c r="X826" s="41" t="str">
        <f>'Ingest Template'!W826</f>
        <v/>
      </c>
      <c r="Y826" s="21" t="str">
        <f>SUBSTITUTE(SUBSTITUTE(SUBSTITUTE('Ingest Template'!X826,"http:",""),"https:",""),"/","")</f>
        <v/>
      </c>
      <c r="Z826" s="21" t="str">
        <f t="array" ref="Z826">IF('Ingest Template'!A826="Standard",(IF(ISBLANK('Ingest Template'!AA826),"", 'Ingest Template'!AA826&amp;"|DAR")),(IF(ISBLANK('Ingest Template'!AA826),"", 'Ingest Template'!AA826&amp;"|Film Ops")))</f>
        <v/>
      </c>
      <c r="AA826" s="21"/>
      <c r="AB826" s="21" t="str">
        <f>'Ingest Template'!M826</f>
        <v/>
      </c>
      <c r="AC826" s="21" t="str">
        <f>'Ingest Template'!Y826</f>
        <v/>
      </c>
      <c r="AD826" s="21" t="str">
        <f>'Ingest Template'!C826</f>
        <v/>
      </c>
      <c r="AE826" s="21" t="str">
        <f>'Ingest Template'!Z826</f>
        <v/>
      </c>
      <c r="AF826" s="29"/>
      <c r="AG826" s="21" t="str">
        <f t="array" ref="AG826">IF('Ingest Template'!A826="Standard",(CONCATENATE(IF(ISBLANK('Ingest Template'!O826),"", 'Ingest Template'!O826&amp;"|DAR"),CHAR(10), IF(ISBLANK('Ingest Template'!P826),"", 'Ingest Template'!P826&amp;"|DAR"),CHAR(10), IF(ISBLANK('Ingest Template'!Q826),"", 'Ingest Template'!Q826&amp;"|DAR"))),(CONCATENATE(IF(ISBLANK('Ingest Template'!O826),"", 'Ingest Template'!O826&amp;"|Operations - Core Title"),CHAR(10), IF(ISBLANK('Ingest Template'!P826),"", 'Ingest Template'!P826&amp;"|Operations - Core Title"),CHAR(10), IF(ISBLANK('Ingest Template'!Q826),"", 'Ingest Template'!Q826&amp;"|Operations - Core Title"))))</f>
        <v>#|Operations - Core Title
#|Operations - Core Title
</v>
      </c>
      <c r="AH826" s="21"/>
      <c r="AI826" s="21"/>
      <c r="AJ826" s="53" t="str">
        <f>if('Ingest Template'!A826="Standard",'Ingest Template'!N826&amp; "|DAR|DAR|2021-01-01",'Ingest Template'!N826&amp; "|Operations - Core Title|Operations - Core Title")</f>
        <v>#N/A</v>
      </c>
      <c r="AK826" s="53" t="str">
        <f>if('Ingest Template'!A826="Standard",'Ingest Template'!R826&amp; "|2021-01-01",'Ingest Template'!R826)</f>
        <v>#N/A</v>
      </c>
      <c r="AL826" s="21"/>
      <c r="AM826" s="21"/>
    </row>
    <row r="827">
      <c r="A827" s="21"/>
      <c r="B827" s="21" t="str">
        <f>'Ingest Template'!B827&amp;IF('Ingest Template'!A827 = "Standard", " - DAR","")</f>
        <v/>
      </c>
      <c r="C827" s="26" t="s">
        <v>109</v>
      </c>
      <c r="D827" s="29" t="str">
        <f t="array" ref="D827">CONCATENATE(INDEX(DropDown!$H$2:$H$10,MATCH(1,COUNTIF('Ingest Template'!F827,"*"&amp;DropDown!$H$2:$H$10&amp;"*"),0)),CHAR(10),'Ingest Template'!G827)</f>
        <v>#N/A</v>
      </c>
      <c r="E827" s="21" t="str">
        <f>CONCATENATE('Ingest Template'!H827,CHAR(10),'Ingest Template'!I827,CHAR(10),'Ingest Template'!J827)</f>
        <v>
</v>
      </c>
      <c r="F827" s="26" t="str">
        <f>'Ingest Template'!H827</f>
        <v/>
      </c>
      <c r="G827" s="21"/>
      <c r="H827" s="29"/>
      <c r="I827" s="21"/>
      <c r="J827" s="29" t="str">
        <f t="array" ref="J827">iF('Ingest Template'!A827="Standard","Pristine Brand",INDEX(DropDown!$M$2:$M$392,MATCH('Ingest Template'!E827,DropDown!$J$2:$J$392,0)))</f>
        <v>#N/A</v>
      </c>
      <c r="K827" s="21" t="str">
        <f>iF('Ingest Template'!A827="Standard",'Ingest Template'!K827&amp;CHAR(10)&amp;'Ingest Template'!L827,"Competitive View")</f>
        <v>Competitive View</v>
      </c>
      <c r="L827" s="29" t="s">
        <v>146</v>
      </c>
      <c r="M827" s="37" t="str">
        <f>'Ingest Template'!D827</f>
        <v/>
      </c>
      <c r="N827" s="21"/>
      <c r="O827" s="21"/>
      <c r="P827" s="21"/>
      <c r="Q827" s="21"/>
      <c r="R827" s="21" t="str">
        <f>'Ingest Template'!E827</f>
        <v/>
      </c>
      <c r="S827" s="29" t="s">
        <v>153</v>
      </c>
      <c r="T827" s="21" t="str">
        <f>'Ingest Template'!T827</f>
        <v/>
      </c>
      <c r="U827" s="21" t="str">
        <f>'Ingest Template'!S827</f>
        <v/>
      </c>
      <c r="V827" s="21" t="str">
        <f>LOWER(SUBSTITUTE(SUBSTITUTE(SUBSTITUTE(SUBSTITUTE(SUBSTITUTE('Ingest Template'!U827,"https:",""),"www.",""),"/",""),"?hl=en",""),"instagram.com",""))</f>
        <v/>
      </c>
      <c r="W827" s="41" t="str">
        <f t="array" ref="W827">IF('Ingest Template'!V827="",(INDEX(DropDown!$L$2:$L$392,MATCH('Ingest Template'!E827,DropDown!$J$2:$J$392,0))&amp;"|"&amp;'Ingest Template'!B827),(INDEX(DropDown!$L$2:$L$392,MATCH('Ingest Template'!E827,DropDown!$J$2:$J$392,0))&amp;"|"&amp;'Ingest Template'!B827)&amp;CHAR(10)&amp;'Ingest Template'!V827)</f>
        <v>#N/A</v>
      </c>
      <c r="X827" s="41" t="str">
        <f>'Ingest Template'!W827</f>
        <v/>
      </c>
      <c r="Y827" s="21" t="str">
        <f>SUBSTITUTE(SUBSTITUTE(SUBSTITUTE('Ingest Template'!X827,"http:",""),"https:",""),"/","")</f>
        <v/>
      </c>
      <c r="Z827" s="21" t="str">
        <f t="array" ref="Z827">IF('Ingest Template'!A827="Standard",(IF(ISBLANK('Ingest Template'!AA827),"", 'Ingest Template'!AA827&amp;"|DAR")),(IF(ISBLANK('Ingest Template'!AA827),"", 'Ingest Template'!AA827&amp;"|Film Ops")))</f>
        <v/>
      </c>
      <c r="AA827" s="21"/>
      <c r="AB827" s="21" t="str">
        <f>'Ingest Template'!M827</f>
        <v/>
      </c>
      <c r="AC827" s="21" t="str">
        <f>'Ingest Template'!Y827</f>
        <v/>
      </c>
      <c r="AD827" s="21" t="str">
        <f>'Ingest Template'!C827</f>
        <v/>
      </c>
      <c r="AE827" s="21" t="str">
        <f>'Ingest Template'!Z827</f>
        <v/>
      </c>
      <c r="AF827" s="29"/>
      <c r="AG827" s="21" t="str">
        <f t="array" ref="AG827">IF('Ingest Template'!A827="Standard",(CONCATENATE(IF(ISBLANK('Ingest Template'!O827),"", 'Ingest Template'!O827&amp;"|DAR"),CHAR(10), IF(ISBLANK('Ingest Template'!P827),"", 'Ingest Template'!P827&amp;"|DAR"),CHAR(10), IF(ISBLANK('Ingest Template'!Q827),"", 'Ingest Template'!Q827&amp;"|DAR"))),(CONCATENATE(IF(ISBLANK('Ingest Template'!O827),"", 'Ingest Template'!O827&amp;"|Operations - Core Title"),CHAR(10), IF(ISBLANK('Ingest Template'!P827),"", 'Ingest Template'!P827&amp;"|Operations - Core Title"),CHAR(10), IF(ISBLANK('Ingest Template'!Q827),"", 'Ingest Template'!Q827&amp;"|Operations - Core Title"))))</f>
        <v>#|Operations - Core Title
#|Operations - Core Title
</v>
      </c>
      <c r="AH827" s="21"/>
      <c r="AI827" s="21"/>
      <c r="AJ827" s="53" t="str">
        <f>if('Ingest Template'!A827="Standard",'Ingest Template'!N827&amp; "|DAR|DAR|2021-01-01",'Ingest Template'!N827&amp; "|Operations - Core Title|Operations - Core Title")</f>
        <v>#N/A</v>
      </c>
      <c r="AK827" s="53" t="str">
        <f>if('Ingest Template'!A827="Standard",'Ingest Template'!R827&amp; "|2021-01-01",'Ingest Template'!R827)</f>
        <v>#N/A</v>
      </c>
      <c r="AL827" s="21"/>
      <c r="AM827" s="21"/>
    </row>
    <row r="828">
      <c r="A828" s="21"/>
      <c r="B828" s="21" t="str">
        <f>'Ingest Template'!B828&amp;IF('Ingest Template'!A828 = "Standard", " - DAR","")</f>
        <v/>
      </c>
      <c r="C828" s="26" t="s">
        <v>109</v>
      </c>
      <c r="D828" s="29" t="str">
        <f t="array" ref="D828">CONCATENATE(INDEX(DropDown!$H$2:$H$10,MATCH(1,COUNTIF('Ingest Template'!F828,"*"&amp;DropDown!$H$2:$H$10&amp;"*"),0)),CHAR(10),'Ingest Template'!G828)</f>
        <v>#N/A</v>
      </c>
      <c r="E828" s="21" t="str">
        <f>CONCATENATE('Ingest Template'!H828,CHAR(10),'Ingest Template'!I828,CHAR(10),'Ingest Template'!J828)</f>
        <v>
</v>
      </c>
      <c r="F828" s="26" t="str">
        <f>'Ingest Template'!H828</f>
        <v/>
      </c>
      <c r="G828" s="21"/>
      <c r="H828" s="29"/>
      <c r="I828" s="21"/>
      <c r="J828" s="29" t="str">
        <f t="array" ref="J828">iF('Ingest Template'!A828="Standard","Pristine Brand",INDEX(DropDown!$M$2:$M$392,MATCH('Ingest Template'!E828,DropDown!$J$2:$J$392,0)))</f>
        <v>#N/A</v>
      </c>
      <c r="K828" s="21" t="str">
        <f>iF('Ingest Template'!A828="Standard",'Ingest Template'!K828&amp;CHAR(10)&amp;'Ingest Template'!L828,"Competitive View")</f>
        <v>Competitive View</v>
      </c>
      <c r="L828" s="29" t="s">
        <v>146</v>
      </c>
      <c r="M828" s="37" t="str">
        <f>'Ingest Template'!D828</f>
        <v/>
      </c>
      <c r="N828" s="21"/>
      <c r="O828" s="21"/>
      <c r="P828" s="21"/>
      <c r="Q828" s="21"/>
      <c r="R828" s="21" t="str">
        <f>'Ingest Template'!E828</f>
        <v/>
      </c>
      <c r="S828" s="29" t="s">
        <v>153</v>
      </c>
      <c r="T828" s="21" t="str">
        <f>'Ingest Template'!T828</f>
        <v/>
      </c>
      <c r="U828" s="21" t="str">
        <f>'Ingest Template'!S828</f>
        <v/>
      </c>
      <c r="V828" s="21" t="str">
        <f>LOWER(SUBSTITUTE(SUBSTITUTE(SUBSTITUTE(SUBSTITUTE(SUBSTITUTE('Ingest Template'!U828,"https:",""),"www.",""),"/",""),"?hl=en",""),"instagram.com",""))</f>
        <v/>
      </c>
      <c r="W828" s="41" t="str">
        <f t="array" ref="W828">IF('Ingest Template'!V828="",(INDEX(DropDown!$L$2:$L$392,MATCH('Ingest Template'!E828,DropDown!$J$2:$J$392,0))&amp;"|"&amp;'Ingest Template'!B828),(INDEX(DropDown!$L$2:$L$392,MATCH('Ingest Template'!E828,DropDown!$J$2:$J$392,0))&amp;"|"&amp;'Ingest Template'!B828)&amp;CHAR(10)&amp;'Ingest Template'!V828)</f>
        <v>#N/A</v>
      </c>
      <c r="X828" s="41" t="str">
        <f>'Ingest Template'!W828</f>
        <v/>
      </c>
      <c r="Y828" s="21" t="str">
        <f>SUBSTITUTE(SUBSTITUTE(SUBSTITUTE('Ingest Template'!X828,"http:",""),"https:",""),"/","")</f>
        <v/>
      </c>
      <c r="Z828" s="21" t="str">
        <f t="array" ref="Z828">IF('Ingest Template'!A828="Standard",(IF(ISBLANK('Ingest Template'!AA828),"", 'Ingest Template'!AA828&amp;"|DAR")),(IF(ISBLANK('Ingest Template'!AA828),"", 'Ingest Template'!AA828&amp;"|Film Ops")))</f>
        <v/>
      </c>
      <c r="AA828" s="21"/>
      <c r="AB828" s="21" t="str">
        <f>'Ingest Template'!M828</f>
        <v/>
      </c>
      <c r="AC828" s="21" t="str">
        <f>'Ingest Template'!Y828</f>
        <v/>
      </c>
      <c r="AD828" s="21" t="str">
        <f>'Ingest Template'!C828</f>
        <v/>
      </c>
      <c r="AE828" s="21" t="str">
        <f>'Ingest Template'!Z828</f>
        <v/>
      </c>
      <c r="AF828" s="29"/>
      <c r="AG828" s="21" t="str">
        <f t="array" ref="AG828">IF('Ingest Template'!A828="Standard",(CONCATENATE(IF(ISBLANK('Ingest Template'!O828),"", 'Ingest Template'!O828&amp;"|DAR"),CHAR(10), IF(ISBLANK('Ingest Template'!P828),"", 'Ingest Template'!P828&amp;"|DAR"),CHAR(10), IF(ISBLANK('Ingest Template'!Q828),"", 'Ingest Template'!Q828&amp;"|DAR"))),(CONCATENATE(IF(ISBLANK('Ingest Template'!O828),"", 'Ingest Template'!O828&amp;"|Operations - Core Title"),CHAR(10), IF(ISBLANK('Ingest Template'!P828),"", 'Ingest Template'!P828&amp;"|Operations - Core Title"),CHAR(10), IF(ISBLANK('Ingest Template'!Q828),"", 'Ingest Template'!Q828&amp;"|Operations - Core Title"))))</f>
        <v>#|Operations - Core Title
#|Operations - Core Title
</v>
      </c>
      <c r="AH828" s="21"/>
      <c r="AI828" s="21"/>
      <c r="AJ828" s="53" t="str">
        <f>if('Ingest Template'!A828="Standard",'Ingest Template'!N828&amp; "|DAR|DAR|2021-01-01",'Ingest Template'!N828&amp; "|Operations - Core Title|Operations - Core Title")</f>
        <v>#N/A</v>
      </c>
      <c r="AK828" s="53" t="str">
        <f>if('Ingest Template'!A828="Standard",'Ingest Template'!R828&amp; "|2021-01-01",'Ingest Template'!R828)</f>
        <v>#N/A</v>
      </c>
      <c r="AL828" s="21"/>
      <c r="AM828" s="21"/>
    </row>
    <row r="829">
      <c r="A829" s="21"/>
      <c r="B829" s="21" t="str">
        <f>'Ingest Template'!B829&amp;IF('Ingest Template'!A829 = "Standard", " - DAR","")</f>
        <v/>
      </c>
      <c r="C829" s="26" t="s">
        <v>109</v>
      </c>
      <c r="D829" s="29" t="str">
        <f t="array" ref="D829">CONCATENATE(INDEX(DropDown!$H$2:$H$10,MATCH(1,COUNTIF('Ingest Template'!F829,"*"&amp;DropDown!$H$2:$H$10&amp;"*"),0)),CHAR(10),'Ingest Template'!G829)</f>
        <v>#N/A</v>
      </c>
      <c r="E829" s="21" t="str">
        <f>CONCATENATE('Ingest Template'!H829,CHAR(10),'Ingest Template'!I829,CHAR(10),'Ingest Template'!J829)</f>
        <v>
</v>
      </c>
      <c r="F829" s="26" t="str">
        <f>'Ingest Template'!H829</f>
        <v/>
      </c>
      <c r="G829" s="21"/>
      <c r="H829" s="29"/>
      <c r="I829" s="21"/>
      <c r="J829" s="29" t="str">
        <f t="array" ref="J829">iF('Ingest Template'!A829="Standard","Pristine Brand",INDEX(DropDown!$M$2:$M$392,MATCH('Ingest Template'!E829,DropDown!$J$2:$J$392,0)))</f>
        <v>#N/A</v>
      </c>
      <c r="K829" s="21" t="str">
        <f>iF('Ingest Template'!A829="Standard",'Ingest Template'!K829&amp;CHAR(10)&amp;'Ingest Template'!L829,"Competitive View")</f>
        <v>Competitive View</v>
      </c>
      <c r="L829" s="29" t="s">
        <v>146</v>
      </c>
      <c r="M829" s="37" t="str">
        <f>'Ingest Template'!D829</f>
        <v/>
      </c>
      <c r="N829" s="21"/>
      <c r="O829" s="21"/>
      <c r="P829" s="21"/>
      <c r="Q829" s="21"/>
      <c r="R829" s="21" t="str">
        <f>'Ingest Template'!E829</f>
        <v/>
      </c>
      <c r="S829" s="29" t="s">
        <v>153</v>
      </c>
      <c r="T829" s="21" t="str">
        <f>'Ingest Template'!T829</f>
        <v/>
      </c>
      <c r="U829" s="21" t="str">
        <f>'Ingest Template'!S829</f>
        <v/>
      </c>
      <c r="V829" s="21" t="str">
        <f>LOWER(SUBSTITUTE(SUBSTITUTE(SUBSTITUTE(SUBSTITUTE(SUBSTITUTE('Ingest Template'!U829,"https:",""),"www.",""),"/",""),"?hl=en",""),"instagram.com",""))</f>
        <v/>
      </c>
      <c r="W829" s="41" t="str">
        <f t="array" ref="W829">IF('Ingest Template'!V829="",(INDEX(DropDown!$L$2:$L$392,MATCH('Ingest Template'!E829,DropDown!$J$2:$J$392,0))&amp;"|"&amp;'Ingest Template'!B829),(INDEX(DropDown!$L$2:$L$392,MATCH('Ingest Template'!E829,DropDown!$J$2:$J$392,0))&amp;"|"&amp;'Ingest Template'!B829)&amp;CHAR(10)&amp;'Ingest Template'!V829)</f>
        <v>#N/A</v>
      </c>
      <c r="X829" s="41" t="str">
        <f>'Ingest Template'!W829</f>
        <v/>
      </c>
      <c r="Y829" s="21" t="str">
        <f>SUBSTITUTE(SUBSTITUTE(SUBSTITUTE('Ingest Template'!X829,"http:",""),"https:",""),"/","")</f>
        <v/>
      </c>
      <c r="Z829" s="21" t="str">
        <f t="array" ref="Z829">IF('Ingest Template'!A829="Standard",(IF(ISBLANK('Ingest Template'!AA829),"", 'Ingest Template'!AA829&amp;"|DAR")),(IF(ISBLANK('Ingest Template'!AA829),"", 'Ingest Template'!AA829&amp;"|Film Ops")))</f>
        <v/>
      </c>
      <c r="AA829" s="21"/>
      <c r="AB829" s="21" t="str">
        <f>'Ingest Template'!M829</f>
        <v/>
      </c>
      <c r="AC829" s="21" t="str">
        <f>'Ingest Template'!Y829</f>
        <v/>
      </c>
      <c r="AD829" s="21" t="str">
        <f>'Ingest Template'!C829</f>
        <v/>
      </c>
      <c r="AE829" s="21" t="str">
        <f>'Ingest Template'!Z829</f>
        <v/>
      </c>
      <c r="AF829" s="29"/>
      <c r="AG829" s="21" t="str">
        <f t="array" ref="AG829">IF('Ingest Template'!A829="Standard",(CONCATENATE(IF(ISBLANK('Ingest Template'!O829),"", 'Ingest Template'!O829&amp;"|DAR"),CHAR(10), IF(ISBLANK('Ingest Template'!P829),"", 'Ingest Template'!P829&amp;"|DAR"),CHAR(10), IF(ISBLANK('Ingest Template'!Q829),"", 'Ingest Template'!Q829&amp;"|DAR"))),(CONCATENATE(IF(ISBLANK('Ingest Template'!O829),"", 'Ingest Template'!O829&amp;"|Operations - Core Title"),CHAR(10), IF(ISBLANK('Ingest Template'!P829),"", 'Ingest Template'!P829&amp;"|Operations - Core Title"),CHAR(10), IF(ISBLANK('Ingest Template'!Q829),"", 'Ingest Template'!Q829&amp;"|Operations - Core Title"))))</f>
        <v>#|Operations - Core Title
#|Operations - Core Title
</v>
      </c>
      <c r="AH829" s="21"/>
      <c r="AI829" s="21"/>
      <c r="AJ829" s="53" t="str">
        <f>if('Ingest Template'!A829="Standard",'Ingest Template'!N829&amp; "|DAR|DAR|2021-01-01",'Ingest Template'!N829&amp; "|Operations - Core Title|Operations - Core Title")</f>
        <v>#N/A</v>
      </c>
      <c r="AK829" s="53" t="str">
        <f>if('Ingest Template'!A829="Standard",'Ingest Template'!R829&amp; "|2021-01-01",'Ingest Template'!R829)</f>
        <v>#N/A</v>
      </c>
      <c r="AL829" s="21"/>
      <c r="AM829" s="21"/>
    </row>
    <row r="830">
      <c r="A830" s="21"/>
      <c r="B830" s="21" t="str">
        <f>'Ingest Template'!B830&amp;IF('Ingest Template'!A830 = "Standard", " - DAR","")</f>
        <v/>
      </c>
      <c r="C830" s="26" t="s">
        <v>109</v>
      </c>
      <c r="D830" s="29" t="str">
        <f t="array" ref="D830">CONCATENATE(INDEX(DropDown!$H$2:$H$10,MATCH(1,COUNTIF('Ingest Template'!F830,"*"&amp;DropDown!$H$2:$H$10&amp;"*"),0)),CHAR(10),'Ingest Template'!G830)</f>
        <v>#N/A</v>
      </c>
      <c r="E830" s="21" t="str">
        <f>CONCATENATE('Ingest Template'!H830,CHAR(10),'Ingest Template'!I830,CHAR(10),'Ingest Template'!J830)</f>
        <v>
</v>
      </c>
      <c r="F830" s="26" t="str">
        <f>'Ingest Template'!H830</f>
        <v/>
      </c>
      <c r="G830" s="21"/>
      <c r="H830" s="29"/>
      <c r="I830" s="21"/>
      <c r="J830" s="29" t="str">
        <f t="array" ref="J830">iF('Ingest Template'!A830="Standard","Pristine Brand",INDEX(DropDown!$M$2:$M$392,MATCH('Ingest Template'!E830,DropDown!$J$2:$J$392,0)))</f>
        <v>#N/A</v>
      </c>
      <c r="K830" s="21" t="str">
        <f>iF('Ingest Template'!A830="Standard",'Ingest Template'!K830&amp;CHAR(10)&amp;'Ingest Template'!L830,"Competitive View")</f>
        <v>Competitive View</v>
      </c>
      <c r="L830" s="29" t="s">
        <v>146</v>
      </c>
      <c r="M830" s="37" t="str">
        <f>'Ingest Template'!D830</f>
        <v/>
      </c>
      <c r="N830" s="21"/>
      <c r="O830" s="21"/>
      <c r="P830" s="21"/>
      <c r="Q830" s="21"/>
      <c r="R830" s="21" t="str">
        <f>'Ingest Template'!E830</f>
        <v/>
      </c>
      <c r="S830" s="29" t="s">
        <v>153</v>
      </c>
      <c r="T830" s="21" t="str">
        <f>'Ingest Template'!T830</f>
        <v/>
      </c>
      <c r="U830" s="21" t="str">
        <f>'Ingest Template'!S830</f>
        <v/>
      </c>
      <c r="V830" s="21" t="str">
        <f>LOWER(SUBSTITUTE(SUBSTITUTE(SUBSTITUTE(SUBSTITUTE(SUBSTITUTE('Ingest Template'!U830,"https:",""),"www.",""),"/",""),"?hl=en",""),"instagram.com",""))</f>
        <v/>
      </c>
      <c r="W830" s="41" t="str">
        <f t="array" ref="W830">IF('Ingest Template'!V830="",(INDEX(DropDown!$L$2:$L$392,MATCH('Ingest Template'!E830,DropDown!$J$2:$J$392,0))&amp;"|"&amp;'Ingest Template'!B830),(INDEX(DropDown!$L$2:$L$392,MATCH('Ingest Template'!E830,DropDown!$J$2:$J$392,0))&amp;"|"&amp;'Ingest Template'!B830)&amp;CHAR(10)&amp;'Ingest Template'!V830)</f>
        <v>#N/A</v>
      </c>
      <c r="X830" s="41" t="str">
        <f>'Ingest Template'!W830</f>
        <v/>
      </c>
      <c r="Y830" s="21" t="str">
        <f>SUBSTITUTE(SUBSTITUTE(SUBSTITUTE('Ingest Template'!X830,"http:",""),"https:",""),"/","")</f>
        <v/>
      </c>
      <c r="Z830" s="21" t="str">
        <f t="array" ref="Z830">IF('Ingest Template'!A830="Standard",(IF(ISBLANK('Ingest Template'!AA830),"", 'Ingest Template'!AA830&amp;"|DAR")),(IF(ISBLANK('Ingest Template'!AA830),"", 'Ingest Template'!AA830&amp;"|Film Ops")))</f>
        <v/>
      </c>
      <c r="AA830" s="21"/>
      <c r="AB830" s="21" t="str">
        <f>'Ingest Template'!M830</f>
        <v/>
      </c>
      <c r="AC830" s="21" t="str">
        <f>'Ingest Template'!Y830</f>
        <v/>
      </c>
      <c r="AD830" s="21" t="str">
        <f>'Ingest Template'!C830</f>
        <v/>
      </c>
      <c r="AE830" s="21" t="str">
        <f>'Ingest Template'!Z830</f>
        <v/>
      </c>
      <c r="AF830" s="29"/>
      <c r="AG830" s="21" t="str">
        <f t="array" ref="AG830">IF('Ingest Template'!A830="Standard",(CONCATENATE(IF(ISBLANK('Ingest Template'!O830),"", 'Ingest Template'!O830&amp;"|DAR"),CHAR(10), IF(ISBLANK('Ingest Template'!P830),"", 'Ingest Template'!P830&amp;"|DAR"),CHAR(10), IF(ISBLANK('Ingest Template'!Q830),"", 'Ingest Template'!Q830&amp;"|DAR"))),(CONCATENATE(IF(ISBLANK('Ingest Template'!O830),"", 'Ingest Template'!O830&amp;"|Operations - Core Title"),CHAR(10), IF(ISBLANK('Ingest Template'!P830),"", 'Ingest Template'!P830&amp;"|Operations - Core Title"),CHAR(10), IF(ISBLANK('Ingest Template'!Q830),"", 'Ingest Template'!Q830&amp;"|Operations - Core Title"))))</f>
        <v>#|Operations - Core Title
#|Operations - Core Title
</v>
      </c>
      <c r="AH830" s="21"/>
      <c r="AI830" s="21"/>
      <c r="AJ830" s="53" t="str">
        <f>if('Ingest Template'!A830="Standard",'Ingest Template'!N830&amp; "|DAR|DAR|2021-01-01",'Ingest Template'!N830&amp; "|Operations - Core Title|Operations - Core Title")</f>
        <v>#N/A</v>
      </c>
      <c r="AK830" s="53" t="str">
        <f>if('Ingest Template'!A830="Standard",'Ingest Template'!R830&amp; "|2021-01-01",'Ingest Template'!R830)</f>
        <v>#N/A</v>
      </c>
      <c r="AL830" s="21"/>
      <c r="AM830" s="21"/>
    </row>
    <row r="831">
      <c r="A831" s="21"/>
      <c r="B831" s="21" t="str">
        <f>'Ingest Template'!B831&amp;IF('Ingest Template'!A831 = "Standard", " - DAR","")</f>
        <v/>
      </c>
      <c r="C831" s="26" t="s">
        <v>109</v>
      </c>
      <c r="D831" s="29" t="str">
        <f t="array" ref="D831">CONCATENATE(INDEX(DropDown!$H$2:$H$10,MATCH(1,COUNTIF('Ingest Template'!F831,"*"&amp;DropDown!$H$2:$H$10&amp;"*"),0)),CHAR(10),'Ingest Template'!G831)</f>
        <v>#N/A</v>
      </c>
      <c r="E831" s="21" t="str">
        <f>CONCATENATE('Ingest Template'!H831,CHAR(10),'Ingest Template'!I831,CHAR(10),'Ingest Template'!J831)</f>
        <v>
</v>
      </c>
      <c r="F831" s="26" t="str">
        <f>'Ingest Template'!H831</f>
        <v/>
      </c>
      <c r="G831" s="21"/>
      <c r="H831" s="29"/>
      <c r="I831" s="21"/>
      <c r="J831" s="29" t="str">
        <f t="array" ref="J831">iF('Ingest Template'!A831="Standard","Pristine Brand",INDEX(DropDown!$M$2:$M$392,MATCH('Ingest Template'!E831,DropDown!$J$2:$J$392,0)))</f>
        <v>#N/A</v>
      </c>
      <c r="K831" s="21" t="str">
        <f>iF('Ingest Template'!A831="Standard",'Ingest Template'!K831&amp;CHAR(10)&amp;'Ingest Template'!L831,"Competitive View")</f>
        <v>Competitive View</v>
      </c>
      <c r="L831" s="29" t="s">
        <v>146</v>
      </c>
      <c r="M831" s="37" t="str">
        <f>'Ingest Template'!D831</f>
        <v/>
      </c>
      <c r="N831" s="21"/>
      <c r="O831" s="21"/>
      <c r="P831" s="21"/>
      <c r="Q831" s="21"/>
      <c r="R831" s="21" t="str">
        <f>'Ingest Template'!E831</f>
        <v/>
      </c>
      <c r="S831" s="29" t="s">
        <v>153</v>
      </c>
      <c r="T831" s="21" t="str">
        <f>'Ingest Template'!T831</f>
        <v/>
      </c>
      <c r="U831" s="21" t="str">
        <f>'Ingest Template'!S831</f>
        <v/>
      </c>
      <c r="V831" s="21" t="str">
        <f>LOWER(SUBSTITUTE(SUBSTITUTE(SUBSTITUTE(SUBSTITUTE(SUBSTITUTE('Ingest Template'!U831,"https:",""),"www.",""),"/",""),"?hl=en",""),"instagram.com",""))</f>
        <v/>
      </c>
      <c r="W831" s="41" t="str">
        <f t="array" ref="W831">IF('Ingest Template'!V831="",(INDEX(DropDown!$L$2:$L$392,MATCH('Ingest Template'!E831,DropDown!$J$2:$J$392,0))&amp;"|"&amp;'Ingest Template'!B831),(INDEX(DropDown!$L$2:$L$392,MATCH('Ingest Template'!E831,DropDown!$J$2:$J$392,0))&amp;"|"&amp;'Ingest Template'!B831)&amp;CHAR(10)&amp;'Ingest Template'!V831)</f>
        <v>#N/A</v>
      </c>
      <c r="X831" s="41" t="str">
        <f>'Ingest Template'!W831</f>
        <v/>
      </c>
      <c r="Y831" s="21" t="str">
        <f>SUBSTITUTE(SUBSTITUTE(SUBSTITUTE('Ingest Template'!X831,"http:",""),"https:",""),"/","")</f>
        <v/>
      </c>
      <c r="Z831" s="21" t="str">
        <f t="array" ref="Z831">IF('Ingest Template'!A831="Standard",(IF(ISBLANK('Ingest Template'!AA831),"", 'Ingest Template'!AA831&amp;"|DAR")),(IF(ISBLANK('Ingest Template'!AA831),"", 'Ingest Template'!AA831&amp;"|Film Ops")))</f>
        <v/>
      </c>
      <c r="AA831" s="21"/>
      <c r="AB831" s="21" t="str">
        <f>'Ingest Template'!M831</f>
        <v/>
      </c>
      <c r="AC831" s="21" t="str">
        <f>'Ingest Template'!Y831</f>
        <v/>
      </c>
      <c r="AD831" s="21" t="str">
        <f>'Ingest Template'!C831</f>
        <v/>
      </c>
      <c r="AE831" s="21" t="str">
        <f>'Ingest Template'!Z831</f>
        <v/>
      </c>
      <c r="AF831" s="29"/>
      <c r="AG831" s="21" t="str">
        <f t="array" ref="AG831">IF('Ingest Template'!A831="Standard",(CONCATENATE(IF(ISBLANK('Ingest Template'!O831),"", 'Ingest Template'!O831&amp;"|DAR"),CHAR(10), IF(ISBLANK('Ingest Template'!P831),"", 'Ingest Template'!P831&amp;"|DAR"),CHAR(10), IF(ISBLANK('Ingest Template'!Q831),"", 'Ingest Template'!Q831&amp;"|DAR"))),(CONCATENATE(IF(ISBLANK('Ingest Template'!O831),"", 'Ingest Template'!O831&amp;"|Operations - Core Title"),CHAR(10), IF(ISBLANK('Ingest Template'!P831),"", 'Ingest Template'!P831&amp;"|Operations - Core Title"),CHAR(10), IF(ISBLANK('Ingest Template'!Q831),"", 'Ingest Template'!Q831&amp;"|Operations - Core Title"))))</f>
        <v>#|Operations - Core Title
#|Operations - Core Title
</v>
      </c>
      <c r="AH831" s="21"/>
      <c r="AI831" s="21"/>
      <c r="AJ831" s="53" t="str">
        <f>if('Ingest Template'!A831="Standard",'Ingest Template'!N831&amp; "|DAR|DAR|2021-01-01",'Ingest Template'!N831&amp; "|Operations - Core Title|Operations - Core Title")</f>
        <v>#N/A</v>
      </c>
      <c r="AK831" s="53" t="str">
        <f>if('Ingest Template'!A831="Standard",'Ingest Template'!R831&amp; "|2021-01-01",'Ingest Template'!R831)</f>
        <v>#N/A</v>
      </c>
      <c r="AL831" s="21"/>
      <c r="AM831" s="21"/>
    </row>
    <row r="832">
      <c r="A832" s="21"/>
      <c r="B832" s="21" t="str">
        <f>'Ingest Template'!B832&amp;IF('Ingest Template'!A832 = "Standard", " - DAR","")</f>
        <v/>
      </c>
      <c r="C832" s="26" t="s">
        <v>109</v>
      </c>
      <c r="D832" s="29" t="str">
        <f t="array" ref="D832">CONCATENATE(INDEX(DropDown!$H$2:$H$10,MATCH(1,COUNTIF('Ingest Template'!F832,"*"&amp;DropDown!$H$2:$H$10&amp;"*"),0)),CHAR(10),'Ingest Template'!G832)</f>
        <v>#N/A</v>
      </c>
      <c r="E832" s="21" t="str">
        <f>CONCATENATE('Ingest Template'!H832,CHAR(10),'Ingest Template'!I832,CHAR(10),'Ingest Template'!J832)</f>
        <v>
</v>
      </c>
      <c r="F832" s="26" t="str">
        <f>'Ingest Template'!H832</f>
        <v/>
      </c>
      <c r="G832" s="21"/>
      <c r="H832" s="29"/>
      <c r="I832" s="21"/>
      <c r="J832" s="29" t="str">
        <f t="array" ref="J832">iF('Ingest Template'!A832="Standard","Pristine Brand",INDEX(DropDown!$M$2:$M$392,MATCH('Ingest Template'!E832,DropDown!$J$2:$J$392,0)))</f>
        <v>#N/A</v>
      </c>
      <c r="K832" s="21" t="str">
        <f>iF('Ingest Template'!A832="Standard",'Ingest Template'!K832&amp;CHAR(10)&amp;'Ingest Template'!L832,"Competitive View")</f>
        <v>Competitive View</v>
      </c>
      <c r="L832" s="29" t="s">
        <v>146</v>
      </c>
      <c r="M832" s="37" t="str">
        <f>'Ingest Template'!D832</f>
        <v/>
      </c>
      <c r="N832" s="21"/>
      <c r="O832" s="21"/>
      <c r="P832" s="21"/>
      <c r="Q832" s="21"/>
      <c r="R832" s="21" t="str">
        <f>'Ingest Template'!E832</f>
        <v/>
      </c>
      <c r="S832" s="29" t="s">
        <v>153</v>
      </c>
      <c r="T832" s="21" t="str">
        <f>'Ingest Template'!T832</f>
        <v/>
      </c>
      <c r="U832" s="21" t="str">
        <f>'Ingest Template'!S832</f>
        <v/>
      </c>
      <c r="V832" s="21" t="str">
        <f>LOWER(SUBSTITUTE(SUBSTITUTE(SUBSTITUTE(SUBSTITUTE(SUBSTITUTE('Ingest Template'!U832,"https:",""),"www.",""),"/",""),"?hl=en",""),"instagram.com",""))</f>
        <v/>
      </c>
      <c r="W832" s="41" t="str">
        <f t="array" ref="W832">IF('Ingest Template'!V832="",(INDEX(DropDown!$L$2:$L$392,MATCH('Ingest Template'!E832,DropDown!$J$2:$J$392,0))&amp;"|"&amp;'Ingest Template'!B832),(INDEX(DropDown!$L$2:$L$392,MATCH('Ingest Template'!E832,DropDown!$J$2:$J$392,0))&amp;"|"&amp;'Ingest Template'!B832)&amp;CHAR(10)&amp;'Ingest Template'!V832)</f>
        <v>#N/A</v>
      </c>
      <c r="X832" s="41" t="str">
        <f>'Ingest Template'!W832</f>
        <v/>
      </c>
      <c r="Y832" s="21" t="str">
        <f>SUBSTITUTE(SUBSTITUTE(SUBSTITUTE('Ingest Template'!X832,"http:",""),"https:",""),"/","")</f>
        <v/>
      </c>
      <c r="Z832" s="21" t="str">
        <f t="array" ref="Z832">IF('Ingest Template'!A832="Standard",(IF(ISBLANK('Ingest Template'!AA832),"", 'Ingest Template'!AA832&amp;"|DAR")),(IF(ISBLANK('Ingest Template'!AA832),"", 'Ingest Template'!AA832&amp;"|Film Ops")))</f>
        <v/>
      </c>
      <c r="AA832" s="21"/>
      <c r="AB832" s="21" t="str">
        <f>'Ingest Template'!M832</f>
        <v/>
      </c>
      <c r="AC832" s="21" t="str">
        <f>'Ingest Template'!Y832</f>
        <v/>
      </c>
      <c r="AD832" s="21" t="str">
        <f>'Ingest Template'!C832</f>
        <v/>
      </c>
      <c r="AE832" s="21" t="str">
        <f>'Ingest Template'!Z832</f>
        <v/>
      </c>
      <c r="AF832" s="29"/>
      <c r="AG832" s="21" t="str">
        <f t="array" ref="AG832">IF('Ingest Template'!A832="Standard",(CONCATENATE(IF(ISBLANK('Ingest Template'!O832),"", 'Ingest Template'!O832&amp;"|DAR"),CHAR(10), IF(ISBLANK('Ingest Template'!P832),"", 'Ingest Template'!P832&amp;"|DAR"),CHAR(10), IF(ISBLANK('Ingest Template'!Q832),"", 'Ingest Template'!Q832&amp;"|DAR"))),(CONCATENATE(IF(ISBLANK('Ingest Template'!O832),"", 'Ingest Template'!O832&amp;"|Operations - Core Title"),CHAR(10), IF(ISBLANK('Ingest Template'!P832),"", 'Ingest Template'!P832&amp;"|Operations - Core Title"),CHAR(10), IF(ISBLANK('Ingest Template'!Q832),"", 'Ingest Template'!Q832&amp;"|Operations - Core Title"))))</f>
        <v>#|Operations - Core Title
#|Operations - Core Title
</v>
      </c>
      <c r="AH832" s="21"/>
      <c r="AI832" s="21"/>
      <c r="AJ832" s="53" t="str">
        <f>if('Ingest Template'!A832="Standard",'Ingest Template'!N832&amp; "|DAR|DAR|2021-01-01",'Ingest Template'!N832&amp; "|Operations - Core Title|Operations - Core Title")</f>
        <v>#N/A</v>
      </c>
      <c r="AK832" s="53" t="str">
        <f>if('Ingest Template'!A832="Standard",'Ingest Template'!R832&amp; "|2021-01-01",'Ingest Template'!R832)</f>
        <v>#N/A</v>
      </c>
      <c r="AL832" s="21"/>
      <c r="AM832" s="21"/>
    </row>
    <row r="833">
      <c r="A833" s="21"/>
      <c r="B833" s="21" t="str">
        <f>'Ingest Template'!B833&amp;IF('Ingest Template'!A833 = "Standard", " - DAR","")</f>
        <v/>
      </c>
      <c r="C833" s="26" t="s">
        <v>109</v>
      </c>
      <c r="D833" s="29" t="str">
        <f t="array" ref="D833">CONCATENATE(INDEX(DropDown!$H$2:$H$10,MATCH(1,COUNTIF('Ingest Template'!F833,"*"&amp;DropDown!$H$2:$H$10&amp;"*"),0)),CHAR(10),'Ingest Template'!G833)</f>
        <v>#N/A</v>
      </c>
      <c r="E833" s="21" t="str">
        <f>CONCATENATE('Ingest Template'!H833,CHAR(10),'Ingest Template'!I833,CHAR(10),'Ingest Template'!J833)</f>
        <v>
</v>
      </c>
      <c r="F833" s="26" t="str">
        <f>'Ingest Template'!H833</f>
        <v/>
      </c>
      <c r="G833" s="21"/>
      <c r="H833" s="29"/>
      <c r="I833" s="21"/>
      <c r="J833" s="29" t="str">
        <f t="array" ref="J833">iF('Ingest Template'!A833="Standard","Pristine Brand",INDEX(DropDown!$M$2:$M$392,MATCH('Ingest Template'!E833,DropDown!$J$2:$J$392,0)))</f>
        <v>#N/A</v>
      </c>
      <c r="K833" s="21" t="str">
        <f>iF('Ingest Template'!A833="Standard",'Ingest Template'!K833&amp;CHAR(10)&amp;'Ingest Template'!L833,"Competitive View")</f>
        <v>Competitive View</v>
      </c>
      <c r="L833" s="29" t="s">
        <v>146</v>
      </c>
      <c r="M833" s="37" t="str">
        <f>'Ingest Template'!D833</f>
        <v/>
      </c>
      <c r="N833" s="21"/>
      <c r="O833" s="21"/>
      <c r="P833" s="21"/>
      <c r="Q833" s="21"/>
      <c r="R833" s="21" t="str">
        <f>'Ingest Template'!E833</f>
        <v/>
      </c>
      <c r="S833" s="29" t="s">
        <v>153</v>
      </c>
      <c r="T833" s="21" t="str">
        <f>'Ingest Template'!T833</f>
        <v/>
      </c>
      <c r="U833" s="21" t="str">
        <f>'Ingest Template'!S833</f>
        <v/>
      </c>
      <c r="V833" s="21" t="str">
        <f>LOWER(SUBSTITUTE(SUBSTITUTE(SUBSTITUTE(SUBSTITUTE(SUBSTITUTE('Ingest Template'!U833,"https:",""),"www.",""),"/",""),"?hl=en",""),"instagram.com",""))</f>
        <v/>
      </c>
      <c r="W833" s="41" t="str">
        <f t="array" ref="W833">IF('Ingest Template'!V833="",(INDEX(DropDown!$L$2:$L$392,MATCH('Ingest Template'!E833,DropDown!$J$2:$J$392,0))&amp;"|"&amp;'Ingest Template'!B833),(INDEX(DropDown!$L$2:$L$392,MATCH('Ingest Template'!E833,DropDown!$J$2:$J$392,0))&amp;"|"&amp;'Ingest Template'!B833)&amp;CHAR(10)&amp;'Ingest Template'!V833)</f>
        <v>#N/A</v>
      </c>
      <c r="X833" s="41" t="str">
        <f>'Ingest Template'!W833</f>
        <v/>
      </c>
      <c r="Y833" s="21" t="str">
        <f>SUBSTITUTE(SUBSTITUTE(SUBSTITUTE('Ingest Template'!X833,"http:",""),"https:",""),"/","")</f>
        <v/>
      </c>
      <c r="Z833" s="21" t="str">
        <f t="array" ref="Z833">IF('Ingest Template'!A833="Standard",(IF(ISBLANK('Ingest Template'!AA833),"", 'Ingest Template'!AA833&amp;"|DAR")),(IF(ISBLANK('Ingest Template'!AA833),"", 'Ingest Template'!AA833&amp;"|Film Ops")))</f>
        <v/>
      </c>
      <c r="AA833" s="21"/>
      <c r="AB833" s="21" t="str">
        <f>'Ingest Template'!M833</f>
        <v/>
      </c>
      <c r="AC833" s="21" t="str">
        <f>'Ingest Template'!Y833</f>
        <v/>
      </c>
      <c r="AD833" s="21" t="str">
        <f>'Ingest Template'!C833</f>
        <v/>
      </c>
      <c r="AE833" s="21" t="str">
        <f>'Ingest Template'!Z833</f>
        <v/>
      </c>
      <c r="AF833" s="29"/>
      <c r="AG833" s="21" t="str">
        <f t="array" ref="AG833">IF('Ingest Template'!A833="Standard",(CONCATENATE(IF(ISBLANK('Ingest Template'!O833),"", 'Ingest Template'!O833&amp;"|DAR"),CHAR(10), IF(ISBLANK('Ingest Template'!P833),"", 'Ingest Template'!P833&amp;"|DAR"),CHAR(10), IF(ISBLANK('Ingest Template'!Q833),"", 'Ingest Template'!Q833&amp;"|DAR"))),(CONCATENATE(IF(ISBLANK('Ingest Template'!O833),"", 'Ingest Template'!O833&amp;"|Operations - Core Title"),CHAR(10), IF(ISBLANK('Ingest Template'!P833),"", 'Ingest Template'!P833&amp;"|Operations - Core Title"),CHAR(10), IF(ISBLANK('Ingest Template'!Q833),"", 'Ingest Template'!Q833&amp;"|Operations - Core Title"))))</f>
        <v>#|Operations - Core Title
#|Operations - Core Title
</v>
      </c>
      <c r="AH833" s="21"/>
      <c r="AI833" s="21"/>
      <c r="AJ833" s="53" t="str">
        <f>if('Ingest Template'!A833="Standard",'Ingest Template'!N833&amp; "|DAR|DAR|2021-01-01",'Ingest Template'!N833&amp; "|Operations - Core Title|Operations - Core Title")</f>
        <v>#N/A</v>
      </c>
      <c r="AK833" s="53" t="str">
        <f>if('Ingest Template'!A833="Standard",'Ingest Template'!R833&amp; "|2021-01-01",'Ingest Template'!R833)</f>
        <v>#N/A</v>
      </c>
      <c r="AL833" s="21"/>
      <c r="AM833" s="21"/>
    </row>
    <row r="834">
      <c r="A834" s="21"/>
      <c r="B834" s="21" t="str">
        <f>'Ingest Template'!B834&amp;IF('Ingest Template'!A834 = "Standard", " - DAR","")</f>
        <v/>
      </c>
      <c r="C834" s="26" t="s">
        <v>109</v>
      </c>
      <c r="D834" s="29" t="str">
        <f t="array" ref="D834">CONCATENATE(INDEX(DropDown!$H$2:$H$10,MATCH(1,COUNTIF('Ingest Template'!F834,"*"&amp;DropDown!$H$2:$H$10&amp;"*"),0)),CHAR(10),'Ingest Template'!G834)</f>
        <v>#N/A</v>
      </c>
      <c r="E834" s="21" t="str">
        <f>CONCATENATE('Ingest Template'!H834,CHAR(10),'Ingest Template'!I834,CHAR(10),'Ingest Template'!J834)</f>
        <v>
</v>
      </c>
      <c r="F834" s="26" t="str">
        <f>'Ingest Template'!H834</f>
        <v/>
      </c>
      <c r="G834" s="21"/>
      <c r="H834" s="29"/>
      <c r="I834" s="21"/>
      <c r="J834" s="29" t="str">
        <f t="array" ref="J834">iF('Ingest Template'!A834="Standard","Pristine Brand",INDEX(DropDown!$M$2:$M$392,MATCH('Ingest Template'!E834,DropDown!$J$2:$J$392,0)))</f>
        <v>#N/A</v>
      </c>
      <c r="K834" s="21" t="str">
        <f>iF('Ingest Template'!A834="Standard",'Ingest Template'!K834&amp;CHAR(10)&amp;'Ingest Template'!L834,"Competitive View")</f>
        <v>Competitive View</v>
      </c>
      <c r="L834" s="29" t="s">
        <v>146</v>
      </c>
      <c r="M834" s="37" t="str">
        <f>'Ingest Template'!D834</f>
        <v/>
      </c>
      <c r="N834" s="21"/>
      <c r="O834" s="21"/>
      <c r="P834" s="21"/>
      <c r="Q834" s="21"/>
      <c r="R834" s="21" t="str">
        <f>'Ingest Template'!E834</f>
        <v/>
      </c>
      <c r="S834" s="29" t="s">
        <v>153</v>
      </c>
      <c r="T834" s="21" t="str">
        <f>'Ingest Template'!T834</f>
        <v/>
      </c>
      <c r="U834" s="21" t="str">
        <f>'Ingest Template'!S834</f>
        <v/>
      </c>
      <c r="V834" s="21" t="str">
        <f>LOWER(SUBSTITUTE(SUBSTITUTE(SUBSTITUTE(SUBSTITUTE(SUBSTITUTE('Ingest Template'!U834,"https:",""),"www.",""),"/",""),"?hl=en",""),"instagram.com",""))</f>
        <v/>
      </c>
      <c r="W834" s="41" t="str">
        <f t="array" ref="W834">IF('Ingest Template'!V834="",(INDEX(DropDown!$L$2:$L$392,MATCH('Ingest Template'!E834,DropDown!$J$2:$J$392,0))&amp;"|"&amp;'Ingest Template'!B834),(INDEX(DropDown!$L$2:$L$392,MATCH('Ingest Template'!E834,DropDown!$J$2:$J$392,0))&amp;"|"&amp;'Ingest Template'!B834)&amp;CHAR(10)&amp;'Ingest Template'!V834)</f>
        <v>#N/A</v>
      </c>
      <c r="X834" s="41" t="str">
        <f>'Ingest Template'!W834</f>
        <v/>
      </c>
      <c r="Y834" s="21" t="str">
        <f>SUBSTITUTE(SUBSTITUTE(SUBSTITUTE('Ingest Template'!X834,"http:",""),"https:",""),"/","")</f>
        <v/>
      </c>
      <c r="Z834" s="21" t="str">
        <f t="array" ref="Z834">IF('Ingest Template'!A834="Standard",(IF(ISBLANK('Ingest Template'!AA834),"", 'Ingest Template'!AA834&amp;"|DAR")),(IF(ISBLANK('Ingest Template'!AA834),"", 'Ingest Template'!AA834&amp;"|Film Ops")))</f>
        <v/>
      </c>
      <c r="AA834" s="21"/>
      <c r="AB834" s="21" t="str">
        <f>'Ingest Template'!M834</f>
        <v/>
      </c>
      <c r="AC834" s="21" t="str">
        <f>'Ingest Template'!Y834</f>
        <v/>
      </c>
      <c r="AD834" s="21" t="str">
        <f>'Ingest Template'!C834</f>
        <v/>
      </c>
      <c r="AE834" s="21" t="str">
        <f>'Ingest Template'!Z834</f>
        <v/>
      </c>
      <c r="AF834" s="29"/>
      <c r="AG834" s="21" t="str">
        <f t="array" ref="AG834">IF('Ingest Template'!A834="Standard",(CONCATENATE(IF(ISBLANK('Ingest Template'!O834),"", 'Ingest Template'!O834&amp;"|DAR"),CHAR(10), IF(ISBLANK('Ingest Template'!P834),"", 'Ingest Template'!P834&amp;"|DAR"),CHAR(10), IF(ISBLANK('Ingest Template'!Q834),"", 'Ingest Template'!Q834&amp;"|DAR"))),(CONCATENATE(IF(ISBLANK('Ingest Template'!O834),"", 'Ingest Template'!O834&amp;"|Operations - Core Title"),CHAR(10), IF(ISBLANK('Ingest Template'!P834),"", 'Ingest Template'!P834&amp;"|Operations - Core Title"),CHAR(10), IF(ISBLANK('Ingest Template'!Q834),"", 'Ingest Template'!Q834&amp;"|Operations - Core Title"))))</f>
        <v>#|Operations - Core Title
#|Operations - Core Title
</v>
      </c>
      <c r="AH834" s="21"/>
      <c r="AI834" s="21"/>
      <c r="AJ834" s="53" t="str">
        <f>if('Ingest Template'!A834="Standard",'Ingest Template'!N834&amp; "|DAR|DAR|2021-01-01",'Ingest Template'!N834&amp; "|Operations - Core Title|Operations - Core Title")</f>
        <v>#N/A</v>
      </c>
      <c r="AK834" s="53" t="str">
        <f>if('Ingest Template'!A834="Standard",'Ingest Template'!R834&amp; "|2021-01-01",'Ingest Template'!R834)</f>
        <v>#N/A</v>
      </c>
      <c r="AL834" s="21"/>
      <c r="AM834" s="21"/>
    </row>
    <row r="835">
      <c r="A835" s="21"/>
      <c r="B835" s="21" t="str">
        <f>'Ingest Template'!B835&amp;IF('Ingest Template'!A835 = "Standard", " - DAR","")</f>
        <v/>
      </c>
      <c r="C835" s="26" t="s">
        <v>109</v>
      </c>
      <c r="D835" s="29" t="str">
        <f t="array" ref="D835">CONCATENATE(INDEX(DropDown!$H$2:$H$10,MATCH(1,COUNTIF('Ingest Template'!F835,"*"&amp;DropDown!$H$2:$H$10&amp;"*"),0)),CHAR(10),'Ingest Template'!G835)</f>
        <v>#N/A</v>
      </c>
      <c r="E835" s="21" t="str">
        <f>CONCATENATE('Ingest Template'!H835,CHAR(10),'Ingest Template'!I835,CHAR(10),'Ingest Template'!J835)</f>
        <v>
</v>
      </c>
      <c r="F835" s="26" t="str">
        <f>'Ingest Template'!H835</f>
        <v/>
      </c>
      <c r="G835" s="21"/>
      <c r="H835" s="29"/>
      <c r="I835" s="21"/>
      <c r="J835" s="29" t="str">
        <f t="array" ref="J835">iF('Ingest Template'!A835="Standard","Pristine Brand",INDEX(DropDown!$M$2:$M$392,MATCH('Ingest Template'!E835,DropDown!$J$2:$J$392,0)))</f>
        <v>#N/A</v>
      </c>
      <c r="K835" s="21" t="str">
        <f>iF('Ingest Template'!A835="Standard",'Ingest Template'!K835&amp;CHAR(10)&amp;'Ingest Template'!L835,"Competitive View")</f>
        <v>Competitive View</v>
      </c>
      <c r="L835" s="29" t="s">
        <v>146</v>
      </c>
      <c r="M835" s="37" t="str">
        <f>'Ingest Template'!D835</f>
        <v/>
      </c>
      <c r="N835" s="21"/>
      <c r="O835" s="21"/>
      <c r="P835" s="21"/>
      <c r="Q835" s="21"/>
      <c r="R835" s="21" t="str">
        <f>'Ingest Template'!E835</f>
        <v/>
      </c>
      <c r="S835" s="29" t="s">
        <v>153</v>
      </c>
      <c r="T835" s="21" t="str">
        <f>'Ingest Template'!T835</f>
        <v/>
      </c>
      <c r="U835" s="21" t="str">
        <f>'Ingest Template'!S835</f>
        <v/>
      </c>
      <c r="V835" s="21" t="str">
        <f>LOWER(SUBSTITUTE(SUBSTITUTE(SUBSTITUTE(SUBSTITUTE(SUBSTITUTE('Ingest Template'!U835,"https:",""),"www.",""),"/",""),"?hl=en",""),"instagram.com",""))</f>
        <v/>
      </c>
      <c r="W835" s="41" t="str">
        <f t="array" ref="W835">IF('Ingest Template'!V835="",(INDEX(DropDown!$L$2:$L$392,MATCH('Ingest Template'!E835,DropDown!$J$2:$J$392,0))&amp;"|"&amp;'Ingest Template'!B835),(INDEX(DropDown!$L$2:$L$392,MATCH('Ingest Template'!E835,DropDown!$J$2:$J$392,0))&amp;"|"&amp;'Ingest Template'!B835)&amp;CHAR(10)&amp;'Ingest Template'!V835)</f>
        <v>#N/A</v>
      </c>
      <c r="X835" s="41" t="str">
        <f>'Ingest Template'!W835</f>
        <v/>
      </c>
      <c r="Y835" s="21" t="str">
        <f>SUBSTITUTE(SUBSTITUTE(SUBSTITUTE('Ingest Template'!X835,"http:",""),"https:",""),"/","")</f>
        <v/>
      </c>
      <c r="Z835" s="21" t="str">
        <f t="array" ref="Z835">IF('Ingest Template'!A835="Standard",(IF(ISBLANK('Ingest Template'!AA835),"", 'Ingest Template'!AA835&amp;"|DAR")),(IF(ISBLANK('Ingest Template'!AA835),"", 'Ingest Template'!AA835&amp;"|Film Ops")))</f>
        <v/>
      </c>
      <c r="AA835" s="21"/>
      <c r="AB835" s="21" t="str">
        <f>'Ingest Template'!M835</f>
        <v/>
      </c>
      <c r="AC835" s="21" t="str">
        <f>'Ingest Template'!Y835</f>
        <v/>
      </c>
      <c r="AD835" s="21" t="str">
        <f>'Ingest Template'!C835</f>
        <v/>
      </c>
      <c r="AE835" s="21" t="str">
        <f>'Ingest Template'!Z835</f>
        <v/>
      </c>
      <c r="AF835" s="29"/>
      <c r="AG835" s="21" t="str">
        <f t="array" ref="AG835">IF('Ingest Template'!A835="Standard",(CONCATENATE(IF(ISBLANK('Ingest Template'!O835),"", 'Ingest Template'!O835&amp;"|DAR"),CHAR(10), IF(ISBLANK('Ingest Template'!P835),"", 'Ingest Template'!P835&amp;"|DAR"),CHAR(10), IF(ISBLANK('Ingest Template'!Q835),"", 'Ingest Template'!Q835&amp;"|DAR"))),(CONCATENATE(IF(ISBLANK('Ingest Template'!O835),"", 'Ingest Template'!O835&amp;"|Operations - Core Title"),CHAR(10), IF(ISBLANK('Ingest Template'!P835),"", 'Ingest Template'!P835&amp;"|Operations - Core Title"),CHAR(10), IF(ISBLANK('Ingest Template'!Q835),"", 'Ingest Template'!Q835&amp;"|Operations - Core Title"))))</f>
        <v>#|Operations - Core Title
#|Operations - Core Title
</v>
      </c>
      <c r="AH835" s="21"/>
      <c r="AI835" s="21"/>
      <c r="AJ835" s="53" t="str">
        <f>if('Ingest Template'!A835="Standard",'Ingest Template'!N835&amp; "|DAR|DAR|2021-01-01",'Ingest Template'!N835&amp; "|Operations - Core Title|Operations - Core Title")</f>
        <v>#N/A</v>
      </c>
      <c r="AK835" s="53" t="str">
        <f>if('Ingest Template'!A835="Standard",'Ingest Template'!R835&amp; "|2021-01-01",'Ingest Template'!R835)</f>
        <v>#N/A</v>
      </c>
      <c r="AL835" s="21"/>
      <c r="AM835" s="21"/>
    </row>
    <row r="836">
      <c r="A836" s="21"/>
      <c r="B836" s="21" t="str">
        <f>'Ingest Template'!B836&amp;IF('Ingest Template'!A836 = "Standard", " - DAR","")</f>
        <v/>
      </c>
      <c r="C836" s="26" t="s">
        <v>109</v>
      </c>
      <c r="D836" s="29" t="str">
        <f t="array" ref="D836">CONCATENATE(INDEX(DropDown!$H$2:$H$10,MATCH(1,COUNTIF('Ingest Template'!F836,"*"&amp;DropDown!$H$2:$H$10&amp;"*"),0)),CHAR(10),'Ingest Template'!G836)</f>
        <v>#N/A</v>
      </c>
      <c r="E836" s="21" t="str">
        <f>CONCATENATE('Ingest Template'!H836,CHAR(10),'Ingest Template'!I836,CHAR(10),'Ingest Template'!J836)</f>
        <v>
</v>
      </c>
      <c r="F836" s="26" t="str">
        <f>'Ingest Template'!H836</f>
        <v/>
      </c>
      <c r="G836" s="21"/>
      <c r="H836" s="29"/>
      <c r="I836" s="21"/>
      <c r="J836" s="29" t="str">
        <f t="array" ref="J836">iF('Ingest Template'!A836="Standard","Pristine Brand",INDEX(DropDown!$M$2:$M$392,MATCH('Ingest Template'!E836,DropDown!$J$2:$J$392,0)))</f>
        <v>#N/A</v>
      </c>
      <c r="K836" s="21" t="str">
        <f>iF('Ingest Template'!A836="Standard",'Ingest Template'!K836&amp;CHAR(10)&amp;'Ingest Template'!L836,"Competitive View")</f>
        <v>Competitive View</v>
      </c>
      <c r="L836" s="29" t="s">
        <v>146</v>
      </c>
      <c r="M836" s="37" t="str">
        <f>'Ingest Template'!D836</f>
        <v/>
      </c>
      <c r="N836" s="21"/>
      <c r="O836" s="21"/>
      <c r="P836" s="21"/>
      <c r="Q836" s="21"/>
      <c r="R836" s="21" t="str">
        <f>'Ingest Template'!E836</f>
        <v/>
      </c>
      <c r="S836" s="29" t="s">
        <v>153</v>
      </c>
      <c r="T836" s="21" t="str">
        <f>'Ingest Template'!T836</f>
        <v/>
      </c>
      <c r="U836" s="21" t="str">
        <f>'Ingest Template'!S836</f>
        <v/>
      </c>
      <c r="V836" s="21" t="str">
        <f>LOWER(SUBSTITUTE(SUBSTITUTE(SUBSTITUTE(SUBSTITUTE(SUBSTITUTE('Ingest Template'!U836,"https:",""),"www.",""),"/",""),"?hl=en",""),"instagram.com",""))</f>
        <v/>
      </c>
      <c r="W836" s="41" t="str">
        <f t="array" ref="W836">IF('Ingest Template'!V836="",(INDEX(DropDown!$L$2:$L$392,MATCH('Ingest Template'!E836,DropDown!$J$2:$J$392,0))&amp;"|"&amp;'Ingest Template'!B836),(INDEX(DropDown!$L$2:$L$392,MATCH('Ingest Template'!E836,DropDown!$J$2:$J$392,0))&amp;"|"&amp;'Ingest Template'!B836)&amp;CHAR(10)&amp;'Ingest Template'!V836)</f>
        <v>#N/A</v>
      </c>
      <c r="X836" s="41" t="str">
        <f>'Ingest Template'!W836</f>
        <v/>
      </c>
      <c r="Y836" s="21" t="str">
        <f>SUBSTITUTE(SUBSTITUTE(SUBSTITUTE('Ingest Template'!X836,"http:",""),"https:",""),"/","")</f>
        <v/>
      </c>
      <c r="Z836" s="21" t="str">
        <f t="array" ref="Z836">IF('Ingest Template'!A836="Standard",(IF(ISBLANK('Ingest Template'!AA836),"", 'Ingest Template'!AA836&amp;"|DAR")),(IF(ISBLANK('Ingest Template'!AA836),"", 'Ingest Template'!AA836&amp;"|Film Ops")))</f>
        <v/>
      </c>
      <c r="AA836" s="21"/>
      <c r="AB836" s="21" t="str">
        <f>'Ingest Template'!M836</f>
        <v/>
      </c>
      <c r="AC836" s="21" t="str">
        <f>'Ingest Template'!Y836</f>
        <v/>
      </c>
      <c r="AD836" s="21" t="str">
        <f>'Ingest Template'!C836</f>
        <v/>
      </c>
      <c r="AE836" s="21" t="str">
        <f>'Ingest Template'!Z836</f>
        <v/>
      </c>
      <c r="AF836" s="29"/>
      <c r="AG836" s="21" t="str">
        <f t="array" ref="AG836">IF('Ingest Template'!A836="Standard",(CONCATENATE(IF(ISBLANK('Ingest Template'!O836),"", 'Ingest Template'!O836&amp;"|DAR"),CHAR(10), IF(ISBLANK('Ingest Template'!P836),"", 'Ingest Template'!P836&amp;"|DAR"),CHAR(10), IF(ISBLANK('Ingest Template'!Q836),"", 'Ingest Template'!Q836&amp;"|DAR"))),(CONCATENATE(IF(ISBLANK('Ingest Template'!O836),"", 'Ingest Template'!O836&amp;"|Operations - Core Title"),CHAR(10), IF(ISBLANK('Ingest Template'!P836),"", 'Ingest Template'!P836&amp;"|Operations - Core Title"),CHAR(10), IF(ISBLANK('Ingest Template'!Q836),"", 'Ingest Template'!Q836&amp;"|Operations - Core Title"))))</f>
        <v>#|Operations - Core Title
#|Operations - Core Title
</v>
      </c>
      <c r="AH836" s="21"/>
      <c r="AI836" s="21"/>
      <c r="AJ836" s="53" t="str">
        <f>if('Ingest Template'!A836="Standard",'Ingest Template'!N836&amp; "|DAR|DAR|2021-01-01",'Ingest Template'!N836&amp; "|Operations - Core Title|Operations - Core Title")</f>
        <v>#N/A</v>
      </c>
      <c r="AK836" s="53" t="str">
        <f>if('Ingest Template'!A836="Standard",'Ingest Template'!R836&amp; "|2021-01-01",'Ingest Template'!R836)</f>
        <v>#N/A</v>
      </c>
      <c r="AL836" s="21"/>
      <c r="AM836" s="21"/>
    </row>
    <row r="837">
      <c r="A837" s="21"/>
      <c r="B837" s="21" t="str">
        <f>'Ingest Template'!B837&amp;IF('Ingest Template'!A837 = "Standard", " - DAR","")</f>
        <v/>
      </c>
      <c r="C837" s="26" t="s">
        <v>109</v>
      </c>
      <c r="D837" s="29" t="str">
        <f t="array" ref="D837">CONCATENATE(INDEX(DropDown!$H$2:$H$10,MATCH(1,COUNTIF('Ingest Template'!F837,"*"&amp;DropDown!$H$2:$H$10&amp;"*"),0)),CHAR(10),'Ingest Template'!G837)</f>
        <v>#N/A</v>
      </c>
      <c r="E837" s="21" t="str">
        <f>CONCATENATE('Ingest Template'!H837,CHAR(10),'Ingest Template'!I837,CHAR(10),'Ingest Template'!J837)</f>
        <v>
</v>
      </c>
      <c r="F837" s="26" t="str">
        <f>'Ingest Template'!H837</f>
        <v/>
      </c>
      <c r="G837" s="21"/>
      <c r="H837" s="29"/>
      <c r="I837" s="21"/>
      <c r="J837" s="29" t="str">
        <f t="array" ref="J837">iF('Ingest Template'!A837="Standard","Pristine Brand",INDEX(DropDown!$M$2:$M$392,MATCH('Ingest Template'!E837,DropDown!$J$2:$J$392,0)))</f>
        <v>#N/A</v>
      </c>
      <c r="K837" s="21" t="str">
        <f>iF('Ingest Template'!A837="Standard",'Ingest Template'!K837&amp;CHAR(10)&amp;'Ingest Template'!L837,"Competitive View")</f>
        <v>Competitive View</v>
      </c>
      <c r="L837" s="29" t="s">
        <v>146</v>
      </c>
      <c r="M837" s="37" t="str">
        <f>'Ingest Template'!D837</f>
        <v/>
      </c>
      <c r="N837" s="21"/>
      <c r="O837" s="21"/>
      <c r="P837" s="21"/>
      <c r="Q837" s="21"/>
      <c r="R837" s="21" t="str">
        <f>'Ingest Template'!E837</f>
        <v/>
      </c>
      <c r="S837" s="29" t="s">
        <v>153</v>
      </c>
      <c r="T837" s="21" t="str">
        <f>'Ingest Template'!T837</f>
        <v/>
      </c>
      <c r="U837" s="21" t="str">
        <f>'Ingest Template'!S837</f>
        <v/>
      </c>
      <c r="V837" s="21" t="str">
        <f>LOWER(SUBSTITUTE(SUBSTITUTE(SUBSTITUTE(SUBSTITUTE(SUBSTITUTE('Ingest Template'!U837,"https:",""),"www.",""),"/",""),"?hl=en",""),"instagram.com",""))</f>
        <v/>
      </c>
      <c r="W837" s="41" t="str">
        <f t="array" ref="W837">IF('Ingest Template'!V837="",(INDEX(DropDown!$L$2:$L$392,MATCH('Ingest Template'!E837,DropDown!$J$2:$J$392,0))&amp;"|"&amp;'Ingest Template'!B837),(INDEX(DropDown!$L$2:$L$392,MATCH('Ingest Template'!E837,DropDown!$J$2:$J$392,0))&amp;"|"&amp;'Ingest Template'!B837)&amp;CHAR(10)&amp;'Ingest Template'!V837)</f>
        <v>#N/A</v>
      </c>
      <c r="X837" s="41" t="str">
        <f>'Ingest Template'!W837</f>
        <v/>
      </c>
      <c r="Y837" s="21" t="str">
        <f>SUBSTITUTE(SUBSTITUTE(SUBSTITUTE('Ingest Template'!X837,"http:",""),"https:",""),"/","")</f>
        <v/>
      </c>
      <c r="Z837" s="21" t="str">
        <f t="array" ref="Z837">IF('Ingest Template'!A837="Standard",(IF(ISBLANK('Ingest Template'!AA837),"", 'Ingest Template'!AA837&amp;"|DAR")),(IF(ISBLANK('Ingest Template'!AA837),"", 'Ingest Template'!AA837&amp;"|Film Ops")))</f>
        <v/>
      </c>
      <c r="AA837" s="21"/>
      <c r="AB837" s="21" t="str">
        <f>'Ingest Template'!M837</f>
        <v/>
      </c>
      <c r="AC837" s="21" t="str">
        <f>'Ingest Template'!Y837</f>
        <v/>
      </c>
      <c r="AD837" s="21" t="str">
        <f>'Ingest Template'!C837</f>
        <v/>
      </c>
      <c r="AE837" s="21" t="str">
        <f>'Ingest Template'!Z837</f>
        <v/>
      </c>
      <c r="AF837" s="29"/>
      <c r="AG837" s="21" t="str">
        <f t="array" ref="AG837">IF('Ingest Template'!A837="Standard",(CONCATENATE(IF(ISBLANK('Ingest Template'!O837),"", 'Ingest Template'!O837&amp;"|DAR"),CHAR(10), IF(ISBLANK('Ingest Template'!P837),"", 'Ingest Template'!P837&amp;"|DAR"),CHAR(10), IF(ISBLANK('Ingest Template'!Q837),"", 'Ingest Template'!Q837&amp;"|DAR"))),(CONCATENATE(IF(ISBLANK('Ingest Template'!O837),"", 'Ingest Template'!O837&amp;"|Operations - Core Title"),CHAR(10), IF(ISBLANK('Ingest Template'!P837),"", 'Ingest Template'!P837&amp;"|Operations - Core Title"),CHAR(10), IF(ISBLANK('Ingest Template'!Q837),"", 'Ingest Template'!Q837&amp;"|Operations - Core Title"))))</f>
        <v>#|Operations - Core Title
#|Operations - Core Title
</v>
      </c>
      <c r="AH837" s="21"/>
      <c r="AI837" s="21"/>
      <c r="AJ837" s="53" t="str">
        <f>if('Ingest Template'!A837="Standard",'Ingest Template'!N837&amp; "|DAR|DAR|2021-01-01",'Ingest Template'!N837&amp; "|Operations - Core Title|Operations - Core Title")</f>
        <v>#N/A</v>
      </c>
      <c r="AK837" s="53" t="str">
        <f>if('Ingest Template'!A837="Standard",'Ingest Template'!R837&amp; "|2021-01-01",'Ingest Template'!R837)</f>
        <v>#N/A</v>
      </c>
      <c r="AL837" s="21"/>
      <c r="AM837" s="21"/>
    </row>
    <row r="838">
      <c r="A838" s="21"/>
      <c r="B838" s="21" t="str">
        <f>'Ingest Template'!B838&amp;IF('Ingest Template'!A838 = "Standard", " - DAR","")</f>
        <v/>
      </c>
      <c r="C838" s="26" t="s">
        <v>109</v>
      </c>
      <c r="D838" s="29" t="str">
        <f t="array" ref="D838">CONCATENATE(INDEX(DropDown!$H$2:$H$10,MATCH(1,COUNTIF('Ingest Template'!F838,"*"&amp;DropDown!$H$2:$H$10&amp;"*"),0)),CHAR(10),'Ingest Template'!G838)</f>
        <v>#N/A</v>
      </c>
      <c r="E838" s="21" t="str">
        <f>CONCATENATE('Ingest Template'!H838,CHAR(10),'Ingest Template'!I838,CHAR(10),'Ingest Template'!J838)</f>
        <v>
</v>
      </c>
      <c r="F838" s="26" t="str">
        <f>'Ingest Template'!H838</f>
        <v/>
      </c>
      <c r="G838" s="21"/>
      <c r="H838" s="29"/>
      <c r="I838" s="21"/>
      <c r="J838" s="29" t="str">
        <f t="array" ref="J838">iF('Ingest Template'!A838="Standard","Pristine Brand",INDEX(DropDown!$M$2:$M$392,MATCH('Ingest Template'!E838,DropDown!$J$2:$J$392,0)))</f>
        <v>#N/A</v>
      </c>
      <c r="K838" s="21" t="str">
        <f>iF('Ingest Template'!A838="Standard",'Ingest Template'!K838&amp;CHAR(10)&amp;'Ingest Template'!L838,"Competitive View")</f>
        <v>Competitive View</v>
      </c>
      <c r="L838" s="29" t="s">
        <v>146</v>
      </c>
      <c r="M838" s="37" t="str">
        <f>'Ingest Template'!D838</f>
        <v/>
      </c>
      <c r="N838" s="21"/>
      <c r="O838" s="21"/>
      <c r="P838" s="21"/>
      <c r="Q838" s="21"/>
      <c r="R838" s="21" t="str">
        <f>'Ingest Template'!E838</f>
        <v/>
      </c>
      <c r="S838" s="29" t="s">
        <v>153</v>
      </c>
      <c r="T838" s="21" t="str">
        <f>'Ingest Template'!T838</f>
        <v/>
      </c>
      <c r="U838" s="21" t="str">
        <f>'Ingest Template'!S838</f>
        <v/>
      </c>
      <c r="V838" s="21" t="str">
        <f>LOWER(SUBSTITUTE(SUBSTITUTE(SUBSTITUTE(SUBSTITUTE(SUBSTITUTE('Ingest Template'!U838,"https:",""),"www.",""),"/",""),"?hl=en",""),"instagram.com",""))</f>
        <v/>
      </c>
      <c r="W838" s="41" t="str">
        <f t="array" ref="W838">IF('Ingest Template'!V838="",(INDEX(DropDown!$L$2:$L$392,MATCH('Ingest Template'!E838,DropDown!$J$2:$J$392,0))&amp;"|"&amp;'Ingest Template'!B838),(INDEX(DropDown!$L$2:$L$392,MATCH('Ingest Template'!E838,DropDown!$J$2:$J$392,0))&amp;"|"&amp;'Ingest Template'!B838)&amp;CHAR(10)&amp;'Ingest Template'!V838)</f>
        <v>#N/A</v>
      </c>
      <c r="X838" s="41" t="str">
        <f>'Ingest Template'!W838</f>
        <v/>
      </c>
      <c r="Y838" s="21" t="str">
        <f>SUBSTITUTE(SUBSTITUTE(SUBSTITUTE('Ingest Template'!X838,"http:",""),"https:",""),"/","")</f>
        <v/>
      </c>
      <c r="Z838" s="21" t="str">
        <f t="array" ref="Z838">IF('Ingest Template'!A838="Standard",(IF(ISBLANK('Ingest Template'!AA838),"", 'Ingest Template'!AA838&amp;"|DAR")),(IF(ISBLANK('Ingest Template'!AA838),"", 'Ingest Template'!AA838&amp;"|Film Ops")))</f>
        <v/>
      </c>
      <c r="AA838" s="21"/>
      <c r="AB838" s="21" t="str">
        <f>'Ingest Template'!M838</f>
        <v/>
      </c>
      <c r="AC838" s="21" t="str">
        <f>'Ingest Template'!Y838</f>
        <v/>
      </c>
      <c r="AD838" s="21" t="str">
        <f>'Ingest Template'!C838</f>
        <v/>
      </c>
      <c r="AE838" s="21" t="str">
        <f>'Ingest Template'!Z838</f>
        <v/>
      </c>
      <c r="AF838" s="29"/>
      <c r="AG838" s="21" t="str">
        <f t="array" ref="AG838">IF('Ingest Template'!A838="Standard",(CONCATENATE(IF(ISBLANK('Ingest Template'!O838),"", 'Ingest Template'!O838&amp;"|DAR"),CHAR(10), IF(ISBLANK('Ingest Template'!P838),"", 'Ingest Template'!P838&amp;"|DAR"),CHAR(10), IF(ISBLANK('Ingest Template'!Q838),"", 'Ingest Template'!Q838&amp;"|DAR"))),(CONCATENATE(IF(ISBLANK('Ingest Template'!O838),"", 'Ingest Template'!O838&amp;"|Operations - Core Title"),CHAR(10), IF(ISBLANK('Ingest Template'!P838),"", 'Ingest Template'!P838&amp;"|Operations - Core Title"),CHAR(10), IF(ISBLANK('Ingest Template'!Q838),"", 'Ingest Template'!Q838&amp;"|Operations - Core Title"))))</f>
        <v>#|Operations - Core Title
#|Operations - Core Title
</v>
      </c>
      <c r="AH838" s="21"/>
      <c r="AI838" s="21"/>
      <c r="AJ838" s="53" t="str">
        <f>if('Ingest Template'!A838="Standard",'Ingest Template'!N838&amp; "|DAR|DAR|2021-01-01",'Ingest Template'!N838&amp; "|Operations - Core Title|Operations - Core Title")</f>
        <v>#N/A</v>
      </c>
      <c r="AK838" s="53" t="str">
        <f>if('Ingest Template'!A838="Standard",'Ingest Template'!R838&amp; "|2021-01-01",'Ingest Template'!R838)</f>
        <v>#N/A</v>
      </c>
      <c r="AL838" s="21"/>
      <c r="AM838" s="21"/>
    </row>
    <row r="839">
      <c r="A839" s="21"/>
      <c r="B839" s="21" t="str">
        <f>'Ingest Template'!B839&amp;IF('Ingest Template'!A839 = "Standard", " - DAR","")</f>
        <v/>
      </c>
      <c r="C839" s="26" t="s">
        <v>109</v>
      </c>
      <c r="D839" s="29" t="str">
        <f t="array" ref="D839">CONCATENATE(INDEX(DropDown!$H$2:$H$10,MATCH(1,COUNTIF('Ingest Template'!F839,"*"&amp;DropDown!$H$2:$H$10&amp;"*"),0)),CHAR(10),'Ingest Template'!G839)</f>
        <v>#N/A</v>
      </c>
      <c r="E839" s="21" t="str">
        <f>CONCATENATE('Ingest Template'!H839,CHAR(10),'Ingest Template'!I839,CHAR(10),'Ingest Template'!J839)</f>
        <v>
</v>
      </c>
      <c r="F839" s="26" t="str">
        <f>'Ingest Template'!H839</f>
        <v/>
      </c>
      <c r="G839" s="21"/>
      <c r="H839" s="29"/>
      <c r="I839" s="21"/>
      <c r="J839" s="29" t="str">
        <f t="array" ref="J839">iF('Ingest Template'!A839="Standard","Pristine Brand",INDEX(DropDown!$M$2:$M$392,MATCH('Ingest Template'!E839,DropDown!$J$2:$J$392,0)))</f>
        <v>#N/A</v>
      </c>
      <c r="K839" s="21" t="str">
        <f>iF('Ingest Template'!A839="Standard",'Ingest Template'!K839&amp;CHAR(10)&amp;'Ingest Template'!L839,"Competitive View")</f>
        <v>Competitive View</v>
      </c>
      <c r="L839" s="29" t="s">
        <v>146</v>
      </c>
      <c r="M839" s="37" t="str">
        <f>'Ingest Template'!D839</f>
        <v/>
      </c>
      <c r="N839" s="21"/>
      <c r="O839" s="21"/>
      <c r="P839" s="21"/>
      <c r="Q839" s="21"/>
      <c r="R839" s="21" t="str">
        <f>'Ingest Template'!E839</f>
        <v/>
      </c>
      <c r="S839" s="29" t="s">
        <v>153</v>
      </c>
      <c r="T839" s="21" t="str">
        <f>'Ingest Template'!T839</f>
        <v/>
      </c>
      <c r="U839" s="21" t="str">
        <f>'Ingest Template'!S839</f>
        <v/>
      </c>
      <c r="V839" s="21" t="str">
        <f>LOWER(SUBSTITUTE(SUBSTITUTE(SUBSTITUTE(SUBSTITUTE(SUBSTITUTE('Ingest Template'!U839,"https:",""),"www.",""),"/",""),"?hl=en",""),"instagram.com",""))</f>
        <v/>
      </c>
      <c r="W839" s="41" t="str">
        <f t="array" ref="W839">IF('Ingest Template'!V839="",(INDEX(DropDown!$L$2:$L$392,MATCH('Ingest Template'!E839,DropDown!$J$2:$J$392,0))&amp;"|"&amp;'Ingest Template'!B839),(INDEX(DropDown!$L$2:$L$392,MATCH('Ingest Template'!E839,DropDown!$J$2:$J$392,0))&amp;"|"&amp;'Ingest Template'!B839)&amp;CHAR(10)&amp;'Ingest Template'!V839)</f>
        <v>#N/A</v>
      </c>
      <c r="X839" s="41" t="str">
        <f>'Ingest Template'!W839</f>
        <v/>
      </c>
      <c r="Y839" s="21" t="str">
        <f>SUBSTITUTE(SUBSTITUTE(SUBSTITUTE('Ingest Template'!X839,"http:",""),"https:",""),"/","")</f>
        <v/>
      </c>
      <c r="Z839" s="21" t="str">
        <f t="array" ref="Z839">IF('Ingest Template'!A839="Standard",(IF(ISBLANK('Ingest Template'!AA839),"", 'Ingest Template'!AA839&amp;"|DAR")),(IF(ISBLANK('Ingest Template'!AA839),"", 'Ingest Template'!AA839&amp;"|Film Ops")))</f>
        <v/>
      </c>
      <c r="AA839" s="21"/>
      <c r="AB839" s="21" t="str">
        <f>'Ingest Template'!M839</f>
        <v/>
      </c>
      <c r="AC839" s="21" t="str">
        <f>'Ingest Template'!Y839</f>
        <v/>
      </c>
      <c r="AD839" s="21" t="str">
        <f>'Ingest Template'!C839</f>
        <v/>
      </c>
      <c r="AE839" s="21" t="str">
        <f>'Ingest Template'!Z839</f>
        <v/>
      </c>
      <c r="AF839" s="29"/>
      <c r="AG839" s="21" t="str">
        <f t="array" ref="AG839">IF('Ingest Template'!A839="Standard",(CONCATENATE(IF(ISBLANK('Ingest Template'!O839),"", 'Ingest Template'!O839&amp;"|DAR"),CHAR(10), IF(ISBLANK('Ingest Template'!P839),"", 'Ingest Template'!P839&amp;"|DAR"),CHAR(10), IF(ISBLANK('Ingest Template'!Q839),"", 'Ingest Template'!Q839&amp;"|DAR"))),(CONCATENATE(IF(ISBLANK('Ingest Template'!O839),"", 'Ingest Template'!O839&amp;"|Operations - Core Title"),CHAR(10), IF(ISBLANK('Ingest Template'!P839),"", 'Ingest Template'!P839&amp;"|Operations - Core Title"),CHAR(10), IF(ISBLANK('Ingest Template'!Q839),"", 'Ingest Template'!Q839&amp;"|Operations - Core Title"))))</f>
        <v>#|Operations - Core Title
#|Operations - Core Title
</v>
      </c>
      <c r="AH839" s="21"/>
      <c r="AI839" s="21"/>
      <c r="AJ839" s="53" t="str">
        <f>if('Ingest Template'!A839="Standard",'Ingest Template'!N839&amp; "|DAR|DAR|2021-01-01",'Ingest Template'!N839&amp; "|Operations - Core Title|Operations - Core Title")</f>
        <v>#N/A</v>
      </c>
      <c r="AK839" s="53" t="str">
        <f>if('Ingest Template'!A839="Standard",'Ingest Template'!R839&amp; "|2021-01-01",'Ingest Template'!R839)</f>
        <v>#N/A</v>
      </c>
      <c r="AL839" s="21"/>
      <c r="AM839" s="21"/>
    </row>
    <row r="840">
      <c r="A840" s="21"/>
      <c r="B840" s="21" t="str">
        <f>'Ingest Template'!B840&amp;IF('Ingest Template'!A840 = "Standard", " - DAR","")</f>
        <v/>
      </c>
      <c r="C840" s="26" t="s">
        <v>109</v>
      </c>
      <c r="D840" s="29" t="str">
        <f t="array" ref="D840">CONCATENATE(INDEX(DropDown!$H$2:$H$10,MATCH(1,COUNTIF('Ingest Template'!F840,"*"&amp;DropDown!$H$2:$H$10&amp;"*"),0)),CHAR(10),'Ingest Template'!G840)</f>
        <v>#N/A</v>
      </c>
      <c r="E840" s="21" t="str">
        <f>CONCATENATE('Ingest Template'!H840,CHAR(10),'Ingest Template'!I840,CHAR(10),'Ingest Template'!J840)</f>
        <v>
</v>
      </c>
      <c r="F840" s="26" t="str">
        <f>'Ingest Template'!H840</f>
        <v/>
      </c>
      <c r="G840" s="21"/>
      <c r="H840" s="29"/>
      <c r="I840" s="21"/>
      <c r="J840" s="29" t="str">
        <f t="array" ref="J840">iF('Ingest Template'!A840="Standard","Pristine Brand",INDEX(DropDown!$M$2:$M$392,MATCH('Ingest Template'!E840,DropDown!$J$2:$J$392,0)))</f>
        <v>#N/A</v>
      </c>
      <c r="K840" s="21" t="str">
        <f>iF('Ingest Template'!A840="Standard",'Ingest Template'!K840&amp;CHAR(10)&amp;'Ingest Template'!L840,"Competitive View")</f>
        <v>Competitive View</v>
      </c>
      <c r="L840" s="29" t="s">
        <v>146</v>
      </c>
      <c r="M840" s="37" t="str">
        <f>'Ingest Template'!D840</f>
        <v/>
      </c>
      <c r="N840" s="21"/>
      <c r="O840" s="21"/>
      <c r="P840" s="21"/>
      <c r="Q840" s="21"/>
      <c r="R840" s="21" t="str">
        <f>'Ingest Template'!E840</f>
        <v/>
      </c>
      <c r="S840" s="29" t="s">
        <v>153</v>
      </c>
      <c r="T840" s="21" t="str">
        <f>'Ingest Template'!T840</f>
        <v/>
      </c>
      <c r="U840" s="21" t="str">
        <f>'Ingest Template'!S840</f>
        <v/>
      </c>
      <c r="V840" s="21" t="str">
        <f>LOWER(SUBSTITUTE(SUBSTITUTE(SUBSTITUTE(SUBSTITUTE(SUBSTITUTE('Ingest Template'!U840,"https:",""),"www.",""),"/",""),"?hl=en",""),"instagram.com",""))</f>
        <v/>
      </c>
      <c r="W840" s="41" t="str">
        <f t="array" ref="W840">IF('Ingest Template'!V840="",(INDEX(DropDown!$L$2:$L$392,MATCH('Ingest Template'!E840,DropDown!$J$2:$J$392,0))&amp;"|"&amp;'Ingest Template'!B840),(INDEX(DropDown!$L$2:$L$392,MATCH('Ingest Template'!E840,DropDown!$J$2:$J$392,0))&amp;"|"&amp;'Ingest Template'!B840)&amp;CHAR(10)&amp;'Ingest Template'!V840)</f>
        <v>#N/A</v>
      </c>
      <c r="X840" s="41" t="str">
        <f>'Ingest Template'!W840</f>
        <v/>
      </c>
      <c r="Y840" s="21" t="str">
        <f>SUBSTITUTE(SUBSTITUTE(SUBSTITUTE('Ingest Template'!X840,"http:",""),"https:",""),"/","")</f>
        <v/>
      </c>
      <c r="Z840" s="21" t="str">
        <f t="array" ref="Z840">IF('Ingest Template'!A840="Standard",(IF(ISBLANK('Ingest Template'!AA840),"", 'Ingest Template'!AA840&amp;"|DAR")),(IF(ISBLANK('Ingest Template'!AA840),"", 'Ingest Template'!AA840&amp;"|Film Ops")))</f>
        <v/>
      </c>
      <c r="AA840" s="21"/>
      <c r="AB840" s="21" t="str">
        <f>'Ingest Template'!M840</f>
        <v/>
      </c>
      <c r="AC840" s="21" t="str">
        <f>'Ingest Template'!Y840</f>
        <v/>
      </c>
      <c r="AD840" s="21" t="str">
        <f>'Ingest Template'!C840</f>
        <v/>
      </c>
      <c r="AE840" s="21" t="str">
        <f>'Ingest Template'!Z840</f>
        <v/>
      </c>
      <c r="AF840" s="29"/>
      <c r="AG840" s="21" t="str">
        <f t="array" ref="AG840">IF('Ingest Template'!A840="Standard",(CONCATENATE(IF(ISBLANK('Ingest Template'!O840),"", 'Ingest Template'!O840&amp;"|DAR"),CHAR(10), IF(ISBLANK('Ingest Template'!P840),"", 'Ingest Template'!P840&amp;"|DAR"),CHAR(10), IF(ISBLANK('Ingest Template'!Q840),"", 'Ingest Template'!Q840&amp;"|DAR"))),(CONCATENATE(IF(ISBLANK('Ingest Template'!O840),"", 'Ingest Template'!O840&amp;"|Operations - Core Title"),CHAR(10), IF(ISBLANK('Ingest Template'!P840),"", 'Ingest Template'!P840&amp;"|Operations - Core Title"),CHAR(10), IF(ISBLANK('Ingest Template'!Q840),"", 'Ingest Template'!Q840&amp;"|Operations - Core Title"))))</f>
        <v>#|Operations - Core Title
#|Operations - Core Title
</v>
      </c>
      <c r="AH840" s="21"/>
      <c r="AI840" s="21"/>
      <c r="AJ840" s="53" t="str">
        <f>if('Ingest Template'!A840="Standard",'Ingest Template'!N840&amp; "|DAR|DAR|2021-01-01",'Ingest Template'!N840&amp; "|Operations - Core Title|Operations - Core Title")</f>
        <v>#N/A</v>
      </c>
      <c r="AK840" s="53" t="str">
        <f>if('Ingest Template'!A840="Standard",'Ingest Template'!R840&amp; "|2021-01-01",'Ingest Template'!R840)</f>
        <v>#N/A</v>
      </c>
      <c r="AL840" s="21"/>
      <c r="AM840" s="21"/>
    </row>
    <row r="841">
      <c r="A841" s="21"/>
      <c r="B841" s="21" t="str">
        <f>'Ingest Template'!B841&amp;IF('Ingest Template'!A841 = "Standard", " - DAR","")</f>
        <v/>
      </c>
      <c r="C841" s="26" t="s">
        <v>109</v>
      </c>
      <c r="D841" s="29" t="str">
        <f t="array" ref="D841">CONCATENATE(INDEX(DropDown!$H$2:$H$10,MATCH(1,COUNTIF('Ingest Template'!F841,"*"&amp;DropDown!$H$2:$H$10&amp;"*"),0)),CHAR(10),'Ingest Template'!G841)</f>
        <v>#N/A</v>
      </c>
      <c r="E841" s="21" t="str">
        <f>CONCATENATE('Ingest Template'!H841,CHAR(10),'Ingest Template'!I841,CHAR(10),'Ingest Template'!J841)</f>
        <v>
</v>
      </c>
      <c r="F841" s="26" t="str">
        <f>'Ingest Template'!H841</f>
        <v/>
      </c>
      <c r="G841" s="21"/>
      <c r="H841" s="29"/>
      <c r="I841" s="21"/>
      <c r="J841" s="29" t="str">
        <f t="array" ref="J841">iF('Ingest Template'!A841="Standard","Pristine Brand",INDEX(DropDown!$M$2:$M$392,MATCH('Ingest Template'!E841,DropDown!$J$2:$J$392,0)))</f>
        <v>#N/A</v>
      </c>
      <c r="K841" s="21" t="str">
        <f>iF('Ingest Template'!A841="Standard",'Ingest Template'!K841&amp;CHAR(10)&amp;'Ingest Template'!L841,"Competitive View")</f>
        <v>Competitive View</v>
      </c>
      <c r="L841" s="29" t="s">
        <v>146</v>
      </c>
      <c r="M841" s="37" t="str">
        <f>'Ingest Template'!D841</f>
        <v/>
      </c>
      <c r="N841" s="21"/>
      <c r="O841" s="21"/>
      <c r="P841" s="21"/>
      <c r="Q841" s="21"/>
      <c r="R841" s="21" t="str">
        <f>'Ingest Template'!E841</f>
        <v/>
      </c>
      <c r="S841" s="29" t="s">
        <v>153</v>
      </c>
      <c r="T841" s="21" t="str">
        <f>'Ingest Template'!T841</f>
        <v/>
      </c>
      <c r="U841" s="21" t="str">
        <f>'Ingest Template'!S841</f>
        <v/>
      </c>
      <c r="V841" s="21" t="str">
        <f>LOWER(SUBSTITUTE(SUBSTITUTE(SUBSTITUTE(SUBSTITUTE(SUBSTITUTE('Ingest Template'!U841,"https:",""),"www.",""),"/",""),"?hl=en",""),"instagram.com",""))</f>
        <v/>
      </c>
      <c r="W841" s="41" t="str">
        <f t="array" ref="W841">IF('Ingest Template'!V841="",(INDEX(DropDown!$L$2:$L$392,MATCH('Ingest Template'!E841,DropDown!$J$2:$J$392,0))&amp;"|"&amp;'Ingest Template'!B841),(INDEX(DropDown!$L$2:$L$392,MATCH('Ingest Template'!E841,DropDown!$J$2:$J$392,0))&amp;"|"&amp;'Ingest Template'!B841)&amp;CHAR(10)&amp;'Ingest Template'!V841)</f>
        <v>#N/A</v>
      </c>
      <c r="X841" s="41" t="str">
        <f>'Ingest Template'!W841</f>
        <v/>
      </c>
      <c r="Y841" s="21" t="str">
        <f>SUBSTITUTE(SUBSTITUTE(SUBSTITUTE('Ingest Template'!X841,"http:",""),"https:",""),"/","")</f>
        <v/>
      </c>
      <c r="Z841" s="21" t="str">
        <f t="array" ref="Z841">IF('Ingest Template'!A841="Standard",(IF(ISBLANK('Ingest Template'!AA841),"", 'Ingest Template'!AA841&amp;"|DAR")),(IF(ISBLANK('Ingest Template'!AA841),"", 'Ingest Template'!AA841&amp;"|Film Ops")))</f>
        <v/>
      </c>
      <c r="AA841" s="21"/>
      <c r="AB841" s="21" t="str">
        <f>'Ingest Template'!M841</f>
        <v/>
      </c>
      <c r="AC841" s="21" t="str">
        <f>'Ingest Template'!Y841</f>
        <v/>
      </c>
      <c r="AD841" s="21" t="str">
        <f>'Ingest Template'!C841</f>
        <v/>
      </c>
      <c r="AE841" s="21" t="str">
        <f>'Ingest Template'!Z841</f>
        <v/>
      </c>
      <c r="AF841" s="29"/>
      <c r="AG841" s="21" t="str">
        <f t="array" ref="AG841">IF('Ingest Template'!A841="Standard",(CONCATENATE(IF(ISBLANK('Ingest Template'!O841),"", 'Ingest Template'!O841&amp;"|DAR"),CHAR(10), IF(ISBLANK('Ingest Template'!P841),"", 'Ingest Template'!P841&amp;"|DAR"),CHAR(10), IF(ISBLANK('Ingest Template'!Q841),"", 'Ingest Template'!Q841&amp;"|DAR"))),(CONCATENATE(IF(ISBLANK('Ingest Template'!O841),"", 'Ingest Template'!O841&amp;"|Operations - Core Title"),CHAR(10), IF(ISBLANK('Ingest Template'!P841),"", 'Ingest Template'!P841&amp;"|Operations - Core Title"),CHAR(10), IF(ISBLANK('Ingest Template'!Q841),"", 'Ingest Template'!Q841&amp;"|Operations - Core Title"))))</f>
        <v>#|Operations - Core Title
#|Operations - Core Title
</v>
      </c>
      <c r="AH841" s="21"/>
      <c r="AI841" s="21"/>
      <c r="AJ841" s="53" t="str">
        <f>if('Ingest Template'!A841="Standard",'Ingest Template'!N841&amp; "|DAR|DAR|2021-01-01",'Ingest Template'!N841&amp; "|Operations - Core Title|Operations - Core Title")</f>
        <v>#N/A</v>
      </c>
      <c r="AK841" s="53" t="str">
        <f>if('Ingest Template'!A841="Standard",'Ingest Template'!R841&amp; "|2021-01-01",'Ingest Template'!R841)</f>
        <v>#N/A</v>
      </c>
      <c r="AL841" s="21"/>
      <c r="AM841" s="21"/>
    </row>
    <row r="842">
      <c r="A842" s="21"/>
      <c r="B842" s="21" t="str">
        <f>'Ingest Template'!B842&amp;IF('Ingest Template'!A842 = "Standard", " - DAR","")</f>
        <v/>
      </c>
      <c r="C842" s="26" t="s">
        <v>109</v>
      </c>
      <c r="D842" s="29" t="str">
        <f t="array" ref="D842">CONCATENATE(INDEX(DropDown!$H$2:$H$10,MATCH(1,COUNTIF('Ingest Template'!F842,"*"&amp;DropDown!$H$2:$H$10&amp;"*"),0)),CHAR(10),'Ingest Template'!G842)</f>
        <v>#N/A</v>
      </c>
      <c r="E842" s="21" t="str">
        <f>CONCATENATE('Ingest Template'!H842,CHAR(10),'Ingest Template'!I842,CHAR(10),'Ingest Template'!J842)</f>
        <v>
</v>
      </c>
      <c r="F842" s="26" t="str">
        <f>'Ingest Template'!H842</f>
        <v/>
      </c>
      <c r="G842" s="21"/>
      <c r="H842" s="29"/>
      <c r="I842" s="21"/>
      <c r="J842" s="29" t="str">
        <f t="array" ref="J842">iF('Ingest Template'!A842="Standard","Pristine Brand",INDEX(DropDown!$M$2:$M$392,MATCH('Ingest Template'!E842,DropDown!$J$2:$J$392,0)))</f>
        <v>#N/A</v>
      </c>
      <c r="K842" s="21" t="str">
        <f>iF('Ingest Template'!A842="Standard",'Ingest Template'!K842&amp;CHAR(10)&amp;'Ingest Template'!L842,"Competitive View")</f>
        <v>Competitive View</v>
      </c>
      <c r="L842" s="29" t="s">
        <v>146</v>
      </c>
      <c r="M842" s="37" t="str">
        <f>'Ingest Template'!D842</f>
        <v/>
      </c>
      <c r="N842" s="21"/>
      <c r="O842" s="21"/>
      <c r="P842" s="21"/>
      <c r="Q842" s="21"/>
      <c r="R842" s="21" t="str">
        <f>'Ingest Template'!E842</f>
        <v/>
      </c>
      <c r="S842" s="29" t="s">
        <v>153</v>
      </c>
      <c r="T842" s="21" t="str">
        <f>'Ingest Template'!T842</f>
        <v/>
      </c>
      <c r="U842" s="21" t="str">
        <f>'Ingest Template'!S842</f>
        <v/>
      </c>
      <c r="V842" s="21" t="str">
        <f>LOWER(SUBSTITUTE(SUBSTITUTE(SUBSTITUTE(SUBSTITUTE(SUBSTITUTE('Ingest Template'!U842,"https:",""),"www.",""),"/",""),"?hl=en",""),"instagram.com",""))</f>
        <v/>
      </c>
      <c r="W842" s="41" t="str">
        <f t="array" ref="W842">IF('Ingest Template'!V842="",(INDEX(DropDown!$L$2:$L$392,MATCH('Ingest Template'!E842,DropDown!$J$2:$J$392,0))&amp;"|"&amp;'Ingest Template'!B842),(INDEX(DropDown!$L$2:$L$392,MATCH('Ingest Template'!E842,DropDown!$J$2:$J$392,0))&amp;"|"&amp;'Ingest Template'!B842)&amp;CHAR(10)&amp;'Ingest Template'!V842)</f>
        <v>#N/A</v>
      </c>
      <c r="X842" s="41" t="str">
        <f>'Ingest Template'!W842</f>
        <v/>
      </c>
      <c r="Y842" s="21" t="str">
        <f>SUBSTITUTE(SUBSTITUTE(SUBSTITUTE('Ingest Template'!X842,"http:",""),"https:",""),"/","")</f>
        <v/>
      </c>
      <c r="Z842" s="21" t="str">
        <f t="array" ref="Z842">IF('Ingest Template'!A842="Standard",(IF(ISBLANK('Ingest Template'!AA842),"", 'Ingest Template'!AA842&amp;"|DAR")),(IF(ISBLANK('Ingest Template'!AA842),"", 'Ingest Template'!AA842&amp;"|Film Ops")))</f>
        <v/>
      </c>
      <c r="AA842" s="21"/>
      <c r="AB842" s="21" t="str">
        <f>'Ingest Template'!M842</f>
        <v/>
      </c>
      <c r="AC842" s="21" t="str">
        <f>'Ingest Template'!Y842</f>
        <v/>
      </c>
      <c r="AD842" s="21" t="str">
        <f>'Ingest Template'!C842</f>
        <v/>
      </c>
      <c r="AE842" s="21" t="str">
        <f>'Ingest Template'!Z842</f>
        <v/>
      </c>
      <c r="AF842" s="29"/>
      <c r="AG842" s="21" t="str">
        <f t="array" ref="AG842">IF('Ingest Template'!A842="Standard",(CONCATENATE(IF(ISBLANK('Ingest Template'!O842),"", 'Ingest Template'!O842&amp;"|DAR"),CHAR(10), IF(ISBLANK('Ingest Template'!P842),"", 'Ingest Template'!P842&amp;"|DAR"),CHAR(10), IF(ISBLANK('Ingest Template'!Q842),"", 'Ingest Template'!Q842&amp;"|DAR"))),(CONCATENATE(IF(ISBLANK('Ingest Template'!O842),"", 'Ingest Template'!O842&amp;"|Operations - Core Title"),CHAR(10), IF(ISBLANK('Ingest Template'!P842),"", 'Ingest Template'!P842&amp;"|Operations - Core Title"),CHAR(10), IF(ISBLANK('Ingest Template'!Q842),"", 'Ingest Template'!Q842&amp;"|Operations - Core Title"))))</f>
        <v>#|Operations - Core Title
#|Operations - Core Title
</v>
      </c>
      <c r="AH842" s="21"/>
      <c r="AI842" s="21"/>
      <c r="AJ842" s="53" t="str">
        <f>if('Ingest Template'!A842="Standard",'Ingest Template'!N842&amp; "|DAR|DAR|2021-01-01",'Ingest Template'!N842&amp; "|Operations - Core Title|Operations - Core Title")</f>
        <v>#N/A</v>
      </c>
      <c r="AK842" s="53" t="str">
        <f>if('Ingest Template'!A842="Standard",'Ingest Template'!R842&amp; "|2021-01-01",'Ingest Template'!R842)</f>
        <v>#N/A</v>
      </c>
      <c r="AL842" s="21"/>
      <c r="AM842" s="21"/>
    </row>
    <row r="843">
      <c r="A843" s="21"/>
      <c r="B843" s="21" t="str">
        <f>'Ingest Template'!B843&amp;IF('Ingest Template'!A843 = "Standard", " - DAR","")</f>
        <v/>
      </c>
      <c r="C843" s="26" t="s">
        <v>109</v>
      </c>
      <c r="D843" s="29" t="str">
        <f t="array" ref="D843">CONCATENATE(INDEX(DropDown!$H$2:$H$10,MATCH(1,COUNTIF('Ingest Template'!F843,"*"&amp;DropDown!$H$2:$H$10&amp;"*"),0)),CHAR(10),'Ingest Template'!G843)</f>
        <v>#N/A</v>
      </c>
      <c r="E843" s="21" t="str">
        <f>CONCATENATE('Ingest Template'!H843,CHAR(10),'Ingest Template'!I843,CHAR(10),'Ingest Template'!J843)</f>
        <v>
</v>
      </c>
      <c r="F843" s="26" t="str">
        <f>'Ingest Template'!H843</f>
        <v/>
      </c>
      <c r="G843" s="21"/>
      <c r="H843" s="29"/>
      <c r="I843" s="21"/>
      <c r="J843" s="29" t="str">
        <f t="array" ref="J843">iF('Ingest Template'!A843="Standard","Pristine Brand",INDEX(DropDown!$M$2:$M$392,MATCH('Ingest Template'!E843,DropDown!$J$2:$J$392,0)))</f>
        <v>#N/A</v>
      </c>
      <c r="K843" s="21" t="str">
        <f>iF('Ingest Template'!A843="Standard",'Ingest Template'!K843&amp;CHAR(10)&amp;'Ingest Template'!L843,"Competitive View")</f>
        <v>Competitive View</v>
      </c>
      <c r="L843" s="29" t="s">
        <v>146</v>
      </c>
      <c r="M843" s="37" t="str">
        <f>'Ingest Template'!D843</f>
        <v/>
      </c>
      <c r="N843" s="21"/>
      <c r="O843" s="21"/>
      <c r="P843" s="21"/>
      <c r="Q843" s="21"/>
      <c r="R843" s="21" t="str">
        <f>'Ingest Template'!E843</f>
        <v/>
      </c>
      <c r="S843" s="29" t="s">
        <v>153</v>
      </c>
      <c r="T843" s="21" t="str">
        <f>'Ingest Template'!T843</f>
        <v/>
      </c>
      <c r="U843" s="21" t="str">
        <f>'Ingest Template'!S843</f>
        <v/>
      </c>
      <c r="V843" s="21" t="str">
        <f>LOWER(SUBSTITUTE(SUBSTITUTE(SUBSTITUTE(SUBSTITUTE(SUBSTITUTE('Ingest Template'!U843,"https:",""),"www.",""),"/",""),"?hl=en",""),"instagram.com",""))</f>
        <v/>
      </c>
      <c r="W843" s="41" t="str">
        <f t="array" ref="W843">IF('Ingest Template'!V843="",(INDEX(DropDown!$L$2:$L$392,MATCH('Ingest Template'!E843,DropDown!$J$2:$J$392,0))&amp;"|"&amp;'Ingest Template'!B843),(INDEX(DropDown!$L$2:$L$392,MATCH('Ingest Template'!E843,DropDown!$J$2:$J$392,0))&amp;"|"&amp;'Ingest Template'!B843)&amp;CHAR(10)&amp;'Ingest Template'!V843)</f>
        <v>#N/A</v>
      </c>
      <c r="X843" s="41" t="str">
        <f>'Ingest Template'!W843</f>
        <v/>
      </c>
      <c r="Y843" s="21" t="str">
        <f>SUBSTITUTE(SUBSTITUTE(SUBSTITUTE('Ingest Template'!X843,"http:",""),"https:",""),"/","")</f>
        <v/>
      </c>
      <c r="Z843" s="21" t="str">
        <f t="array" ref="Z843">IF('Ingest Template'!A843="Standard",(IF(ISBLANK('Ingest Template'!AA843),"", 'Ingest Template'!AA843&amp;"|DAR")),(IF(ISBLANK('Ingest Template'!AA843),"", 'Ingest Template'!AA843&amp;"|Film Ops")))</f>
        <v/>
      </c>
      <c r="AA843" s="21"/>
      <c r="AB843" s="21" t="str">
        <f>'Ingest Template'!M843</f>
        <v/>
      </c>
      <c r="AC843" s="21" t="str">
        <f>'Ingest Template'!Y843</f>
        <v/>
      </c>
      <c r="AD843" s="21" t="str">
        <f>'Ingest Template'!C843</f>
        <v/>
      </c>
      <c r="AE843" s="21" t="str">
        <f>'Ingest Template'!Z843</f>
        <v/>
      </c>
      <c r="AF843" s="29"/>
      <c r="AG843" s="21" t="str">
        <f t="array" ref="AG843">IF('Ingest Template'!A843="Standard",(CONCATENATE(IF(ISBLANK('Ingest Template'!O843),"", 'Ingest Template'!O843&amp;"|DAR"),CHAR(10), IF(ISBLANK('Ingest Template'!P843),"", 'Ingest Template'!P843&amp;"|DAR"),CHAR(10), IF(ISBLANK('Ingest Template'!Q843),"", 'Ingest Template'!Q843&amp;"|DAR"))),(CONCATENATE(IF(ISBLANK('Ingest Template'!O843),"", 'Ingest Template'!O843&amp;"|Operations - Core Title"),CHAR(10), IF(ISBLANK('Ingest Template'!P843),"", 'Ingest Template'!P843&amp;"|Operations - Core Title"),CHAR(10), IF(ISBLANK('Ingest Template'!Q843),"", 'Ingest Template'!Q843&amp;"|Operations - Core Title"))))</f>
        <v>#|Operations - Core Title
#|Operations - Core Title
</v>
      </c>
      <c r="AH843" s="21"/>
      <c r="AI843" s="21"/>
      <c r="AJ843" s="53" t="str">
        <f>if('Ingest Template'!A843="Standard",'Ingest Template'!N843&amp; "|DAR|DAR|2021-01-01",'Ingest Template'!N843&amp; "|Operations - Core Title|Operations - Core Title")</f>
        <v>#N/A</v>
      </c>
      <c r="AK843" s="53" t="str">
        <f>if('Ingest Template'!A843="Standard",'Ingest Template'!R843&amp; "|2021-01-01",'Ingest Template'!R843)</f>
        <v>#N/A</v>
      </c>
      <c r="AL843" s="21"/>
      <c r="AM843" s="21"/>
    </row>
    <row r="844">
      <c r="A844" s="21"/>
      <c r="B844" s="21" t="str">
        <f>'Ingest Template'!B844&amp;IF('Ingest Template'!A844 = "Standard", " - DAR","")</f>
        <v/>
      </c>
      <c r="C844" s="26" t="s">
        <v>109</v>
      </c>
      <c r="D844" s="29" t="str">
        <f t="array" ref="D844">CONCATENATE(INDEX(DropDown!$H$2:$H$10,MATCH(1,COUNTIF('Ingest Template'!F844,"*"&amp;DropDown!$H$2:$H$10&amp;"*"),0)),CHAR(10),'Ingest Template'!G844)</f>
        <v>#N/A</v>
      </c>
      <c r="E844" s="21" t="str">
        <f>CONCATENATE('Ingest Template'!H844,CHAR(10),'Ingest Template'!I844,CHAR(10),'Ingest Template'!J844)</f>
        <v>
</v>
      </c>
      <c r="F844" s="26" t="str">
        <f>'Ingest Template'!H844</f>
        <v/>
      </c>
      <c r="G844" s="21"/>
      <c r="H844" s="29"/>
      <c r="I844" s="21"/>
      <c r="J844" s="29" t="str">
        <f t="array" ref="J844">iF('Ingest Template'!A844="Standard","Pristine Brand",INDEX(DropDown!$M$2:$M$392,MATCH('Ingest Template'!E844,DropDown!$J$2:$J$392,0)))</f>
        <v>#N/A</v>
      </c>
      <c r="K844" s="21" t="str">
        <f>iF('Ingest Template'!A844="Standard",'Ingest Template'!K844&amp;CHAR(10)&amp;'Ingest Template'!L844,"Competitive View")</f>
        <v>Competitive View</v>
      </c>
      <c r="L844" s="29" t="s">
        <v>146</v>
      </c>
      <c r="M844" s="37" t="str">
        <f>'Ingest Template'!D844</f>
        <v/>
      </c>
      <c r="N844" s="21"/>
      <c r="O844" s="21"/>
      <c r="P844" s="21"/>
      <c r="Q844" s="21"/>
      <c r="R844" s="21" t="str">
        <f>'Ingest Template'!E844</f>
        <v/>
      </c>
      <c r="S844" s="29" t="s">
        <v>153</v>
      </c>
      <c r="T844" s="21" t="str">
        <f>'Ingest Template'!T844</f>
        <v/>
      </c>
      <c r="U844" s="21" t="str">
        <f>'Ingest Template'!S844</f>
        <v/>
      </c>
      <c r="V844" s="21" t="str">
        <f>LOWER(SUBSTITUTE(SUBSTITUTE(SUBSTITUTE(SUBSTITUTE(SUBSTITUTE('Ingest Template'!U844,"https:",""),"www.",""),"/",""),"?hl=en",""),"instagram.com",""))</f>
        <v/>
      </c>
      <c r="W844" s="41" t="str">
        <f t="array" ref="W844">IF('Ingest Template'!V844="",(INDEX(DropDown!$L$2:$L$392,MATCH('Ingest Template'!E844,DropDown!$J$2:$J$392,0))&amp;"|"&amp;'Ingest Template'!B844),(INDEX(DropDown!$L$2:$L$392,MATCH('Ingest Template'!E844,DropDown!$J$2:$J$392,0))&amp;"|"&amp;'Ingest Template'!B844)&amp;CHAR(10)&amp;'Ingest Template'!V844)</f>
        <v>#N/A</v>
      </c>
      <c r="X844" s="41" t="str">
        <f>'Ingest Template'!W844</f>
        <v/>
      </c>
      <c r="Y844" s="21" t="str">
        <f>SUBSTITUTE(SUBSTITUTE(SUBSTITUTE('Ingest Template'!X844,"http:",""),"https:",""),"/","")</f>
        <v/>
      </c>
      <c r="Z844" s="21" t="str">
        <f t="array" ref="Z844">IF('Ingest Template'!A844="Standard",(IF(ISBLANK('Ingest Template'!AA844),"", 'Ingest Template'!AA844&amp;"|DAR")),(IF(ISBLANK('Ingest Template'!AA844),"", 'Ingest Template'!AA844&amp;"|Film Ops")))</f>
        <v/>
      </c>
      <c r="AA844" s="21"/>
      <c r="AB844" s="21" t="str">
        <f>'Ingest Template'!M844</f>
        <v/>
      </c>
      <c r="AC844" s="21" t="str">
        <f>'Ingest Template'!Y844</f>
        <v/>
      </c>
      <c r="AD844" s="21" t="str">
        <f>'Ingest Template'!C844</f>
        <v/>
      </c>
      <c r="AE844" s="21" t="str">
        <f>'Ingest Template'!Z844</f>
        <v/>
      </c>
      <c r="AF844" s="29"/>
      <c r="AG844" s="21" t="str">
        <f t="array" ref="AG844">IF('Ingest Template'!A844="Standard",(CONCATENATE(IF(ISBLANK('Ingest Template'!O844),"", 'Ingest Template'!O844&amp;"|DAR"),CHAR(10), IF(ISBLANK('Ingest Template'!P844),"", 'Ingest Template'!P844&amp;"|DAR"),CHAR(10), IF(ISBLANK('Ingest Template'!Q844),"", 'Ingest Template'!Q844&amp;"|DAR"))),(CONCATENATE(IF(ISBLANK('Ingest Template'!O844),"", 'Ingest Template'!O844&amp;"|Operations - Core Title"),CHAR(10), IF(ISBLANK('Ingest Template'!P844),"", 'Ingest Template'!P844&amp;"|Operations - Core Title"),CHAR(10), IF(ISBLANK('Ingest Template'!Q844),"", 'Ingest Template'!Q844&amp;"|Operations - Core Title"))))</f>
        <v>#|Operations - Core Title
#|Operations - Core Title
</v>
      </c>
      <c r="AH844" s="21"/>
      <c r="AI844" s="21"/>
      <c r="AJ844" s="53" t="str">
        <f>if('Ingest Template'!A844="Standard",'Ingest Template'!N844&amp; "|DAR|DAR|2021-01-01",'Ingest Template'!N844&amp; "|Operations - Core Title|Operations - Core Title")</f>
        <v>#N/A</v>
      </c>
      <c r="AK844" s="53" t="str">
        <f>if('Ingest Template'!A844="Standard",'Ingest Template'!R844&amp; "|2021-01-01",'Ingest Template'!R844)</f>
        <v>#N/A</v>
      </c>
      <c r="AL844" s="21"/>
      <c r="AM844" s="21"/>
    </row>
    <row r="845">
      <c r="A845" s="21"/>
      <c r="B845" s="21" t="str">
        <f>'Ingest Template'!B845&amp;IF('Ingest Template'!A845 = "Standard", " - DAR","")</f>
        <v/>
      </c>
      <c r="C845" s="26" t="s">
        <v>109</v>
      </c>
      <c r="D845" s="29" t="str">
        <f t="array" ref="D845">CONCATENATE(INDEX(DropDown!$H$2:$H$10,MATCH(1,COUNTIF('Ingest Template'!F845,"*"&amp;DropDown!$H$2:$H$10&amp;"*"),0)),CHAR(10),'Ingest Template'!G845)</f>
        <v>#N/A</v>
      </c>
      <c r="E845" s="21" t="str">
        <f>CONCATENATE('Ingest Template'!H845,CHAR(10),'Ingest Template'!I845,CHAR(10),'Ingest Template'!J845)</f>
        <v>
</v>
      </c>
      <c r="F845" s="26" t="str">
        <f>'Ingest Template'!H845</f>
        <v/>
      </c>
      <c r="G845" s="21"/>
      <c r="H845" s="29"/>
      <c r="I845" s="21"/>
      <c r="J845" s="29" t="str">
        <f t="array" ref="J845">iF('Ingest Template'!A845="Standard","Pristine Brand",INDEX(DropDown!$M$2:$M$392,MATCH('Ingest Template'!E845,DropDown!$J$2:$J$392,0)))</f>
        <v>#N/A</v>
      </c>
      <c r="K845" s="21" t="str">
        <f>iF('Ingest Template'!A845="Standard",'Ingest Template'!K845&amp;CHAR(10)&amp;'Ingest Template'!L845,"Competitive View")</f>
        <v>Competitive View</v>
      </c>
      <c r="L845" s="29" t="s">
        <v>146</v>
      </c>
      <c r="M845" s="37" t="str">
        <f>'Ingest Template'!D845</f>
        <v/>
      </c>
      <c r="N845" s="21"/>
      <c r="O845" s="21"/>
      <c r="P845" s="21"/>
      <c r="Q845" s="21"/>
      <c r="R845" s="21" t="str">
        <f>'Ingest Template'!E845</f>
        <v/>
      </c>
      <c r="S845" s="29" t="s">
        <v>153</v>
      </c>
      <c r="T845" s="21" t="str">
        <f>'Ingest Template'!T845</f>
        <v/>
      </c>
      <c r="U845" s="21" t="str">
        <f>'Ingest Template'!S845</f>
        <v/>
      </c>
      <c r="V845" s="21" t="str">
        <f>LOWER(SUBSTITUTE(SUBSTITUTE(SUBSTITUTE(SUBSTITUTE(SUBSTITUTE('Ingest Template'!U845,"https:",""),"www.",""),"/",""),"?hl=en",""),"instagram.com",""))</f>
        <v/>
      </c>
      <c r="W845" s="41" t="str">
        <f t="array" ref="W845">IF('Ingest Template'!V845="",(INDEX(DropDown!$L$2:$L$392,MATCH('Ingest Template'!E845,DropDown!$J$2:$J$392,0))&amp;"|"&amp;'Ingest Template'!B845),(INDEX(DropDown!$L$2:$L$392,MATCH('Ingest Template'!E845,DropDown!$J$2:$J$392,0))&amp;"|"&amp;'Ingest Template'!B845)&amp;CHAR(10)&amp;'Ingest Template'!V845)</f>
        <v>#N/A</v>
      </c>
      <c r="X845" s="41" t="str">
        <f>'Ingest Template'!W845</f>
        <v/>
      </c>
      <c r="Y845" s="21" t="str">
        <f>SUBSTITUTE(SUBSTITUTE(SUBSTITUTE('Ingest Template'!X845,"http:",""),"https:",""),"/","")</f>
        <v/>
      </c>
      <c r="Z845" s="21" t="str">
        <f t="array" ref="Z845">IF('Ingest Template'!A845="Standard",(IF(ISBLANK('Ingest Template'!AA845),"", 'Ingest Template'!AA845&amp;"|DAR")),(IF(ISBLANK('Ingest Template'!AA845),"", 'Ingest Template'!AA845&amp;"|Film Ops")))</f>
        <v/>
      </c>
      <c r="AA845" s="21"/>
      <c r="AB845" s="21" t="str">
        <f>'Ingest Template'!M845</f>
        <v/>
      </c>
      <c r="AC845" s="21" t="str">
        <f>'Ingest Template'!Y845</f>
        <v/>
      </c>
      <c r="AD845" s="21" t="str">
        <f>'Ingest Template'!C845</f>
        <v/>
      </c>
      <c r="AE845" s="21" t="str">
        <f>'Ingest Template'!Z845</f>
        <v/>
      </c>
      <c r="AF845" s="29"/>
      <c r="AG845" s="21" t="str">
        <f t="array" ref="AG845">IF('Ingest Template'!A845="Standard",(CONCATENATE(IF(ISBLANK('Ingest Template'!O845),"", 'Ingest Template'!O845&amp;"|DAR"),CHAR(10), IF(ISBLANK('Ingest Template'!P845),"", 'Ingest Template'!P845&amp;"|DAR"),CHAR(10), IF(ISBLANK('Ingest Template'!Q845),"", 'Ingest Template'!Q845&amp;"|DAR"))),(CONCATENATE(IF(ISBLANK('Ingest Template'!O845),"", 'Ingest Template'!O845&amp;"|Operations - Core Title"),CHAR(10), IF(ISBLANK('Ingest Template'!P845),"", 'Ingest Template'!P845&amp;"|Operations - Core Title"),CHAR(10), IF(ISBLANK('Ingest Template'!Q845),"", 'Ingest Template'!Q845&amp;"|Operations - Core Title"))))</f>
        <v>#|Operations - Core Title
#|Operations - Core Title
</v>
      </c>
      <c r="AH845" s="21"/>
      <c r="AI845" s="21"/>
      <c r="AJ845" s="53" t="str">
        <f>if('Ingest Template'!A845="Standard",'Ingest Template'!N845&amp; "|DAR|DAR|2021-01-01",'Ingest Template'!N845&amp; "|Operations - Core Title|Operations - Core Title")</f>
        <v>#N/A</v>
      </c>
      <c r="AK845" s="53" t="str">
        <f>if('Ingest Template'!A845="Standard",'Ingest Template'!R845&amp; "|2021-01-01",'Ingest Template'!R845)</f>
        <v>#N/A</v>
      </c>
      <c r="AL845" s="21"/>
      <c r="AM845" s="21"/>
    </row>
    <row r="846">
      <c r="A846" s="21"/>
      <c r="B846" s="21" t="str">
        <f>'Ingest Template'!B846&amp;IF('Ingest Template'!A846 = "Standard", " - DAR","")</f>
        <v/>
      </c>
      <c r="C846" s="26" t="s">
        <v>109</v>
      </c>
      <c r="D846" s="29" t="str">
        <f t="array" ref="D846">CONCATENATE(INDEX(DropDown!$H$2:$H$10,MATCH(1,COUNTIF('Ingest Template'!F846,"*"&amp;DropDown!$H$2:$H$10&amp;"*"),0)),CHAR(10),'Ingest Template'!G846)</f>
        <v>#N/A</v>
      </c>
      <c r="E846" s="21" t="str">
        <f>CONCATENATE('Ingest Template'!H846,CHAR(10),'Ingest Template'!I846,CHAR(10),'Ingest Template'!J846)</f>
        <v>
</v>
      </c>
      <c r="F846" s="26" t="str">
        <f>'Ingest Template'!H846</f>
        <v/>
      </c>
      <c r="G846" s="21"/>
      <c r="H846" s="29"/>
      <c r="I846" s="21"/>
      <c r="J846" s="29" t="str">
        <f t="array" ref="J846">iF('Ingest Template'!A846="Standard","Pristine Brand",INDEX(DropDown!$M$2:$M$392,MATCH('Ingest Template'!E846,DropDown!$J$2:$J$392,0)))</f>
        <v>#N/A</v>
      </c>
      <c r="K846" s="21" t="str">
        <f>iF('Ingest Template'!A846="Standard",'Ingest Template'!K846&amp;CHAR(10)&amp;'Ingest Template'!L846,"Competitive View")</f>
        <v>Competitive View</v>
      </c>
      <c r="L846" s="29" t="s">
        <v>146</v>
      </c>
      <c r="M846" s="37" t="str">
        <f>'Ingest Template'!D846</f>
        <v/>
      </c>
      <c r="N846" s="21"/>
      <c r="O846" s="21"/>
      <c r="P846" s="21"/>
      <c r="Q846" s="21"/>
      <c r="R846" s="21" t="str">
        <f>'Ingest Template'!E846</f>
        <v/>
      </c>
      <c r="S846" s="29" t="s">
        <v>153</v>
      </c>
      <c r="T846" s="21" t="str">
        <f>'Ingest Template'!T846</f>
        <v/>
      </c>
      <c r="U846" s="21" t="str">
        <f>'Ingest Template'!S846</f>
        <v/>
      </c>
      <c r="V846" s="21" t="str">
        <f>LOWER(SUBSTITUTE(SUBSTITUTE(SUBSTITUTE(SUBSTITUTE(SUBSTITUTE('Ingest Template'!U846,"https:",""),"www.",""),"/",""),"?hl=en",""),"instagram.com",""))</f>
        <v/>
      </c>
      <c r="W846" s="41" t="str">
        <f t="array" ref="W846">IF('Ingest Template'!V846="",(INDEX(DropDown!$L$2:$L$392,MATCH('Ingest Template'!E846,DropDown!$J$2:$J$392,0))&amp;"|"&amp;'Ingest Template'!B846),(INDEX(DropDown!$L$2:$L$392,MATCH('Ingest Template'!E846,DropDown!$J$2:$J$392,0))&amp;"|"&amp;'Ingest Template'!B846)&amp;CHAR(10)&amp;'Ingest Template'!V846)</f>
        <v>#N/A</v>
      </c>
      <c r="X846" s="41" t="str">
        <f>'Ingest Template'!W846</f>
        <v/>
      </c>
      <c r="Y846" s="21" t="str">
        <f>SUBSTITUTE(SUBSTITUTE(SUBSTITUTE('Ingest Template'!X846,"http:",""),"https:",""),"/","")</f>
        <v/>
      </c>
      <c r="Z846" s="21" t="str">
        <f t="array" ref="Z846">IF('Ingest Template'!A846="Standard",(IF(ISBLANK('Ingest Template'!AA846),"", 'Ingest Template'!AA846&amp;"|DAR")),(IF(ISBLANK('Ingest Template'!AA846),"", 'Ingest Template'!AA846&amp;"|Film Ops")))</f>
        <v/>
      </c>
      <c r="AA846" s="21"/>
      <c r="AB846" s="21" t="str">
        <f>'Ingest Template'!M846</f>
        <v/>
      </c>
      <c r="AC846" s="21" t="str">
        <f>'Ingest Template'!Y846</f>
        <v/>
      </c>
      <c r="AD846" s="21" t="str">
        <f>'Ingest Template'!C846</f>
        <v/>
      </c>
      <c r="AE846" s="21" t="str">
        <f>'Ingest Template'!Z846</f>
        <v/>
      </c>
      <c r="AF846" s="29"/>
      <c r="AG846" s="21" t="str">
        <f t="array" ref="AG846">IF('Ingest Template'!A846="Standard",(CONCATENATE(IF(ISBLANK('Ingest Template'!O846),"", 'Ingest Template'!O846&amp;"|DAR"),CHAR(10), IF(ISBLANK('Ingest Template'!P846),"", 'Ingest Template'!P846&amp;"|DAR"),CHAR(10), IF(ISBLANK('Ingest Template'!Q846),"", 'Ingest Template'!Q846&amp;"|DAR"))),(CONCATENATE(IF(ISBLANK('Ingest Template'!O846),"", 'Ingest Template'!O846&amp;"|Operations - Core Title"),CHAR(10), IF(ISBLANK('Ingest Template'!P846),"", 'Ingest Template'!P846&amp;"|Operations - Core Title"),CHAR(10), IF(ISBLANK('Ingest Template'!Q846),"", 'Ingest Template'!Q846&amp;"|Operations - Core Title"))))</f>
        <v>#|Operations - Core Title
#|Operations - Core Title
</v>
      </c>
      <c r="AH846" s="21"/>
      <c r="AI846" s="21"/>
      <c r="AJ846" s="53" t="str">
        <f>if('Ingest Template'!A846="Standard",'Ingest Template'!N846&amp; "|DAR|DAR|2021-01-01",'Ingest Template'!N846&amp; "|Operations - Core Title|Operations - Core Title")</f>
        <v>#N/A</v>
      </c>
      <c r="AK846" s="53" t="str">
        <f>if('Ingest Template'!A846="Standard",'Ingest Template'!R846&amp; "|2021-01-01",'Ingest Template'!R846)</f>
        <v>#N/A</v>
      </c>
      <c r="AL846" s="21"/>
      <c r="AM846" s="21"/>
    </row>
    <row r="847">
      <c r="A847" s="21"/>
      <c r="B847" s="21" t="str">
        <f>'Ingest Template'!B847&amp;IF('Ingest Template'!A847 = "Standard", " - DAR","")</f>
        <v/>
      </c>
      <c r="C847" s="26" t="s">
        <v>109</v>
      </c>
      <c r="D847" s="29" t="str">
        <f t="array" ref="D847">CONCATENATE(INDEX(DropDown!$H$2:$H$10,MATCH(1,COUNTIF('Ingest Template'!F847,"*"&amp;DropDown!$H$2:$H$10&amp;"*"),0)),CHAR(10),'Ingest Template'!G847)</f>
        <v>#N/A</v>
      </c>
      <c r="E847" s="21" t="str">
        <f>CONCATENATE('Ingest Template'!H847,CHAR(10),'Ingest Template'!I847,CHAR(10),'Ingest Template'!J847)</f>
        <v>
</v>
      </c>
      <c r="F847" s="26" t="str">
        <f>'Ingest Template'!H847</f>
        <v/>
      </c>
      <c r="G847" s="21"/>
      <c r="H847" s="29"/>
      <c r="I847" s="21"/>
      <c r="J847" s="29" t="str">
        <f t="array" ref="J847">iF('Ingest Template'!A847="Standard","Pristine Brand",INDEX(DropDown!$M$2:$M$392,MATCH('Ingest Template'!E847,DropDown!$J$2:$J$392,0)))</f>
        <v>#N/A</v>
      </c>
      <c r="K847" s="21" t="str">
        <f>iF('Ingest Template'!A847="Standard",'Ingest Template'!K847&amp;CHAR(10)&amp;'Ingest Template'!L847,"Competitive View")</f>
        <v>Competitive View</v>
      </c>
      <c r="L847" s="29" t="s">
        <v>146</v>
      </c>
      <c r="M847" s="37" t="str">
        <f>'Ingest Template'!D847</f>
        <v/>
      </c>
      <c r="N847" s="21"/>
      <c r="O847" s="21"/>
      <c r="P847" s="21"/>
      <c r="Q847" s="21"/>
      <c r="R847" s="21" t="str">
        <f>'Ingest Template'!E847</f>
        <v/>
      </c>
      <c r="S847" s="29" t="s">
        <v>153</v>
      </c>
      <c r="T847" s="21" t="str">
        <f>'Ingest Template'!T847</f>
        <v/>
      </c>
      <c r="U847" s="21" t="str">
        <f>'Ingest Template'!S847</f>
        <v/>
      </c>
      <c r="V847" s="21" t="str">
        <f>LOWER(SUBSTITUTE(SUBSTITUTE(SUBSTITUTE(SUBSTITUTE(SUBSTITUTE('Ingest Template'!U847,"https:",""),"www.",""),"/",""),"?hl=en",""),"instagram.com",""))</f>
        <v/>
      </c>
      <c r="W847" s="41" t="str">
        <f t="array" ref="W847">IF('Ingest Template'!V847="",(INDEX(DropDown!$L$2:$L$392,MATCH('Ingest Template'!E847,DropDown!$J$2:$J$392,0))&amp;"|"&amp;'Ingest Template'!B847),(INDEX(DropDown!$L$2:$L$392,MATCH('Ingest Template'!E847,DropDown!$J$2:$J$392,0))&amp;"|"&amp;'Ingest Template'!B847)&amp;CHAR(10)&amp;'Ingest Template'!V847)</f>
        <v>#N/A</v>
      </c>
      <c r="X847" s="41" t="str">
        <f>'Ingest Template'!W847</f>
        <v/>
      </c>
      <c r="Y847" s="21" t="str">
        <f>SUBSTITUTE(SUBSTITUTE(SUBSTITUTE('Ingest Template'!X847,"http:",""),"https:",""),"/","")</f>
        <v/>
      </c>
      <c r="Z847" s="21" t="str">
        <f t="array" ref="Z847">IF('Ingest Template'!A847="Standard",(IF(ISBLANK('Ingest Template'!AA847),"", 'Ingest Template'!AA847&amp;"|DAR")),(IF(ISBLANK('Ingest Template'!AA847),"", 'Ingest Template'!AA847&amp;"|Film Ops")))</f>
        <v/>
      </c>
      <c r="AA847" s="21"/>
      <c r="AB847" s="21" t="str">
        <f>'Ingest Template'!M847</f>
        <v/>
      </c>
      <c r="AC847" s="21" t="str">
        <f>'Ingest Template'!Y847</f>
        <v/>
      </c>
      <c r="AD847" s="21" t="str">
        <f>'Ingest Template'!C847</f>
        <v/>
      </c>
      <c r="AE847" s="21" t="str">
        <f>'Ingest Template'!Z847</f>
        <v/>
      </c>
      <c r="AF847" s="29"/>
      <c r="AG847" s="21" t="str">
        <f t="array" ref="AG847">IF('Ingest Template'!A847="Standard",(CONCATENATE(IF(ISBLANK('Ingest Template'!O847),"", 'Ingest Template'!O847&amp;"|DAR"),CHAR(10), IF(ISBLANK('Ingest Template'!P847),"", 'Ingest Template'!P847&amp;"|DAR"),CHAR(10), IF(ISBLANK('Ingest Template'!Q847),"", 'Ingest Template'!Q847&amp;"|DAR"))),(CONCATENATE(IF(ISBLANK('Ingest Template'!O847),"", 'Ingest Template'!O847&amp;"|Operations - Core Title"),CHAR(10), IF(ISBLANK('Ingest Template'!P847),"", 'Ingest Template'!P847&amp;"|Operations - Core Title"),CHAR(10), IF(ISBLANK('Ingest Template'!Q847),"", 'Ingest Template'!Q847&amp;"|Operations - Core Title"))))</f>
        <v>#|Operations - Core Title
#|Operations - Core Title
</v>
      </c>
      <c r="AH847" s="21"/>
      <c r="AI847" s="21"/>
      <c r="AJ847" s="53" t="str">
        <f>if('Ingest Template'!A847="Standard",'Ingest Template'!N847&amp; "|DAR|DAR|2021-01-01",'Ingest Template'!N847&amp; "|Operations - Core Title|Operations - Core Title")</f>
        <v>#N/A</v>
      </c>
      <c r="AK847" s="53" t="str">
        <f>if('Ingest Template'!A847="Standard",'Ingest Template'!R847&amp; "|2021-01-01",'Ingest Template'!R847)</f>
        <v>#N/A</v>
      </c>
      <c r="AL847" s="21"/>
      <c r="AM847" s="21"/>
    </row>
    <row r="848">
      <c r="A848" s="21"/>
      <c r="B848" s="21" t="str">
        <f>'Ingest Template'!B848&amp;IF('Ingest Template'!A848 = "Standard", " - DAR","")</f>
        <v/>
      </c>
      <c r="C848" s="26" t="s">
        <v>109</v>
      </c>
      <c r="D848" s="29" t="str">
        <f t="array" ref="D848">CONCATENATE(INDEX(DropDown!$H$2:$H$10,MATCH(1,COUNTIF('Ingest Template'!F848,"*"&amp;DropDown!$H$2:$H$10&amp;"*"),0)),CHAR(10),'Ingest Template'!G848)</f>
        <v>#N/A</v>
      </c>
      <c r="E848" s="21" t="str">
        <f>CONCATENATE('Ingest Template'!H848,CHAR(10),'Ingest Template'!I848,CHAR(10),'Ingest Template'!J848)</f>
        <v>
</v>
      </c>
      <c r="F848" s="26" t="str">
        <f>'Ingest Template'!H848</f>
        <v/>
      </c>
      <c r="G848" s="21"/>
      <c r="H848" s="29"/>
      <c r="I848" s="21"/>
      <c r="J848" s="29" t="str">
        <f t="array" ref="J848">iF('Ingest Template'!A848="Standard","Pristine Brand",INDEX(DropDown!$M$2:$M$392,MATCH('Ingest Template'!E848,DropDown!$J$2:$J$392,0)))</f>
        <v>#N/A</v>
      </c>
      <c r="K848" s="21" t="str">
        <f>iF('Ingest Template'!A848="Standard",'Ingest Template'!K848&amp;CHAR(10)&amp;'Ingest Template'!L848,"Competitive View")</f>
        <v>Competitive View</v>
      </c>
      <c r="L848" s="29" t="s">
        <v>146</v>
      </c>
      <c r="M848" s="37" t="str">
        <f>'Ingest Template'!D848</f>
        <v/>
      </c>
      <c r="N848" s="21"/>
      <c r="O848" s="21"/>
      <c r="P848" s="21"/>
      <c r="Q848" s="21"/>
      <c r="R848" s="21" t="str">
        <f>'Ingest Template'!E848</f>
        <v/>
      </c>
      <c r="S848" s="29" t="s">
        <v>153</v>
      </c>
      <c r="T848" s="21" t="str">
        <f>'Ingest Template'!T848</f>
        <v/>
      </c>
      <c r="U848" s="21" t="str">
        <f>'Ingest Template'!S848</f>
        <v/>
      </c>
      <c r="V848" s="21" t="str">
        <f>LOWER(SUBSTITUTE(SUBSTITUTE(SUBSTITUTE(SUBSTITUTE(SUBSTITUTE('Ingest Template'!U848,"https:",""),"www.",""),"/",""),"?hl=en",""),"instagram.com",""))</f>
        <v/>
      </c>
      <c r="W848" s="41" t="str">
        <f t="array" ref="W848">IF('Ingest Template'!V848="",(INDEX(DropDown!$L$2:$L$392,MATCH('Ingest Template'!E848,DropDown!$J$2:$J$392,0))&amp;"|"&amp;'Ingest Template'!B848),(INDEX(DropDown!$L$2:$L$392,MATCH('Ingest Template'!E848,DropDown!$J$2:$J$392,0))&amp;"|"&amp;'Ingest Template'!B848)&amp;CHAR(10)&amp;'Ingest Template'!V848)</f>
        <v>#N/A</v>
      </c>
      <c r="X848" s="41" t="str">
        <f>'Ingest Template'!W848</f>
        <v/>
      </c>
      <c r="Y848" s="21" t="str">
        <f>SUBSTITUTE(SUBSTITUTE(SUBSTITUTE('Ingest Template'!X848,"http:",""),"https:",""),"/","")</f>
        <v/>
      </c>
      <c r="Z848" s="21" t="str">
        <f t="array" ref="Z848">IF('Ingest Template'!A848="Standard",(IF(ISBLANK('Ingest Template'!AA848),"", 'Ingest Template'!AA848&amp;"|DAR")),(IF(ISBLANK('Ingest Template'!AA848),"", 'Ingest Template'!AA848&amp;"|Film Ops")))</f>
        <v/>
      </c>
      <c r="AA848" s="21"/>
      <c r="AB848" s="21" t="str">
        <f>'Ingest Template'!M848</f>
        <v/>
      </c>
      <c r="AC848" s="21" t="str">
        <f>'Ingest Template'!Y848</f>
        <v/>
      </c>
      <c r="AD848" s="21" t="str">
        <f>'Ingest Template'!C848</f>
        <v/>
      </c>
      <c r="AE848" s="21" t="str">
        <f>'Ingest Template'!Z848</f>
        <v/>
      </c>
      <c r="AF848" s="29"/>
      <c r="AG848" s="21" t="str">
        <f t="array" ref="AG848">IF('Ingest Template'!A848="Standard",(CONCATENATE(IF(ISBLANK('Ingest Template'!O848),"", 'Ingest Template'!O848&amp;"|DAR"),CHAR(10), IF(ISBLANK('Ingest Template'!P848),"", 'Ingest Template'!P848&amp;"|DAR"),CHAR(10), IF(ISBLANK('Ingest Template'!Q848),"", 'Ingest Template'!Q848&amp;"|DAR"))),(CONCATENATE(IF(ISBLANK('Ingest Template'!O848),"", 'Ingest Template'!O848&amp;"|Operations - Core Title"),CHAR(10), IF(ISBLANK('Ingest Template'!P848),"", 'Ingest Template'!P848&amp;"|Operations - Core Title"),CHAR(10), IF(ISBLANK('Ingest Template'!Q848),"", 'Ingest Template'!Q848&amp;"|Operations - Core Title"))))</f>
        <v>#|Operations - Core Title
#|Operations - Core Title
</v>
      </c>
      <c r="AH848" s="21"/>
      <c r="AI848" s="21"/>
      <c r="AJ848" s="53" t="str">
        <f>if('Ingest Template'!A848="Standard",'Ingest Template'!N848&amp; "|DAR|DAR|2021-01-01",'Ingest Template'!N848&amp; "|Operations - Core Title|Operations - Core Title")</f>
        <v>#N/A</v>
      </c>
      <c r="AK848" s="53" t="str">
        <f>if('Ingest Template'!A848="Standard",'Ingest Template'!R848&amp; "|2021-01-01",'Ingest Template'!R848)</f>
        <v>#N/A</v>
      </c>
      <c r="AL848" s="21"/>
      <c r="AM848" s="21"/>
    </row>
    <row r="849">
      <c r="A849" s="21"/>
      <c r="B849" s="21" t="str">
        <f>'Ingest Template'!B849&amp;IF('Ingest Template'!A849 = "Standard", " - DAR","")</f>
        <v/>
      </c>
      <c r="C849" s="26" t="s">
        <v>109</v>
      </c>
      <c r="D849" s="29" t="str">
        <f t="array" ref="D849">CONCATENATE(INDEX(DropDown!$H$2:$H$10,MATCH(1,COUNTIF('Ingest Template'!F849,"*"&amp;DropDown!$H$2:$H$10&amp;"*"),0)),CHAR(10),'Ingest Template'!G849)</f>
        <v>#N/A</v>
      </c>
      <c r="E849" s="21" t="str">
        <f>CONCATENATE('Ingest Template'!H849,CHAR(10),'Ingest Template'!I849,CHAR(10),'Ingest Template'!J849)</f>
        <v>
</v>
      </c>
      <c r="F849" s="26" t="str">
        <f>'Ingest Template'!H849</f>
        <v/>
      </c>
      <c r="G849" s="21"/>
      <c r="H849" s="29"/>
      <c r="I849" s="21"/>
      <c r="J849" s="29" t="str">
        <f t="array" ref="J849">iF('Ingest Template'!A849="Standard","Pristine Brand",INDEX(DropDown!$M$2:$M$392,MATCH('Ingest Template'!E849,DropDown!$J$2:$J$392,0)))</f>
        <v>#N/A</v>
      </c>
      <c r="K849" s="21" t="str">
        <f>iF('Ingest Template'!A849="Standard",'Ingest Template'!K849&amp;CHAR(10)&amp;'Ingest Template'!L849,"Competitive View")</f>
        <v>Competitive View</v>
      </c>
      <c r="L849" s="29" t="s">
        <v>146</v>
      </c>
      <c r="M849" s="37" t="str">
        <f>'Ingest Template'!D849</f>
        <v/>
      </c>
      <c r="N849" s="21"/>
      <c r="O849" s="21"/>
      <c r="P849" s="21"/>
      <c r="Q849" s="21"/>
      <c r="R849" s="21" t="str">
        <f>'Ingest Template'!E849</f>
        <v/>
      </c>
      <c r="S849" s="29" t="s">
        <v>153</v>
      </c>
      <c r="T849" s="21" t="str">
        <f>'Ingest Template'!T849</f>
        <v/>
      </c>
      <c r="U849" s="21" t="str">
        <f>'Ingest Template'!S849</f>
        <v/>
      </c>
      <c r="V849" s="21" t="str">
        <f>LOWER(SUBSTITUTE(SUBSTITUTE(SUBSTITUTE(SUBSTITUTE(SUBSTITUTE('Ingest Template'!U849,"https:",""),"www.",""),"/",""),"?hl=en",""),"instagram.com",""))</f>
        <v/>
      </c>
      <c r="W849" s="41" t="str">
        <f t="array" ref="W849">IF('Ingest Template'!V849="",(INDEX(DropDown!$L$2:$L$392,MATCH('Ingest Template'!E849,DropDown!$J$2:$J$392,0))&amp;"|"&amp;'Ingest Template'!B849),(INDEX(DropDown!$L$2:$L$392,MATCH('Ingest Template'!E849,DropDown!$J$2:$J$392,0))&amp;"|"&amp;'Ingest Template'!B849)&amp;CHAR(10)&amp;'Ingest Template'!V849)</f>
        <v>#N/A</v>
      </c>
      <c r="X849" s="41" t="str">
        <f>'Ingest Template'!W849</f>
        <v/>
      </c>
      <c r="Y849" s="21" t="str">
        <f>SUBSTITUTE(SUBSTITUTE(SUBSTITUTE('Ingest Template'!X849,"http:",""),"https:",""),"/","")</f>
        <v/>
      </c>
      <c r="Z849" s="21" t="str">
        <f t="array" ref="Z849">IF('Ingest Template'!A849="Standard",(IF(ISBLANK('Ingest Template'!AA849),"", 'Ingest Template'!AA849&amp;"|DAR")),(IF(ISBLANK('Ingest Template'!AA849),"", 'Ingest Template'!AA849&amp;"|Film Ops")))</f>
        <v/>
      </c>
      <c r="AA849" s="21"/>
      <c r="AB849" s="21" t="str">
        <f>'Ingest Template'!M849</f>
        <v/>
      </c>
      <c r="AC849" s="21" t="str">
        <f>'Ingest Template'!Y849</f>
        <v/>
      </c>
      <c r="AD849" s="21" t="str">
        <f>'Ingest Template'!C849</f>
        <v/>
      </c>
      <c r="AE849" s="21" t="str">
        <f>'Ingest Template'!Z849</f>
        <v/>
      </c>
      <c r="AF849" s="29"/>
      <c r="AG849" s="21" t="str">
        <f t="array" ref="AG849">IF('Ingest Template'!A849="Standard",(CONCATENATE(IF(ISBLANK('Ingest Template'!O849),"", 'Ingest Template'!O849&amp;"|DAR"),CHAR(10), IF(ISBLANK('Ingest Template'!P849),"", 'Ingest Template'!P849&amp;"|DAR"),CHAR(10), IF(ISBLANK('Ingest Template'!Q849),"", 'Ingest Template'!Q849&amp;"|DAR"))),(CONCATENATE(IF(ISBLANK('Ingest Template'!O849),"", 'Ingest Template'!O849&amp;"|Operations - Core Title"),CHAR(10), IF(ISBLANK('Ingest Template'!P849),"", 'Ingest Template'!P849&amp;"|Operations - Core Title"),CHAR(10), IF(ISBLANK('Ingest Template'!Q849),"", 'Ingest Template'!Q849&amp;"|Operations - Core Title"))))</f>
        <v>#|Operations - Core Title
#|Operations - Core Title
</v>
      </c>
      <c r="AH849" s="21"/>
      <c r="AI849" s="21"/>
      <c r="AJ849" s="53" t="str">
        <f>if('Ingest Template'!A849="Standard",'Ingest Template'!N849&amp; "|DAR|DAR|2021-01-01",'Ingest Template'!N849&amp; "|Operations - Core Title|Operations - Core Title")</f>
        <v>#N/A</v>
      </c>
      <c r="AK849" s="53" t="str">
        <f>if('Ingest Template'!A849="Standard",'Ingest Template'!R849&amp; "|2021-01-01",'Ingest Template'!R849)</f>
        <v>#N/A</v>
      </c>
      <c r="AL849" s="21"/>
      <c r="AM849" s="21"/>
    </row>
    <row r="850">
      <c r="A850" s="21"/>
      <c r="B850" s="21" t="str">
        <f>'Ingest Template'!B850&amp;IF('Ingest Template'!A850 = "Standard", " - DAR","")</f>
        <v/>
      </c>
      <c r="C850" s="26" t="s">
        <v>109</v>
      </c>
      <c r="D850" s="29" t="str">
        <f t="array" ref="D850">CONCATENATE(INDEX(DropDown!$H$2:$H$10,MATCH(1,COUNTIF('Ingest Template'!F850,"*"&amp;DropDown!$H$2:$H$10&amp;"*"),0)),CHAR(10),'Ingest Template'!G850)</f>
        <v>#N/A</v>
      </c>
      <c r="E850" s="21" t="str">
        <f>CONCATENATE('Ingest Template'!H850,CHAR(10),'Ingest Template'!I850,CHAR(10),'Ingest Template'!J850)</f>
        <v>
</v>
      </c>
      <c r="F850" s="26" t="str">
        <f>'Ingest Template'!H850</f>
        <v/>
      </c>
      <c r="G850" s="21"/>
      <c r="H850" s="29"/>
      <c r="I850" s="21"/>
      <c r="J850" s="29" t="str">
        <f t="array" ref="J850">iF('Ingest Template'!A850="Standard","Pristine Brand",INDEX(DropDown!$M$2:$M$392,MATCH('Ingest Template'!E850,DropDown!$J$2:$J$392,0)))</f>
        <v>#N/A</v>
      </c>
      <c r="K850" s="21" t="str">
        <f>iF('Ingest Template'!A850="Standard",'Ingest Template'!K850&amp;CHAR(10)&amp;'Ingest Template'!L850,"Competitive View")</f>
        <v>Competitive View</v>
      </c>
      <c r="L850" s="29" t="s">
        <v>146</v>
      </c>
      <c r="M850" s="37" t="str">
        <f>'Ingest Template'!D850</f>
        <v/>
      </c>
      <c r="N850" s="21"/>
      <c r="O850" s="21"/>
      <c r="P850" s="21"/>
      <c r="Q850" s="21"/>
      <c r="R850" s="21" t="str">
        <f>'Ingest Template'!E850</f>
        <v/>
      </c>
      <c r="S850" s="29" t="s">
        <v>153</v>
      </c>
      <c r="T850" s="21" t="str">
        <f>'Ingest Template'!T850</f>
        <v/>
      </c>
      <c r="U850" s="21" t="str">
        <f>'Ingest Template'!S850</f>
        <v/>
      </c>
      <c r="V850" s="21" t="str">
        <f>LOWER(SUBSTITUTE(SUBSTITUTE(SUBSTITUTE(SUBSTITUTE(SUBSTITUTE('Ingest Template'!U850,"https:",""),"www.",""),"/",""),"?hl=en",""),"instagram.com",""))</f>
        <v/>
      </c>
      <c r="W850" s="41" t="str">
        <f t="array" ref="W850">IF('Ingest Template'!V850="",(INDEX(DropDown!$L$2:$L$392,MATCH('Ingest Template'!E850,DropDown!$J$2:$J$392,0))&amp;"|"&amp;'Ingest Template'!B850),(INDEX(DropDown!$L$2:$L$392,MATCH('Ingest Template'!E850,DropDown!$J$2:$J$392,0))&amp;"|"&amp;'Ingest Template'!B850)&amp;CHAR(10)&amp;'Ingest Template'!V850)</f>
        <v>#N/A</v>
      </c>
      <c r="X850" s="41" t="str">
        <f>'Ingest Template'!W850</f>
        <v/>
      </c>
      <c r="Y850" s="21" t="str">
        <f>SUBSTITUTE(SUBSTITUTE(SUBSTITUTE('Ingest Template'!X850,"http:",""),"https:",""),"/","")</f>
        <v/>
      </c>
      <c r="Z850" s="21" t="str">
        <f t="array" ref="Z850">IF('Ingest Template'!A850="Standard",(IF(ISBLANK('Ingest Template'!AA850),"", 'Ingest Template'!AA850&amp;"|DAR")),(IF(ISBLANK('Ingest Template'!AA850),"", 'Ingest Template'!AA850&amp;"|Film Ops")))</f>
        <v/>
      </c>
      <c r="AA850" s="21"/>
      <c r="AB850" s="21" t="str">
        <f>'Ingest Template'!M850</f>
        <v/>
      </c>
      <c r="AC850" s="21" t="str">
        <f>'Ingest Template'!Y850</f>
        <v/>
      </c>
      <c r="AD850" s="21" t="str">
        <f>'Ingest Template'!C850</f>
        <v/>
      </c>
      <c r="AE850" s="21" t="str">
        <f>'Ingest Template'!Z850</f>
        <v/>
      </c>
      <c r="AF850" s="29"/>
      <c r="AG850" s="21" t="str">
        <f t="array" ref="AG850">IF('Ingest Template'!A850="Standard",(CONCATENATE(IF(ISBLANK('Ingest Template'!O850),"", 'Ingest Template'!O850&amp;"|DAR"),CHAR(10), IF(ISBLANK('Ingest Template'!P850),"", 'Ingest Template'!P850&amp;"|DAR"),CHAR(10), IF(ISBLANK('Ingest Template'!Q850),"", 'Ingest Template'!Q850&amp;"|DAR"))),(CONCATENATE(IF(ISBLANK('Ingest Template'!O850),"", 'Ingest Template'!O850&amp;"|Operations - Core Title"),CHAR(10), IF(ISBLANK('Ingest Template'!P850),"", 'Ingest Template'!P850&amp;"|Operations - Core Title"),CHAR(10), IF(ISBLANK('Ingest Template'!Q850),"", 'Ingest Template'!Q850&amp;"|Operations - Core Title"))))</f>
        <v>#|Operations - Core Title
#|Operations - Core Title
</v>
      </c>
      <c r="AH850" s="21"/>
      <c r="AI850" s="21"/>
      <c r="AJ850" s="53" t="str">
        <f>if('Ingest Template'!A850="Standard",'Ingest Template'!N850&amp; "|DAR|DAR|2021-01-01",'Ingest Template'!N850&amp; "|Operations - Core Title|Operations - Core Title")</f>
        <v>#N/A</v>
      </c>
      <c r="AK850" s="53" t="str">
        <f>if('Ingest Template'!A850="Standard",'Ingest Template'!R850&amp; "|2021-01-01",'Ingest Template'!R850)</f>
        <v>#N/A</v>
      </c>
      <c r="AL850" s="21"/>
      <c r="AM850" s="21"/>
    </row>
    <row r="851">
      <c r="A851" s="21"/>
      <c r="B851" s="21" t="str">
        <f>'Ingest Template'!B851&amp;IF('Ingest Template'!A851 = "Standard", " - DAR","")</f>
        <v/>
      </c>
      <c r="C851" s="26" t="s">
        <v>109</v>
      </c>
      <c r="D851" s="29" t="str">
        <f t="array" ref="D851">CONCATENATE(INDEX(DropDown!$H$2:$H$10,MATCH(1,COUNTIF('Ingest Template'!F851,"*"&amp;DropDown!$H$2:$H$10&amp;"*"),0)),CHAR(10),'Ingest Template'!G851)</f>
        <v>#N/A</v>
      </c>
      <c r="E851" s="21" t="str">
        <f>CONCATENATE('Ingest Template'!H851,CHAR(10),'Ingest Template'!I851,CHAR(10),'Ingest Template'!J851)</f>
        <v>
</v>
      </c>
      <c r="F851" s="26" t="str">
        <f>'Ingest Template'!H851</f>
        <v/>
      </c>
      <c r="G851" s="21"/>
      <c r="H851" s="29"/>
      <c r="I851" s="21"/>
      <c r="J851" s="29" t="str">
        <f t="array" ref="J851">iF('Ingest Template'!A851="Standard","Pristine Brand",INDEX(DropDown!$M$2:$M$392,MATCH('Ingest Template'!E851,DropDown!$J$2:$J$392,0)))</f>
        <v>#N/A</v>
      </c>
      <c r="K851" s="21" t="str">
        <f>iF('Ingest Template'!A851="Standard",'Ingest Template'!K851&amp;CHAR(10)&amp;'Ingest Template'!L851,"Competitive View")</f>
        <v>Competitive View</v>
      </c>
      <c r="L851" s="29" t="s">
        <v>146</v>
      </c>
      <c r="M851" s="37" t="str">
        <f>'Ingest Template'!D851</f>
        <v/>
      </c>
      <c r="N851" s="21"/>
      <c r="O851" s="21"/>
      <c r="P851" s="21"/>
      <c r="Q851" s="21"/>
      <c r="R851" s="21" t="str">
        <f>'Ingest Template'!E851</f>
        <v/>
      </c>
      <c r="S851" s="29" t="s">
        <v>153</v>
      </c>
      <c r="T851" s="21" t="str">
        <f>'Ingest Template'!T851</f>
        <v/>
      </c>
      <c r="U851" s="21" t="str">
        <f>'Ingest Template'!S851</f>
        <v/>
      </c>
      <c r="V851" s="21" t="str">
        <f>LOWER(SUBSTITUTE(SUBSTITUTE(SUBSTITUTE(SUBSTITUTE(SUBSTITUTE('Ingest Template'!U851,"https:",""),"www.",""),"/",""),"?hl=en",""),"instagram.com",""))</f>
        <v/>
      </c>
      <c r="W851" s="41" t="str">
        <f t="array" ref="W851">IF('Ingest Template'!V851="",(INDEX(DropDown!$L$2:$L$392,MATCH('Ingest Template'!E851,DropDown!$J$2:$J$392,0))&amp;"|"&amp;'Ingest Template'!B851),(INDEX(DropDown!$L$2:$L$392,MATCH('Ingest Template'!E851,DropDown!$J$2:$J$392,0))&amp;"|"&amp;'Ingest Template'!B851)&amp;CHAR(10)&amp;'Ingest Template'!V851)</f>
        <v>#N/A</v>
      </c>
      <c r="X851" s="41" t="str">
        <f>'Ingest Template'!W851</f>
        <v/>
      </c>
      <c r="Y851" s="21" t="str">
        <f>SUBSTITUTE(SUBSTITUTE(SUBSTITUTE('Ingest Template'!X851,"http:",""),"https:",""),"/","")</f>
        <v/>
      </c>
      <c r="Z851" s="21" t="str">
        <f t="array" ref="Z851">IF('Ingest Template'!A851="Standard",(IF(ISBLANK('Ingest Template'!AA851),"", 'Ingest Template'!AA851&amp;"|DAR")),(IF(ISBLANK('Ingest Template'!AA851),"", 'Ingest Template'!AA851&amp;"|Film Ops")))</f>
        <v/>
      </c>
      <c r="AA851" s="21"/>
      <c r="AB851" s="21" t="str">
        <f>'Ingest Template'!M851</f>
        <v/>
      </c>
      <c r="AC851" s="21" t="str">
        <f>'Ingest Template'!Y851</f>
        <v/>
      </c>
      <c r="AD851" s="21" t="str">
        <f>'Ingest Template'!C851</f>
        <v/>
      </c>
      <c r="AE851" s="21" t="str">
        <f>'Ingest Template'!Z851</f>
        <v/>
      </c>
      <c r="AF851" s="29"/>
      <c r="AG851" s="21" t="str">
        <f t="array" ref="AG851">IF('Ingest Template'!A851="Standard",(CONCATENATE(IF(ISBLANK('Ingest Template'!O851),"", 'Ingest Template'!O851&amp;"|DAR"),CHAR(10), IF(ISBLANK('Ingest Template'!P851),"", 'Ingest Template'!P851&amp;"|DAR"),CHAR(10), IF(ISBLANK('Ingest Template'!Q851),"", 'Ingest Template'!Q851&amp;"|DAR"))),(CONCATENATE(IF(ISBLANK('Ingest Template'!O851),"", 'Ingest Template'!O851&amp;"|Operations - Core Title"),CHAR(10), IF(ISBLANK('Ingest Template'!P851),"", 'Ingest Template'!P851&amp;"|Operations - Core Title"),CHAR(10), IF(ISBLANK('Ingest Template'!Q851),"", 'Ingest Template'!Q851&amp;"|Operations - Core Title"))))</f>
        <v>#|Operations - Core Title
#|Operations - Core Title
</v>
      </c>
      <c r="AH851" s="21"/>
      <c r="AI851" s="21"/>
      <c r="AJ851" s="53" t="str">
        <f>if('Ingest Template'!A851="Standard",'Ingest Template'!N851&amp; "|DAR|DAR|2021-01-01",'Ingest Template'!N851&amp; "|Operations - Core Title|Operations - Core Title")</f>
        <v>#N/A</v>
      </c>
      <c r="AK851" s="53" t="str">
        <f>if('Ingest Template'!A851="Standard",'Ingest Template'!R851&amp; "|2021-01-01",'Ingest Template'!R851)</f>
        <v>#N/A</v>
      </c>
      <c r="AL851" s="21"/>
      <c r="AM851" s="21"/>
    </row>
    <row r="852">
      <c r="A852" s="21"/>
      <c r="B852" s="21" t="str">
        <f>'Ingest Template'!B852&amp;IF('Ingest Template'!A852 = "Standard", " - DAR","")</f>
        <v/>
      </c>
      <c r="C852" s="26" t="s">
        <v>109</v>
      </c>
      <c r="D852" s="29" t="str">
        <f t="array" ref="D852">CONCATENATE(INDEX(DropDown!$H$2:$H$10,MATCH(1,COUNTIF('Ingest Template'!F852,"*"&amp;DropDown!$H$2:$H$10&amp;"*"),0)),CHAR(10),'Ingest Template'!G852)</f>
        <v>#N/A</v>
      </c>
      <c r="E852" s="21" t="str">
        <f>CONCATENATE('Ingest Template'!H852,CHAR(10),'Ingest Template'!I852,CHAR(10),'Ingest Template'!J852)</f>
        <v>
</v>
      </c>
      <c r="F852" s="26" t="str">
        <f>'Ingest Template'!H852</f>
        <v/>
      </c>
      <c r="G852" s="21"/>
      <c r="H852" s="29"/>
      <c r="I852" s="21"/>
      <c r="J852" s="29" t="str">
        <f t="array" ref="J852">iF('Ingest Template'!A852="Standard","Pristine Brand",INDEX(DropDown!$M$2:$M$392,MATCH('Ingest Template'!E852,DropDown!$J$2:$J$392,0)))</f>
        <v>#N/A</v>
      </c>
      <c r="K852" s="21" t="str">
        <f>iF('Ingest Template'!A852="Standard",'Ingest Template'!K852&amp;CHAR(10)&amp;'Ingest Template'!L852,"Competitive View")</f>
        <v>Competitive View</v>
      </c>
      <c r="L852" s="29" t="s">
        <v>146</v>
      </c>
      <c r="M852" s="37" t="str">
        <f>'Ingest Template'!D852</f>
        <v/>
      </c>
      <c r="N852" s="21"/>
      <c r="O852" s="21"/>
      <c r="P852" s="21"/>
      <c r="Q852" s="21"/>
      <c r="R852" s="21" t="str">
        <f>'Ingest Template'!E852</f>
        <v/>
      </c>
      <c r="S852" s="29" t="s">
        <v>153</v>
      </c>
      <c r="T852" s="21" t="str">
        <f>'Ingest Template'!T852</f>
        <v/>
      </c>
      <c r="U852" s="21" t="str">
        <f>'Ingest Template'!S852</f>
        <v/>
      </c>
      <c r="V852" s="21" t="str">
        <f>LOWER(SUBSTITUTE(SUBSTITUTE(SUBSTITUTE(SUBSTITUTE(SUBSTITUTE('Ingest Template'!U852,"https:",""),"www.",""),"/",""),"?hl=en",""),"instagram.com",""))</f>
        <v/>
      </c>
      <c r="W852" s="41" t="str">
        <f t="array" ref="W852">IF('Ingest Template'!V852="",(INDEX(DropDown!$L$2:$L$392,MATCH('Ingest Template'!E852,DropDown!$J$2:$J$392,0))&amp;"|"&amp;'Ingest Template'!B852),(INDEX(DropDown!$L$2:$L$392,MATCH('Ingest Template'!E852,DropDown!$J$2:$J$392,0))&amp;"|"&amp;'Ingest Template'!B852)&amp;CHAR(10)&amp;'Ingest Template'!V852)</f>
        <v>#N/A</v>
      </c>
      <c r="X852" s="41" t="str">
        <f>'Ingest Template'!W852</f>
        <v/>
      </c>
      <c r="Y852" s="21" t="str">
        <f>SUBSTITUTE(SUBSTITUTE(SUBSTITUTE('Ingest Template'!X852,"http:",""),"https:",""),"/","")</f>
        <v/>
      </c>
      <c r="Z852" s="21" t="str">
        <f t="array" ref="Z852">IF('Ingest Template'!A852="Standard",(IF(ISBLANK('Ingest Template'!AA852),"", 'Ingest Template'!AA852&amp;"|DAR")),(IF(ISBLANK('Ingest Template'!AA852),"", 'Ingest Template'!AA852&amp;"|Film Ops")))</f>
        <v/>
      </c>
      <c r="AA852" s="21"/>
      <c r="AB852" s="21" t="str">
        <f>'Ingest Template'!M852</f>
        <v/>
      </c>
      <c r="AC852" s="21" t="str">
        <f>'Ingest Template'!Y852</f>
        <v/>
      </c>
      <c r="AD852" s="21" t="str">
        <f>'Ingest Template'!C852</f>
        <v/>
      </c>
      <c r="AE852" s="21" t="str">
        <f>'Ingest Template'!Z852</f>
        <v/>
      </c>
      <c r="AF852" s="29"/>
      <c r="AG852" s="21" t="str">
        <f t="array" ref="AG852">IF('Ingest Template'!A852="Standard",(CONCATENATE(IF(ISBLANK('Ingest Template'!O852),"", 'Ingest Template'!O852&amp;"|DAR"),CHAR(10), IF(ISBLANK('Ingest Template'!P852),"", 'Ingest Template'!P852&amp;"|DAR"),CHAR(10), IF(ISBLANK('Ingest Template'!Q852),"", 'Ingest Template'!Q852&amp;"|DAR"))),(CONCATENATE(IF(ISBLANK('Ingest Template'!O852),"", 'Ingest Template'!O852&amp;"|Operations - Core Title"),CHAR(10), IF(ISBLANK('Ingest Template'!P852),"", 'Ingest Template'!P852&amp;"|Operations - Core Title"),CHAR(10), IF(ISBLANK('Ingest Template'!Q852),"", 'Ingest Template'!Q852&amp;"|Operations - Core Title"))))</f>
        <v>#|Operations - Core Title
#|Operations - Core Title
</v>
      </c>
      <c r="AH852" s="21"/>
      <c r="AI852" s="21"/>
      <c r="AJ852" s="53" t="str">
        <f>if('Ingest Template'!A852="Standard",'Ingest Template'!N852&amp; "|DAR|DAR|2021-01-01",'Ingest Template'!N852&amp; "|Operations - Core Title|Operations - Core Title")</f>
        <v>#N/A</v>
      </c>
      <c r="AK852" s="53" t="str">
        <f>if('Ingest Template'!A852="Standard",'Ingest Template'!R852&amp; "|2021-01-01",'Ingest Template'!R852)</f>
        <v>#N/A</v>
      </c>
      <c r="AL852" s="21"/>
      <c r="AM852" s="21"/>
    </row>
    <row r="853">
      <c r="A853" s="21"/>
      <c r="B853" s="21" t="str">
        <f>'Ingest Template'!B853&amp;IF('Ingest Template'!A853 = "Standard", " - DAR","")</f>
        <v/>
      </c>
      <c r="C853" s="26" t="s">
        <v>109</v>
      </c>
      <c r="D853" s="29" t="str">
        <f t="array" ref="D853">CONCATENATE(INDEX(DropDown!$H$2:$H$10,MATCH(1,COUNTIF('Ingest Template'!F853,"*"&amp;DropDown!$H$2:$H$10&amp;"*"),0)),CHAR(10),'Ingest Template'!G853)</f>
        <v>#N/A</v>
      </c>
      <c r="E853" s="21" t="str">
        <f>CONCATENATE('Ingest Template'!H853,CHAR(10),'Ingest Template'!I853,CHAR(10),'Ingest Template'!J853)</f>
        <v>
</v>
      </c>
      <c r="F853" s="26" t="str">
        <f>'Ingest Template'!H853</f>
        <v/>
      </c>
      <c r="G853" s="21"/>
      <c r="H853" s="29"/>
      <c r="I853" s="21"/>
      <c r="J853" s="29" t="str">
        <f t="array" ref="J853">iF('Ingest Template'!A853="Standard","Pristine Brand",INDEX(DropDown!$M$2:$M$392,MATCH('Ingest Template'!E853,DropDown!$J$2:$J$392,0)))</f>
        <v>#N/A</v>
      </c>
      <c r="K853" s="21" t="str">
        <f>iF('Ingest Template'!A853="Standard",'Ingest Template'!K853&amp;CHAR(10)&amp;'Ingest Template'!L853,"Competitive View")</f>
        <v>Competitive View</v>
      </c>
      <c r="L853" s="29" t="s">
        <v>146</v>
      </c>
      <c r="M853" s="37" t="str">
        <f>'Ingest Template'!D853</f>
        <v/>
      </c>
      <c r="N853" s="21"/>
      <c r="O853" s="21"/>
      <c r="P853" s="21"/>
      <c r="Q853" s="21"/>
      <c r="R853" s="21" t="str">
        <f>'Ingest Template'!E853</f>
        <v/>
      </c>
      <c r="S853" s="29" t="s">
        <v>153</v>
      </c>
      <c r="T853" s="21" t="str">
        <f>'Ingest Template'!T853</f>
        <v/>
      </c>
      <c r="U853" s="21" t="str">
        <f>'Ingest Template'!S853</f>
        <v/>
      </c>
      <c r="V853" s="21" t="str">
        <f>LOWER(SUBSTITUTE(SUBSTITUTE(SUBSTITUTE(SUBSTITUTE(SUBSTITUTE('Ingest Template'!U853,"https:",""),"www.",""),"/",""),"?hl=en",""),"instagram.com",""))</f>
        <v/>
      </c>
      <c r="W853" s="41" t="str">
        <f t="array" ref="W853">IF('Ingest Template'!V853="",(INDEX(DropDown!$L$2:$L$392,MATCH('Ingest Template'!E853,DropDown!$J$2:$J$392,0))&amp;"|"&amp;'Ingest Template'!B853),(INDEX(DropDown!$L$2:$L$392,MATCH('Ingest Template'!E853,DropDown!$J$2:$J$392,0))&amp;"|"&amp;'Ingest Template'!B853)&amp;CHAR(10)&amp;'Ingest Template'!V853)</f>
        <v>#N/A</v>
      </c>
      <c r="X853" s="41" t="str">
        <f>'Ingest Template'!W853</f>
        <v/>
      </c>
      <c r="Y853" s="21" t="str">
        <f>SUBSTITUTE(SUBSTITUTE(SUBSTITUTE('Ingest Template'!X853,"http:",""),"https:",""),"/","")</f>
        <v/>
      </c>
      <c r="Z853" s="21" t="str">
        <f t="array" ref="Z853">IF('Ingest Template'!A853="Standard",(IF(ISBLANK('Ingest Template'!AA853),"", 'Ingest Template'!AA853&amp;"|DAR")),(IF(ISBLANK('Ingest Template'!AA853),"", 'Ingest Template'!AA853&amp;"|Film Ops")))</f>
        <v/>
      </c>
      <c r="AA853" s="21"/>
      <c r="AB853" s="21" t="str">
        <f>'Ingest Template'!M853</f>
        <v/>
      </c>
      <c r="AC853" s="21" t="str">
        <f>'Ingest Template'!Y853</f>
        <v/>
      </c>
      <c r="AD853" s="21" t="str">
        <f>'Ingest Template'!C853</f>
        <v/>
      </c>
      <c r="AE853" s="21" t="str">
        <f>'Ingest Template'!Z853</f>
        <v/>
      </c>
      <c r="AF853" s="29"/>
      <c r="AG853" s="21" t="str">
        <f t="array" ref="AG853">IF('Ingest Template'!A853="Standard",(CONCATENATE(IF(ISBLANK('Ingest Template'!O853),"", 'Ingest Template'!O853&amp;"|DAR"),CHAR(10), IF(ISBLANK('Ingest Template'!P853),"", 'Ingest Template'!P853&amp;"|DAR"),CHAR(10), IF(ISBLANK('Ingest Template'!Q853),"", 'Ingest Template'!Q853&amp;"|DAR"))),(CONCATENATE(IF(ISBLANK('Ingest Template'!O853),"", 'Ingest Template'!O853&amp;"|Operations - Core Title"),CHAR(10), IF(ISBLANK('Ingest Template'!P853),"", 'Ingest Template'!P853&amp;"|Operations - Core Title"),CHAR(10), IF(ISBLANK('Ingest Template'!Q853),"", 'Ingest Template'!Q853&amp;"|Operations - Core Title"))))</f>
        <v>#|Operations - Core Title
#|Operations - Core Title
</v>
      </c>
      <c r="AH853" s="21"/>
      <c r="AI853" s="21"/>
      <c r="AJ853" s="53" t="str">
        <f>if('Ingest Template'!A853="Standard",'Ingest Template'!N853&amp; "|DAR|DAR|2021-01-01",'Ingest Template'!N853&amp; "|Operations - Core Title|Operations - Core Title")</f>
        <v>#N/A</v>
      </c>
      <c r="AK853" s="53" t="str">
        <f>if('Ingest Template'!A853="Standard",'Ingest Template'!R853&amp; "|2021-01-01",'Ingest Template'!R853)</f>
        <v>#N/A</v>
      </c>
      <c r="AL853" s="21"/>
      <c r="AM853" s="21"/>
    </row>
    <row r="854">
      <c r="A854" s="21"/>
      <c r="B854" s="21" t="str">
        <f>'Ingest Template'!B854&amp;IF('Ingest Template'!A854 = "Standard", " - DAR","")</f>
        <v/>
      </c>
      <c r="C854" s="26" t="s">
        <v>109</v>
      </c>
      <c r="D854" s="29" t="str">
        <f t="array" ref="D854">CONCATENATE(INDEX(DropDown!$H$2:$H$10,MATCH(1,COUNTIF('Ingest Template'!F854,"*"&amp;DropDown!$H$2:$H$10&amp;"*"),0)),CHAR(10),'Ingest Template'!G854)</f>
        <v>#N/A</v>
      </c>
      <c r="E854" s="21" t="str">
        <f>CONCATENATE('Ingest Template'!H854,CHAR(10),'Ingest Template'!I854,CHAR(10),'Ingest Template'!J854)</f>
        <v>
</v>
      </c>
      <c r="F854" s="26" t="str">
        <f>'Ingest Template'!H854</f>
        <v/>
      </c>
      <c r="G854" s="21"/>
      <c r="H854" s="29"/>
      <c r="I854" s="21"/>
      <c r="J854" s="29" t="str">
        <f t="array" ref="J854">iF('Ingest Template'!A854="Standard","Pristine Brand",INDEX(DropDown!$M$2:$M$392,MATCH('Ingest Template'!E854,DropDown!$J$2:$J$392,0)))</f>
        <v>#N/A</v>
      </c>
      <c r="K854" s="21" t="str">
        <f>iF('Ingest Template'!A854="Standard",'Ingest Template'!K854&amp;CHAR(10)&amp;'Ingest Template'!L854,"Competitive View")</f>
        <v>Competitive View</v>
      </c>
      <c r="L854" s="29" t="s">
        <v>146</v>
      </c>
      <c r="M854" s="37" t="str">
        <f>'Ingest Template'!D854</f>
        <v/>
      </c>
      <c r="N854" s="21"/>
      <c r="O854" s="21"/>
      <c r="P854" s="21"/>
      <c r="Q854" s="21"/>
      <c r="R854" s="21" t="str">
        <f>'Ingest Template'!E854</f>
        <v/>
      </c>
      <c r="S854" s="29" t="s">
        <v>153</v>
      </c>
      <c r="T854" s="21" t="str">
        <f>'Ingest Template'!T854</f>
        <v/>
      </c>
      <c r="U854" s="21" t="str">
        <f>'Ingest Template'!S854</f>
        <v/>
      </c>
      <c r="V854" s="21" t="str">
        <f>LOWER(SUBSTITUTE(SUBSTITUTE(SUBSTITUTE(SUBSTITUTE(SUBSTITUTE('Ingest Template'!U854,"https:",""),"www.",""),"/",""),"?hl=en",""),"instagram.com",""))</f>
        <v/>
      </c>
      <c r="W854" s="41" t="str">
        <f t="array" ref="W854">IF('Ingest Template'!V854="",(INDEX(DropDown!$L$2:$L$392,MATCH('Ingest Template'!E854,DropDown!$J$2:$J$392,0))&amp;"|"&amp;'Ingest Template'!B854),(INDEX(DropDown!$L$2:$L$392,MATCH('Ingest Template'!E854,DropDown!$J$2:$J$392,0))&amp;"|"&amp;'Ingest Template'!B854)&amp;CHAR(10)&amp;'Ingest Template'!V854)</f>
        <v>#N/A</v>
      </c>
      <c r="X854" s="41" t="str">
        <f>'Ingest Template'!W854</f>
        <v/>
      </c>
      <c r="Y854" s="21" t="str">
        <f>SUBSTITUTE(SUBSTITUTE(SUBSTITUTE('Ingest Template'!X854,"http:",""),"https:",""),"/","")</f>
        <v/>
      </c>
      <c r="Z854" s="21" t="str">
        <f t="array" ref="Z854">IF('Ingest Template'!A854="Standard",(IF(ISBLANK('Ingest Template'!AA854),"", 'Ingest Template'!AA854&amp;"|DAR")),(IF(ISBLANK('Ingest Template'!AA854),"", 'Ingest Template'!AA854&amp;"|Film Ops")))</f>
        <v/>
      </c>
      <c r="AA854" s="21"/>
      <c r="AB854" s="21" t="str">
        <f>'Ingest Template'!M854</f>
        <v/>
      </c>
      <c r="AC854" s="21" t="str">
        <f>'Ingest Template'!Y854</f>
        <v/>
      </c>
      <c r="AD854" s="21" t="str">
        <f>'Ingest Template'!C854</f>
        <v/>
      </c>
      <c r="AE854" s="21" t="str">
        <f>'Ingest Template'!Z854</f>
        <v/>
      </c>
      <c r="AF854" s="29"/>
      <c r="AG854" s="21" t="str">
        <f t="array" ref="AG854">IF('Ingest Template'!A854="Standard",(CONCATENATE(IF(ISBLANK('Ingest Template'!O854),"", 'Ingest Template'!O854&amp;"|DAR"),CHAR(10), IF(ISBLANK('Ingest Template'!P854),"", 'Ingest Template'!P854&amp;"|DAR"),CHAR(10), IF(ISBLANK('Ingest Template'!Q854),"", 'Ingest Template'!Q854&amp;"|DAR"))),(CONCATENATE(IF(ISBLANK('Ingest Template'!O854),"", 'Ingest Template'!O854&amp;"|Operations - Core Title"),CHAR(10), IF(ISBLANK('Ingest Template'!P854),"", 'Ingest Template'!P854&amp;"|Operations - Core Title"),CHAR(10), IF(ISBLANK('Ingest Template'!Q854),"", 'Ingest Template'!Q854&amp;"|Operations - Core Title"))))</f>
        <v>#|Operations - Core Title
#|Operations - Core Title
</v>
      </c>
      <c r="AH854" s="21"/>
      <c r="AI854" s="21"/>
      <c r="AJ854" s="53" t="str">
        <f>if('Ingest Template'!A854="Standard",'Ingest Template'!N854&amp; "|DAR|DAR|2021-01-01",'Ingest Template'!N854&amp; "|Operations - Core Title|Operations - Core Title")</f>
        <v>#N/A</v>
      </c>
      <c r="AK854" s="53" t="str">
        <f>if('Ingest Template'!A854="Standard",'Ingest Template'!R854&amp; "|2021-01-01",'Ingest Template'!R854)</f>
        <v>#N/A</v>
      </c>
      <c r="AL854" s="21"/>
      <c r="AM854" s="21"/>
    </row>
    <row r="855">
      <c r="A855" s="21"/>
      <c r="B855" s="21" t="str">
        <f>'Ingest Template'!B855&amp;IF('Ingest Template'!A855 = "Standard", " - DAR","")</f>
        <v/>
      </c>
      <c r="C855" s="26" t="s">
        <v>109</v>
      </c>
      <c r="D855" s="29" t="str">
        <f t="array" ref="D855">CONCATENATE(INDEX(DropDown!$H$2:$H$10,MATCH(1,COUNTIF('Ingest Template'!F855,"*"&amp;DropDown!$H$2:$H$10&amp;"*"),0)),CHAR(10),'Ingest Template'!G855)</f>
        <v>#N/A</v>
      </c>
      <c r="E855" s="21" t="str">
        <f>CONCATENATE('Ingest Template'!H855,CHAR(10),'Ingest Template'!I855,CHAR(10),'Ingest Template'!J855)</f>
        <v>
</v>
      </c>
      <c r="F855" s="26" t="str">
        <f>'Ingest Template'!H855</f>
        <v/>
      </c>
      <c r="G855" s="21"/>
      <c r="H855" s="29"/>
      <c r="I855" s="21"/>
      <c r="J855" s="29" t="str">
        <f t="array" ref="J855">iF('Ingest Template'!A855="Standard","Pristine Brand",INDEX(DropDown!$M$2:$M$392,MATCH('Ingest Template'!E855,DropDown!$J$2:$J$392,0)))</f>
        <v>#N/A</v>
      </c>
      <c r="K855" s="21" t="str">
        <f>iF('Ingest Template'!A855="Standard",'Ingest Template'!K855&amp;CHAR(10)&amp;'Ingest Template'!L855,"Competitive View")</f>
        <v>Competitive View</v>
      </c>
      <c r="L855" s="29" t="s">
        <v>146</v>
      </c>
      <c r="M855" s="37" t="str">
        <f>'Ingest Template'!D855</f>
        <v/>
      </c>
      <c r="N855" s="21"/>
      <c r="O855" s="21"/>
      <c r="P855" s="21"/>
      <c r="Q855" s="21"/>
      <c r="R855" s="21" t="str">
        <f>'Ingest Template'!E855</f>
        <v/>
      </c>
      <c r="S855" s="29" t="s">
        <v>153</v>
      </c>
      <c r="T855" s="21" t="str">
        <f>'Ingest Template'!T855</f>
        <v/>
      </c>
      <c r="U855" s="21" t="str">
        <f>'Ingest Template'!S855</f>
        <v/>
      </c>
      <c r="V855" s="21" t="str">
        <f>LOWER(SUBSTITUTE(SUBSTITUTE(SUBSTITUTE(SUBSTITUTE(SUBSTITUTE('Ingest Template'!U855,"https:",""),"www.",""),"/",""),"?hl=en",""),"instagram.com",""))</f>
        <v/>
      </c>
      <c r="W855" s="41" t="str">
        <f t="array" ref="W855">IF('Ingest Template'!V855="",(INDEX(DropDown!$L$2:$L$392,MATCH('Ingest Template'!E855,DropDown!$J$2:$J$392,0))&amp;"|"&amp;'Ingest Template'!B855),(INDEX(DropDown!$L$2:$L$392,MATCH('Ingest Template'!E855,DropDown!$J$2:$J$392,0))&amp;"|"&amp;'Ingest Template'!B855)&amp;CHAR(10)&amp;'Ingest Template'!V855)</f>
        <v>#N/A</v>
      </c>
      <c r="X855" s="41" t="str">
        <f>'Ingest Template'!W855</f>
        <v/>
      </c>
      <c r="Y855" s="21" t="str">
        <f>SUBSTITUTE(SUBSTITUTE(SUBSTITUTE('Ingest Template'!X855,"http:",""),"https:",""),"/","")</f>
        <v/>
      </c>
      <c r="Z855" s="21" t="str">
        <f t="array" ref="Z855">IF('Ingest Template'!A855="Standard",(IF(ISBLANK('Ingest Template'!AA855),"", 'Ingest Template'!AA855&amp;"|DAR")),(IF(ISBLANK('Ingest Template'!AA855),"", 'Ingest Template'!AA855&amp;"|Film Ops")))</f>
        <v/>
      </c>
      <c r="AA855" s="21"/>
      <c r="AB855" s="21" t="str">
        <f>'Ingest Template'!M855</f>
        <v/>
      </c>
      <c r="AC855" s="21" t="str">
        <f>'Ingest Template'!Y855</f>
        <v/>
      </c>
      <c r="AD855" s="21" t="str">
        <f>'Ingest Template'!C855</f>
        <v/>
      </c>
      <c r="AE855" s="21" t="str">
        <f>'Ingest Template'!Z855</f>
        <v/>
      </c>
      <c r="AF855" s="29"/>
      <c r="AG855" s="21" t="str">
        <f t="array" ref="AG855">IF('Ingest Template'!A855="Standard",(CONCATENATE(IF(ISBLANK('Ingest Template'!O855),"", 'Ingest Template'!O855&amp;"|DAR"),CHAR(10), IF(ISBLANK('Ingest Template'!P855),"", 'Ingest Template'!P855&amp;"|DAR"),CHAR(10), IF(ISBLANK('Ingest Template'!Q855),"", 'Ingest Template'!Q855&amp;"|DAR"))),(CONCATENATE(IF(ISBLANK('Ingest Template'!O855),"", 'Ingest Template'!O855&amp;"|Operations - Core Title"),CHAR(10), IF(ISBLANK('Ingest Template'!P855),"", 'Ingest Template'!P855&amp;"|Operations - Core Title"),CHAR(10), IF(ISBLANK('Ingest Template'!Q855),"", 'Ingest Template'!Q855&amp;"|Operations - Core Title"))))</f>
        <v>#|Operations - Core Title
#|Operations - Core Title
</v>
      </c>
      <c r="AH855" s="21"/>
      <c r="AI855" s="21"/>
      <c r="AJ855" s="53" t="str">
        <f>if('Ingest Template'!A855="Standard",'Ingest Template'!N855&amp; "|DAR|DAR|2021-01-01",'Ingest Template'!N855&amp; "|Operations - Core Title|Operations - Core Title")</f>
        <v>#N/A</v>
      </c>
      <c r="AK855" s="53" t="str">
        <f>if('Ingest Template'!A855="Standard",'Ingest Template'!R855&amp; "|2021-01-01",'Ingest Template'!R855)</f>
        <v>#N/A</v>
      </c>
      <c r="AL855" s="21"/>
      <c r="AM855" s="21"/>
    </row>
    <row r="856">
      <c r="A856" s="21"/>
      <c r="B856" s="21" t="str">
        <f>'Ingest Template'!B856&amp;IF('Ingest Template'!A856 = "Standard", " - DAR","")</f>
        <v/>
      </c>
      <c r="C856" s="26" t="s">
        <v>109</v>
      </c>
      <c r="D856" s="29" t="str">
        <f t="array" ref="D856">CONCATENATE(INDEX(DropDown!$H$2:$H$10,MATCH(1,COUNTIF('Ingest Template'!F856,"*"&amp;DropDown!$H$2:$H$10&amp;"*"),0)),CHAR(10),'Ingest Template'!G856)</f>
        <v>#N/A</v>
      </c>
      <c r="E856" s="21" t="str">
        <f>CONCATENATE('Ingest Template'!H856,CHAR(10),'Ingest Template'!I856,CHAR(10),'Ingest Template'!J856)</f>
        <v>
</v>
      </c>
      <c r="F856" s="26" t="str">
        <f>'Ingest Template'!H856</f>
        <v/>
      </c>
      <c r="G856" s="21"/>
      <c r="H856" s="29"/>
      <c r="I856" s="21"/>
      <c r="J856" s="29" t="str">
        <f t="array" ref="J856">iF('Ingest Template'!A856="Standard","Pristine Brand",INDEX(DropDown!$M$2:$M$392,MATCH('Ingest Template'!E856,DropDown!$J$2:$J$392,0)))</f>
        <v>#N/A</v>
      </c>
      <c r="K856" s="21" t="str">
        <f>iF('Ingest Template'!A856="Standard",'Ingest Template'!K856&amp;CHAR(10)&amp;'Ingest Template'!L856,"Competitive View")</f>
        <v>Competitive View</v>
      </c>
      <c r="L856" s="29" t="s">
        <v>146</v>
      </c>
      <c r="M856" s="37" t="str">
        <f>'Ingest Template'!D856</f>
        <v/>
      </c>
      <c r="N856" s="21"/>
      <c r="O856" s="21"/>
      <c r="P856" s="21"/>
      <c r="Q856" s="21"/>
      <c r="R856" s="21" t="str">
        <f>'Ingest Template'!E856</f>
        <v/>
      </c>
      <c r="S856" s="29" t="s">
        <v>153</v>
      </c>
      <c r="T856" s="21" t="str">
        <f>'Ingest Template'!T856</f>
        <v/>
      </c>
      <c r="U856" s="21" t="str">
        <f>'Ingest Template'!S856</f>
        <v/>
      </c>
      <c r="V856" s="21" t="str">
        <f>LOWER(SUBSTITUTE(SUBSTITUTE(SUBSTITUTE(SUBSTITUTE(SUBSTITUTE('Ingest Template'!U856,"https:",""),"www.",""),"/",""),"?hl=en",""),"instagram.com",""))</f>
        <v/>
      </c>
      <c r="W856" s="41" t="str">
        <f t="array" ref="W856">IF('Ingest Template'!V856="",(INDEX(DropDown!$L$2:$L$392,MATCH('Ingest Template'!E856,DropDown!$J$2:$J$392,0))&amp;"|"&amp;'Ingest Template'!B856),(INDEX(DropDown!$L$2:$L$392,MATCH('Ingest Template'!E856,DropDown!$J$2:$J$392,0))&amp;"|"&amp;'Ingest Template'!B856)&amp;CHAR(10)&amp;'Ingest Template'!V856)</f>
        <v>#N/A</v>
      </c>
      <c r="X856" s="41" t="str">
        <f>'Ingest Template'!W856</f>
        <v/>
      </c>
      <c r="Y856" s="21" t="str">
        <f>SUBSTITUTE(SUBSTITUTE(SUBSTITUTE('Ingest Template'!X856,"http:",""),"https:",""),"/","")</f>
        <v/>
      </c>
      <c r="Z856" s="21" t="str">
        <f t="array" ref="Z856">IF('Ingest Template'!A856="Standard",(IF(ISBLANK('Ingest Template'!AA856),"", 'Ingest Template'!AA856&amp;"|DAR")),(IF(ISBLANK('Ingest Template'!AA856),"", 'Ingest Template'!AA856&amp;"|Film Ops")))</f>
        <v/>
      </c>
      <c r="AA856" s="21"/>
      <c r="AB856" s="21" t="str">
        <f>'Ingest Template'!M856</f>
        <v/>
      </c>
      <c r="AC856" s="21" t="str">
        <f>'Ingest Template'!Y856</f>
        <v/>
      </c>
      <c r="AD856" s="21" t="str">
        <f>'Ingest Template'!C856</f>
        <v/>
      </c>
      <c r="AE856" s="21" t="str">
        <f>'Ingest Template'!Z856</f>
        <v/>
      </c>
      <c r="AF856" s="29"/>
      <c r="AG856" s="21" t="str">
        <f t="array" ref="AG856">IF('Ingest Template'!A856="Standard",(CONCATENATE(IF(ISBLANK('Ingest Template'!O856),"", 'Ingest Template'!O856&amp;"|DAR"),CHAR(10), IF(ISBLANK('Ingest Template'!P856),"", 'Ingest Template'!P856&amp;"|DAR"),CHAR(10), IF(ISBLANK('Ingest Template'!Q856),"", 'Ingest Template'!Q856&amp;"|DAR"))),(CONCATENATE(IF(ISBLANK('Ingest Template'!O856),"", 'Ingest Template'!O856&amp;"|Operations - Core Title"),CHAR(10), IF(ISBLANK('Ingest Template'!P856),"", 'Ingest Template'!P856&amp;"|Operations - Core Title"),CHAR(10), IF(ISBLANK('Ingest Template'!Q856),"", 'Ingest Template'!Q856&amp;"|Operations - Core Title"))))</f>
        <v>#|Operations - Core Title
#|Operations - Core Title
</v>
      </c>
      <c r="AH856" s="21"/>
      <c r="AI856" s="21"/>
      <c r="AJ856" s="53" t="str">
        <f>if('Ingest Template'!A856="Standard",'Ingest Template'!N856&amp; "|DAR|DAR|2021-01-01",'Ingest Template'!N856&amp; "|Operations - Core Title|Operations - Core Title")</f>
        <v>#N/A</v>
      </c>
      <c r="AK856" s="53" t="str">
        <f>if('Ingest Template'!A856="Standard",'Ingest Template'!R856&amp; "|2021-01-01",'Ingest Template'!R856)</f>
        <v>#N/A</v>
      </c>
      <c r="AL856" s="21"/>
      <c r="AM856" s="21"/>
    </row>
    <row r="857">
      <c r="A857" s="21"/>
      <c r="B857" s="21" t="str">
        <f>'Ingest Template'!B857&amp;IF('Ingest Template'!A857 = "Standard", " - DAR","")</f>
        <v/>
      </c>
      <c r="C857" s="26" t="s">
        <v>109</v>
      </c>
      <c r="D857" s="29" t="str">
        <f t="array" ref="D857">CONCATENATE(INDEX(DropDown!$H$2:$H$10,MATCH(1,COUNTIF('Ingest Template'!F857,"*"&amp;DropDown!$H$2:$H$10&amp;"*"),0)),CHAR(10),'Ingest Template'!G857)</f>
        <v>#N/A</v>
      </c>
      <c r="E857" s="21" t="str">
        <f>CONCATENATE('Ingest Template'!H857,CHAR(10),'Ingest Template'!I857,CHAR(10),'Ingest Template'!J857)</f>
        <v>
</v>
      </c>
      <c r="F857" s="26" t="str">
        <f>'Ingest Template'!H857</f>
        <v/>
      </c>
      <c r="G857" s="21"/>
      <c r="H857" s="29"/>
      <c r="I857" s="21"/>
      <c r="J857" s="29" t="str">
        <f t="array" ref="J857">iF('Ingest Template'!A857="Standard","Pristine Brand",INDEX(DropDown!$M$2:$M$392,MATCH('Ingest Template'!E857,DropDown!$J$2:$J$392,0)))</f>
        <v>#N/A</v>
      </c>
      <c r="K857" s="21" t="str">
        <f>iF('Ingest Template'!A857="Standard",'Ingest Template'!K857&amp;CHAR(10)&amp;'Ingest Template'!L857,"Competitive View")</f>
        <v>Competitive View</v>
      </c>
      <c r="L857" s="29" t="s">
        <v>146</v>
      </c>
      <c r="M857" s="37" t="str">
        <f>'Ingest Template'!D857</f>
        <v/>
      </c>
      <c r="N857" s="21"/>
      <c r="O857" s="21"/>
      <c r="P857" s="21"/>
      <c r="Q857" s="21"/>
      <c r="R857" s="21" t="str">
        <f>'Ingest Template'!E857</f>
        <v/>
      </c>
      <c r="S857" s="29" t="s">
        <v>153</v>
      </c>
      <c r="T857" s="21" t="str">
        <f>'Ingest Template'!T857</f>
        <v/>
      </c>
      <c r="U857" s="21" t="str">
        <f>'Ingest Template'!S857</f>
        <v/>
      </c>
      <c r="V857" s="21" t="str">
        <f>LOWER(SUBSTITUTE(SUBSTITUTE(SUBSTITUTE(SUBSTITUTE(SUBSTITUTE('Ingest Template'!U857,"https:",""),"www.",""),"/",""),"?hl=en",""),"instagram.com",""))</f>
        <v/>
      </c>
      <c r="W857" s="41" t="str">
        <f t="array" ref="W857">IF('Ingest Template'!V857="",(INDEX(DropDown!$L$2:$L$392,MATCH('Ingest Template'!E857,DropDown!$J$2:$J$392,0))&amp;"|"&amp;'Ingest Template'!B857),(INDEX(DropDown!$L$2:$L$392,MATCH('Ingest Template'!E857,DropDown!$J$2:$J$392,0))&amp;"|"&amp;'Ingest Template'!B857)&amp;CHAR(10)&amp;'Ingest Template'!V857)</f>
        <v>#N/A</v>
      </c>
      <c r="X857" s="41" t="str">
        <f>'Ingest Template'!W857</f>
        <v/>
      </c>
      <c r="Y857" s="21" t="str">
        <f>SUBSTITUTE(SUBSTITUTE(SUBSTITUTE('Ingest Template'!X857,"http:",""),"https:",""),"/","")</f>
        <v/>
      </c>
      <c r="Z857" s="21" t="str">
        <f t="array" ref="Z857">IF('Ingest Template'!A857="Standard",(IF(ISBLANK('Ingest Template'!AA857),"", 'Ingest Template'!AA857&amp;"|DAR")),(IF(ISBLANK('Ingest Template'!AA857),"", 'Ingest Template'!AA857&amp;"|Film Ops")))</f>
        <v/>
      </c>
      <c r="AA857" s="21"/>
      <c r="AB857" s="21" t="str">
        <f>'Ingest Template'!M857</f>
        <v/>
      </c>
      <c r="AC857" s="21" t="str">
        <f>'Ingest Template'!Y857</f>
        <v/>
      </c>
      <c r="AD857" s="21" t="str">
        <f>'Ingest Template'!C857</f>
        <v/>
      </c>
      <c r="AE857" s="21" t="str">
        <f>'Ingest Template'!Z857</f>
        <v/>
      </c>
      <c r="AF857" s="29"/>
      <c r="AG857" s="21" t="str">
        <f t="array" ref="AG857">IF('Ingest Template'!A857="Standard",(CONCATENATE(IF(ISBLANK('Ingest Template'!O857),"", 'Ingest Template'!O857&amp;"|DAR"),CHAR(10), IF(ISBLANK('Ingest Template'!P857),"", 'Ingest Template'!P857&amp;"|DAR"),CHAR(10), IF(ISBLANK('Ingest Template'!Q857),"", 'Ingest Template'!Q857&amp;"|DAR"))),(CONCATENATE(IF(ISBLANK('Ingest Template'!O857),"", 'Ingest Template'!O857&amp;"|Operations - Core Title"),CHAR(10), IF(ISBLANK('Ingest Template'!P857),"", 'Ingest Template'!P857&amp;"|Operations - Core Title"),CHAR(10), IF(ISBLANK('Ingest Template'!Q857),"", 'Ingest Template'!Q857&amp;"|Operations - Core Title"))))</f>
        <v>#|Operations - Core Title
#|Operations - Core Title
</v>
      </c>
      <c r="AH857" s="21"/>
      <c r="AI857" s="21"/>
      <c r="AJ857" s="53" t="str">
        <f>if('Ingest Template'!A857="Standard",'Ingest Template'!N857&amp; "|DAR|DAR|2021-01-01",'Ingest Template'!N857&amp; "|Operations - Core Title|Operations - Core Title")</f>
        <v>#N/A</v>
      </c>
      <c r="AK857" s="53" t="str">
        <f>if('Ingest Template'!A857="Standard",'Ingest Template'!R857&amp; "|2021-01-01",'Ingest Template'!R857)</f>
        <v>#N/A</v>
      </c>
      <c r="AL857" s="21"/>
      <c r="AM857" s="21"/>
    </row>
    <row r="858">
      <c r="A858" s="21"/>
      <c r="B858" s="21" t="str">
        <f>'Ingest Template'!B858&amp;IF('Ingest Template'!A858 = "Standard", " - DAR","")</f>
        <v/>
      </c>
      <c r="C858" s="26" t="s">
        <v>109</v>
      </c>
      <c r="D858" s="29" t="str">
        <f t="array" ref="D858">CONCATENATE(INDEX(DropDown!$H$2:$H$10,MATCH(1,COUNTIF('Ingest Template'!F858,"*"&amp;DropDown!$H$2:$H$10&amp;"*"),0)),CHAR(10),'Ingest Template'!G858)</f>
        <v>#N/A</v>
      </c>
      <c r="E858" s="21" t="str">
        <f>CONCATENATE('Ingest Template'!H858,CHAR(10),'Ingest Template'!I858,CHAR(10),'Ingest Template'!J858)</f>
        <v>
</v>
      </c>
      <c r="F858" s="26" t="str">
        <f>'Ingest Template'!H858</f>
        <v/>
      </c>
      <c r="G858" s="21"/>
      <c r="H858" s="29"/>
      <c r="I858" s="21"/>
      <c r="J858" s="29" t="str">
        <f t="array" ref="J858">iF('Ingest Template'!A858="Standard","Pristine Brand",INDEX(DropDown!$M$2:$M$392,MATCH('Ingest Template'!E858,DropDown!$J$2:$J$392,0)))</f>
        <v>#N/A</v>
      </c>
      <c r="K858" s="21" t="str">
        <f>iF('Ingest Template'!A858="Standard",'Ingest Template'!K858&amp;CHAR(10)&amp;'Ingest Template'!L858,"Competitive View")</f>
        <v>Competitive View</v>
      </c>
      <c r="L858" s="29" t="s">
        <v>146</v>
      </c>
      <c r="M858" s="37" t="str">
        <f>'Ingest Template'!D858</f>
        <v/>
      </c>
      <c r="N858" s="21"/>
      <c r="O858" s="21"/>
      <c r="P858" s="21"/>
      <c r="Q858" s="21"/>
      <c r="R858" s="21" t="str">
        <f>'Ingest Template'!E858</f>
        <v/>
      </c>
      <c r="S858" s="29" t="s">
        <v>153</v>
      </c>
      <c r="T858" s="21" t="str">
        <f>'Ingest Template'!T858</f>
        <v/>
      </c>
      <c r="U858" s="21" t="str">
        <f>'Ingest Template'!S858</f>
        <v/>
      </c>
      <c r="V858" s="21" t="str">
        <f>LOWER(SUBSTITUTE(SUBSTITUTE(SUBSTITUTE(SUBSTITUTE(SUBSTITUTE('Ingest Template'!U858,"https:",""),"www.",""),"/",""),"?hl=en",""),"instagram.com",""))</f>
        <v/>
      </c>
      <c r="W858" s="41" t="str">
        <f t="array" ref="W858">IF('Ingest Template'!V858="",(INDEX(DropDown!$L$2:$L$392,MATCH('Ingest Template'!E858,DropDown!$J$2:$J$392,0))&amp;"|"&amp;'Ingest Template'!B858),(INDEX(DropDown!$L$2:$L$392,MATCH('Ingest Template'!E858,DropDown!$J$2:$J$392,0))&amp;"|"&amp;'Ingest Template'!B858)&amp;CHAR(10)&amp;'Ingest Template'!V858)</f>
        <v>#N/A</v>
      </c>
      <c r="X858" s="41" t="str">
        <f>'Ingest Template'!W858</f>
        <v/>
      </c>
      <c r="Y858" s="21" t="str">
        <f>SUBSTITUTE(SUBSTITUTE(SUBSTITUTE('Ingest Template'!X858,"http:",""),"https:",""),"/","")</f>
        <v/>
      </c>
      <c r="Z858" s="21" t="str">
        <f t="array" ref="Z858">IF('Ingest Template'!A858="Standard",(IF(ISBLANK('Ingest Template'!AA858),"", 'Ingest Template'!AA858&amp;"|DAR")),(IF(ISBLANK('Ingest Template'!AA858),"", 'Ingest Template'!AA858&amp;"|Film Ops")))</f>
        <v/>
      </c>
      <c r="AA858" s="21"/>
      <c r="AB858" s="21" t="str">
        <f>'Ingest Template'!M858</f>
        <v/>
      </c>
      <c r="AC858" s="21" t="str">
        <f>'Ingest Template'!Y858</f>
        <v/>
      </c>
      <c r="AD858" s="21" t="str">
        <f>'Ingest Template'!C858</f>
        <v/>
      </c>
      <c r="AE858" s="21" t="str">
        <f>'Ingest Template'!Z858</f>
        <v/>
      </c>
      <c r="AF858" s="29"/>
      <c r="AG858" s="21" t="str">
        <f t="array" ref="AG858">IF('Ingest Template'!A858="Standard",(CONCATENATE(IF(ISBLANK('Ingest Template'!O858),"", 'Ingest Template'!O858&amp;"|DAR"),CHAR(10), IF(ISBLANK('Ingest Template'!P858),"", 'Ingest Template'!P858&amp;"|DAR"),CHAR(10), IF(ISBLANK('Ingest Template'!Q858),"", 'Ingest Template'!Q858&amp;"|DAR"))),(CONCATENATE(IF(ISBLANK('Ingest Template'!O858),"", 'Ingest Template'!O858&amp;"|Operations - Core Title"),CHAR(10), IF(ISBLANK('Ingest Template'!P858),"", 'Ingest Template'!P858&amp;"|Operations - Core Title"),CHAR(10), IF(ISBLANK('Ingest Template'!Q858),"", 'Ingest Template'!Q858&amp;"|Operations - Core Title"))))</f>
        <v>#|Operations - Core Title
#|Operations - Core Title
</v>
      </c>
      <c r="AH858" s="21"/>
      <c r="AI858" s="21"/>
      <c r="AJ858" s="53" t="str">
        <f>if('Ingest Template'!A858="Standard",'Ingest Template'!N858&amp; "|DAR|DAR|2021-01-01",'Ingest Template'!N858&amp; "|Operations - Core Title|Operations - Core Title")</f>
        <v>#N/A</v>
      </c>
      <c r="AK858" s="53" t="str">
        <f>if('Ingest Template'!A858="Standard",'Ingest Template'!R858&amp; "|2021-01-01",'Ingest Template'!R858)</f>
        <v>#N/A</v>
      </c>
      <c r="AL858" s="21"/>
      <c r="AM858" s="21"/>
    </row>
    <row r="859">
      <c r="A859" s="21"/>
      <c r="B859" s="21" t="str">
        <f>'Ingest Template'!B859&amp;IF('Ingest Template'!A859 = "Standard", " - DAR","")</f>
        <v/>
      </c>
      <c r="C859" s="26" t="s">
        <v>109</v>
      </c>
      <c r="D859" s="29" t="str">
        <f t="array" ref="D859">CONCATENATE(INDEX(DropDown!$H$2:$H$10,MATCH(1,COUNTIF('Ingest Template'!F859,"*"&amp;DropDown!$H$2:$H$10&amp;"*"),0)),CHAR(10),'Ingest Template'!G859)</f>
        <v>#N/A</v>
      </c>
      <c r="E859" s="21" t="str">
        <f>CONCATENATE('Ingest Template'!H859,CHAR(10),'Ingest Template'!I859,CHAR(10),'Ingest Template'!J859)</f>
        <v>
</v>
      </c>
      <c r="F859" s="26" t="str">
        <f>'Ingest Template'!H859</f>
        <v/>
      </c>
      <c r="G859" s="21"/>
      <c r="H859" s="29"/>
      <c r="I859" s="21"/>
      <c r="J859" s="29" t="str">
        <f t="array" ref="J859">iF('Ingest Template'!A859="Standard","Pristine Brand",INDEX(DropDown!$M$2:$M$392,MATCH('Ingest Template'!E859,DropDown!$J$2:$J$392,0)))</f>
        <v>#N/A</v>
      </c>
      <c r="K859" s="21" t="str">
        <f>iF('Ingest Template'!A859="Standard",'Ingest Template'!K859&amp;CHAR(10)&amp;'Ingest Template'!L859,"Competitive View")</f>
        <v>Competitive View</v>
      </c>
      <c r="L859" s="29" t="s">
        <v>146</v>
      </c>
      <c r="M859" s="37" t="str">
        <f>'Ingest Template'!D859</f>
        <v/>
      </c>
      <c r="N859" s="21"/>
      <c r="O859" s="21"/>
      <c r="P859" s="21"/>
      <c r="Q859" s="21"/>
      <c r="R859" s="21" t="str">
        <f>'Ingest Template'!E859</f>
        <v/>
      </c>
      <c r="S859" s="29" t="s">
        <v>153</v>
      </c>
      <c r="T859" s="21" t="str">
        <f>'Ingest Template'!T859</f>
        <v/>
      </c>
      <c r="U859" s="21" t="str">
        <f>'Ingest Template'!S859</f>
        <v/>
      </c>
      <c r="V859" s="21" t="str">
        <f>LOWER(SUBSTITUTE(SUBSTITUTE(SUBSTITUTE(SUBSTITUTE(SUBSTITUTE('Ingest Template'!U859,"https:",""),"www.",""),"/",""),"?hl=en",""),"instagram.com",""))</f>
        <v/>
      </c>
      <c r="W859" s="41" t="str">
        <f t="array" ref="W859">IF('Ingest Template'!V859="",(INDEX(DropDown!$L$2:$L$392,MATCH('Ingest Template'!E859,DropDown!$J$2:$J$392,0))&amp;"|"&amp;'Ingest Template'!B859),(INDEX(DropDown!$L$2:$L$392,MATCH('Ingest Template'!E859,DropDown!$J$2:$J$392,0))&amp;"|"&amp;'Ingest Template'!B859)&amp;CHAR(10)&amp;'Ingest Template'!V859)</f>
        <v>#N/A</v>
      </c>
      <c r="X859" s="41" t="str">
        <f>'Ingest Template'!W859</f>
        <v/>
      </c>
      <c r="Y859" s="21" t="str">
        <f>SUBSTITUTE(SUBSTITUTE(SUBSTITUTE('Ingest Template'!X859,"http:",""),"https:",""),"/","")</f>
        <v/>
      </c>
      <c r="Z859" s="21" t="str">
        <f t="array" ref="Z859">IF('Ingest Template'!A859="Standard",(IF(ISBLANK('Ingest Template'!AA859),"", 'Ingest Template'!AA859&amp;"|DAR")),(IF(ISBLANK('Ingest Template'!AA859),"", 'Ingest Template'!AA859&amp;"|Film Ops")))</f>
        <v/>
      </c>
      <c r="AA859" s="21"/>
      <c r="AB859" s="21" t="str">
        <f>'Ingest Template'!M859</f>
        <v/>
      </c>
      <c r="AC859" s="21" t="str">
        <f>'Ingest Template'!Y859</f>
        <v/>
      </c>
      <c r="AD859" s="21" t="str">
        <f>'Ingest Template'!C859</f>
        <v/>
      </c>
      <c r="AE859" s="21" t="str">
        <f>'Ingest Template'!Z859</f>
        <v/>
      </c>
      <c r="AF859" s="29"/>
      <c r="AG859" s="21" t="str">
        <f t="array" ref="AG859">IF('Ingest Template'!A859="Standard",(CONCATENATE(IF(ISBLANK('Ingest Template'!O859),"", 'Ingest Template'!O859&amp;"|DAR"),CHAR(10), IF(ISBLANK('Ingest Template'!P859),"", 'Ingest Template'!P859&amp;"|DAR"),CHAR(10), IF(ISBLANK('Ingest Template'!Q859),"", 'Ingest Template'!Q859&amp;"|DAR"))),(CONCATENATE(IF(ISBLANK('Ingest Template'!O859),"", 'Ingest Template'!O859&amp;"|Operations - Core Title"),CHAR(10), IF(ISBLANK('Ingest Template'!P859),"", 'Ingest Template'!P859&amp;"|Operations - Core Title"),CHAR(10), IF(ISBLANK('Ingest Template'!Q859),"", 'Ingest Template'!Q859&amp;"|Operations - Core Title"))))</f>
        <v>#|Operations - Core Title
#|Operations - Core Title
</v>
      </c>
      <c r="AH859" s="21"/>
      <c r="AI859" s="21"/>
      <c r="AJ859" s="53" t="str">
        <f>if('Ingest Template'!A859="Standard",'Ingest Template'!N859&amp; "|DAR|DAR|2021-01-01",'Ingest Template'!N859&amp; "|Operations - Core Title|Operations - Core Title")</f>
        <v>#N/A</v>
      </c>
      <c r="AK859" s="53" t="str">
        <f>if('Ingest Template'!A859="Standard",'Ingest Template'!R859&amp; "|2021-01-01",'Ingest Template'!R859)</f>
        <v>#N/A</v>
      </c>
      <c r="AL859" s="21"/>
      <c r="AM859" s="21"/>
    </row>
    <row r="860">
      <c r="A860" s="21"/>
      <c r="B860" s="21" t="str">
        <f>'Ingest Template'!B860&amp;IF('Ingest Template'!A860 = "Standard", " - DAR","")</f>
        <v/>
      </c>
      <c r="C860" s="26" t="s">
        <v>109</v>
      </c>
      <c r="D860" s="29" t="str">
        <f t="array" ref="D860">CONCATENATE(INDEX(DropDown!$H$2:$H$10,MATCH(1,COUNTIF('Ingest Template'!F860,"*"&amp;DropDown!$H$2:$H$10&amp;"*"),0)),CHAR(10),'Ingest Template'!G860)</f>
        <v>#N/A</v>
      </c>
      <c r="E860" s="21" t="str">
        <f>CONCATENATE('Ingest Template'!H860,CHAR(10),'Ingest Template'!I860,CHAR(10),'Ingest Template'!J860)</f>
        <v>
</v>
      </c>
      <c r="F860" s="26" t="str">
        <f>'Ingest Template'!H860</f>
        <v/>
      </c>
      <c r="G860" s="21"/>
      <c r="H860" s="29"/>
      <c r="I860" s="21"/>
      <c r="J860" s="29" t="str">
        <f t="array" ref="J860">iF('Ingest Template'!A860="Standard","Pristine Brand",INDEX(DropDown!$M$2:$M$392,MATCH('Ingest Template'!E860,DropDown!$J$2:$J$392,0)))</f>
        <v>#N/A</v>
      </c>
      <c r="K860" s="21" t="str">
        <f>iF('Ingest Template'!A860="Standard",'Ingest Template'!K860&amp;CHAR(10)&amp;'Ingest Template'!L860,"Competitive View")</f>
        <v>Competitive View</v>
      </c>
      <c r="L860" s="29" t="s">
        <v>146</v>
      </c>
      <c r="M860" s="37" t="str">
        <f>'Ingest Template'!D860</f>
        <v/>
      </c>
      <c r="N860" s="21"/>
      <c r="O860" s="21"/>
      <c r="P860" s="21"/>
      <c r="Q860" s="21"/>
      <c r="R860" s="21" t="str">
        <f>'Ingest Template'!E860</f>
        <v/>
      </c>
      <c r="S860" s="29" t="s">
        <v>153</v>
      </c>
      <c r="T860" s="21" t="str">
        <f>'Ingest Template'!T860</f>
        <v/>
      </c>
      <c r="U860" s="21" t="str">
        <f>'Ingest Template'!S860</f>
        <v/>
      </c>
      <c r="V860" s="21" t="str">
        <f>LOWER(SUBSTITUTE(SUBSTITUTE(SUBSTITUTE(SUBSTITUTE(SUBSTITUTE('Ingest Template'!U860,"https:",""),"www.",""),"/",""),"?hl=en",""),"instagram.com",""))</f>
        <v/>
      </c>
      <c r="W860" s="41" t="str">
        <f t="array" ref="W860">IF('Ingest Template'!V860="",(INDEX(DropDown!$L$2:$L$392,MATCH('Ingest Template'!E860,DropDown!$J$2:$J$392,0))&amp;"|"&amp;'Ingest Template'!B860),(INDEX(DropDown!$L$2:$L$392,MATCH('Ingest Template'!E860,DropDown!$J$2:$J$392,0))&amp;"|"&amp;'Ingest Template'!B860)&amp;CHAR(10)&amp;'Ingest Template'!V860)</f>
        <v>#N/A</v>
      </c>
      <c r="X860" s="41" t="str">
        <f>'Ingest Template'!W860</f>
        <v/>
      </c>
      <c r="Y860" s="21" t="str">
        <f>SUBSTITUTE(SUBSTITUTE(SUBSTITUTE('Ingest Template'!X860,"http:",""),"https:",""),"/","")</f>
        <v/>
      </c>
      <c r="Z860" s="21" t="str">
        <f t="array" ref="Z860">IF('Ingest Template'!A860="Standard",(IF(ISBLANK('Ingest Template'!AA860),"", 'Ingest Template'!AA860&amp;"|DAR")),(IF(ISBLANK('Ingest Template'!AA860),"", 'Ingest Template'!AA860&amp;"|Film Ops")))</f>
        <v/>
      </c>
      <c r="AA860" s="21"/>
      <c r="AB860" s="21" t="str">
        <f>'Ingest Template'!M860</f>
        <v/>
      </c>
      <c r="AC860" s="21" t="str">
        <f>'Ingest Template'!Y860</f>
        <v/>
      </c>
      <c r="AD860" s="21" t="str">
        <f>'Ingest Template'!C860</f>
        <v/>
      </c>
      <c r="AE860" s="21" t="str">
        <f>'Ingest Template'!Z860</f>
        <v/>
      </c>
      <c r="AF860" s="29"/>
      <c r="AG860" s="21" t="str">
        <f t="array" ref="AG860">IF('Ingest Template'!A860="Standard",(CONCATENATE(IF(ISBLANK('Ingest Template'!O860),"", 'Ingest Template'!O860&amp;"|DAR"),CHAR(10), IF(ISBLANK('Ingest Template'!P860),"", 'Ingest Template'!P860&amp;"|DAR"),CHAR(10), IF(ISBLANK('Ingest Template'!Q860),"", 'Ingest Template'!Q860&amp;"|DAR"))),(CONCATENATE(IF(ISBLANK('Ingest Template'!O860),"", 'Ingest Template'!O860&amp;"|Operations - Core Title"),CHAR(10), IF(ISBLANK('Ingest Template'!P860),"", 'Ingest Template'!P860&amp;"|Operations - Core Title"),CHAR(10), IF(ISBLANK('Ingest Template'!Q860),"", 'Ingest Template'!Q860&amp;"|Operations - Core Title"))))</f>
        <v>#|Operations - Core Title
#|Operations - Core Title
</v>
      </c>
      <c r="AH860" s="21"/>
      <c r="AI860" s="21"/>
      <c r="AJ860" s="53" t="str">
        <f>if('Ingest Template'!A860="Standard",'Ingest Template'!N860&amp; "|DAR|DAR|2021-01-01",'Ingest Template'!N860&amp; "|Operations - Core Title|Operations - Core Title")</f>
        <v>#N/A</v>
      </c>
      <c r="AK860" s="53" t="str">
        <f>if('Ingest Template'!A860="Standard",'Ingest Template'!R860&amp; "|2021-01-01",'Ingest Template'!R860)</f>
        <v>#N/A</v>
      </c>
      <c r="AL860" s="21"/>
      <c r="AM860" s="21"/>
    </row>
    <row r="861">
      <c r="A861" s="21"/>
      <c r="B861" s="21" t="str">
        <f>'Ingest Template'!B861&amp;IF('Ingest Template'!A861 = "Standard", " - DAR","")</f>
        <v/>
      </c>
      <c r="C861" s="26" t="s">
        <v>109</v>
      </c>
      <c r="D861" s="29" t="str">
        <f t="array" ref="D861">CONCATENATE(INDEX(DropDown!$H$2:$H$10,MATCH(1,COUNTIF('Ingest Template'!F861,"*"&amp;DropDown!$H$2:$H$10&amp;"*"),0)),CHAR(10),'Ingest Template'!G861)</f>
        <v>#N/A</v>
      </c>
      <c r="E861" s="21" t="str">
        <f>CONCATENATE('Ingest Template'!H861,CHAR(10),'Ingest Template'!I861,CHAR(10),'Ingest Template'!J861)</f>
        <v>
</v>
      </c>
      <c r="F861" s="26" t="str">
        <f>'Ingest Template'!H861</f>
        <v/>
      </c>
      <c r="G861" s="21"/>
      <c r="H861" s="29"/>
      <c r="I861" s="21"/>
      <c r="J861" s="29" t="str">
        <f t="array" ref="J861">iF('Ingest Template'!A861="Standard","Pristine Brand",INDEX(DropDown!$M$2:$M$392,MATCH('Ingest Template'!E861,DropDown!$J$2:$J$392,0)))</f>
        <v>#N/A</v>
      </c>
      <c r="K861" s="21" t="str">
        <f>iF('Ingest Template'!A861="Standard",'Ingest Template'!K861&amp;CHAR(10)&amp;'Ingest Template'!L861,"Competitive View")</f>
        <v>Competitive View</v>
      </c>
      <c r="L861" s="29" t="s">
        <v>146</v>
      </c>
      <c r="M861" s="37" t="str">
        <f>'Ingest Template'!D861</f>
        <v/>
      </c>
      <c r="N861" s="21"/>
      <c r="O861" s="21"/>
      <c r="P861" s="21"/>
      <c r="Q861" s="21"/>
      <c r="R861" s="21" t="str">
        <f>'Ingest Template'!E861</f>
        <v/>
      </c>
      <c r="S861" s="29" t="s">
        <v>153</v>
      </c>
      <c r="T861" s="21" t="str">
        <f>'Ingest Template'!T861</f>
        <v/>
      </c>
      <c r="U861" s="21" t="str">
        <f>'Ingest Template'!S861</f>
        <v/>
      </c>
      <c r="V861" s="21" t="str">
        <f>LOWER(SUBSTITUTE(SUBSTITUTE(SUBSTITUTE(SUBSTITUTE(SUBSTITUTE('Ingest Template'!U861,"https:",""),"www.",""),"/",""),"?hl=en",""),"instagram.com",""))</f>
        <v/>
      </c>
      <c r="W861" s="41" t="str">
        <f t="array" ref="W861">IF('Ingest Template'!V861="",(INDEX(DropDown!$L$2:$L$392,MATCH('Ingest Template'!E861,DropDown!$J$2:$J$392,0))&amp;"|"&amp;'Ingest Template'!B861),(INDEX(DropDown!$L$2:$L$392,MATCH('Ingest Template'!E861,DropDown!$J$2:$J$392,0))&amp;"|"&amp;'Ingest Template'!B861)&amp;CHAR(10)&amp;'Ingest Template'!V861)</f>
        <v>#N/A</v>
      </c>
      <c r="X861" s="41" t="str">
        <f>'Ingest Template'!W861</f>
        <v/>
      </c>
      <c r="Y861" s="21" t="str">
        <f>SUBSTITUTE(SUBSTITUTE(SUBSTITUTE('Ingest Template'!X861,"http:",""),"https:",""),"/","")</f>
        <v/>
      </c>
      <c r="Z861" s="21" t="str">
        <f t="array" ref="Z861">IF('Ingest Template'!A861="Standard",(IF(ISBLANK('Ingest Template'!AA861),"", 'Ingest Template'!AA861&amp;"|DAR")),(IF(ISBLANK('Ingest Template'!AA861),"", 'Ingest Template'!AA861&amp;"|Film Ops")))</f>
        <v/>
      </c>
      <c r="AA861" s="21"/>
      <c r="AB861" s="21" t="str">
        <f>'Ingest Template'!M861</f>
        <v/>
      </c>
      <c r="AC861" s="21" t="str">
        <f>'Ingest Template'!Y861</f>
        <v/>
      </c>
      <c r="AD861" s="21" t="str">
        <f>'Ingest Template'!C861</f>
        <v/>
      </c>
      <c r="AE861" s="21" t="str">
        <f>'Ingest Template'!Z861</f>
        <v/>
      </c>
      <c r="AF861" s="29"/>
      <c r="AG861" s="21" t="str">
        <f t="array" ref="AG861">IF('Ingest Template'!A861="Standard",(CONCATENATE(IF(ISBLANK('Ingest Template'!O861),"", 'Ingest Template'!O861&amp;"|DAR"),CHAR(10), IF(ISBLANK('Ingest Template'!P861),"", 'Ingest Template'!P861&amp;"|DAR"),CHAR(10), IF(ISBLANK('Ingest Template'!Q861),"", 'Ingest Template'!Q861&amp;"|DAR"))),(CONCATENATE(IF(ISBLANK('Ingest Template'!O861),"", 'Ingest Template'!O861&amp;"|Operations - Core Title"),CHAR(10), IF(ISBLANK('Ingest Template'!P861),"", 'Ingest Template'!P861&amp;"|Operations - Core Title"),CHAR(10), IF(ISBLANK('Ingest Template'!Q861),"", 'Ingest Template'!Q861&amp;"|Operations - Core Title"))))</f>
        <v>#|Operations - Core Title
#|Operations - Core Title
</v>
      </c>
      <c r="AH861" s="21"/>
      <c r="AI861" s="21"/>
      <c r="AJ861" s="53" t="str">
        <f>if('Ingest Template'!A861="Standard",'Ingest Template'!N861&amp; "|DAR|DAR|2021-01-01",'Ingest Template'!N861&amp; "|Operations - Core Title|Operations - Core Title")</f>
        <v>#N/A</v>
      </c>
      <c r="AK861" s="53" t="str">
        <f>if('Ingest Template'!A861="Standard",'Ingest Template'!R861&amp; "|2021-01-01",'Ingest Template'!R861)</f>
        <v>#N/A</v>
      </c>
      <c r="AL861" s="21"/>
      <c r="AM861" s="21"/>
    </row>
    <row r="862">
      <c r="A862" s="21"/>
      <c r="B862" s="21" t="str">
        <f>'Ingest Template'!B862&amp;IF('Ingest Template'!A862 = "Standard", " - DAR","")</f>
        <v/>
      </c>
      <c r="C862" s="26" t="s">
        <v>109</v>
      </c>
      <c r="D862" s="29" t="str">
        <f t="array" ref="D862">CONCATENATE(INDEX(DropDown!$H$2:$H$10,MATCH(1,COUNTIF('Ingest Template'!F862,"*"&amp;DropDown!$H$2:$H$10&amp;"*"),0)),CHAR(10),'Ingest Template'!G862)</f>
        <v>#N/A</v>
      </c>
      <c r="E862" s="21" t="str">
        <f>CONCATENATE('Ingest Template'!H862,CHAR(10),'Ingest Template'!I862,CHAR(10),'Ingest Template'!J862)</f>
        <v>
</v>
      </c>
      <c r="F862" s="26" t="str">
        <f>'Ingest Template'!H862</f>
        <v/>
      </c>
      <c r="G862" s="21"/>
      <c r="H862" s="29"/>
      <c r="I862" s="21"/>
      <c r="J862" s="29" t="str">
        <f t="array" ref="J862">iF('Ingest Template'!A862="Standard","Pristine Brand",INDEX(DropDown!$M$2:$M$392,MATCH('Ingest Template'!E862,DropDown!$J$2:$J$392,0)))</f>
        <v>#N/A</v>
      </c>
      <c r="K862" s="21" t="str">
        <f>iF('Ingest Template'!A862="Standard",'Ingest Template'!K862&amp;CHAR(10)&amp;'Ingest Template'!L862,"Competitive View")</f>
        <v>Competitive View</v>
      </c>
      <c r="L862" s="29" t="s">
        <v>146</v>
      </c>
      <c r="M862" s="37" t="str">
        <f>'Ingest Template'!D862</f>
        <v/>
      </c>
      <c r="N862" s="21"/>
      <c r="O862" s="21"/>
      <c r="P862" s="21"/>
      <c r="Q862" s="21"/>
      <c r="R862" s="21" t="str">
        <f>'Ingest Template'!E862</f>
        <v/>
      </c>
      <c r="S862" s="29" t="s">
        <v>153</v>
      </c>
      <c r="T862" s="21" t="str">
        <f>'Ingest Template'!T862</f>
        <v/>
      </c>
      <c r="U862" s="21" t="str">
        <f>'Ingest Template'!S862</f>
        <v/>
      </c>
      <c r="V862" s="21" t="str">
        <f>LOWER(SUBSTITUTE(SUBSTITUTE(SUBSTITUTE(SUBSTITUTE(SUBSTITUTE('Ingest Template'!U862,"https:",""),"www.",""),"/",""),"?hl=en",""),"instagram.com",""))</f>
        <v/>
      </c>
      <c r="W862" s="41" t="str">
        <f t="array" ref="W862">IF('Ingest Template'!V862="",(INDEX(DropDown!$L$2:$L$392,MATCH('Ingest Template'!E862,DropDown!$J$2:$J$392,0))&amp;"|"&amp;'Ingest Template'!B862),(INDEX(DropDown!$L$2:$L$392,MATCH('Ingest Template'!E862,DropDown!$J$2:$J$392,0))&amp;"|"&amp;'Ingest Template'!B862)&amp;CHAR(10)&amp;'Ingest Template'!V862)</f>
        <v>#N/A</v>
      </c>
      <c r="X862" s="41" t="str">
        <f>'Ingest Template'!W862</f>
        <v/>
      </c>
      <c r="Y862" s="21" t="str">
        <f>SUBSTITUTE(SUBSTITUTE(SUBSTITUTE('Ingest Template'!X862,"http:",""),"https:",""),"/","")</f>
        <v/>
      </c>
      <c r="Z862" s="21" t="str">
        <f t="array" ref="Z862">IF('Ingest Template'!A862="Standard",(IF(ISBLANK('Ingest Template'!AA862),"", 'Ingest Template'!AA862&amp;"|DAR")),(IF(ISBLANK('Ingest Template'!AA862),"", 'Ingest Template'!AA862&amp;"|Film Ops")))</f>
        <v/>
      </c>
      <c r="AA862" s="21"/>
      <c r="AB862" s="21" t="str">
        <f>'Ingest Template'!M862</f>
        <v/>
      </c>
      <c r="AC862" s="21" t="str">
        <f>'Ingest Template'!Y862</f>
        <v/>
      </c>
      <c r="AD862" s="21" t="str">
        <f>'Ingest Template'!C862</f>
        <v/>
      </c>
      <c r="AE862" s="21" t="str">
        <f>'Ingest Template'!Z862</f>
        <v/>
      </c>
      <c r="AF862" s="29"/>
      <c r="AG862" s="21" t="str">
        <f t="array" ref="AG862">IF('Ingest Template'!A862="Standard",(CONCATENATE(IF(ISBLANK('Ingest Template'!O862),"", 'Ingest Template'!O862&amp;"|DAR"),CHAR(10), IF(ISBLANK('Ingest Template'!P862),"", 'Ingest Template'!P862&amp;"|DAR"),CHAR(10), IF(ISBLANK('Ingest Template'!Q862),"", 'Ingest Template'!Q862&amp;"|DAR"))),(CONCATENATE(IF(ISBLANK('Ingest Template'!O862),"", 'Ingest Template'!O862&amp;"|Operations - Core Title"),CHAR(10), IF(ISBLANK('Ingest Template'!P862),"", 'Ingest Template'!P862&amp;"|Operations - Core Title"),CHAR(10), IF(ISBLANK('Ingest Template'!Q862),"", 'Ingest Template'!Q862&amp;"|Operations - Core Title"))))</f>
        <v>#|Operations - Core Title
#|Operations - Core Title
</v>
      </c>
      <c r="AH862" s="21"/>
      <c r="AI862" s="21"/>
      <c r="AJ862" s="53" t="str">
        <f>if('Ingest Template'!A862="Standard",'Ingest Template'!N862&amp; "|DAR|DAR|2021-01-01",'Ingest Template'!N862&amp; "|Operations - Core Title|Operations - Core Title")</f>
        <v>#N/A</v>
      </c>
      <c r="AK862" s="53" t="str">
        <f>if('Ingest Template'!A862="Standard",'Ingest Template'!R862&amp; "|2021-01-01",'Ingest Template'!R862)</f>
        <v>#N/A</v>
      </c>
      <c r="AL862" s="21"/>
      <c r="AM862" s="21"/>
    </row>
    <row r="863">
      <c r="A863" s="21"/>
      <c r="B863" s="21" t="str">
        <f>'Ingest Template'!B863&amp;IF('Ingest Template'!A863 = "Standard", " - DAR","")</f>
        <v/>
      </c>
      <c r="C863" s="26" t="s">
        <v>109</v>
      </c>
      <c r="D863" s="29" t="str">
        <f t="array" ref="D863">CONCATENATE(INDEX(DropDown!$H$2:$H$10,MATCH(1,COUNTIF('Ingest Template'!F863,"*"&amp;DropDown!$H$2:$H$10&amp;"*"),0)),CHAR(10),'Ingest Template'!G863)</f>
        <v>#N/A</v>
      </c>
      <c r="E863" s="21" t="str">
        <f>CONCATENATE('Ingest Template'!H863,CHAR(10),'Ingest Template'!I863,CHAR(10),'Ingest Template'!J863)</f>
        <v>
</v>
      </c>
      <c r="F863" s="26" t="str">
        <f>'Ingest Template'!H863</f>
        <v/>
      </c>
      <c r="G863" s="21"/>
      <c r="H863" s="29"/>
      <c r="I863" s="21"/>
      <c r="J863" s="29" t="str">
        <f t="array" ref="J863">iF('Ingest Template'!A863="Standard","Pristine Brand",INDEX(DropDown!$M$2:$M$392,MATCH('Ingest Template'!E863,DropDown!$J$2:$J$392,0)))</f>
        <v>#N/A</v>
      </c>
      <c r="K863" s="21" t="str">
        <f>iF('Ingest Template'!A863="Standard",'Ingest Template'!K863&amp;CHAR(10)&amp;'Ingest Template'!L863,"Competitive View")</f>
        <v>Competitive View</v>
      </c>
      <c r="L863" s="29" t="s">
        <v>146</v>
      </c>
      <c r="M863" s="37" t="str">
        <f>'Ingest Template'!D863</f>
        <v/>
      </c>
      <c r="N863" s="21"/>
      <c r="O863" s="21"/>
      <c r="P863" s="21"/>
      <c r="Q863" s="21"/>
      <c r="R863" s="21" t="str">
        <f>'Ingest Template'!E863</f>
        <v/>
      </c>
      <c r="S863" s="29" t="s">
        <v>153</v>
      </c>
      <c r="T863" s="21" t="str">
        <f>'Ingest Template'!T863</f>
        <v/>
      </c>
      <c r="U863" s="21" t="str">
        <f>'Ingest Template'!S863</f>
        <v/>
      </c>
      <c r="V863" s="21" t="str">
        <f>LOWER(SUBSTITUTE(SUBSTITUTE(SUBSTITUTE(SUBSTITUTE(SUBSTITUTE('Ingest Template'!U863,"https:",""),"www.",""),"/",""),"?hl=en",""),"instagram.com",""))</f>
        <v/>
      </c>
      <c r="W863" s="41" t="str">
        <f t="array" ref="W863">IF('Ingest Template'!V863="",(INDEX(DropDown!$L$2:$L$392,MATCH('Ingest Template'!E863,DropDown!$J$2:$J$392,0))&amp;"|"&amp;'Ingest Template'!B863),(INDEX(DropDown!$L$2:$L$392,MATCH('Ingest Template'!E863,DropDown!$J$2:$J$392,0))&amp;"|"&amp;'Ingest Template'!B863)&amp;CHAR(10)&amp;'Ingest Template'!V863)</f>
        <v>#N/A</v>
      </c>
      <c r="X863" s="41" t="str">
        <f>'Ingest Template'!W863</f>
        <v/>
      </c>
      <c r="Y863" s="21" t="str">
        <f>SUBSTITUTE(SUBSTITUTE(SUBSTITUTE('Ingest Template'!X863,"http:",""),"https:",""),"/","")</f>
        <v/>
      </c>
      <c r="Z863" s="21" t="str">
        <f t="array" ref="Z863">IF('Ingest Template'!A863="Standard",(IF(ISBLANK('Ingest Template'!AA863),"", 'Ingest Template'!AA863&amp;"|DAR")),(IF(ISBLANK('Ingest Template'!AA863),"", 'Ingest Template'!AA863&amp;"|Film Ops")))</f>
        <v/>
      </c>
      <c r="AA863" s="21"/>
      <c r="AB863" s="21" t="str">
        <f>'Ingest Template'!M863</f>
        <v/>
      </c>
      <c r="AC863" s="21" t="str">
        <f>'Ingest Template'!Y863</f>
        <v/>
      </c>
      <c r="AD863" s="21" t="str">
        <f>'Ingest Template'!C863</f>
        <v/>
      </c>
      <c r="AE863" s="21" t="str">
        <f>'Ingest Template'!Z863</f>
        <v/>
      </c>
      <c r="AF863" s="29"/>
      <c r="AG863" s="21" t="str">
        <f t="array" ref="AG863">IF('Ingest Template'!A863="Standard",(CONCATENATE(IF(ISBLANK('Ingest Template'!O863),"", 'Ingest Template'!O863&amp;"|DAR"),CHAR(10), IF(ISBLANK('Ingest Template'!P863),"", 'Ingest Template'!P863&amp;"|DAR"),CHAR(10), IF(ISBLANK('Ingest Template'!Q863),"", 'Ingest Template'!Q863&amp;"|DAR"))),(CONCATENATE(IF(ISBLANK('Ingest Template'!O863),"", 'Ingest Template'!O863&amp;"|Operations - Core Title"),CHAR(10), IF(ISBLANK('Ingest Template'!P863),"", 'Ingest Template'!P863&amp;"|Operations - Core Title"),CHAR(10), IF(ISBLANK('Ingest Template'!Q863),"", 'Ingest Template'!Q863&amp;"|Operations - Core Title"))))</f>
        <v>#|Operations - Core Title
#|Operations - Core Title
</v>
      </c>
      <c r="AH863" s="21"/>
      <c r="AI863" s="21"/>
      <c r="AJ863" s="53" t="str">
        <f>if('Ingest Template'!A863="Standard",'Ingest Template'!N863&amp; "|DAR|DAR|2021-01-01",'Ingest Template'!N863&amp; "|Operations - Core Title|Operations - Core Title")</f>
        <v>#N/A</v>
      </c>
      <c r="AK863" s="53" t="str">
        <f>if('Ingest Template'!A863="Standard",'Ingest Template'!R863&amp; "|2021-01-01",'Ingest Template'!R863)</f>
        <v>#N/A</v>
      </c>
      <c r="AL863" s="21"/>
      <c r="AM863" s="21"/>
    </row>
    <row r="864">
      <c r="A864" s="21"/>
      <c r="B864" s="21" t="str">
        <f>'Ingest Template'!B864&amp;IF('Ingest Template'!A864 = "Standard", " - DAR","")</f>
        <v/>
      </c>
      <c r="C864" s="26" t="s">
        <v>109</v>
      </c>
      <c r="D864" s="29" t="str">
        <f t="array" ref="D864">CONCATENATE(INDEX(DropDown!$H$2:$H$10,MATCH(1,COUNTIF('Ingest Template'!F864,"*"&amp;DropDown!$H$2:$H$10&amp;"*"),0)),CHAR(10),'Ingest Template'!G864)</f>
        <v>#N/A</v>
      </c>
      <c r="E864" s="21" t="str">
        <f>CONCATENATE('Ingest Template'!H864,CHAR(10),'Ingest Template'!I864,CHAR(10),'Ingest Template'!J864)</f>
        <v>
</v>
      </c>
      <c r="F864" s="26" t="str">
        <f>'Ingest Template'!H864</f>
        <v/>
      </c>
      <c r="G864" s="21"/>
      <c r="H864" s="29"/>
      <c r="I864" s="21"/>
      <c r="J864" s="29" t="str">
        <f t="array" ref="J864">iF('Ingest Template'!A864="Standard","Pristine Brand",INDEX(DropDown!$M$2:$M$392,MATCH('Ingest Template'!E864,DropDown!$J$2:$J$392,0)))</f>
        <v>#N/A</v>
      </c>
      <c r="K864" s="21" t="str">
        <f>iF('Ingest Template'!A864="Standard",'Ingest Template'!K864&amp;CHAR(10)&amp;'Ingest Template'!L864,"Competitive View")</f>
        <v>Competitive View</v>
      </c>
      <c r="L864" s="29" t="s">
        <v>146</v>
      </c>
      <c r="M864" s="37" t="str">
        <f>'Ingest Template'!D864</f>
        <v/>
      </c>
      <c r="N864" s="21"/>
      <c r="O864" s="21"/>
      <c r="P864" s="21"/>
      <c r="Q864" s="21"/>
      <c r="R864" s="21" t="str">
        <f>'Ingest Template'!E864</f>
        <v/>
      </c>
      <c r="S864" s="29" t="s">
        <v>153</v>
      </c>
      <c r="T864" s="21" t="str">
        <f>'Ingest Template'!T864</f>
        <v/>
      </c>
      <c r="U864" s="21" t="str">
        <f>'Ingest Template'!S864</f>
        <v/>
      </c>
      <c r="V864" s="21" t="str">
        <f>LOWER(SUBSTITUTE(SUBSTITUTE(SUBSTITUTE(SUBSTITUTE(SUBSTITUTE('Ingest Template'!U864,"https:",""),"www.",""),"/",""),"?hl=en",""),"instagram.com",""))</f>
        <v/>
      </c>
      <c r="W864" s="41" t="str">
        <f t="array" ref="W864">IF('Ingest Template'!V864="",(INDEX(DropDown!$L$2:$L$392,MATCH('Ingest Template'!E864,DropDown!$J$2:$J$392,0))&amp;"|"&amp;'Ingest Template'!B864),(INDEX(DropDown!$L$2:$L$392,MATCH('Ingest Template'!E864,DropDown!$J$2:$J$392,0))&amp;"|"&amp;'Ingest Template'!B864)&amp;CHAR(10)&amp;'Ingest Template'!V864)</f>
        <v>#N/A</v>
      </c>
      <c r="X864" s="41" t="str">
        <f>'Ingest Template'!W864</f>
        <v/>
      </c>
      <c r="Y864" s="21" t="str">
        <f>SUBSTITUTE(SUBSTITUTE(SUBSTITUTE('Ingest Template'!X864,"http:",""),"https:",""),"/","")</f>
        <v/>
      </c>
      <c r="Z864" s="21" t="str">
        <f t="array" ref="Z864">IF('Ingest Template'!A864="Standard",(IF(ISBLANK('Ingest Template'!AA864),"", 'Ingest Template'!AA864&amp;"|DAR")),(IF(ISBLANK('Ingest Template'!AA864),"", 'Ingest Template'!AA864&amp;"|Film Ops")))</f>
        <v/>
      </c>
      <c r="AA864" s="21"/>
      <c r="AB864" s="21" t="str">
        <f>'Ingest Template'!M864</f>
        <v/>
      </c>
      <c r="AC864" s="21" t="str">
        <f>'Ingest Template'!Y864</f>
        <v/>
      </c>
      <c r="AD864" s="21" t="str">
        <f>'Ingest Template'!C864</f>
        <v/>
      </c>
      <c r="AE864" s="21" t="str">
        <f>'Ingest Template'!Z864</f>
        <v/>
      </c>
      <c r="AF864" s="29"/>
      <c r="AG864" s="21" t="str">
        <f t="array" ref="AG864">IF('Ingest Template'!A864="Standard",(CONCATENATE(IF(ISBLANK('Ingest Template'!O864),"", 'Ingest Template'!O864&amp;"|DAR"),CHAR(10), IF(ISBLANK('Ingest Template'!P864),"", 'Ingest Template'!P864&amp;"|DAR"),CHAR(10), IF(ISBLANK('Ingest Template'!Q864),"", 'Ingest Template'!Q864&amp;"|DAR"))),(CONCATENATE(IF(ISBLANK('Ingest Template'!O864),"", 'Ingest Template'!O864&amp;"|Operations - Core Title"),CHAR(10), IF(ISBLANK('Ingest Template'!P864),"", 'Ingest Template'!P864&amp;"|Operations - Core Title"),CHAR(10), IF(ISBLANK('Ingest Template'!Q864),"", 'Ingest Template'!Q864&amp;"|Operations - Core Title"))))</f>
        <v>#|Operations - Core Title
#|Operations - Core Title
</v>
      </c>
      <c r="AH864" s="21"/>
      <c r="AI864" s="21"/>
      <c r="AJ864" s="53" t="str">
        <f>if('Ingest Template'!A864="Standard",'Ingest Template'!N864&amp; "|DAR|DAR|2021-01-01",'Ingest Template'!N864&amp; "|Operations - Core Title|Operations - Core Title")</f>
        <v>#N/A</v>
      </c>
      <c r="AK864" s="53" t="str">
        <f>if('Ingest Template'!A864="Standard",'Ingest Template'!R864&amp; "|2021-01-01",'Ingest Template'!R864)</f>
        <v>#N/A</v>
      </c>
      <c r="AL864" s="21"/>
      <c r="AM864" s="21"/>
    </row>
    <row r="865">
      <c r="A865" s="21"/>
      <c r="B865" s="21" t="str">
        <f>'Ingest Template'!B865&amp;IF('Ingest Template'!A865 = "Standard", " - DAR","")</f>
        <v/>
      </c>
      <c r="C865" s="26" t="s">
        <v>109</v>
      </c>
      <c r="D865" s="29" t="str">
        <f t="array" ref="D865">CONCATENATE(INDEX(DropDown!$H$2:$H$10,MATCH(1,COUNTIF('Ingest Template'!F865,"*"&amp;DropDown!$H$2:$H$10&amp;"*"),0)),CHAR(10),'Ingest Template'!G865)</f>
        <v>#N/A</v>
      </c>
      <c r="E865" s="21" t="str">
        <f>CONCATENATE('Ingest Template'!H865,CHAR(10),'Ingest Template'!I865,CHAR(10),'Ingest Template'!J865)</f>
        <v>
</v>
      </c>
      <c r="F865" s="26" t="str">
        <f>'Ingest Template'!H865</f>
        <v/>
      </c>
      <c r="G865" s="21"/>
      <c r="H865" s="29"/>
      <c r="I865" s="21"/>
      <c r="J865" s="29" t="str">
        <f t="array" ref="J865">iF('Ingest Template'!A865="Standard","Pristine Brand",INDEX(DropDown!$M$2:$M$392,MATCH('Ingest Template'!E865,DropDown!$J$2:$J$392,0)))</f>
        <v>#N/A</v>
      </c>
      <c r="K865" s="21" t="str">
        <f>iF('Ingest Template'!A865="Standard",'Ingest Template'!K865&amp;CHAR(10)&amp;'Ingest Template'!L865,"Competitive View")</f>
        <v>Competitive View</v>
      </c>
      <c r="L865" s="29" t="s">
        <v>146</v>
      </c>
      <c r="M865" s="37" t="str">
        <f>'Ingest Template'!D865</f>
        <v/>
      </c>
      <c r="N865" s="21"/>
      <c r="O865" s="21"/>
      <c r="P865" s="21"/>
      <c r="Q865" s="21"/>
      <c r="R865" s="21" t="str">
        <f>'Ingest Template'!E865</f>
        <v/>
      </c>
      <c r="S865" s="29" t="s">
        <v>153</v>
      </c>
      <c r="T865" s="21" t="str">
        <f>'Ingest Template'!T865</f>
        <v/>
      </c>
      <c r="U865" s="21" t="str">
        <f>'Ingest Template'!S865</f>
        <v/>
      </c>
      <c r="V865" s="21" t="str">
        <f>LOWER(SUBSTITUTE(SUBSTITUTE(SUBSTITUTE(SUBSTITUTE(SUBSTITUTE('Ingest Template'!U865,"https:",""),"www.",""),"/",""),"?hl=en",""),"instagram.com",""))</f>
        <v/>
      </c>
      <c r="W865" s="41" t="str">
        <f t="array" ref="W865">IF('Ingest Template'!V865="",(INDEX(DropDown!$L$2:$L$392,MATCH('Ingest Template'!E865,DropDown!$J$2:$J$392,0))&amp;"|"&amp;'Ingest Template'!B865),(INDEX(DropDown!$L$2:$L$392,MATCH('Ingest Template'!E865,DropDown!$J$2:$J$392,0))&amp;"|"&amp;'Ingest Template'!B865)&amp;CHAR(10)&amp;'Ingest Template'!V865)</f>
        <v>#N/A</v>
      </c>
      <c r="X865" s="41" t="str">
        <f>'Ingest Template'!W865</f>
        <v/>
      </c>
      <c r="Y865" s="21" t="str">
        <f>SUBSTITUTE(SUBSTITUTE(SUBSTITUTE('Ingest Template'!X865,"http:",""),"https:",""),"/","")</f>
        <v/>
      </c>
      <c r="Z865" s="21" t="str">
        <f t="array" ref="Z865">IF('Ingest Template'!A865="Standard",(IF(ISBLANK('Ingest Template'!AA865),"", 'Ingest Template'!AA865&amp;"|DAR")),(IF(ISBLANK('Ingest Template'!AA865),"", 'Ingest Template'!AA865&amp;"|Film Ops")))</f>
        <v/>
      </c>
      <c r="AA865" s="21"/>
      <c r="AB865" s="21" t="str">
        <f>'Ingest Template'!M865</f>
        <v/>
      </c>
      <c r="AC865" s="21" t="str">
        <f>'Ingest Template'!Y865</f>
        <v/>
      </c>
      <c r="AD865" s="21" t="str">
        <f>'Ingest Template'!C865</f>
        <v/>
      </c>
      <c r="AE865" s="21" t="str">
        <f>'Ingest Template'!Z865</f>
        <v/>
      </c>
      <c r="AF865" s="29"/>
      <c r="AG865" s="21" t="str">
        <f t="array" ref="AG865">IF('Ingest Template'!A865="Standard",(CONCATENATE(IF(ISBLANK('Ingest Template'!O865),"", 'Ingest Template'!O865&amp;"|DAR"),CHAR(10), IF(ISBLANK('Ingest Template'!P865),"", 'Ingest Template'!P865&amp;"|DAR"),CHAR(10), IF(ISBLANK('Ingest Template'!Q865),"", 'Ingest Template'!Q865&amp;"|DAR"))),(CONCATENATE(IF(ISBLANK('Ingest Template'!O865),"", 'Ingest Template'!O865&amp;"|Operations - Core Title"),CHAR(10), IF(ISBLANK('Ingest Template'!P865),"", 'Ingest Template'!P865&amp;"|Operations - Core Title"),CHAR(10), IF(ISBLANK('Ingest Template'!Q865),"", 'Ingest Template'!Q865&amp;"|Operations - Core Title"))))</f>
        <v>#|Operations - Core Title
#|Operations - Core Title
</v>
      </c>
      <c r="AH865" s="21"/>
      <c r="AI865" s="21"/>
      <c r="AJ865" s="53" t="str">
        <f>if('Ingest Template'!A865="Standard",'Ingest Template'!N865&amp; "|DAR|DAR|2021-01-01",'Ingest Template'!N865&amp; "|Operations - Core Title|Operations - Core Title")</f>
        <v>#N/A</v>
      </c>
      <c r="AK865" s="53" t="str">
        <f>if('Ingest Template'!A865="Standard",'Ingest Template'!R865&amp; "|2021-01-01",'Ingest Template'!R865)</f>
        <v>#N/A</v>
      </c>
      <c r="AL865" s="21"/>
      <c r="AM865" s="21"/>
    </row>
    <row r="866">
      <c r="A866" s="21"/>
      <c r="B866" s="21" t="str">
        <f>'Ingest Template'!B866&amp;IF('Ingest Template'!A866 = "Standard", " - DAR","")</f>
        <v/>
      </c>
      <c r="C866" s="26" t="s">
        <v>109</v>
      </c>
      <c r="D866" s="29" t="str">
        <f t="array" ref="D866">CONCATENATE(INDEX(DropDown!$H$2:$H$10,MATCH(1,COUNTIF('Ingest Template'!F866,"*"&amp;DropDown!$H$2:$H$10&amp;"*"),0)),CHAR(10),'Ingest Template'!G866)</f>
        <v>#N/A</v>
      </c>
      <c r="E866" s="21" t="str">
        <f>CONCATENATE('Ingest Template'!H866,CHAR(10),'Ingest Template'!I866,CHAR(10),'Ingest Template'!J866)</f>
        <v>
</v>
      </c>
      <c r="F866" s="26" t="str">
        <f>'Ingest Template'!H866</f>
        <v/>
      </c>
      <c r="G866" s="21"/>
      <c r="H866" s="29"/>
      <c r="I866" s="21"/>
      <c r="J866" s="29" t="str">
        <f t="array" ref="J866">iF('Ingest Template'!A866="Standard","Pristine Brand",INDEX(DropDown!$M$2:$M$392,MATCH('Ingest Template'!E866,DropDown!$J$2:$J$392,0)))</f>
        <v>#N/A</v>
      </c>
      <c r="K866" s="21" t="str">
        <f>iF('Ingest Template'!A866="Standard",'Ingest Template'!K866&amp;CHAR(10)&amp;'Ingest Template'!L866,"Competitive View")</f>
        <v>Competitive View</v>
      </c>
      <c r="L866" s="29" t="s">
        <v>146</v>
      </c>
      <c r="M866" s="37" t="str">
        <f>'Ingest Template'!D866</f>
        <v/>
      </c>
      <c r="N866" s="21"/>
      <c r="O866" s="21"/>
      <c r="P866" s="21"/>
      <c r="Q866" s="21"/>
      <c r="R866" s="21" t="str">
        <f>'Ingest Template'!E866</f>
        <v/>
      </c>
      <c r="S866" s="29" t="s">
        <v>153</v>
      </c>
      <c r="T866" s="21" t="str">
        <f>'Ingest Template'!T866</f>
        <v/>
      </c>
      <c r="U866" s="21" t="str">
        <f>'Ingest Template'!S866</f>
        <v/>
      </c>
      <c r="V866" s="21" t="str">
        <f>LOWER(SUBSTITUTE(SUBSTITUTE(SUBSTITUTE(SUBSTITUTE(SUBSTITUTE('Ingest Template'!U866,"https:",""),"www.",""),"/",""),"?hl=en",""),"instagram.com",""))</f>
        <v/>
      </c>
      <c r="W866" s="41" t="str">
        <f t="array" ref="W866">IF('Ingest Template'!V866="",(INDEX(DropDown!$L$2:$L$392,MATCH('Ingest Template'!E866,DropDown!$J$2:$J$392,0))&amp;"|"&amp;'Ingest Template'!B866),(INDEX(DropDown!$L$2:$L$392,MATCH('Ingest Template'!E866,DropDown!$J$2:$J$392,0))&amp;"|"&amp;'Ingest Template'!B866)&amp;CHAR(10)&amp;'Ingest Template'!V866)</f>
        <v>#N/A</v>
      </c>
      <c r="X866" s="41" t="str">
        <f>'Ingest Template'!W866</f>
        <v/>
      </c>
      <c r="Y866" s="21" t="str">
        <f>SUBSTITUTE(SUBSTITUTE(SUBSTITUTE('Ingest Template'!X866,"http:",""),"https:",""),"/","")</f>
        <v/>
      </c>
      <c r="Z866" s="21" t="str">
        <f t="array" ref="Z866">IF('Ingest Template'!A866="Standard",(IF(ISBLANK('Ingest Template'!AA866),"", 'Ingest Template'!AA866&amp;"|DAR")),(IF(ISBLANK('Ingest Template'!AA866),"", 'Ingest Template'!AA866&amp;"|Film Ops")))</f>
        <v/>
      </c>
      <c r="AA866" s="21"/>
      <c r="AB866" s="21" t="str">
        <f>'Ingest Template'!M866</f>
        <v/>
      </c>
      <c r="AC866" s="21" t="str">
        <f>'Ingest Template'!Y866</f>
        <v/>
      </c>
      <c r="AD866" s="21" t="str">
        <f>'Ingest Template'!C866</f>
        <v/>
      </c>
      <c r="AE866" s="21" t="str">
        <f>'Ingest Template'!Z866</f>
        <v/>
      </c>
      <c r="AF866" s="29"/>
      <c r="AG866" s="21" t="str">
        <f t="array" ref="AG866">IF('Ingest Template'!A866="Standard",(CONCATENATE(IF(ISBLANK('Ingest Template'!O866),"", 'Ingest Template'!O866&amp;"|DAR"),CHAR(10), IF(ISBLANK('Ingest Template'!P866),"", 'Ingest Template'!P866&amp;"|DAR"),CHAR(10), IF(ISBLANK('Ingest Template'!Q866),"", 'Ingest Template'!Q866&amp;"|DAR"))),(CONCATENATE(IF(ISBLANK('Ingest Template'!O866),"", 'Ingest Template'!O866&amp;"|Operations - Core Title"),CHAR(10), IF(ISBLANK('Ingest Template'!P866),"", 'Ingest Template'!P866&amp;"|Operations - Core Title"),CHAR(10), IF(ISBLANK('Ingest Template'!Q866),"", 'Ingest Template'!Q866&amp;"|Operations - Core Title"))))</f>
        <v>#|Operations - Core Title
#|Operations - Core Title
</v>
      </c>
      <c r="AH866" s="21"/>
      <c r="AI866" s="21"/>
      <c r="AJ866" s="53" t="str">
        <f>if('Ingest Template'!A866="Standard",'Ingest Template'!N866&amp; "|DAR|DAR|2021-01-01",'Ingest Template'!N866&amp; "|Operations - Core Title|Operations - Core Title")</f>
        <v>#N/A</v>
      </c>
      <c r="AK866" s="53" t="str">
        <f>if('Ingest Template'!A866="Standard",'Ingest Template'!R866&amp; "|2021-01-01",'Ingest Template'!R866)</f>
        <v>#N/A</v>
      </c>
      <c r="AL866" s="21"/>
      <c r="AM866" s="21"/>
    </row>
    <row r="867">
      <c r="A867" s="21"/>
      <c r="B867" s="21" t="str">
        <f>'Ingest Template'!B867&amp;IF('Ingest Template'!A867 = "Standard", " - DAR","")</f>
        <v/>
      </c>
      <c r="C867" s="26" t="s">
        <v>109</v>
      </c>
      <c r="D867" s="29" t="str">
        <f t="array" ref="D867">CONCATENATE(INDEX(DropDown!$H$2:$H$10,MATCH(1,COUNTIF('Ingest Template'!F867,"*"&amp;DropDown!$H$2:$H$10&amp;"*"),0)),CHAR(10),'Ingest Template'!G867)</f>
        <v>#N/A</v>
      </c>
      <c r="E867" s="21" t="str">
        <f>CONCATENATE('Ingest Template'!H867,CHAR(10),'Ingest Template'!I867,CHAR(10),'Ingest Template'!J867)</f>
        <v>
</v>
      </c>
      <c r="F867" s="26" t="str">
        <f>'Ingest Template'!H867</f>
        <v/>
      </c>
      <c r="G867" s="21"/>
      <c r="H867" s="29"/>
      <c r="I867" s="21"/>
      <c r="J867" s="29" t="str">
        <f t="array" ref="J867">iF('Ingest Template'!A867="Standard","Pristine Brand",INDEX(DropDown!$M$2:$M$392,MATCH('Ingest Template'!E867,DropDown!$J$2:$J$392,0)))</f>
        <v>#N/A</v>
      </c>
      <c r="K867" s="21" t="str">
        <f>iF('Ingest Template'!A867="Standard",'Ingest Template'!K867&amp;CHAR(10)&amp;'Ingest Template'!L867,"Competitive View")</f>
        <v>Competitive View</v>
      </c>
      <c r="L867" s="29" t="s">
        <v>146</v>
      </c>
      <c r="M867" s="37" t="str">
        <f>'Ingest Template'!D867</f>
        <v/>
      </c>
      <c r="N867" s="21"/>
      <c r="O867" s="21"/>
      <c r="P867" s="21"/>
      <c r="Q867" s="21"/>
      <c r="R867" s="21" t="str">
        <f>'Ingest Template'!E867</f>
        <v/>
      </c>
      <c r="S867" s="29" t="s">
        <v>153</v>
      </c>
      <c r="T867" s="21" t="str">
        <f>'Ingest Template'!T867</f>
        <v/>
      </c>
      <c r="U867" s="21" t="str">
        <f>'Ingest Template'!S867</f>
        <v/>
      </c>
      <c r="V867" s="21" t="str">
        <f>LOWER(SUBSTITUTE(SUBSTITUTE(SUBSTITUTE(SUBSTITUTE(SUBSTITUTE('Ingest Template'!U867,"https:",""),"www.",""),"/",""),"?hl=en",""),"instagram.com",""))</f>
        <v/>
      </c>
      <c r="W867" s="41" t="str">
        <f t="array" ref="W867">IF('Ingest Template'!V867="",(INDEX(DropDown!$L$2:$L$392,MATCH('Ingest Template'!E867,DropDown!$J$2:$J$392,0))&amp;"|"&amp;'Ingest Template'!B867),(INDEX(DropDown!$L$2:$L$392,MATCH('Ingest Template'!E867,DropDown!$J$2:$J$392,0))&amp;"|"&amp;'Ingest Template'!B867)&amp;CHAR(10)&amp;'Ingest Template'!V867)</f>
        <v>#N/A</v>
      </c>
      <c r="X867" s="41" t="str">
        <f>'Ingest Template'!W867</f>
        <v/>
      </c>
      <c r="Y867" s="21" t="str">
        <f>SUBSTITUTE(SUBSTITUTE(SUBSTITUTE('Ingest Template'!X867,"http:",""),"https:",""),"/","")</f>
        <v/>
      </c>
      <c r="Z867" s="21" t="str">
        <f t="array" ref="Z867">IF('Ingest Template'!A867="Standard",(IF(ISBLANK('Ingest Template'!AA867),"", 'Ingest Template'!AA867&amp;"|DAR")),(IF(ISBLANK('Ingest Template'!AA867),"", 'Ingest Template'!AA867&amp;"|Film Ops")))</f>
        <v/>
      </c>
      <c r="AA867" s="21"/>
      <c r="AB867" s="21" t="str">
        <f>'Ingest Template'!M867</f>
        <v/>
      </c>
      <c r="AC867" s="21" t="str">
        <f>'Ingest Template'!Y867</f>
        <v/>
      </c>
      <c r="AD867" s="21" t="str">
        <f>'Ingest Template'!C867</f>
        <v/>
      </c>
      <c r="AE867" s="21" t="str">
        <f>'Ingest Template'!Z867</f>
        <v/>
      </c>
      <c r="AF867" s="29"/>
      <c r="AG867" s="21" t="str">
        <f t="array" ref="AG867">IF('Ingest Template'!A867="Standard",(CONCATENATE(IF(ISBLANK('Ingest Template'!O867),"", 'Ingest Template'!O867&amp;"|DAR"),CHAR(10), IF(ISBLANK('Ingest Template'!P867),"", 'Ingest Template'!P867&amp;"|DAR"),CHAR(10), IF(ISBLANK('Ingest Template'!Q867),"", 'Ingest Template'!Q867&amp;"|DAR"))),(CONCATENATE(IF(ISBLANK('Ingest Template'!O867),"", 'Ingest Template'!O867&amp;"|Operations - Core Title"),CHAR(10), IF(ISBLANK('Ingest Template'!P867),"", 'Ingest Template'!P867&amp;"|Operations - Core Title"),CHAR(10), IF(ISBLANK('Ingest Template'!Q867),"", 'Ingest Template'!Q867&amp;"|Operations - Core Title"))))</f>
        <v>#|Operations - Core Title
#|Operations - Core Title
</v>
      </c>
      <c r="AH867" s="21"/>
      <c r="AI867" s="21"/>
      <c r="AJ867" s="53" t="str">
        <f>if('Ingest Template'!A867="Standard",'Ingest Template'!N867&amp; "|DAR|DAR|2021-01-01",'Ingest Template'!N867&amp; "|Operations - Core Title|Operations - Core Title")</f>
        <v>#N/A</v>
      </c>
      <c r="AK867" s="53" t="str">
        <f>if('Ingest Template'!A867="Standard",'Ingest Template'!R867&amp; "|2021-01-01",'Ingest Template'!R867)</f>
        <v>#N/A</v>
      </c>
      <c r="AL867" s="21"/>
      <c r="AM867" s="21"/>
    </row>
    <row r="868">
      <c r="A868" s="21"/>
      <c r="B868" s="21" t="str">
        <f>'Ingest Template'!B868&amp;IF('Ingest Template'!A868 = "Standard", " - DAR","")</f>
        <v/>
      </c>
      <c r="C868" s="26" t="s">
        <v>109</v>
      </c>
      <c r="D868" s="29" t="str">
        <f t="array" ref="D868">CONCATENATE(INDEX(DropDown!$H$2:$H$10,MATCH(1,COUNTIF('Ingest Template'!F868,"*"&amp;DropDown!$H$2:$H$10&amp;"*"),0)),CHAR(10),'Ingest Template'!G868)</f>
        <v>#N/A</v>
      </c>
      <c r="E868" s="21" t="str">
        <f>CONCATENATE('Ingest Template'!H868,CHAR(10),'Ingest Template'!I868,CHAR(10),'Ingest Template'!J868)</f>
        <v>
</v>
      </c>
      <c r="F868" s="26" t="str">
        <f>'Ingest Template'!H868</f>
        <v/>
      </c>
      <c r="G868" s="21"/>
      <c r="H868" s="29"/>
      <c r="I868" s="21"/>
      <c r="J868" s="29" t="str">
        <f t="array" ref="J868">iF('Ingest Template'!A868="Standard","Pristine Brand",INDEX(DropDown!$M$2:$M$392,MATCH('Ingest Template'!E868,DropDown!$J$2:$J$392,0)))</f>
        <v>#N/A</v>
      </c>
      <c r="K868" s="21" t="str">
        <f>iF('Ingest Template'!A868="Standard",'Ingest Template'!K868&amp;CHAR(10)&amp;'Ingest Template'!L868,"Competitive View")</f>
        <v>Competitive View</v>
      </c>
      <c r="L868" s="29" t="s">
        <v>146</v>
      </c>
      <c r="M868" s="37" t="str">
        <f>'Ingest Template'!D868</f>
        <v/>
      </c>
      <c r="N868" s="21"/>
      <c r="O868" s="21"/>
      <c r="P868" s="21"/>
      <c r="Q868" s="21"/>
      <c r="R868" s="21" t="str">
        <f>'Ingest Template'!E868</f>
        <v/>
      </c>
      <c r="S868" s="29" t="s">
        <v>153</v>
      </c>
      <c r="T868" s="21" t="str">
        <f>'Ingest Template'!T868</f>
        <v/>
      </c>
      <c r="U868" s="21" t="str">
        <f>'Ingest Template'!S868</f>
        <v/>
      </c>
      <c r="V868" s="21" t="str">
        <f>LOWER(SUBSTITUTE(SUBSTITUTE(SUBSTITUTE(SUBSTITUTE(SUBSTITUTE('Ingest Template'!U868,"https:",""),"www.",""),"/",""),"?hl=en",""),"instagram.com",""))</f>
        <v/>
      </c>
      <c r="W868" s="41" t="str">
        <f t="array" ref="W868">IF('Ingest Template'!V868="",(INDEX(DropDown!$L$2:$L$392,MATCH('Ingest Template'!E868,DropDown!$J$2:$J$392,0))&amp;"|"&amp;'Ingest Template'!B868),(INDEX(DropDown!$L$2:$L$392,MATCH('Ingest Template'!E868,DropDown!$J$2:$J$392,0))&amp;"|"&amp;'Ingest Template'!B868)&amp;CHAR(10)&amp;'Ingest Template'!V868)</f>
        <v>#N/A</v>
      </c>
      <c r="X868" s="41" t="str">
        <f>'Ingest Template'!W868</f>
        <v/>
      </c>
      <c r="Y868" s="21" t="str">
        <f>SUBSTITUTE(SUBSTITUTE(SUBSTITUTE('Ingest Template'!X868,"http:",""),"https:",""),"/","")</f>
        <v/>
      </c>
      <c r="Z868" s="21" t="str">
        <f t="array" ref="Z868">IF('Ingest Template'!A868="Standard",(IF(ISBLANK('Ingest Template'!AA868),"", 'Ingest Template'!AA868&amp;"|DAR")),(IF(ISBLANK('Ingest Template'!AA868),"", 'Ingest Template'!AA868&amp;"|Film Ops")))</f>
        <v/>
      </c>
      <c r="AA868" s="21"/>
      <c r="AB868" s="21" t="str">
        <f>'Ingest Template'!M868</f>
        <v/>
      </c>
      <c r="AC868" s="21" t="str">
        <f>'Ingest Template'!Y868</f>
        <v/>
      </c>
      <c r="AD868" s="21" t="str">
        <f>'Ingest Template'!C868</f>
        <v/>
      </c>
      <c r="AE868" s="21" t="str">
        <f>'Ingest Template'!Z868</f>
        <v/>
      </c>
      <c r="AF868" s="29"/>
      <c r="AG868" s="21" t="str">
        <f t="array" ref="AG868">IF('Ingest Template'!A868="Standard",(CONCATENATE(IF(ISBLANK('Ingest Template'!O868),"", 'Ingest Template'!O868&amp;"|DAR"),CHAR(10), IF(ISBLANK('Ingest Template'!P868),"", 'Ingest Template'!P868&amp;"|DAR"),CHAR(10), IF(ISBLANK('Ingest Template'!Q868),"", 'Ingest Template'!Q868&amp;"|DAR"))),(CONCATENATE(IF(ISBLANK('Ingest Template'!O868),"", 'Ingest Template'!O868&amp;"|Operations - Core Title"),CHAR(10), IF(ISBLANK('Ingest Template'!P868),"", 'Ingest Template'!P868&amp;"|Operations - Core Title"),CHAR(10), IF(ISBLANK('Ingest Template'!Q868),"", 'Ingest Template'!Q868&amp;"|Operations - Core Title"))))</f>
        <v>#|Operations - Core Title
#|Operations - Core Title
</v>
      </c>
      <c r="AH868" s="21"/>
      <c r="AI868" s="21"/>
      <c r="AJ868" s="53" t="str">
        <f>if('Ingest Template'!A868="Standard",'Ingest Template'!N868&amp; "|DAR|DAR|2021-01-01",'Ingest Template'!N868&amp; "|Operations - Core Title|Operations - Core Title")</f>
        <v>#N/A</v>
      </c>
      <c r="AK868" s="53" t="str">
        <f>if('Ingest Template'!A868="Standard",'Ingest Template'!R868&amp; "|2021-01-01",'Ingest Template'!R868)</f>
        <v>#N/A</v>
      </c>
      <c r="AL868" s="21"/>
      <c r="AM868" s="21"/>
    </row>
    <row r="869">
      <c r="A869" s="21"/>
      <c r="B869" s="21" t="str">
        <f>'Ingest Template'!B869&amp;IF('Ingest Template'!A869 = "Standard", " - DAR","")</f>
        <v/>
      </c>
      <c r="C869" s="26" t="s">
        <v>109</v>
      </c>
      <c r="D869" s="29" t="str">
        <f t="array" ref="D869">CONCATENATE(INDEX(DropDown!$H$2:$H$10,MATCH(1,COUNTIF('Ingest Template'!F869,"*"&amp;DropDown!$H$2:$H$10&amp;"*"),0)),CHAR(10),'Ingest Template'!G869)</f>
        <v>#N/A</v>
      </c>
      <c r="E869" s="21" t="str">
        <f>CONCATENATE('Ingest Template'!H869,CHAR(10),'Ingest Template'!I869,CHAR(10),'Ingest Template'!J869)</f>
        <v>
</v>
      </c>
      <c r="F869" s="26" t="str">
        <f>'Ingest Template'!H869</f>
        <v/>
      </c>
      <c r="G869" s="21"/>
      <c r="H869" s="29"/>
      <c r="I869" s="21"/>
      <c r="J869" s="29" t="str">
        <f t="array" ref="J869">iF('Ingest Template'!A869="Standard","Pristine Brand",INDEX(DropDown!$M$2:$M$392,MATCH('Ingest Template'!E869,DropDown!$J$2:$J$392,0)))</f>
        <v>#N/A</v>
      </c>
      <c r="K869" s="21" t="str">
        <f>iF('Ingest Template'!A869="Standard",'Ingest Template'!K869&amp;CHAR(10)&amp;'Ingest Template'!L869,"Competitive View")</f>
        <v>Competitive View</v>
      </c>
      <c r="L869" s="29" t="s">
        <v>146</v>
      </c>
      <c r="M869" s="37" t="str">
        <f>'Ingest Template'!D869</f>
        <v/>
      </c>
      <c r="N869" s="21"/>
      <c r="O869" s="21"/>
      <c r="P869" s="21"/>
      <c r="Q869" s="21"/>
      <c r="R869" s="21" t="str">
        <f>'Ingest Template'!E869</f>
        <v/>
      </c>
      <c r="S869" s="29" t="s">
        <v>153</v>
      </c>
      <c r="T869" s="21" t="str">
        <f>'Ingest Template'!T869</f>
        <v/>
      </c>
      <c r="U869" s="21" t="str">
        <f>'Ingest Template'!S869</f>
        <v/>
      </c>
      <c r="V869" s="21" t="str">
        <f>LOWER(SUBSTITUTE(SUBSTITUTE(SUBSTITUTE(SUBSTITUTE(SUBSTITUTE('Ingest Template'!U869,"https:",""),"www.",""),"/",""),"?hl=en",""),"instagram.com",""))</f>
        <v/>
      </c>
      <c r="W869" s="41" t="str">
        <f t="array" ref="W869">IF('Ingest Template'!V869="",(INDEX(DropDown!$L$2:$L$392,MATCH('Ingest Template'!E869,DropDown!$J$2:$J$392,0))&amp;"|"&amp;'Ingest Template'!B869),(INDEX(DropDown!$L$2:$L$392,MATCH('Ingest Template'!E869,DropDown!$J$2:$J$392,0))&amp;"|"&amp;'Ingest Template'!B869)&amp;CHAR(10)&amp;'Ingest Template'!V869)</f>
        <v>#N/A</v>
      </c>
      <c r="X869" s="41" t="str">
        <f>'Ingest Template'!W869</f>
        <v/>
      </c>
      <c r="Y869" s="21" t="str">
        <f>SUBSTITUTE(SUBSTITUTE(SUBSTITUTE('Ingest Template'!X869,"http:",""),"https:",""),"/","")</f>
        <v/>
      </c>
      <c r="Z869" s="21" t="str">
        <f t="array" ref="Z869">IF('Ingest Template'!A869="Standard",(IF(ISBLANK('Ingest Template'!AA869),"", 'Ingest Template'!AA869&amp;"|DAR")),(IF(ISBLANK('Ingest Template'!AA869),"", 'Ingest Template'!AA869&amp;"|Film Ops")))</f>
        <v/>
      </c>
      <c r="AA869" s="21"/>
      <c r="AB869" s="21" t="str">
        <f>'Ingest Template'!M869</f>
        <v/>
      </c>
      <c r="AC869" s="21" t="str">
        <f>'Ingest Template'!Y869</f>
        <v/>
      </c>
      <c r="AD869" s="21" t="str">
        <f>'Ingest Template'!C869</f>
        <v/>
      </c>
      <c r="AE869" s="21" t="str">
        <f>'Ingest Template'!Z869</f>
        <v/>
      </c>
      <c r="AF869" s="29"/>
      <c r="AG869" s="21" t="str">
        <f t="array" ref="AG869">IF('Ingest Template'!A869="Standard",(CONCATENATE(IF(ISBLANK('Ingest Template'!O869),"", 'Ingest Template'!O869&amp;"|DAR"),CHAR(10), IF(ISBLANK('Ingest Template'!P869),"", 'Ingest Template'!P869&amp;"|DAR"),CHAR(10), IF(ISBLANK('Ingest Template'!Q869),"", 'Ingest Template'!Q869&amp;"|DAR"))),(CONCATENATE(IF(ISBLANK('Ingest Template'!O869),"", 'Ingest Template'!O869&amp;"|Operations - Core Title"),CHAR(10), IF(ISBLANK('Ingest Template'!P869),"", 'Ingest Template'!P869&amp;"|Operations - Core Title"),CHAR(10), IF(ISBLANK('Ingest Template'!Q869),"", 'Ingest Template'!Q869&amp;"|Operations - Core Title"))))</f>
        <v>#|Operations - Core Title
#|Operations - Core Title
</v>
      </c>
      <c r="AH869" s="21"/>
      <c r="AI869" s="21"/>
      <c r="AJ869" s="53" t="str">
        <f>if('Ingest Template'!A869="Standard",'Ingest Template'!N869&amp; "|DAR|DAR|2021-01-01",'Ingest Template'!N869&amp; "|Operations - Core Title|Operations - Core Title")</f>
        <v>#N/A</v>
      </c>
      <c r="AK869" s="53" t="str">
        <f>if('Ingest Template'!A869="Standard",'Ingest Template'!R869&amp; "|2021-01-01",'Ingest Template'!R869)</f>
        <v>#N/A</v>
      </c>
      <c r="AL869" s="21"/>
      <c r="AM869" s="21"/>
    </row>
    <row r="870">
      <c r="A870" s="21"/>
      <c r="B870" s="21" t="str">
        <f>'Ingest Template'!B870&amp;IF('Ingest Template'!A870 = "Standard", " - DAR","")</f>
        <v/>
      </c>
      <c r="C870" s="26" t="s">
        <v>109</v>
      </c>
      <c r="D870" s="29" t="str">
        <f t="array" ref="D870">CONCATENATE(INDEX(DropDown!$H$2:$H$10,MATCH(1,COUNTIF('Ingest Template'!F870,"*"&amp;DropDown!$H$2:$H$10&amp;"*"),0)),CHAR(10),'Ingest Template'!G870)</f>
        <v>#N/A</v>
      </c>
      <c r="E870" s="21" t="str">
        <f>CONCATENATE('Ingest Template'!H870,CHAR(10),'Ingest Template'!I870,CHAR(10),'Ingest Template'!J870)</f>
        <v>
</v>
      </c>
      <c r="F870" s="26" t="str">
        <f>'Ingest Template'!H870</f>
        <v/>
      </c>
      <c r="G870" s="21"/>
      <c r="H870" s="29"/>
      <c r="I870" s="21"/>
      <c r="J870" s="29" t="str">
        <f t="array" ref="J870">iF('Ingest Template'!A870="Standard","Pristine Brand",INDEX(DropDown!$M$2:$M$392,MATCH('Ingest Template'!E870,DropDown!$J$2:$J$392,0)))</f>
        <v>#N/A</v>
      </c>
      <c r="K870" s="21" t="str">
        <f>iF('Ingest Template'!A870="Standard",'Ingest Template'!K870&amp;CHAR(10)&amp;'Ingest Template'!L870,"Competitive View")</f>
        <v>Competitive View</v>
      </c>
      <c r="L870" s="29" t="s">
        <v>146</v>
      </c>
      <c r="M870" s="37" t="str">
        <f>'Ingest Template'!D870</f>
        <v/>
      </c>
      <c r="N870" s="21"/>
      <c r="O870" s="21"/>
      <c r="P870" s="21"/>
      <c r="Q870" s="21"/>
      <c r="R870" s="21" t="str">
        <f>'Ingest Template'!E870</f>
        <v/>
      </c>
      <c r="S870" s="29" t="s">
        <v>153</v>
      </c>
      <c r="T870" s="21" t="str">
        <f>'Ingest Template'!T870</f>
        <v/>
      </c>
      <c r="U870" s="21" t="str">
        <f>'Ingest Template'!S870</f>
        <v/>
      </c>
      <c r="V870" s="21" t="str">
        <f>LOWER(SUBSTITUTE(SUBSTITUTE(SUBSTITUTE(SUBSTITUTE(SUBSTITUTE('Ingest Template'!U870,"https:",""),"www.",""),"/",""),"?hl=en",""),"instagram.com",""))</f>
        <v/>
      </c>
      <c r="W870" s="41" t="str">
        <f t="array" ref="W870">IF('Ingest Template'!V870="",(INDEX(DropDown!$L$2:$L$392,MATCH('Ingest Template'!E870,DropDown!$J$2:$J$392,0))&amp;"|"&amp;'Ingest Template'!B870),(INDEX(DropDown!$L$2:$L$392,MATCH('Ingest Template'!E870,DropDown!$J$2:$J$392,0))&amp;"|"&amp;'Ingest Template'!B870)&amp;CHAR(10)&amp;'Ingest Template'!V870)</f>
        <v>#N/A</v>
      </c>
      <c r="X870" s="41" t="str">
        <f>'Ingest Template'!W870</f>
        <v/>
      </c>
      <c r="Y870" s="21" t="str">
        <f>SUBSTITUTE(SUBSTITUTE(SUBSTITUTE('Ingest Template'!X870,"http:",""),"https:",""),"/","")</f>
        <v/>
      </c>
      <c r="Z870" s="21" t="str">
        <f t="array" ref="Z870">IF('Ingest Template'!A870="Standard",(IF(ISBLANK('Ingest Template'!AA870),"", 'Ingest Template'!AA870&amp;"|DAR")),(IF(ISBLANK('Ingest Template'!AA870),"", 'Ingest Template'!AA870&amp;"|Film Ops")))</f>
        <v/>
      </c>
      <c r="AA870" s="21"/>
      <c r="AB870" s="21" t="str">
        <f>'Ingest Template'!M870</f>
        <v/>
      </c>
      <c r="AC870" s="21" t="str">
        <f>'Ingest Template'!Y870</f>
        <v/>
      </c>
      <c r="AD870" s="21" t="str">
        <f>'Ingest Template'!C870</f>
        <v/>
      </c>
      <c r="AE870" s="21" t="str">
        <f>'Ingest Template'!Z870</f>
        <v/>
      </c>
      <c r="AF870" s="29"/>
      <c r="AG870" s="21" t="str">
        <f t="array" ref="AG870">IF('Ingest Template'!A870="Standard",(CONCATENATE(IF(ISBLANK('Ingest Template'!O870),"", 'Ingest Template'!O870&amp;"|DAR"),CHAR(10), IF(ISBLANK('Ingest Template'!P870),"", 'Ingest Template'!P870&amp;"|DAR"),CHAR(10), IF(ISBLANK('Ingest Template'!Q870),"", 'Ingest Template'!Q870&amp;"|DAR"))),(CONCATENATE(IF(ISBLANK('Ingest Template'!O870),"", 'Ingest Template'!O870&amp;"|Operations - Core Title"),CHAR(10), IF(ISBLANK('Ingest Template'!P870),"", 'Ingest Template'!P870&amp;"|Operations - Core Title"),CHAR(10), IF(ISBLANK('Ingest Template'!Q870),"", 'Ingest Template'!Q870&amp;"|Operations - Core Title"))))</f>
        <v>#|Operations - Core Title
#|Operations - Core Title
</v>
      </c>
      <c r="AH870" s="21"/>
      <c r="AI870" s="21"/>
      <c r="AJ870" s="53" t="str">
        <f>if('Ingest Template'!A870="Standard",'Ingest Template'!N870&amp; "|DAR|DAR|2021-01-01",'Ingest Template'!N870&amp; "|Operations - Core Title|Operations - Core Title")</f>
        <v>#N/A</v>
      </c>
      <c r="AK870" s="53" t="str">
        <f>if('Ingest Template'!A870="Standard",'Ingest Template'!R870&amp; "|2021-01-01",'Ingest Template'!R870)</f>
        <v>#N/A</v>
      </c>
      <c r="AL870" s="21"/>
      <c r="AM870" s="21"/>
    </row>
    <row r="871">
      <c r="A871" s="21"/>
      <c r="B871" s="21" t="str">
        <f>'Ingest Template'!B871&amp;IF('Ingest Template'!A871 = "Standard", " - DAR","")</f>
        <v/>
      </c>
      <c r="C871" s="26" t="s">
        <v>109</v>
      </c>
      <c r="D871" s="29" t="str">
        <f t="array" ref="D871">CONCATENATE(INDEX(DropDown!$H$2:$H$10,MATCH(1,COUNTIF('Ingest Template'!F871,"*"&amp;DropDown!$H$2:$H$10&amp;"*"),0)),CHAR(10),'Ingest Template'!G871)</f>
        <v>#N/A</v>
      </c>
      <c r="E871" s="21" t="str">
        <f>CONCATENATE('Ingest Template'!H871,CHAR(10),'Ingest Template'!I871,CHAR(10),'Ingest Template'!J871)</f>
        <v>
</v>
      </c>
      <c r="F871" s="26" t="str">
        <f>'Ingest Template'!H871</f>
        <v/>
      </c>
      <c r="G871" s="21"/>
      <c r="H871" s="29"/>
      <c r="I871" s="21"/>
      <c r="J871" s="29" t="str">
        <f t="array" ref="J871">iF('Ingest Template'!A871="Standard","Pristine Brand",INDEX(DropDown!$M$2:$M$392,MATCH('Ingest Template'!E871,DropDown!$J$2:$J$392,0)))</f>
        <v>#N/A</v>
      </c>
      <c r="K871" s="21" t="str">
        <f>iF('Ingest Template'!A871="Standard",'Ingest Template'!K871&amp;CHAR(10)&amp;'Ingest Template'!L871,"Competitive View")</f>
        <v>Competitive View</v>
      </c>
      <c r="L871" s="29" t="s">
        <v>146</v>
      </c>
      <c r="M871" s="37" t="str">
        <f>'Ingest Template'!D871</f>
        <v/>
      </c>
      <c r="N871" s="21"/>
      <c r="O871" s="21"/>
      <c r="P871" s="21"/>
      <c r="Q871" s="21"/>
      <c r="R871" s="21" t="str">
        <f>'Ingest Template'!E871</f>
        <v/>
      </c>
      <c r="S871" s="29" t="s">
        <v>153</v>
      </c>
      <c r="T871" s="21" t="str">
        <f>'Ingest Template'!T871</f>
        <v/>
      </c>
      <c r="U871" s="21" t="str">
        <f>'Ingest Template'!S871</f>
        <v/>
      </c>
      <c r="V871" s="21" t="str">
        <f>LOWER(SUBSTITUTE(SUBSTITUTE(SUBSTITUTE(SUBSTITUTE(SUBSTITUTE('Ingest Template'!U871,"https:",""),"www.",""),"/",""),"?hl=en",""),"instagram.com",""))</f>
        <v/>
      </c>
      <c r="W871" s="41" t="str">
        <f t="array" ref="W871">IF('Ingest Template'!V871="",(INDEX(DropDown!$L$2:$L$392,MATCH('Ingest Template'!E871,DropDown!$J$2:$J$392,0))&amp;"|"&amp;'Ingest Template'!B871),(INDEX(DropDown!$L$2:$L$392,MATCH('Ingest Template'!E871,DropDown!$J$2:$J$392,0))&amp;"|"&amp;'Ingest Template'!B871)&amp;CHAR(10)&amp;'Ingest Template'!V871)</f>
        <v>#N/A</v>
      </c>
      <c r="X871" s="41" t="str">
        <f>'Ingest Template'!W871</f>
        <v/>
      </c>
      <c r="Y871" s="21" t="str">
        <f>SUBSTITUTE(SUBSTITUTE(SUBSTITUTE('Ingest Template'!X871,"http:",""),"https:",""),"/","")</f>
        <v/>
      </c>
      <c r="Z871" s="21" t="str">
        <f t="array" ref="Z871">IF('Ingest Template'!A871="Standard",(IF(ISBLANK('Ingest Template'!AA871),"", 'Ingest Template'!AA871&amp;"|DAR")),(IF(ISBLANK('Ingest Template'!AA871),"", 'Ingest Template'!AA871&amp;"|Film Ops")))</f>
        <v/>
      </c>
      <c r="AA871" s="21"/>
      <c r="AB871" s="21" t="str">
        <f>'Ingest Template'!M871</f>
        <v/>
      </c>
      <c r="AC871" s="21" t="str">
        <f>'Ingest Template'!Y871</f>
        <v/>
      </c>
      <c r="AD871" s="21" t="str">
        <f>'Ingest Template'!C871</f>
        <v/>
      </c>
      <c r="AE871" s="21" t="str">
        <f>'Ingest Template'!Z871</f>
        <v/>
      </c>
      <c r="AF871" s="29"/>
      <c r="AG871" s="21" t="str">
        <f t="array" ref="AG871">IF('Ingest Template'!A871="Standard",(CONCATENATE(IF(ISBLANK('Ingest Template'!O871),"", 'Ingest Template'!O871&amp;"|DAR"),CHAR(10), IF(ISBLANK('Ingest Template'!P871),"", 'Ingest Template'!P871&amp;"|DAR"),CHAR(10), IF(ISBLANK('Ingest Template'!Q871),"", 'Ingest Template'!Q871&amp;"|DAR"))),(CONCATENATE(IF(ISBLANK('Ingest Template'!O871),"", 'Ingest Template'!O871&amp;"|Operations - Core Title"),CHAR(10), IF(ISBLANK('Ingest Template'!P871),"", 'Ingest Template'!P871&amp;"|Operations - Core Title"),CHAR(10), IF(ISBLANK('Ingest Template'!Q871),"", 'Ingest Template'!Q871&amp;"|Operations - Core Title"))))</f>
        <v>#|Operations - Core Title
#|Operations - Core Title
</v>
      </c>
      <c r="AH871" s="21"/>
      <c r="AI871" s="21"/>
      <c r="AJ871" s="53" t="str">
        <f>if('Ingest Template'!A871="Standard",'Ingest Template'!N871&amp; "|DAR|DAR|2021-01-01",'Ingest Template'!N871&amp; "|Operations - Core Title|Operations - Core Title")</f>
        <v>#N/A</v>
      </c>
      <c r="AK871" s="53" t="str">
        <f>if('Ingest Template'!A871="Standard",'Ingest Template'!R871&amp; "|2021-01-01",'Ingest Template'!R871)</f>
        <v>#N/A</v>
      </c>
      <c r="AL871" s="21"/>
      <c r="AM871" s="21"/>
    </row>
    <row r="872">
      <c r="A872" s="21"/>
      <c r="B872" s="21" t="str">
        <f>'Ingest Template'!B872&amp;IF('Ingest Template'!A872 = "Standard", " - DAR","")</f>
        <v/>
      </c>
      <c r="C872" s="26" t="s">
        <v>109</v>
      </c>
      <c r="D872" s="29" t="str">
        <f t="array" ref="D872">CONCATENATE(INDEX(DropDown!$H$2:$H$10,MATCH(1,COUNTIF('Ingest Template'!F872,"*"&amp;DropDown!$H$2:$H$10&amp;"*"),0)),CHAR(10),'Ingest Template'!G872)</f>
        <v>#N/A</v>
      </c>
      <c r="E872" s="21" t="str">
        <f>CONCATENATE('Ingest Template'!H872,CHAR(10),'Ingest Template'!I872,CHAR(10),'Ingest Template'!J872)</f>
        <v>
</v>
      </c>
      <c r="F872" s="26" t="str">
        <f>'Ingest Template'!H872</f>
        <v/>
      </c>
      <c r="G872" s="21"/>
      <c r="H872" s="29"/>
      <c r="I872" s="21"/>
      <c r="J872" s="29" t="str">
        <f t="array" ref="J872">iF('Ingest Template'!A872="Standard","Pristine Brand",INDEX(DropDown!$M$2:$M$392,MATCH('Ingest Template'!E872,DropDown!$J$2:$J$392,0)))</f>
        <v>#N/A</v>
      </c>
      <c r="K872" s="21" t="str">
        <f>iF('Ingest Template'!A872="Standard",'Ingest Template'!K872&amp;CHAR(10)&amp;'Ingest Template'!L872,"Competitive View")</f>
        <v>Competitive View</v>
      </c>
      <c r="L872" s="29" t="s">
        <v>146</v>
      </c>
      <c r="M872" s="37" t="str">
        <f>'Ingest Template'!D872</f>
        <v/>
      </c>
      <c r="N872" s="21"/>
      <c r="O872" s="21"/>
      <c r="P872" s="21"/>
      <c r="Q872" s="21"/>
      <c r="R872" s="21" t="str">
        <f>'Ingest Template'!E872</f>
        <v/>
      </c>
      <c r="S872" s="29" t="s">
        <v>153</v>
      </c>
      <c r="T872" s="21" t="str">
        <f>'Ingest Template'!T872</f>
        <v/>
      </c>
      <c r="U872" s="21" t="str">
        <f>'Ingest Template'!S872</f>
        <v/>
      </c>
      <c r="V872" s="21" t="str">
        <f>LOWER(SUBSTITUTE(SUBSTITUTE(SUBSTITUTE(SUBSTITUTE(SUBSTITUTE('Ingest Template'!U872,"https:",""),"www.",""),"/",""),"?hl=en",""),"instagram.com",""))</f>
        <v/>
      </c>
      <c r="W872" s="41" t="str">
        <f t="array" ref="W872">IF('Ingest Template'!V872="",(INDEX(DropDown!$L$2:$L$392,MATCH('Ingest Template'!E872,DropDown!$J$2:$J$392,0))&amp;"|"&amp;'Ingest Template'!B872),(INDEX(DropDown!$L$2:$L$392,MATCH('Ingest Template'!E872,DropDown!$J$2:$J$392,0))&amp;"|"&amp;'Ingest Template'!B872)&amp;CHAR(10)&amp;'Ingest Template'!V872)</f>
        <v>#N/A</v>
      </c>
      <c r="X872" s="41" t="str">
        <f>'Ingest Template'!W872</f>
        <v/>
      </c>
      <c r="Y872" s="21" t="str">
        <f>SUBSTITUTE(SUBSTITUTE(SUBSTITUTE('Ingest Template'!X872,"http:",""),"https:",""),"/","")</f>
        <v/>
      </c>
      <c r="Z872" s="21" t="str">
        <f t="array" ref="Z872">IF('Ingest Template'!A872="Standard",(IF(ISBLANK('Ingest Template'!AA872),"", 'Ingest Template'!AA872&amp;"|DAR")),(IF(ISBLANK('Ingest Template'!AA872),"", 'Ingest Template'!AA872&amp;"|Film Ops")))</f>
        <v/>
      </c>
      <c r="AA872" s="21"/>
      <c r="AB872" s="21" t="str">
        <f>'Ingest Template'!M872</f>
        <v/>
      </c>
      <c r="AC872" s="21" t="str">
        <f>'Ingest Template'!Y872</f>
        <v/>
      </c>
      <c r="AD872" s="21" t="str">
        <f>'Ingest Template'!C872</f>
        <v/>
      </c>
      <c r="AE872" s="21" t="str">
        <f>'Ingest Template'!Z872</f>
        <v/>
      </c>
      <c r="AF872" s="29"/>
      <c r="AG872" s="21" t="str">
        <f t="array" ref="AG872">IF('Ingest Template'!A872="Standard",(CONCATENATE(IF(ISBLANK('Ingest Template'!O872),"", 'Ingest Template'!O872&amp;"|DAR"),CHAR(10), IF(ISBLANK('Ingest Template'!P872),"", 'Ingest Template'!P872&amp;"|DAR"),CHAR(10), IF(ISBLANK('Ingest Template'!Q872),"", 'Ingest Template'!Q872&amp;"|DAR"))),(CONCATENATE(IF(ISBLANK('Ingest Template'!O872),"", 'Ingest Template'!O872&amp;"|Operations - Core Title"),CHAR(10), IF(ISBLANK('Ingest Template'!P872),"", 'Ingest Template'!P872&amp;"|Operations - Core Title"),CHAR(10), IF(ISBLANK('Ingest Template'!Q872),"", 'Ingest Template'!Q872&amp;"|Operations - Core Title"))))</f>
        <v>#|Operations - Core Title
#|Operations - Core Title
</v>
      </c>
      <c r="AH872" s="21"/>
      <c r="AI872" s="21"/>
      <c r="AJ872" s="53" t="str">
        <f>if('Ingest Template'!A872="Standard",'Ingest Template'!N872&amp; "|DAR|DAR|2021-01-01",'Ingest Template'!N872&amp; "|Operations - Core Title|Operations - Core Title")</f>
        <v>#N/A</v>
      </c>
      <c r="AK872" s="53" t="str">
        <f>if('Ingest Template'!A872="Standard",'Ingest Template'!R872&amp; "|2021-01-01",'Ingest Template'!R872)</f>
        <v>#N/A</v>
      </c>
      <c r="AL872" s="21"/>
      <c r="AM872" s="21"/>
    </row>
    <row r="873">
      <c r="A873" s="21"/>
      <c r="B873" s="21" t="str">
        <f>'Ingest Template'!B873&amp;IF('Ingest Template'!A873 = "Standard", " - DAR","")</f>
        <v/>
      </c>
      <c r="C873" s="26" t="s">
        <v>109</v>
      </c>
      <c r="D873" s="29" t="str">
        <f t="array" ref="D873">CONCATENATE(INDEX(DropDown!$H$2:$H$10,MATCH(1,COUNTIF('Ingest Template'!F873,"*"&amp;DropDown!$H$2:$H$10&amp;"*"),0)),CHAR(10),'Ingest Template'!G873)</f>
        <v>#N/A</v>
      </c>
      <c r="E873" s="21" t="str">
        <f>CONCATENATE('Ingest Template'!H873,CHAR(10),'Ingest Template'!I873,CHAR(10),'Ingest Template'!J873)</f>
        <v>
</v>
      </c>
      <c r="F873" s="26" t="str">
        <f>'Ingest Template'!H873</f>
        <v/>
      </c>
      <c r="G873" s="21"/>
      <c r="H873" s="29"/>
      <c r="I873" s="21"/>
      <c r="J873" s="29" t="str">
        <f t="array" ref="J873">iF('Ingest Template'!A873="Standard","Pristine Brand",INDEX(DropDown!$M$2:$M$392,MATCH('Ingest Template'!E873,DropDown!$J$2:$J$392,0)))</f>
        <v>#N/A</v>
      </c>
      <c r="K873" s="21" t="str">
        <f>iF('Ingest Template'!A873="Standard",'Ingest Template'!K873&amp;CHAR(10)&amp;'Ingest Template'!L873,"Competitive View")</f>
        <v>Competitive View</v>
      </c>
      <c r="L873" s="29" t="s">
        <v>146</v>
      </c>
      <c r="M873" s="37" t="str">
        <f>'Ingest Template'!D873</f>
        <v/>
      </c>
      <c r="N873" s="21"/>
      <c r="O873" s="21"/>
      <c r="P873" s="21"/>
      <c r="Q873" s="21"/>
      <c r="R873" s="21" t="str">
        <f>'Ingest Template'!E873</f>
        <v/>
      </c>
      <c r="S873" s="29" t="s">
        <v>153</v>
      </c>
      <c r="T873" s="21" t="str">
        <f>'Ingest Template'!T873</f>
        <v/>
      </c>
      <c r="U873" s="21" t="str">
        <f>'Ingest Template'!S873</f>
        <v/>
      </c>
      <c r="V873" s="21" t="str">
        <f>LOWER(SUBSTITUTE(SUBSTITUTE(SUBSTITUTE(SUBSTITUTE(SUBSTITUTE('Ingest Template'!U873,"https:",""),"www.",""),"/",""),"?hl=en",""),"instagram.com",""))</f>
        <v/>
      </c>
      <c r="W873" s="41" t="str">
        <f t="array" ref="W873">IF('Ingest Template'!V873="",(INDEX(DropDown!$L$2:$L$392,MATCH('Ingest Template'!E873,DropDown!$J$2:$J$392,0))&amp;"|"&amp;'Ingest Template'!B873),(INDEX(DropDown!$L$2:$L$392,MATCH('Ingest Template'!E873,DropDown!$J$2:$J$392,0))&amp;"|"&amp;'Ingest Template'!B873)&amp;CHAR(10)&amp;'Ingest Template'!V873)</f>
        <v>#N/A</v>
      </c>
      <c r="X873" s="41" t="str">
        <f>'Ingest Template'!W873</f>
        <v/>
      </c>
      <c r="Y873" s="21" t="str">
        <f>SUBSTITUTE(SUBSTITUTE(SUBSTITUTE('Ingest Template'!X873,"http:",""),"https:",""),"/","")</f>
        <v/>
      </c>
      <c r="Z873" s="21" t="str">
        <f t="array" ref="Z873">IF('Ingest Template'!A873="Standard",(IF(ISBLANK('Ingest Template'!AA873),"", 'Ingest Template'!AA873&amp;"|DAR")),(IF(ISBLANK('Ingest Template'!AA873),"", 'Ingest Template'!AA873&amp;"|Film Ops")))</f>
        <v/>
      </c>
      <c r="AA873" s="21"/>
      <c r="AB873" s="21" t="str">
        <f>'Ingest Template'!M873</f>
        <v/>
      </c>
      <c r="AC873" s="21" t="str">
        <f>'Ingest Template'!Y873</f>
        <v/>
      </c>
      <c r="AD873" s="21" t="str">
        <f>'Ingest Template'!C873</f>
        <v/>
      </c>
      <c r="AE873" s="21" t="str">
        <f>'Ingest Template'!Z873</f>
        <v/>
      </c>
      <c r="AF873" s="29"/>
      <c r="AG873" s="21" t="str">
        <f t="array" ref="AG873">IF('Ingest Template'!A873="Standard",(CONCATENATE(IF(ISBLANK('Ingest Template'!O873),"", 'Ingest Template'!O873&amp;"|DAR"),CHAR(10), IF(ISBLANK('Ingest Template'!P873),"", 'Ingest Template'!P873&amp;"|DAR"),CHAR(10), IF(ISBLANK('Ingest Template'!Q873),"", 'Ingest Template'!Q873&amp;"|DAR"))),(CONCATENATE(IF(ISBLANK('Ingest Template'!O873),"", 'Ingest Template'!O873&amp;"|Operations - Core Title"),CHAR(10), IF(ISBLANK('Ingest Template'!P873),"", 'Ingest Template'!P873&amp;"|Operations - Core Title"),CHAR(10), IF(ISBLANK('Ingest Template'!Q873),"", 'Ingest Template'!Q873&amp;"|Operations - Core Title"))))</f>
        <v>#|Operations - Core Title
#|Operations - Core Title
</v>
      </c>
      <c r="AH873" s="21"/>
      <c r="AI873" s="21"/>
      <c r="AJ873" s="53" t="str">
        <f>if('Ingest Template'!A873="Standard",'Ingest Template'!N873&amp; "|DAR|DAR|2021-01-01",'Ingest Template'!N873&amp; "|Operations - Core Title|Operations - Core Title")</f>
        <v>#N/A</v>
      </c>
      <c r="AK873" s="53" t="str">
        <f>if('Ingest Template'!A873="Standard",'Ingest Template'!R873&amp; "|2021-01-01",'Ingest Template'!R873)</f>
        <v>#N/A</v>
      </c>
      <c r="AL873" s="21"/>
      <c r="AM873" s="21"/>
    </row>
    <row r="874">
      <c r="A874" s="21"/>
      <c r="B874" s="21" t="str">
        <f>'Ingest Template'!B874&amp;IF('Ingest Template'!A874 = "Standard", " - DAR","")</f>
        <v/>
      </c>
      <c r="C874" s="26" t="s">
        <v>109</v>
      </c>
      <c r="D874" s="29" t="str">
        <f t="array" ref="D874">CONCATENATE(INDEX(DropDown!$H$2:$H$10,MATCH(1,COUNTIF('Ingest Template'!F874,"*"&amp;DropDown!$H$2:$H$10&amp;"*"),0)),CHAR(10),'Ingest Template'!G874)</f>
        <v>#N/A</v>
      </c>
      <c r="E874" s="21" t="str">
        <f>CONCATENATE('Ingest Template'!H874,CHAR(10),'Ingest Template'!I874,CHAR(10),'Ingest Template'!J874)</f>
        <v>
</v>
      </c>
      <c r="F874" s="26" t="str">
        <f>'Ingest Template'!H874</f>
        <v/>
      </c>
      <c r="G874" s="21"/>
      <c r="H874" s="29"/>
      <c r="I874" s="21"/>
      <c r="J874" s="29" t="str">
        <f t="array" ref="J874">iF('Ingest Template'!A874="Standard","Pristine Brand",INDEX(DropDown!$M$2:$M$392,MATCH('Ingest Template'!E874,DropDown!$J$2:$J$392,0)))</f>
        <v>#N/A</v>
      </c>
      <c r="K874" s="21" t="str">
        <f>iF('Ingest Template'!A874="Standard",'Ingest Template'!K874&amp;CHAR(10)&amp;'Ingest Template'!L874,"Competitive View")</f>
        <v>Competitive View</v>
      </c>
      <c r="L874" s="29" t="s">
        <v>146</v>
      </c>
      <c r="M874" s="37" t="str">
        <f>'Ingest Template'!D874</f>
        <v/>
      </c>
      <c r="N874" s="21"/>
      <c r="O874" s="21"/>
      <c r="P874" s="21"/>
      <c r="Q874" s="21"/>
      <c r="R874" s="21" t="str">
        <f>'Ingest Template'!E874</f>
        <v/>
      </c>
      <c r="S874" s="29" t="s">
        <v>153</v>
      </c>
      <c r="T874" s="21" t="str">
        <f>'Ingest Template'!T874</f>
        <v/>
      </c>
      <c r="U874" s="21" t="str">
        <f>'Ingest Template'!S874</f>
        <v/>
      </c>
      <c r="V874" s="21" t="str">
        <f>LOWER(SUBSTITUTE(SUBSTITUTE(SUBSTITUTE(SUBSTITUTE(SUBSTITUTE('Ingest Template'!U874,"https:",""),"www.",""),"/",""),"?hl=en",""),"instagram.com",""))</f>
        <v/>
      </c>
      <c r="W874" s="41" t="str">
        <f t="array" ref="W874">IF('Ingest Template'!V874="",(INDEX(DropDown!$L$2:$L$392,MATCH('Ingest Template'!E874,DropDown!$J$2:$J$392,0))&amp;"|"&amp;'Ingest Template'!B874),(INDEX(DropDown!$L$2:$L$392,MATCH('Ingest Template'!E874,DropDown!$J$2:$J$392,0))&amp;"|"&amp;'Ingest Template'!B874)&amp;CHAR(10)&amp;'Ingest Template'!V874)</f>
        <v>#N/A</v>
      </c>
      <c r="X874" s="41" t="str">
        <f>'Ingest Template'!W874</f>
        <v/>
      </c>
      <c r="Y874" s="21" t="str">
        <f>SUBSTITUTE(SUBSTITUTE(SUBSTITUTE('Ingest Template'!X874,"http:",""),"https:",""),"/","")</f>
        <v/>
      </c>
      <c r="Z874" s="21" t="str">
        <f t="array" ref="Z874">IF('Ingest Template'!A874="Standard",(IF(ISBLANK('Ingest Template'!AA874),"", 'Ingest Template'!AA874&amp;"|DAR")),(IF(ISBLANK('Ingest Template'!AA874),"", 'Ingest Template'!AA874&amp;"|Film Ops")))</f>
        <v/>
      </c>
      <c r="AA874" s="21"/>
      <c r="AB874" s="21" t="str">
        <f>'Ingest Template'!M874</f>
        <v/>
      </c>
      <c r="AC874" s="21" t="str">
        <f>'Ingest Template'!Y874</f>
        <v/>
      </c>
      <c r="AD874" s="21" t="str">
        <f>'Ingest Template'!C874</f>
        <v/>
      </c>
      <c r="AE874" s="21" t="str">
        <f>'Ingest Template'!Z874</f>
        <v/>
      </c>
      <c r="AF874" s="29"/>
      <c r="AG874" s="21" t="str">
        <f t="array" ref="AG874">IF('Ingest Template'!A874="Standard",(CONCATENATE(IF(ISBLANK('Ingest Template'!O874),"", 'Ingest Template'!O874&amp;"|DAR"),CHAR(10), IF(ISBLANK('Ingest Template'!P874),"", 'Ingest Template'!P874&amp;"|DAR"),CHAR(10), IF(ISBLANK('Ingest Template'!Q874),"", 'Ingest Template'!Q874&amp;"|DAR"))),(CONCATENATE(IF(ISBLANK('Ingest Template'!O874),"", 'Ingest Template'!O874&amp;"|Operations - Core Title"),CHAR(10), IF(ISBLANK('Ingest Template'!P874),"", 'Ingest Template'!P874&amp;"|Operations - Core Title"),CHAR(10), IF(ISBLANK('Ingest Template'!Q874),"", 'Ingest Template'!Q874&amp;"|Operations - Core Title"))))</f>
        <v>#|Operations - Core Title
#|Operations - Core Title
</v>
      </c>
      <c r="AH874" s="21"/>
      <c r="AI874" s="21"/>
      <c r="AJ874" s="53" t="str">
        <f>if('Ingest Template'!A874="Standard",'Ingest Template'!N874&amp; "|DAR|DAR|2021-01-01",'Ingest Template'!N874&amp; "|Operations - Core Title|Operations - Core Title")</f>
        <v>#N/A</v>
      </c>
      <c r="AK874" s="53" t="str">
        <f>if('Ingest Template'!A874="Standard",'Ingest Template'!R874&amp; "|2021-01-01",'Ingest Template'!R874)</f>
        <v>#N/A</v>
      </c>
      <c r="AL874" s="21"/>
      <c r="AM874" s="21"/>
    </row>
    <row r="875">
      <c r="A875" s="21"/>
      <c r="B875" s="21" t="str">
        <f>'Ingest Template'!B875&amp;IF('Ingest Template'!A875 = "Standard", " - DAR","")</f>
        <v/>
      </c>
      <c r="C875" s="26" t="s">
        <v>109</v>
      </c>
      <c r="D875" s="29" t="str">
        <f t="array" ref="D875">CONCATENATE(INDEX(DropDown!$H$2:$H$10,MATCH(1,COUNTIF('Ingest Template'!F875,"*"&amp;DropDown!$H$2:$H$10&amp;"*"),0)),CHAR(10),'Ingest Template'!G875)</f>
        <v>#N/A</v>
      </c>
      <c r="E875" s="21" t="str">
        <f>CONCATENATE('Ingest Template'!H875,CHAR(10),'Ingest Template'!I875,CHAR(10),'Ingest Template'!J875)</f>
        <v>
</v>
      </c>
      <c r="F875" s="26" t="str">
        <f>'Ingest Template'!H875</f>
        <v/>
      </c>
      <c r="G875" s="21"/>
      <c r="H875" s="29"/>
      <c r="I875" s="21"/>
      <c r="J875" s="29" t="str">
        <f t="array" ref="J875">iF('Ingest Template'!A875="Standard","Pristine Brand",INDEX(DropDown!$M$2:$M$392,MATCH('Ingest Template'!E875,DropDown!$J$2:$J$392,0)))</f>
        <v>#N/A</v>
      </c>
      <c r="K875" s="21" t="str">
        <f>iF('Ingest Template'!A875="Standard",'Ingest Template'!K875&amp;CHAR(10)&amp;'Ingest Template'!L875,"Competitive View")</f>
        <v>Competitive View</v>
      </c>
      <c r="L875" s="29" t="s">
        <v>146</v>
      </c>
      <c r="M875" s="37" t="str">
        <f>'Ingest Template'!D875</f>
        <v/>
      </c>
      <c r="N875" s="21"/>
      <c r="O875" s="21"/>
      <c r="P875" s="21"/>
      <c r="Q875" s="21"/>
      <c r="R875" s="21" t="str">
        <f>'Ingest Template'!E875</f>
        <v/>
      </c>
      <c r="S875" s="29" t="s">
        <v>153</v>
      </c>
      <c r="T875" s="21" t="str">
        <f>'Ingest Template'!T875</f>
        <v/>
      </c>
      <c r="U875" s="21" t="str">
        <f>'Ingest Template'!S875</f>
        <v/>
      </c>
      <c r="V875" s="21" t="str">
        <f>LOWER(SUBSTITUTE(SUBSTITUTE(SUBSTITUTE(SUBSTITUTE(SUBSTITUTE('Ingest Template'!U875,"https:",""),"www.",""),"/",""),"?hl=en",""),"instagram.com",""))</f>
        <v/>
      </c>
      <c r="W875" s="41" t="str">
        <f t="array" ref="W875">IF('Ingest Template'!V875="",(INDEX(DropDown!$L$2:$L$392,MATCH('Ingest Template'!E875,DropDown!$J$2:$J$392,0))&amp;"|"&amp;'Ingest Template'!B875),(INDEX(DropDown!$L$2:$L$392,MATCH('Ingest Template'!E875,DropDown!$J$2:$J$392,0))&amp;"|"&amp;'Ingest Template'!B875)&amp;CHAR(10)&amp;'Ingest Template'!V875)</f>
        <v>#N/A</v>
      </c>
      <c r="X875" s="41" t="str">
        <f>'Ingest Template'!W875</f>
        <v/>
      </c>
      <c r="Y875" s="21" t="str">
        <f>SUBSTITUTE(SUBSTITUTE(SUBSTITUTE('Ingest Template'!X875,"http:",""),"https:",""),"/","")</f>
        <v/>
      </c>
      <c r="Z875" s="21" t="str">
        <f t="array" ref="Z875">IF('Ingest Template'!A875="Standard",(IF(ISBLANK('Ingest Template'!AA875),"", 'Ingest Template'!AA875&amp;"|DAR")),(IF(ISBLANK('Ingest Template'!AA875),"", 'Ingest Template'!AA875&amp;"|Film Ops")))</f>
        <v/>
      </c>
      <c r="AA875" s="21"/>
      <c r="AB875" s="21" t="str">
        <f>'Ingest Template'!M875</f>
        <v/>
      </c>
      <c r="AC875" s="21" t="str">
        <f>'Ingest Template'!Y875</f>
        <v/>
      </c>
      <c r="AD875" s="21" t="str">
        <f>'Ingest Template'!C875</f>
        <v/>
      </c>
      <c r="AE875" s="21" t="str">
        <f>'Ingest Template'!Z875</f>
        <v/>
      </c>
      <c r="AF875" s="29"/>
      <c r="AG875" s="21" t="str">
        <f t="array" ref="AG875">IF('Ingest Template'!A875="Standard",(CONCATENATE(IF(ISBLANK('Ingest Template'!O875),"", 'Ingest Template'!O875&amp;"|DAR"),CHAR(10), IF(ISBLANK('Ingest Template'!P875),"", 'Ingest Template'!P875&amp;"|DAR"),CHAR(10), IF(ISBLANK('Ingest Template'!Q875),"", 'Ingest Template'!Q875&amp;"|DAR"))),(CONCATENATE(IF(ISBLANK('Ingest Template'!O875),"", 'Ingest Template'!O875&amp;"|Operations - Core Title"),CHAR(10), IF(ISBLANK('Ingest Template'!P875),"", 'Ingest Template'!P875&amp;"|Operations - Core Title"),CHAR(10), IF(ISBLANK('Ingest Template'!Q875),"", 'Ingest Template'!Q875&amp;"|Operations - Core Title"))))</f>
        <v>#|Operations - Core Title
#|Operations - Core Title
</v>
      </c>
      <c r="AH875" s="21"/>
      <c r="AI875" s="21"/>
      <c r="AJ875" s="53" t="str">
        <f>if('Ingest Template'!A875="Standard",'Ingest Template'!N875&amp; "|DAR|DAR|2021-01-01",'Ingest Template'!N875&amp; "|Operations - Core Title|Operations - Core Title")</f>
        <v>#N/A</v>
      </c>
      <c r="AK875" s="53" t="str">
        <f>if('Ingest Template'!A875="Standard",'Ingest Template'!R875&amp; "|2021-01-01",'Ingest Template'!R875)</f>
        <v>#N/A</v>
      </c>
      <c r="AL875" s="21"/>
      <c r="AM875" s="21"/>
    </row>
    <row r="876">
      <c r="A876" s="21"/>
      <c r="B876" s="21" t="str">
        <f>'Ingest Template'!B876&amp;IF('Ingest Template'!A876 = "Standard", " - DAR","")</f>
        <v/>
      </c>
      <c r="C876" s="26" t="s">
        <v>109</v>
      </c>
      <c r="D876" s="29" t="str">
        <f t="array" ref="D876">CONCATENATE(INDEX(DropDown!$H$2:$H$10,MATCH(1,COUNTIF('Ingest Template'!F876,"*"&amp;DropDown!$H$2:$H$10&amp;"*"),0)),CHAR(10),'Ingest Template'!G876)</f>
        <v>#N/A</v>
      </c>
      <c r="E876" s="21" t="str">
        <f>CONCATENATE('Ingest Template'!H876,CHAR(10),'Ingest Template'!I876,CHAR(10),'Ingest Template'!J876)</f>
        <v>
</v>
      </c>
      <c r="F876" s="26" t="str">
        <f>'Ingest Template'!H876</f>
        <v/>
      </c>
      <c r="G876" s="21"/>
      <c r="H876" s="29"/>
      <c r="I876" s="21"/>
      <c r="J876" s="29" t="str">
        <f t="array" ref="J876">iF('Ingest Template'!A876="Standard","Pristine Brand",INDEX(DropDown!$M$2:$M$392,MATCH('Ingest Template'!E876,DropDown!$J$2:$J$392,0)))</f>
        <v>#N/A</v>
      </c>
      <c r="K876" s="21" t="str">
        <f>iF('Ingest Template'!A876="Standard",'Ingest Template'!K876&amp;CHAR(10)&amp;'Ingest Template'!L876,"Competitive View")</f>
        <v>Competitive View</v>
      </c>
      <c r="L876" s="29" t="s">
        <v>146</v>
      </c>
      <c r="M876" s="37" t="str">
        <f>'Ingest Template'!D876</f>
        <v/>
      </c>
      <c r="N876" s="21"/>
      <c r="O876" s="21"/>
      <c r="P876" s="21"/>
      <c r="Q876" s="21"/>
      <c r="R876" s="21" t="str">
        <f>'Ingest Template'!E876</f>
        <v/>
      </c>
      <c r="S876" s="29" t="s">
        <v>153</v>
      </c>
      <c r="T876" s="21" t="str">
        <f>'Ingest Template'!T876</f>
        <v/>
      </c>
      <c r="U876" s="21" t="str">
        <f>'Ingest Template'!S876</f>
        <v/>
      </c>
      <c r="V876" s="21" t="str">
        <f>LOWER(SUBSTITUTE(SUBSTITUTE(SUBSTITUTE(SUBSTITUTE(SUBSTITUTE('Ingest Template'!U876,"https:",""),"www.",""),"/",""),"?hl=en",""),"instagram.com",""))</f>
        <v/>
      </c>
      <c r="W876" s="41" t="str">
        <f t="array" ref="W876">IF('Ingest Template'!V876="",(INDEX(DropDown!$L$2:$L$392,MATCH('Ingest Template'!E876,DropDown!$J$2:$J$392,0))&amp;"|"&amp;'Ingest Template'!B876),(INDEX(DropDown!$L$2:$L$392,MATCH('Ingest Template'!E876,DropDown!$J$2:$J$392,0))&amp;"|"&amp;'Ingest Template'!B876)&amp;CHAR(10)&amp;'Ingest Template'!V876)</f>
        <v>#N/A</v>
      </c>
      <c r="X876" s="41" t="str">
        <f>'Ingest Template'!W876</f>
        <v/>
      </c>
      <c r="Y876" s="21" t="str">
        <f>SUBSTITUTE(SUBSTITUTE(SUBSTITUTE('Ingest Template'!X876,"http:",""),"https:",""),"/","")</f>
        <v/>
      </c>
      <c r="Z876" s="21" t="str">
        <f t="array" ref="Z876">IF('Ingest Template'!A876="Standard",(IF(ISBLANK('Ingest Template'!AA876),"", 'Ingest Template'!AA876&amp;"|DAR")),(IF(ISBLANK('Ingest Template'!AA876),"", 'Ingest Template'!AA876&amp;"|Film Ops")))</f>
        <v/>
      </c>
      <c r="AA876" s="21"/>
      <c r="AB876" s="21" t="str">
        <f>'Ingest Template'!M876</f>
        <v/>
      </c>
      <c r="AC876" s="21" t="str">
        <f>'Ingest Template'!Y876</f>
        <v/>
      </c>
      <c r="AD876" s="21" t="str">
        <f>'Ingest Template'!C876</f>
        <v/>
      </c>
      <c r="AE876" s="21" t="str">
        <f>'Ingest Template'!Z876</f>
        <v/>
      </c>
      <c r="AF876" s="29"/>
      <c r="AG876" s="21" t="str">
        <f t="array" ref="AG876">IF('Ingest Template'!A876="Standard",(CONCATENATE(IF(ISBLANK('Ingest Template'!O876),"", 'Ingest Template'!O876&amp;"|DAR"),CHAR(10), IF(ISBLANK('Ingest Template'!P876),"", 'Ingest Template'!P876&amp;"|DAR"),CHAR(10), IF(ISBLANK('Ingest Template'!Q876),"", 'Ingest Template'!Q876&amp;"|DAR"))),(CONCATENATE(IF(ISBLANK('Ingest Template'!O876),"", 'Ingest Template'!O876&amp;"|Operations - Core Title"),CHAR(10), IF(ISBLANK('Ingest Template'!P876),"", 'Ingest Template'!P876&amp;"|Operations - Core Title"),CHAR(10), IF(ISBLANK('Ingest Template'!Q876),"", 'Ingest Template'!Q876&amp;"|Operations - Core Title"))))</f>
        <v>#|Operations - Core Title
#|Operations - Core Title
</v>
      </c>
      <c r="AH876" s="21"/>
      <c r="AI876" s="21"/>
      <c r="AJ876" s="53" t="str">
        <f>if('Ingest Template'!A876="Standard",'Ingest Template'!N876&amp; "|DAR|DAR|2021-01-01",'Ingest Template'!N876&amp; "|Operations - Core Title|Operations - Core Title")</f>
        <v>#N/A</v>
      </c>
      <c r="AK876" s="53" t="str">
        <f>if('Ingest Template'!A876="Standard",'Ingest Template'!R876&amp; "|2021-01-01",'Ingest Template'!R876)</f>
        <v>#N/A</v>
      </c>
      <c r="AL876" s="21"/>
      <c r="AM876" s="21"/>
    </row>
    <row r="877">
      <c r="A877" s="21"/>
      <c r="B877" s="21" t="str">
        <f>'Ingest Template'!B877&amp;IF('Ingest Template'!A877 = "Standard", " - DAR","")</f>
        <v/>
      </c>
      <c r="C877" s="26" t="s">
        <v>109</v>
      </c>
      <c r="D877" s="29" t="str">
        <f t="array" ref="D877">CONCATENATE(INDEX(DropDown!$H$2:$H$10,MATCH(1,COUNTIF('Ingest Template'!F877,"*"&amp;DropDown!$H$2:$H$10&amp;"*"),0)),CHAR(10),'Ingest Template'!G877)</f>
        <v>#N/A</v>
      </c>
      <c r="E877" s="21" t="str">
        <f>CONCATENATE('Ingest Template'!H877,CHAR(10),'Ingest Template'!I877,CHAR(10),'Ingest Template'!J877)</f>
        <v>
</v>
      </c>
      <c r="F877" s="26" t="str">
        <f>'Ingest Template'!H877</f>
        <v/>
      </c>
      <c r="G877" s="21"/>
      <c r="H877" s="29"/>
      <c r="I877" s="21"/>
      <c r="J877" s="29" t="str">
        <f t="array" ref="J877">iF('Ingest Template'!A877="Standard","Pristine Brand",INDEX(DropDown!$M$2:$M$392,MATCH('Ingest Template'!E877,DropDown!$J$2:$J$392,0)))</f>
        <v>#N/A</v>
      </c>
      <c r="K877" s="21" t="str">
        <f>iF('Ingest Template'!A877="Standard",'Ingest Template'!K877&amp;CHAR(10)&amp;'Ingest Template'!L877,"Competitive View")</f>
        <v>Competitive View</v>
      </c>
      <c r="L877" s="29" t="s">
        <v>146</v>
      </c>
      <c r="M877" s="37" t="str">
        <f>'Ingest Template'!D877</f>
        <v/>
      </c>
      <c r="N877" s="21"/>
      <c r="O877" s="21"/>
      <c r="P877" s="21"/>
      <c r="Q877" s="21"/>
      <c r="R877" s="21" t="str">
        <f>'Ingest Template'!E877</f>
        <v/>
      </c>
      <c r="S877" s="29" t="s">
        <v>153</v>
      </c>
      <c r="T877" s="21" t="str">
        <f>'Ingest Template'!T877</f>
        <v/>
      </c>
      <c r="U877" s="21" t="str">
        <f>'Ingest Template'!S877</f>
        <v/>
      </c>
      <c r="V877" s="21" t="str">
        <f>LOWER(SUBSTITUTE(SUBSTITUTE(SUBSTITUTE(SUBSTITUTE(SUBSTITUTE('Ingest Template'!U877,"https:",""),"www.",""),"/",""),"?hl=en",""),"instagram.com",""))</f>
        <v/>
      </c>
      <c r="W877" s="41" t="str">
        <f t="array" ref="W877">IF('Ingest Template'!V877="",(INDEX(DropDown!$L$2:$L$392,MATCH('Ingest Template'!E877,DropDown!$J$2:$J$392,0))&amp;"|"&amp;'Ingest Template'!B877),(INDEX(DropDown!$L$2:$L$392,MATCH('Ingest Template'!E877,DropDown!$J$2:$J$392,0))&amp;"|"&amp;'Ingest Template'!B877)&amp;CHAR(10)&amp;'Ingest Template'!V877)</f>
        <v>#N/A</v>
      </c>
      <c r="X877" s="41" t="str">
        <f>'Ingest Template'!W877</f>
        <v/>
      </c>
      <c r="Y877" s="21" t="str">
        <f>SUBSTITUTE(SUBSTITUTE(SUBSTITUTE('Ingest Template'!X877,"http:",""),"https:",""),"/","")</f>
        <v/>
      </c>
      <c r="Z877" s="21" t="str">
        <f t="array" ref="Z877">IF('Ingest Template'!A877="Standard",(IF(ISBLANK('Ingest Template'!AA877),"", 'Ingest Template'!AA877&amp;"|DAR")),(IF(ISBLANK('Ingest Template'!AA877),"", 'Ingest Template'!AA877&amp;"|Film Ops")))</f>
        <v/>
      </c>
      <c r="AA877" s="21"/>
      <c r="AB877" s="21" t="str">
        <f>'Ingest Template'!M877</f>
        <v/>
      </c>
      <c r="AC877" s="21" t="str">
        <f>'Ingest Template'!Y877</f>
        <v/>
      </c>
      <c r="AD877" s="21" t="str">
        <f>'Ingest Template'!C877</f>
        <v/>
      </c>
      <c r="AE877" s="21" t="str">
        <f>'Ingest Template'!Z877</f>
        <v/>
      </c>
      <c r="AF877" s="29"/>
      <c r="AG877" s="21" t="str">
        <f t="array" ref="AG877">IF('Ingest Template'!A877="Standard",(CONCATENATE(IF(ISBLANK('Ingest Template'!O877),"", 'Ingest Template'!O877&amp;"|DAR"),CHAR(10), IF(ISBLANK('Ingest Template'!P877),"", 'Ingest Template'!P877&amp;"|DAR"),CHAR(10), IF(ISBLANK('Ingest Template'!Q877),"", 'Ingest Template'!Q877&amp;"|DAR"))),(CONCATENATE(IF(ISBLANK('Ingest Template'!O877),"", 'Ingest Template'!O877&amp;"|Operations - Core Title"),CHAR(10), IF(ISBLANK('Ingest Template'!P877),"", 'Ingest Template'!P877&amp;"|Operations - Core Title"),CHAR(10), IF(ISBLANK('Ingest Template'!Q877),"", 'Ingest Template'!Q877&amp;"|Operations - Core Title"))))</f>
        <v>#|Operations - Core Title
#|Operations - Core Title
</v>
      </c>
      <c r="AH877" s="21"/>
      <c r="AI877" s="21"/>
      <c r="AJ877" s="53" t="str">
        <f>if('Ingest Template'!A877="Standard",'Ingest Template'!N877&amp; "|DAR|DAR|2021-01-01",'Ingest Template'!N877&amp; "|Operations - Core Title|Operations - Core Title")</f>
        <v>#N/A</v>
      </c>
      <c r="AK877" s="53" t="str">
        <f>if('Ingest Template'!A877="Standard",'Ingest Template'!R877&amp; "|2021-01-01",'Ingest Template'!R877)</f>
        <v>#N/A</v>
      </c>
      <c r="AL877" s="21"/>
      <c r="AM877" s="21"/>
    </row>
    <row r="878">
      <c r="A878" s="21"/>
      <c r="B878" s="21" t="str">
        <f>'Ingest Template'!B878&amp;IF('Ingest Template'!A878 = "Standard", " - DAR","")</f>
        <v/>
      </c>
      <c r="C878" s="26" t="s">
        <v>109</v>
      </c>
      <c r="D878" s="29" t="str">
        <f t="array" ref="D878">CONCATENATE(INDEX(DropDown!$H$2:$H$10,MATCH(1,COUNTIF('Ingest Template'!F878,"*"&amp;DropDown!$H$2:$H$10&amp;"*"),0)),CHAR(10),'Ingest Template'!G878)</f>
        <v>#N/A</v>
      </c>
      <c r="E878" s="21" t="str">
        <f>CONCATENATE('Ingest Template'!H878,CHAR(10),'Ingest Template'!I878,CHAR(10),'Ingest Template'!J878)</f>
        <v>
</v>
      </c>
      <c r="F878" s="26" t="str">
        <f>'Ingest Template'!H878</f>
        <v/>
      </c>
      <c r="G878" s="21"/>
      <c r="H878" s="29"/>
      <c r="I878" s="21"/>
      <c r="J878" s="29" t="str">
        <f t="array" ref="J878">iF('Ingest Template'!A878="Standard","Pristine Brand",INDEX(DropDown!$M$2:$M$392,MATCH('Ingest Template'!E878,DropDown!$J$2:$J$392,0)))</f>
        <v>#N/A</v>
      </c>
      <c r="K878" s="21" t="str">
        <f>iF('Ingest Template'!A878="Standard",'Ingest Template'!K878&amp;CHAR(10)&amp;'Ingest Template'!L878,"Competitive View")</f>
        <v>Competitive View</v>
      </c>
      <c r="L878" s="29" t="s">
        <v>146</v>
      </c>
      <c r="M878" s="37" t="str">
        <f>'Ingest Template'!D878</f>
        <v/>
      </c>
      <c r="N878" s="21"/>
      <c r="O878" s="21"/>
      <c r="P878" s="21"/>
      <c r="Q878" s="21"/>
      <c r="R878" s="21" t="str">
        <f>'Ingest Template'!E878</f>
        <v/>
      </c>
      <c r="S878" s="29" t="s">
        <v>153</v>
      </c>
      <c r="T878" s="21" t="str">
        <f>'Ingest Template'!T878</f>
        <v/>
      </c>
      <c r="U878" s="21" t="str">
        <f>'Ingest Template'!S878</f>
        <v/>
      </c>
      <c r="V878" s="21" t="str">
        <f>LOWER(SUBSTITUTE(SUBSTITUTE(SUBSTITUTE(SUBSTITUTE(SUBSTITUTE('Ingest Template'!U878,"https:",""),"www.",""),"/",""),"?hl=en",""),"instagram.com",""))</f>
        <v/>
      </c>
      <c r="W878" s="41" t="str">
        <f t="array" ref="W878">IF('Ingest Template'!V878="",(INDEX(DropDown!$L$2:$L$392,MATCH('Ingest Template'!E878,DropDown!$J$2:$J$392,0))&amp;"|"&amp;'Ingest Template'!B878),(INDEX(DropDown!$L$2:$L$392,MATCH('Ingest Template'!E878,DropDown!$J$2:$J$392,0))&amp;"|"&amp;'Ingest Template'!B878)&amp;CHAR(10)&amp;'Ingest Template'!V878)</f>
        <v>#N/A</v>
      </c>
      <c r="X878" s="41" t="str">
        <f>'Ingest Template'!W878</f>
        <v/>
      </c>
      <c r="Y878" s="21" t="str">
        <f>SUBSTITUTE(SUBSTITUTE(SUBSTITUTE('Ingest Template'!X878,"http:",""),"https:",""),"/","")</f>
        <v/>
      </c>
      <c r="Z878" s="21" t="str">
        <f t="array" ref="Z878">IF('Ingest Template'!A878="Standard",(IF(ISBLANK('Ingest Template'!AA878),"", 'Ingest Template'!AA878&amp;"|DAR")),(IF(ISBLANK('Ingest Template'!AA878),"", 'Ingest Template'!AA878&amp;"|Film Ops")))</f>
        <v/>
      </c>
      <c r="AA878" s="21"/>
      <c r="AB878" s="21" t="str">
        <f>'Ingest Template'!M878</f>
        <v/>
      </c>
      <c r="AC878" s="21" t="str">
        <f>'Ingest Template'!Y878</f>
        <v/>
      </c>
      <c r="AD878" s="21" t="str">
        <f>'Ingest Template'!C878</f>
        <v/>
      </c>
      <c r="AE878" s="21" t="str">
        <f>'Ingest Template'!Z878</f>
        <v/>
      </c>
      <c r="AF878" s="29"/>
      <c r="AG878" s="21" t="str">
        <f t="array" ref="AG878">IF('Ingest Template'!A878="Standard",(CONCATENATE(IF(ISBLANK('Ingest Template'!O878),"", 'Ingest Template'!O878&amp;"|DAR"),CHAR(10), IF(ISBLANK('Ingest Template'!P878),"", 'Ingest Template'!P878&amp;"|DAR"),CHAR(10), IF(ISBLANK('Ingest Template'!Q878),"", 'Ingest Template'!Q878&amp;"|DAR"))),(CONCATENATE(IF(ISBLANK('Ingest Template'!O878),"", 'Ingest Template'!O878&amp;"|Operations - Core Title"),CHAR(10), IF(ISBLANK('Ingest Template'!P878),"", 'Ingest Template'!P878&amp;"|Operations - Core Title"),CHAR(10), IF(ISBLANK('Ingest Template'!Q878),"", 'Ingest Template'!Q878&amp;"|Operations - Core Title"))))</f>
        <v>#|Operations - Core Title
#|Operations - Core Title
</v>
      </c>
      <c r="AH878" s="21"/>
      <c r="AI878" s="21"/>
      <c r="AJ878" s="53" t="str">
        <f>if('Ingest Template'!A878="Standard",'Ingest Template'!N878&amp; "|DAR|DAR|2021-01-01",'Ingest Template'!N878&amp; "|Operations - Core Title|Operations - Core Title")</f>
        <v>#N/A</v>
      </c>
      <c r="AK878" s="53" t="str">
        <f>if('Ingest Template'!A878="Standard",'Ingest Template'!R878&amp; "|2021-01-01",'Ingest Template'!R878)</f>
        <v>#N/A</v>
      </c>
      <c r="AL878" s="21"/>
      <c r="AM878" s="21"/>
    </row>
    <row r="879">
      <c r="A879" s="21"/>
      <c r="B879" s="21" t="str">
        <f>'Ingest Template'!B879&amp;IF('Ingest Template'!A879 = "Standard", " - DAR","")</f>
        <v/>
      </c>
      <c r="C879" s="26" t="s">
        <v>109</v>
      </c>
      <c r="D879" s="29" t="str">
        <f t="array" ref="D879">CONCATENATE(INDEX(DropDown!$H$2:$H$10,MATCH(1,COUNTIF('Ingest Template'!F879,"*"&amp;DropDown!$H$2:$H$10&amp;"*"),0)),CHAR(10),'Ingest Template'!G879)</f>
        <v>#N/A</v>
      </c>
      <c r="E879" s="21" t="str">
        <f>CONCATENATE('Ingest Template'!H879,CHAR(10),'Ingest Template'!I879,CHAR(10),'Ingest Template'!J879)</f>
        <v>
</v>
      </c>
      <c r="F879" s="26" t="str">
        <f>'Ingest Template'!H879</f>
        <v/>
      </c>
      <c r="G879" s="21"/>
      <c r="H879" s="29"/>
      <c r="I879" s="21"/>
      <c r="J879" s="29" t="str">
        <f t="array" ref="J879">iF('Ingest Template'!A879="Standard","Pristine Brand",INDEX(DropDown!$M$2:$M$392,MATCH('Ingest Template'!E879,DropDown!$J$2:$J$392,0)))</f>
        <v>#N/A</v>
      </c>
      <c r="K879" s="21" t="str">
        <f>iF('Ingest Template'!A879="Standard",'Ingest Template'!K879&amp;CHAR(10)&amp;'Ingest Template'!L879,"Competitive View")</f>
        <v>Competitive View</v>
      </c>
      <c r="L879" s="29" t="s">
        <v>146</v>
      </c>
      <c r="M879" s="37" t="str">
        <f>'Ingest Template'!D879</f>
        <v/>
      </c>
      <c r="N879" s="21"/>
      <c r="O879" s="21"/>
      <c r="P879" s="21"/>
      <c r="Q879" s="21"/>
      <c r="R879" s="21" t="str">
        <f>'Ingest Template'!E879</f>
        <v/>
      </c>
      <c r="S879" s="29" t="s">
        <v>153</v>
      </c>
      <c r="T879" s="21" t="str">
        <f>'Ingest Template'!T879</f>
        <v/>
      </c>
      <c r="U879" s="21" t="str">
        <f>'Ingest Template'!S879</f>
        <v/>
      </c>
      <c r="V879" s="21" t="str">
        <f>LOWER(SUBSTITUTE(SUBSTITUTE(SUBSTITUTE(SUBSTITUTE(SUBSTITUTE('Ingest Template'!U879,"https:",""),"www.",""),"/",""),"?hl=en",""),"instagram.com",""))</f>
        <v/>
      </c>
      <c r="W879" s="41" t="str">
        <f t="array" ref="W879">IF('Ingest Template'!V879="",(INDEX(DropDown!$L$2:$L$392,MATCH('Ingest Template'!E879,DropDown!$J$2:$J$392,0))&amp;"|"&amp;'Ingest Template'!B879),(INDEX(DropDown!$L$2:$L$392,MATCH('Ingest Template'!E879,DropDown!$J$2:$J$392,0))&amp;"|"&amp;'Ingest Template'!B879)&amp;CHAR(10)&amp;'Ingest Template'!V879)</f>
        <v>#N/A</v>
      </c>
      <c r="X879" s="41" t="str">
        <f>'Ingest Template'!W879</f>
        <v/>
      </c>
      <c r="Y879" s="21" t="str">
        <f>SUBSTITUTE(SUBSTITUTE(SUBSTITUTE('Ingest Template'!X879,"http:",""),"https:",""),"/","")</f>
        <v/>
      </c>
      <c r="Z879" s="21" t="str">
        <f t="array" ref="Z879">IF('Ingest Template'!A879="Standard",(IF(ISBLANK('Ingest Template'!AA879),"", 'Ingest Template'!AA879&amp;"|DAR")),(IF(ISBLANK('Ingest Template'!AA879),"", 'Ingest Template'!AA879&amp;"|Film Ops")))</f>
        <v/>
      </c>
      <c r="AA879" s="21"/>
      <c r="AB879" s="21" t="str">
        <f>'Ingest Template'!M879</f>
        <v/>
      </c>
      <c r="AC879" s="21" t="str">
        <f>'Ingest Template'!Y879</f>
        <v/>
      </c>
      <c r="AD879" s="21" t="str">
        <f>'Ingest Template'!C879</f>
        <v/>
      </c>
      <c r="AE879" s="21" t="str">
        <f>'Ingest Template'!Z879</f>
        <v/>
      </c>
      <c r="AF879" s="29"/>
      <c r="AG879" s="21" t="str">
        <f t="array" ref="AG879">IF('Ingest Template'!A879="Standard",(CONCATENATE(IF(ISBLANK('Ingest Template'!O879),"", 'Ingest Template'!O879&amp;"|DAR"),CHAR(10), IF(ISBLANK('Ingest Template'!P879),"", 'Ingest Template'!P879&amp;"|DAR"),CHAR(10), IF(ISBLANK('Ingest Template'!Q879),"", 'Ingest Template'!Q879&amp;"|DAR"))),(CONCATENATE(IF(ISBLANK('Ingest Template'!O879),"", 'Ingest Template'!O879&amp;"|Operations - Core Title"),CHAR(10), IF(ISBLANK('Ingest Template'!P879),"", 'Ingest Template'!P879&amp;"|Operations - Core Title"),CHAR(10), IF(ISBLANK('Ingest Template'!Q879),"", 'Ingest Template'!Q879&amp;"|Operations - Core Title"))))</f>
        <v>#|Operations - Core Title
#|Operations - Core Title
</v>
      </c>
      <c r="AH879" s="21"/>
      <c r="AI879" s="21"/>
      <c r="AJ879" s="53" t="str">
        <f>if('Ingest Template'!A879="Standard",'Ingest Template'!N879&amp; "|DAR|DAR|2021-01-01",'Ingest Template'!N879&amp; "|Operations - Core Title|Operations - Core Title")</f>
        <v>#N/A</v>
      </c>
      <c r="AK879" s="53" t="str">
        <f>if('Ingest Template'!A879="Standard",'Ingest Template'!R879&amp; "|2021-01-01",'Ingest Template'!R879)</f>
        <v>#N/A</v>
      </c>
      <c r="AL879" s="21"/>
      <c r="AM879" s="21"/>
    </row>
    <row r="880">
      <c r="A880" s="21"/>
      <c r="B880" s="21" t="str">
        <f>'Ingest Template'!B880&amp;IF('Ingest Template'!A880 = "Standard", " - DAR","")</f>
        <v/>
      </c>
      <c r="C880" s="26" t="s">
        <v>109</v>
      </c>
      <c r="D880" s="29" t="str">
        <f t="array" ref="D880">CONCATENATE(INDEX(DropDown!$H$2:$H$10,MATCH(1,COUNTIF('Ingest Template'!F880,"*"&amp;DropDown!$H$2:$H$10&amp;"*"),0)),CHAR(10),'Ingest Template'!G880)</f>
        <v>#N/A</v>
      </c>
      <c r="E880" s="21" t="str">
        <f>CONCATENATE('Ingest Template'!H880,CHAR(10),'Ingest Template'!I880,CHAR(10),'Ingest Template'!J880)</f>
        <v>
</v>
      </c>
      <c r="F880" s="26" t="str">
        <f>'Ingest Template'!H880</f>
        <v/>
      </c>
      <c r="G880" s="21"/>
      <c r="H880" s="29"/>
      <c r="I880" s="21"/>
      <c r="J880" s="29" t="str">
        <f t="array" ref="J880">iF('Ingest Template'!A880="Standard","Pristine Brand",INDEX(DropDown!$M$2:$M$392,MATCH('Ingest Template'!E880,DropDown!$J$2:$J$392,0)))</f>
        <v>#N/A</v>
      </c>
      <c r="K880" s="21" t="str">
        <f>iF('Ingest Template'!A880="Standard",'Ingest Template'!K880&amp;CHAR(10)&amp;'Ingest Template'!L880,"Competitive View")</f>
        <v>Competitive View</v>
      </c>
      <c r="L880" s="29" t="s">
        <v>146</v>
      </c>
      <c r="M880" s="37" t="str">
        <f>'Ingest Template'!D880</f>
        <v/>
      </c>
      <c r="N880" s="21"/>
      <c r="O880" s="21"/>
      <c r="P880" s="21"/>
      <c r="Q880" s="21"/>
      <c r="R880" s="21" t="str">
        <f>'Ingest Template'!E880</f>
        <v/>
      </c>
      <c r="S880" s="29" t="s">
        <v>153</v>
      </c>
      <c r="T880" s="21" t="str">
        <f>'Ingest Template'!T880</f>
        <v/>
      </c>
      <c r="U880" s="21" t="str">
        <f>'Ingest Template'!S880</f>
        <v/>
      </c>
      <c r="V880" s="21" t="str">
        <f>LOWER(SUBSTITUTE(SUBSTITUTE(SUBSTITUTE(SUBSTITUTE(SUBSTITUTE('Ingest Template'!U880,"https:",""),"www.",""),"/",""),"?hl=en",""),"instagram.com",""))</f>
        <v/>
      </c>
      <c r="W880" s="41" t="str">
        <f t="array" ref="W880">IF('Ingest Template'!V880="",(INDEX(DropDown!$L$2:$L$392,MATCH('Ingest Template'!E880,DropDown!$J$2:$J$392,0))&amp;"|"&amp;'Ingest Template'!B880),(INDEX(DropDown!$L$2:$L$392,MATCH('Ingest Template'!E880,DropDown!$J$2:$J$392,0))&amp;"|"&amp;'Ingest Template'!B880)&amp;CHAR(10)&amp;'Ingest Template'!V880)</f>
        <v>#N/A</v>
      </c>
      <c r="X880" s="41" t="str">
        <f>'Ingest Template'!W880</f>
        <v/>
      </c>
      <c r="Y880" s="21" t="str">
        <f>SUBSTITUTE(SUBSTITUTE(SUBSTITUTE('Ingest Template'!X880,"http:",""),"https:",""),"/","")</f>
        <v/>
      </c>
      <c r="Z880" s="21" t="str">
        <f t="array" ref="Z880">IF('Ingest Template'!A880="Standard",(IF(ISBLANK('Ingest Template'!AA880),"", 'Ingest Template'!AA880&amp;"|DAR")),(IF(ISBLANK('Ingest Template'!AA880),"", 'Ingest Template'!AA880&amp;"|Film Ops")))</f>
        <v/>
      </c>
      <c r="AA880" s="21"/>
      <c r="AB880" s="21" t="str">
        <f>'Ingest Template'!M880</f>
        <v/>
      </c>
      <c r="AC880" s="21" t="str">
        <f>'Ingest Template'!Y880</f>
        <v/>
      </c>
      <c r="AD880" s="21" t="str">
        <f>'Ingest Template'!C880</f>
        <v/>
      </c>
      <c r="AE880" s="21" t="str">
        <f>'Ingest Template'!Z880</f>
        <v/>
      </c>
      <c r="AF880" s="29"/>
      <c r="AG880" s="21" t="str">
        <f t="array" ref="AG880">IF('Ingest Template'!A880="Standard",(CONCATENATE(IF(ISBLANK('Ingest Template'!O880),"", 'Ingest Template'!O880&amp;"|DAR"),CHAR(10), IF(ISBLANK('Ingest Template'!P880),"", 'Ingest Template'!P880&amp;"|DAR"),CHAR(10), IF(ISBLANK('Ingest Template'!Q880),"", 'Ingest Template'!Q880&amp;"|DAR"))),(CONCATENATE(IF(ISBLANK('Ingest Template'!O880),"", 'Ingest Template'!O880&amp;"|Operations - Core Title"),CHAR(10), IF(ISBLANK('Ingest Template'!P880),"", 'Ingest Template'!P880&amp;"|Operations - Core Title"),CHAR(10), IF(ISBLANK('Ingest Template'!Q880),"", 'Ingest Template'!Q880&amp;"|Operations - Core Title"))))</f>
        <v>#|Operations - Core Title
#|Operations - Core Title
</v>
      </c>
      <c r="AH880" s="21"/>
      <c r="AI880" s="21"/>
      <c r="AJ880" s="53" t="str">
        <f>if('Ingest Template'!A880="Standard",'Ingest Template'!N880&amp; "|DAR|DAR|2021-01-01",'Ingest Template'!N880&amp; "|Operations - Core Title|Operations - Core Title")</f>
        <v>#N/A</v>
      </c>
      <c r="AK880" s="53" t="str">
        <f>if('Ingest Template'!A880="Standard",'Ingest Template'!R880&amp; "|2021-01-01",'Ingest Template'!R880)</f>
        <v>#N/A</v>
      </c>
      <c r="AL880" s="21"/>
      <c r="AM880" s="21"/>
    </row>
    <row r="881">
      <c r="A881" s="21"/>
      <c r="B881" s="21" t="str">
        <f>'Ingest Template'!B881&amp;IF('Ingest Template'!A881 = "Standard", " - DAR","")</f>
        <v/>
      </c>
      <c r="C881" s="26" t="s">
        <v>109</v>
      </c>
      <c r="D881" s="29" t="str">
        <f t="array" ref="D881">CONCATENATE(INDEX(DropDown!$H$2:$H$10,MATCH(1,COUNTIF('Ingest Template'!F881,"*"&amp;DropDown!$H$2:$H$10&amp;"*"),0)),CHAR(10),'Ingest Template'!G881)</f>
        <v>#N/A</v>
      </c>
      <c r="E881" s="21" t="str">
        <f>CONCATENATE('Ingest Template'!H881,CHAR(10),'Ingest Template'!I881,CHAR(10),'Ingest Template'!J881)</f>
        <v>
</v>
      </c>
      <c r="F881" s="26" t="str">
        <f>'Ingest Template'!H881</f>
        <v/>
      </c>
      <c r="G881" s="21"/>
      <c r="H881" s="29"/>
      <c r="I881" s="21"/>
      <c r="J881" s="29" t="str">
        <f t="array" ref="J881">iF('Ingest Template'!A881="Standard","Pristine Brand",INDEX(DropDown!$M$2:$M$392,MATCH('Ingest Template'!E881,DropDown!$J$2:$J$392,0)))</f>
        <v>#N/A</v>
      </c>
      <c r="K881" s="21" t="str">
        <f>iF('Ingest Template'!A881="Standard",'Ingest Template'!K881&amp;CHAR(10)&amp;'Ingest Template'!L881,"Competitive View")</f>
        <v>Competitive View</v>
      </c>
      <c r="L881" s="29" t="s">
        <v>146</v>
      </c>
      <c r="M881" s="37" t="str">
        <f>'Ingest Template'!D881</f>
        <v/>
      </c>
      <c r="N881" s="21"/>
      <c r="O881" s="21"/>
      <c r="P881" s="21"/>
      <c r="Q881" s="21"/>
      <c r="R881" s="21" t="str">
        <f>'Ingest Template'!E881</f>
        <v/>
      </c>
      <c r="S881" s="29" t="s">
        <v>153</v>
      </c>
      <c r="T881" s="21" t="str">
        <f>'Ingest Template'!T881</f>
        <v/>
      </c>
      <c r="U881" s="21" t="str">
        <f>'Ingest Template'!S881</f>
        <v/>
      </c>
      <c r="V881" s="21" t="str">
        <f>LOWER(SUBSTITUTE(SUBSTITUTE(SUBSTITUTE(SUBSTITUTE(SUBSTITUTE('Ingest Template'!U881,"https:",""),"www.",""),"/",""),"?hl=en",""),"instagram.com",""))</f>
        <v/>
      </c>
      <c r="W881" s="41" t="str">
        <f t="array" ref="W881">IF('Ingest Template'!V881="",(INDEX(DropDown!$L$2:$L$392,MATCH('Ingest Template'!E881,DropDown!$J$2:$J$392,0))&amp;"|"&amp;'Ingest Template'!B881),(INDEX(DropDown!$L$2:$L$392,MATCH('Ingest Template'!E881,DropDown!$J$2:$J$392,0))&amp;"|"&amp;'Ingest Template'!B881)&amp;CHAR(10)&amp;'Ingest Template'!V881)</f>
        <v>#N/A</v>
      </c>
      <c r="X881" s="41" t="str">
        <f>'Ingest Template'!W881</f>
        <v/>
      </c>
      <c r="Y881" s="21" t="str">
        <f>SUBSTITUTE(SUBSTITUTE(SUBSTITUTE('Ingest Template'!X881,"http:",""),"https:",""),"/","")</f>
        <v/>
      </c>
      <c r="Z881" s="21" t="str">
        <f t="array" ref="Z881">IF('Ingest Template'!A881="Standard",(IF(ISBLANK('Ingest Template'!AA881),"", 'Ingest Template'!AA881&amp;"|DAR")),(IF(ISBLANK('Ingest Template'!AA881),"", 'Ingest Template'!AA881&amp;"|Film Ops")))</f>
        <v/>
      </c>
      <c r="AA881" s="21"/>
      <c r="AB881" s="21" t="str">
        <f>'Ingest Template'!M881</f>
        <v/>
      </c>
      <c r="AC881" s="21" t="str">
        <f>'Ingest Template'!Y881</f>
        <v/>
      </c>
      <c r="AD881" s="21" t="str">
        <f>'Ingest Template'!C881</f>
        <v/>
      </c>
      <c r="AE881" s="21" t="str">
        <f>'Ingest Template'!Z881</f>
        <v/>
      </c>
      <c r="AF881" s="29"/>
      <c r="AG881" s="21" t="str">
        <f t="array" ref="AG881">IF('Ingest Template'!A881="Standard",(CONCATENATE(IF(ISBLANK('Ingest Template'!O881),"", 'Ingest Template'!O881&amp;"|DAR"),CHAR(10), IF(ISBLANK('Ingest Template'!P881),"", 'Ingest Template'!P881&amp;"|DAR"),CHAR(10), IF(ISBLANK('Ingest Template'!Q881),"", 'Ingest Template'!Q881&amp;"|DAR"))),(CONCATENATE(IF(ISBLANK('Ingest Template'!O881),"", 'Ingest Template'!O881&amp;"|Operations - Core Title"),CHAR(10), IF(ISBLANK('Ingest Template'!P881),"", 'Ingest Template'!P881&amp;"|Operations - Core Title"),CHAR(10), IF(ISBLANK('Ingest Template'!Q881),"", 'Ingest Template'!Q881&amp;"|Operations - Core Title"))))</f>
        <v>#|Operations - Core Title
#|Operations - Core Title
</v>
      </c>
      <c r="AH881" s="21"/>
      <c r="AI881" s="21"/>
      <c r="AJ881" s="53" t="str">
        <f>if('Ingest Template'!A881="Standard",'Ingest Template'!N881&amp; "|DAR|DAR|2021-01-01",'Ingest Template'!N881&amp; "|Operations - Core Title|Operations - Core Title")</f>
        <v>#N/A</v>
      </c>
      <c r="AK881" s="53" t="str">
        <f>if('Ingest Template'!A881="Standard",'Ingest Template'!R881&amp; "|2021-01-01",'Ingest Template'!R881)</f>
        <v>#N/A</v>
      </c>
      <c r="AL881" s="21"/>
      <c r="AM881" s="21"/>
    </row>
    <row r="882">
      <c r="A882" s="21"/>
      <c r="B882" s="21" t="str">
        <f>'Ingest Template'!B882&amp;IF('Ingest Template'!A882 = "Standard", " - DAR","")</f>
        <v/>
      </c>
      <c r="C882" s="26" t="s">
        <v>109</v>
      </c>
      <c r="D882" s="29" t="str">
        <f t="array" ref="D882">CONCATENATE(INDEX(DropDown!$H$2:$H$10,MATCH(1,COUNTIF('Ingest Template'!F882,"*"&amp;DropDown!$H$2:$H$10&amp;"*"),0)),CHAR(10),'Ingest Template'!G882)</f>
        <v>#N/A</v>
      </c>
      <c r="E882" s="21" t="str">
        <f>CONCATENATE('Ingest Template'!H882,CHAR(10),'Ingest Template'!I882,CHAR(10),'Ingest Template'!J882)</f>
        <v>
</v>
      </c>
      <c r="F882" s="26" t="str">
        <f>'Ingest Template'!H882</f>
        <v/>
      </c>
      <c r="G882" s="21"/>
      <c r="H882" s="29"/>
      <c r="I882" s="21"/>
      <c r="J882" s="29" t="str">
        <f t="array" ref="J882">iF('Ingest Template'!A882="Standard","Pristine Brand",INDEX(DropDown!$M$2:$M$392,MATCH('Ingest Template'!E882,DropDown!$J$2:$J$392,0)))</f>
        <v>#N/A</v>
      </c>
      <c r="K882" s="21" t="str">
        <f>iF('Ingest Template'!A882="Standard",'Ingest Template'!K882&amp;CHAR(10)&amp;'Ingest Template'!L882,"Competitive View")</f>
        <v>Competitive View</v>
      </c>
      <c r="L882" s="29" t="s">
        <v>146</v>
      </c>
      <c r="M882" s="37" t="str">
        <f>'Ingest Template'!D882</f>
        <v/>
      </c>
      <c r="N882" s="21"/>
      <c r="O882" s="21"/>
      <c r="P882" s="21"/>
      <c r="Q882" s="21"/>
      <c r="R882" s="21" t="str">
        <f>'Ingest Template'!E882</f>
        <v/>
      </c>
      <c r="S882" s="29" t="s">
        <v>153</v>
      </c>
      <c r="T882" s="21" t="str">
        <f>'Ingest Template'!T882</f>
        <v/>
      </c>
      <c r="U882" s="21" t="str">
        <f>'Ingest Template'!S882</f>
        <v/>
      </c>
      <c r="V882" s="21" t="str">
        <f>LOWER(SUBSTITUTE(SUBSTITUTE(SUBSTITUTE(SUBSTITUTE(SUBSTITUTE('Ingest Template'!U882,"https:",""),"www.",""),"/",""),"?hl=en",""),"instagram.com",""))</f>
        <v/>
      </c>
      <c r="W882" s="41" t="str">
        <f t="array" ref="W882">IF('Ingest Template'!V882="",(INDEX(DropDown!$L$2:$L$392,MATCH('Ingest Template'!E882,DropDown!$J$2:$J$392,0))&amp;"|"&amp;'Ingest Template'!B882),(INDEX(DropDown!$L$2:$L$392,MATCH('Ingest Template'!E882,DropDown!$J$2:$J$392,0))&amp;"|"&amp;'Ingest Template'!B882)&amp;CHAR(10)&amp;'Ingest Template'!V882)</f>
        <v>#N/A</v>
      </c>
      <c r="X882" s="41" t="str">
        <f>'Ingest Template'!W882</f>
        <v/>
      </c>
      <c r="Y882" s="21" t="str">
        <f>SUBSTITUTE(SUBSTITUTE(SUBSTITUTE('Ingest Template'!X882,"http:",""),"https:",""),"/","")</f>
        <v/>
      </c>
      <c r="Z882" s="21" t="str">
        <f t="array" ref="Z882">IF('Ingest Template'!A882="Standard",(IF(ISBLANK('Ingest Template'!AA882),"", 'Ingest Template'!AA882&amp;"|DAR")),(IF(ISBLANK('Ingest Template'!AA882),"", 'Ingest Template'!AA882&amp;"|Film Ops")))</f>
        <v/>
      </c>
      <c r="AA882" s="21"/>
      <c r="AB882" s="21" t="str">
        <f>'Ingest Template'!M882</f>
        <v/>
      </c>
      <c r="AC882" s="21" t="str">
        <f>'Ingest Template'!Y882</f>
        <v/>
      </c>
      <c r="AD882" s="21" t="str">
        <f>'Ingest Template'!C882</f>
        <v/>
      </c>
      <c r="AE882" s="21" t="str">
        <f>'Ingest Template'!Z882</f>
        <v/>
      </c>
      <c r="AF882" s="29"/>
      <c r="AG882" s="21" t="str">
        <f t="array" ref="AG882">IF('Ingest Template'!A882="Standard",(CONCATENATE(IF(ISBLANK('Ingest Template'!O882),"", 'Ingest Template'!O882&amp;"|DAR"),CHAR(10), IF(ISBLANK('Ingest Template'!P882),"", 'Ingest Template'!P882&amp;"|DAR"),CHAR(10), IF(ISBLANK('Ingest Template'!Q882),"", 'Ingest Template'!Q882&amp;"|DAR"))),(CONCATENATE(IF(ISBLANK('Ingest Template'!O882),"", 'Ingest Template'!O882&amp;"|Operations - Core Title"),CHAR(10), IF(ISBLANK('Ingest Template'!P882),"", 'Ingest Template'!P882&amp;"|Operations - Core Title"),CHAR(10), IF(ISBLANK('Ingest Template'!Q882),"", 'Ingest Template'!Q882&amp;"|Operations - Core Title"))))</f>
        <v>#|Operations - Core Title
#|Operations - Core Title
</v>
      </c>
      <c r="AH882" s="21"/>
      <c r="AI882" s="21"/>
      <c r="AJ882" s="53" t="str">
        <f>if('Ingest Template'!A882="Standard",'Ingest Template'!N882&amp; "|DAR|DAR|2021-01-01",'Ingest Template'!N882&amp; "|Operations - Core Title|Operations - Core Title")</f>
        <v>#N/A</v>
      </c>
      <c r="AK882" s="53" t="str">
        <f>if('Ingest Template'!A882="Standard",'Ingest Template'!R882&amp; "|2021-01-01",'Ingest Template'!R882)</f>
        <v>#N/A</v>
      </c>
      <c r="AL882" s="21"/>
      <c r="AM882" s="21"/>
    </row>
    <row r="883">
      <c r="A883" s="21"/>
      <c r="B883" s="21" t="str">
        <f>'Ingest Template'!B883&amp;IF('Ingest Template'!A883 = "Standard", " - DAR","")</f>
        <v/>
      </c>
      <c r="C883" s="26" t="s">
        <v>109</v>
      </c>
      <c r="D883" s="29" t="str">
        <f t="array" ref="D883">CONCATENATE(INDEX(DropDown!$H$2:$H$10,MATCH(1,COUNTIF('Ingest Template'!F883,"*"&amp;DropDown!$H$2:$H$10&amp;"*"),0)),CHAR(10),'Ingest Template'!G883)</f>
        <v>#N/A</v>
      </c>
      <c r="E883" s="21" t="str">
        <f>CONCATENATE('Ingest Template'!H883,CHAR(10),'Ingest Template'!I883,CHAR(10),'Ingest Template'!J883)</f>
        <v>
</v>
      </c>
      <c r="F883" s="26" t="str">
        <f>'Ingest Template'!H883</f>
        <v/>
      </c>
      <c r="G883" s="21"/>
      <c r="H883" s="29"/>
      <c r="I883" s="21"/>
      <c r="J883" s="29" t="str">
        <f t="array" ref="J883">iF('Ingest Template'!A883="Standard","Pristine Brand",INDEX(DropDown!$M$2:$M$392,MATCH('Ingest Template'!E883,DropDown!$J$2:$J$392,0)))</f>
        <v>#N/A</v>
      </c>
      <c r="K883" s="21" t="str">
        <f>iF('Ingest Template'!A883="Standard",'Ingest Template'!K883&amp;CHAR(10)&amp;'Ingest Template'!L883,"Competitive View")</f>
        <v>Competitive View</v>
      </c>
      <c r="L883" s="29" t="s">
        <v>146</v>
      </c>
      <c r="M883" s="37" t="str">
        <f>'Ingest Template'!D883</f>
        <v/>
      </c>
      <c r="N883" s="21"/>
      <c r="O883" s="21"/>
      <c r="P883" s="21"/>
      <c r="Q883" s="21"/>
      <c r="R883" s="21" t="str">
        <f>'Ingest Template'!E883</f>
        <v/>
      </c>
      <c r="S883" s="29" t="s">
        <v>153</v>
      </c>
      <c r="T883" s="21" t="str">
        <f>'Ingest Template'!T883</f>
        <v/>
      </c>
      <c r="U883" s="21" t="str">
        <f>'Ingest Template'!S883</f>
        <v/>
      </c>
      <c r="V883" s="21" t="str">
        <f>LOWER(SUBSTITUTE(SUBSTITUTE(SUBSTITUTE(SUBSTITUTE(SUBSTITUTE('Ingest Template'!U883,"https:",""),"www.",""),"/",""),"?hl=en",""),"instagram.com",""))</f>
        <v/>
      </c>
      <c r="W883" s="41" t="str">
        <f t="array" ref="W883">IF('Ingest Template'!V883="",(INDEX(DropDown!$L$2:$L$392,MATCH('Ingest Template'!E883,DropDown!$J$2:$J$392,0))&amp;"|"&amp;'Ingest Template'!B883),(INDEX(DropDown!$L$2:$L$392,MATCH('Ingest Template'!E883,DropDown!$J$2:$J$392,0))&amp;"|"&amp;'Ingest Template'!B883)&amp;CHAR(10)&amp;'Ingest Template'!V883)</f>
        <v>#N/A</v>
      </c>
      <c r="X883" s="41" t="str">
        <f>'Ingest Template'!W883</f>
        <v/>
      </c>
      <c r="Y883" s="21" t="str">
        <f>SUBSTITUTE(SUBSTITUTE(SUBSTITUTE('Ingest Template'!X883,"http:",""),"https:",""),"/","")</f>
        <v/>
      </c>
      <c r="Z883" s="21" t="str">
        <f t="array" ref="Z883">IF('Ingest Template'!A883="Standard",(IF(ISBLANK('Ingest Template'!AA883),"", 'Ingest Template'!AA883&amp;"|DAR")),(IF(ISBLANK('Ingest Template'!AA883),"", 'Ingest Template'!AA883&amp;"|Film Ops")))</f>
        <v/>
      </c>
      <c r="AA883" s="21"/>
      <c r="AB883" s="21" t="str">
        <f>'Ingest Template'!M883</f>
        <v/>
      </c>
      <c r="AC883" s="21" t="str">
        <f>'Ingest Template'!Y883</f>
        <v/>
      </c>
      <c r="AD883" s="21" t="str">
        <f>'Ingest Template'!C883</f>
        <v/>
      </c>
      <c r="AE883" s="21" t="str">
        <f>'Ingest Template'!Z883</f>
        <v/>
      </c>
      <c r="AF883" s="29"/>
      <c r="AG883" s="21" t="str">
        <f t="array" ref="AG883">IF('Ingest Template'!A883="Standard",(CONCATENATE(IF(ISBLANK('Ingest Template'!O883),"", 'Ingest Template'!O883&amp;"|DAR"),CHAR(10), IF(ISBLANK('Ingest Template'!P883),"", 'Ingest Template'!P883&amp;"|DAR"),CHAR(10), IF(ISBLANK('Ingest Template'!Q883),"", 'Ingest Template'!Q883&amp;"|DAR"))),(CONCATENATE(IF(ISBLANK('Ingest Template'!O883),"", 'Ingest Template'!O883&amp;"|Operations - Core Title"),CHAR(10), IF(ISBLANK('Ingest Template'!P883),"", 'Ingest Template'!P883&amp;"|Operations - Core Title"),CHAR(10), IF(ISBLANK('Ingest Template'!Q883),"", 'Ingest Template'!Q883&amp;"|Operations - Core Title"))))</f>
        <v>#|Operations - Core Title
#|Operations - Core Title
</v>
      </c>
      <c r="AH883" s="21"/>
      <c r="AI883" s="21"/>
      <c r="AJ883" s="53" t="str">
        <f>if('Ingest Template'!A883="Standard",'Ingest Template'!N883&amp; "|DAR|DAR|2021-01-01",'Ingest Template'!N883&amp; "|Operations - Core Title|Operations - Core Title")</f>
        <v>#N/A</v>
      </c>
      <c r="AK883" s="53" t="str">
        <f>if('Ingest Template'!A883="Standard",'Ingest Template'!R883&amp; "|2021-01-01",'Ingest Template'!R883)</f>
        <v>#N/A</v>
      </c>
      <c r="AL883" s="21"/>
      <c r="AM883" s="21"/>
    </row>
    <row r="884">
      <c r="A884" s="21"/>
      <c r="B884" s="21" t="str">
        <f>'Ingest Template'!B884&amp;IF('Ingest Template'!A884 = "Standard", " - DAR","")</f>
        <v/>
      </c>
      <c r="C884" s="26" t="s">
        <v>109</v>
      </c>
      <c r="D884" s="29" t="str">
        <f t="array" ref="D884">CONCATENATE(INDEX(DropDown!$H$2:$H$10,MATCH(1,COUNTIF('Ingest Template'!F884,"*"&amp;DropDown!$H$2:$H$10&amp;"*"),0)),CHAR(10),'Ingest Template'!G884)</f>
        <v>#N/A</v>
      </c>
      <c r="E884" s="21" t="str">
        <f>CONCATENATE('Ingest Template'!H884,CHAR(10),'Ingest Template'!I884,CHAR(10),'Ingest Template'!J884)</f>
        <v>
</v>
      </c>
      <c r="F884" s="26" t="str">
        <f>'Ingest Template'!H884</f>
        <v/>
      </c>
      <c r="G884" s="21"/>
      <c r="H884" s="29"/>
      <c r="I884" s="21"/>
      <c r="J884" s="29" t="str">
        <f t="array" ref="J884">iF('Ingest Template'!A884="Standard","Pristine Brand",INDEX(DropDown!$M$2:$M$392,MATCH('Ingest Template'!E884,DropDown!$J$2:$J$392,0)))</f>
        <v>#N/A</v>
      </c>
      <c r="K884" s="21" t="str">
        <f>iF('Ingest Template'!A884="Standard",'Ingest Template'!K884&amp;CHAR(10)&amp;'Ingest Template'!L884,"Competitive View")</f>
        <v>Competitive View</v>
      </c>
      <c r="L884" s="29" t="s">
        <v>146</v>
      </c>
      <c r="M884" s="37" t="str">
        <f>'Ingest Template'!D884</f>
        <v/>
      </c>
      <c r="N884" s="21"/>
      <c r="O884" s="21"/>
      <c r="P884" s="21"/>
      <c r="Q884" s="21"/>
      <c r="R884" s="21" t="str">
        <f>'Ingest Template'!E884</f>
        <v/>
      </c>
      <c r="S884" s="29" t="s">
        <v>153</v>
      </c>
      <c r="T884" s="21" t="str">
        <f>'Ingest Template'!T884</f>
        <v/>
      </c>
      <c r="U884" s="21" t="str">
        <f>'Ingest Template'!S884</f>
        <v/>
      </c>
      <c r="V884" s="21" t="str">
        <f>LOWER(SUBSTITUTE(SUBSTITUTE(SUBSTITUTE(SUBSTITUTE(SUBSTITUTE('Ingest Template'!U884,"https:",""),"www.",""),"/",""),"?hl=en",""),"instagram.com",""))</f>
        <v/>
      </c>
      <c r="W884" s="41" t="str">
        <f t="array" ref="W884">IF('Ingest Template'!V884="",(INDEX(DropDown!$L$2:$L$392,MATCH('Ingest Template'!E884,DropDown!$J$2:$J$392,0))&amp;"|"&amp;'Ingest Template'!B884),(INDEX(DropDown!$L$2:$L$392,MATCH('Ingest Template'!E884,DropDown!$J$2:$J$392,0))&amp;"|"&amp;'Ingest Template'!B884)&amp;CHAR(10)&amp;'Ingest Template'!V884)</f>
        <v>#N/A</v>
      </c>
      <c r="X884" s="41" t="str">
        <f>'Ingest Template'!W884</f>
        <v/>
      </c>
      <c r="Y884" s="21" t="str">
        <f>SUBSTITUTE(SUBSTITUTE(SUBSTITUTE('Ingest Template'!X884,"http:",""),"https:",""),"/","")</f>
        <v/>
      </c>
      <c r="Z884" s="21" t="str">
        <f t="array" ref="Z884">IF('Ingest Template'!A884="Standard",(IF(ISBLANK('Ingest Template'!AA884),"", 'Ingest Template'!AA884&amp;"|DAR")),(IF(ISBLANK('Ingest Template'!AA884),"", 'Ingest Template'!AA884&amp;"|Film Ops")))</f>
        <v/>
      </c>
      <c r="AA884" s="21"/>
      <c r="AB884" s="21" t="str">
        <f>'Ingest Template'!M884</f>
        <v/>
      </c>
      <c r="AC884" s="21" t="str">
        <f>'Ingest Template'!Y884</f>
        <v/>
      </c>
      <c r="AD884" s="21" t="str">
        <f>'Ingest Template'!C884</f>
        <v/>
      </c>
      <c r="AE884" s="21" t="str">
        <f>'Ingest Template'!Z884</f>
        <v/>
      </c>
      <c r="AF884" s="29"/>
      <c r="AG884" s="21" t="str">
        <f t="array" ref="AG884">IF('Ingest Template'!A884="Standard",(CONCATENATE(IF(ISBLANK('Ingest Template'!O884),"", 'Ingest Template'!O884&amp;"|DAR"),CHAR(10), IF(ISBLANK('Ingest Template'!P884),"", 'Ingest Template'!P884&amp;"|DAR"),CHAR(10), IF(ISBLANK('Ingest Template'!Q884),"", 'Ingest Template'!Q884&amp;"|DAR"))),(CONCATENATE(IF(ISBLANK('Ingest Template'!O884),"", 'Ingest Template'!O884&amp;"|Operations - Core Title"),CHAR(10), IF(ISBLANK('Ingest Template'!P884),"", 'Ingest Template'!P884&amp;"|Operations - Core Title"),CHAR(10), IF(ISBLANK('Ingest Template'!Q884),"", 'Ingest Template'!Q884&amp;"|Operations - Core Title"))))</f>
        <v>#|Operations - Core Title
#|Operations - Core Title
</v>
      </c>
      <c r="AH884" s="21"/>
      <c r="AI884" s="21"/>
      <c r="AJ884" s="53" t="str">
        <f>if('Ingest Template'!A884="Standard",'Ingest Template'!N884&amp; "|DAR|DAR|2021-01-01",'Ingest Template'!N884&amp; "|Operations - Core Title|Operations - Core Title")</f>
        <v>#N/A</v>
      </c>
      <c r="AK884" s="53" t="str">
        <f>if('Ingest Template'!A884="Standard",'Ingest Template'!R884&amp; "|2021-01-01",'Ingest Template'!R884)</f>
        <v>#N/A</v>
      </c>
      <c r="AL884" s="21"/>
      <c r="AM884" s="21"/>
    </row>
    <row r="885">
      <c r="A885" s="21"/>
      <c r="B885" s="21" t="str">
        <f>'Ingest Template'!B885&amp;IF('Ingest Template'!A885 = "Standard", " - DAR","")</f>
        <v/>
      </c>
      <c r="C885" s="26" t="s">
        <v>109</v>
      </c>
      <c r="D885" s="29" t="str">
        <f t="array" ref="D885">CONCATENATE(INDEX(DropDown!$H$2:$H$10,MATCH(1,COUNTIF('Ingest Template'!F885,"*"&amp;DropDown!$H$2:$H$10&amp;"*"),0)),CHAR(10),'Ingest Template'!G885)</f>
        <v>#N/A</v>
      </c>
      <c r="E885" s="21" t="str">
        <f>CONCATENATE('Ingest Template'!H885,CHAR(10),'Ingest Template'!I885,CHAR(10),'Ingest Template'!J885)</f>
        <v>
</v>
      </c>
      <c r="F885" s="26" t="str">
        <f>'Ingest Template'!H885</f>
        <v/>
      </c>
      <c r="G885" s="21"/>
      <c r="H885" s="29"/>
      <c r="I885" s="21"/>
      <c r="J885" s="29" t="str">
        <f t="array" ref="J885">iF('Ingest Template'!A885="Standard","Pristine Brand",INDEX(DropDown!$M$2:$M$392,MATCH('Ingest Template'!E885,DropDown!$J$2:$J$392,0)))</f>
        <v>#N/A</v>
      </c>
      <c r="K885" s="21" t="str">
        <f>iF('Ingest Template'!A885="Standard",'Ingest Template'!K885&amp;CHAR(10)&amp;'Ingest Template'!L885,"Competitive View")</f>
        <v>Competitive View</v>
      </c>
      <c r="L885" s="29" t="s">
        <v>146</v>
      </c>
      <c r="M885" s="37" t="str">
        <f>'Ingest Template'!D885</f>
        <v/>
      </c>
      <c r="N885" s="21"/>
      <c r="O885" s="21"/>
      <c r="P885" s="21"/>
      <c r="Q885" s="21"/>
      <c r="R885" s="21" t="str">
        <f>'Ingest Template'!E885</f>
        <v/>
      </c>
      <c r="S885" s="29" t="s">
        <v>153</v>
      </c>
      <c r="T885" s="21" t="str">
        <f>'Ingest Template'!T885</f>
        <v/>
      </c>
      <c r="U885" s="21" t="str">
        <f>'Ingest Template'!S885</f>
        <v/>
      </c>
      <c r="V885" s="21" t="str">
        <f>LOWER(SUBSTITUTE(SUBSTITUTE(SUBSTITUTE(SUBSTITUTE(SUBSTITUTE('Ingest Template'!U885,"https:",""),"www.",""),"/",""),"?hl=en",""),"instagram.com",""))</f>
        <v/>
      </c>
      <c r="W885" s="41" t="str">
        <f t="array" ref="W885">IF('Ingest Template'!V885="",(INDEX(DropDown!$L$2:$L$392,MATCH('Ingest Template'!E885,DropDown!$J$2:$J$392,0))&amp;"|"&amp;'Ingest Template'!B885),(INDEX(DropDown!$L$2:$L$392,MATCH('Ingest Template'!E885,DropDown!$J$2:$J$392,0))&amp;"|"&amp;'Ingest Template'!B885)&amp;CHAR(10)&amp;'Ingest Template'!V885)</f>
        <v>#N/A</v>
      </c>
      <c r="X885" s="41" t="str">
        <f>'Ingest Template'!W885</f>
        <v/>
      </c>
      <c r="Y885" s="21" t="str">
        <f>SUBSTITUTE(SUBSTITUTE(SUBSTITUTE('Ingest Template'!X885,"http:",""),"https:",""),"/","")</f>
        <v/>
      </c>
      <c r="Z885" s="21" t="str">
        <f t="array" ref="Z885">IF('Ingest Template'!A885="Standard",(IF(ISBLANK('Ingest Template'!AA885),"", 'Ingest Template'!AA885&amp;"|DAR")),(IF(ISBLANK('Ingest Template'!AA885),"", 'Ingest Template'!AA885&amp;"|Film Ops")))</f>
        <v/>
      </c>
      <c r="AA885" s="21"/>
      <c r="AB885" s="21" t="str">
        <f>'Ingest Template'!M885</f>
        <v/>
      </c>
      <c r="AC885" s="21" t="str">
        <f>'Ingest Template'!Y885</f>
        <v/>
      </c>
      <c r="AD885" s="21" t="str">
        <f>'Ingest Template'!C885</f>
        <v/>
      </c>
      <c r="AE885" s="21" t="str">
        <f>'Ingest Template'!Z885</f>
        <v/>
      </c>
      <c r="AF885" s="29"/>
      <c r="AG885" s="21" t="str">
        <f t="array" ref="AG885">IF('Ingest Template'!A885="Standard",(CONCATENATE(IF(ISBLANK('Ingest Template'!O885),"", 'Ingest Template'!O885&amp;"|DAR"),CHAR(10), IF(ISBLANK('Ingest Template'!P885),"", 'Ingest Template'!P885&amp;"|DAR"),CHAR(10), IF(ISBLANK('Ingest Template'!Q885),"", 'Ingest Template'!Q885&amp;"|DAR"))),(CONCATENATE(IF(ISBLANK('Ingest Template'!O885),"", 'Ingest Template'!O885&amp;"|Operations - Core Title"),CHAR(10), IF(ISBLANK('Ingest Template'!P885),"", 'Ingest Template'!P885&amp;"|Operations - Core Title"),CHAR(10), IF(ISBLANK('Ingest Template'!Q885),"", 'Ingest Template'!Q885&amp;"|Operations - Core Title"))))</f>
        <v>#|Operations - Core Title
#|Operations - Core Title
</v>
      </c>
      <c r="AH885" s="21"/>
      <c r="AI885" s="21"/>
      <c r="AJ885" s="53" t="str">
        <f>if('Ingest Template'!A885="Standard",'Ingest Template'!N885&amp; "|DAR|DAR|2021-01-01",'Ingest Template'!N885&amp; "|Operations - Core Title|Operations - Core Title")</f>
        <v>#N/A</v>
      </c>
      <c r="AK885" s="53" t="str">
        <f>if('Ingest Template'!A885="Standard",'Ingest Template'!R885&amp; "|2021-01-01",'Ingest Template'!R885)</f>
        <v>#N/A</v>
      </c>
      <c r="AL885" s="21"/>
      <c r="AM885" s="21"/>
    </row>
    <row r="886">
      <c r="A886" s="21"/>
      <c r="B886" s="21" t="str">
        <f>'Ingest Template'!B886&amp;IF('Ingest Template'!A886 = "Standard", " - DAR","")</f>
        <v/>
      </c>
      <c r="C886" s="26" t="s">
        <v>109</v>
      </c>
      <c r="D886" s="29" t="str">
        <f t="array" ref="D886">CONCATENATE(INDEX(DropDown!$H$2:$H$10,MATCH(1,COUNTIF('Ingest Template'!F886,"*"&amp;DropDown!$H$2:$H$10&amp;"*"),0)),CHAR(10),'Ingest Template'!G886)</f>
        <v>#N/A</v>
      </c>
      <c r="E886" s="21" t="str">
        <f>CONCATENATE('Ingest Template'!H886,CHAR(10),'Ingest Template'!I886,CHAR(10),'Ingest Template'!J886)</f>
        <v>
</v>
      </c>
      <c r="F886" s="26" t="str">
        <f>'Ingest Template'!H886</f>
        <v/>
      </c>
      <c r="G886" s="21"/>
      <c r="H886" s="29"/>
      <c r="I886" s="21"/>
      <c r="J886" s="29" t="str">
        <f t="array" ref="J886">iF('Ingest Template'!A886="Standard","Pristine Brand",INDEX(DropDown!$M$2:$M$392,MATCH('Ingest Template'!E886,DropDown!$J$2:$J$392,0)))</f>
        <v>#N/A</v>
      </c>
      <c r="K886" s="21" t="str">
        <f>iF('Ingest Template'!A886="Standard",'Ingest Template'!K886&amp;CHAR(10)&amp;'Ingest Template'!L886,"Competitive View")</f>
        <v>Competitive View</v>
      </c>
      <c r="L886" s="29" t="s">
        <v>146</v>
      </c>
      <c r="M886" s="37" t="str">
        <f>'Ingest Template'!D886</f>
        <v/>
      </c>
      <c r="N886" s="21"/>
      <c r="O886" s="21"/>
      <c r="P886" s="21"/>
      <c r="Q886" s="21"/>
      <c r="R886" s="21" t="str">
        <f>'Ingest Template'!E886</f>
        <v/>
      </c>
      <c r="S886" s="29" t="s">
        <v>153</v>
      </c>
      <c r="T886" s="21" t="str">
        <f>'Ingest Template'!T886</f>
        <v/>
      </c>
      <c r="U886" s="21" t="str">
        <f>'Ingest Template'!S886</f>
        <v/>
      </c>
      <c r="V886" s="21" t="str">
        <f>LOWER(SUBSTITUTE(SUBSTITUTE(SUBSTITUTE(SUBSTITUTE(SUBSTITUTE('Ingest Template'!U886,"https:",""),"www.",""),"/",""),"?hl=en",""),"instagram.com",""))</f>
        <v/>
      </c>
      <c r="W886" s="41" t="str">
        <f t="array" ref="W886">IF('Ingest Template'!V886="",(INDEX(DropDown!$L$2:$L$392,MATCH('Ingest Template'!E886,DropDown!$J$2:$J$392,0))&amp;"|"&amp;'Ingest Template'!B886),(INDEX(DropDown!$L$2:$L$392,MATCH('Ingest Template'!E886,DropDown!$J$2:$J$392,0))&amp;"|"&amp;'Ingest Template'!B886)&amp;CHAR(10)&amp;'Ingest Template'!V886)</f>
        <v>#N/A</v>
      </c>
      <c r="X886" s="41" t="str">
        <f>'Ingest Template'!W886</f>
        <v/>
      </c>
      <c r="Y886" s="21" t="str">
        <f>SUBSTITUTE(SUBSTITUTE(SUBSTITUTE('Ingest Template'!X886,"http:",""),"https:",""),"/","")</f>
        <v/>
      </c>
      <c r="Z886" s="21" t="str">
        <f t="array" ref="Z886">IF('Ingest Template'!A886="Standard",(IF(ISBLANK('Ingest Template'!AA886),"", 'Ingest Template'!AA886&amp;"|DAR")),(IF(ISBLANK('Ingest Template'!AA886),"", 'Ingest Template'!AA886&amp;"|Film Ops")))</f>
        <v/>
      </c>
      <c r="AA886" s="21"/>
      <c r="AB886" s="21" t="str">
        <f>'Ingest Template'!M886</f>
        <v/>
      </c>
      <c r="AC886" s="21" t="str">
        <f>'Ingest Template'!Y886</f>
        <v/>
      </c>
      <c r="AD886" s="21" t="str">
        <f>'Ingest Template'!C886</f>
        <v/>
      </c>
      <c r="AE886" s="21" t="str">
        <f>'Ingest Template'!Z886</f>
        <v/>
      </c>
      <c r="AF886" s="29"/>
      <c r="AG886" s="21" t="str">
        <f t="array" ref="AG886">IF('Ingest Template'!A886="Standard",(CONCATENATE(IF(ISBLANK('Ingest Template'!O886),"", 'Ingest Template'!O886&amp;"|DAR"),CHAR(10), IF(ISBLANK('Ingest Template'!P886),"", 'Ingest Template'!P886&amp;"|DAR"),CHAR(10), IF(ISBLANK('Ingest Template'!Q886),"", 'Ingest Template'!Q886&amp;"|DAR"))),(CONCATENATE(IF(ISBLANK('Ingest Template'!O886),"", 'Ingest Template'!O886&amp;"|Operations - Core Title"),CHAR(10), IF(ISBLANK('Ingest Template'!P886),"", 'Ingest Template'!P886&amp;"|Operations - Core Title"),CHAR(10), IF(ISBLANK('Ingest Template'!Q886),"", 'Ingest Template'!Q886&amp;"|Operations - Core Title"))))</f>
        <v>#|Operations - Core Title
#|Operations - Core Title
</v>
      </c>
      <c r="AH886" s="21"/>
      <c r="AI886" s="21"/>
      <c r="AJ886" s="53" t="str">
        <f>if('Ingest Template'!A886="Standard",'Ingest Template'!N886&amp; "|DAR|DAR|2021-01-01",'Ingest Template'!N886&amp; "|Operations - Core Title|Operations - Core Title")</f>
        <v>#N/A</v>
      </c>
      <c r="AK886" s="53" t="str">
        <f>if('Ingest Template'!A886="Standard",'Ingest Template'!R886&amp; "|2021-01-01",'Ingest Template'!R886)</f>
        <v>#N/A</v>
      </c>
      <c r="AL886" s="21"/>
      <c r="AM886" s="21"/>
    </row>
    <row r="887">
      <c r="A887" s="21"/>
      <c r="B887" s="21" t="str">
        <f>'Ingest Template'!B887&amp;IF('Ingest Template'!A887 = "Standard", " - DAR","")</f>
        <v/>
      </c>
      <c r="C887" s="26" t="s">
        <v>109</v>
      </c>
      <c r="D887" s="29" t="str">
        <f t="array" ref="D887">CONCATENATE(INDEX(DropDown!$H$2:$H$10,MATCH(1,COUNTIF('Ingest Template'!F887,"*"&amp;DropDown!$H$2:$H$10&amp;"*"),0)),CHAR(10),'Ingest Template'!G887)</f>
        <v>#N/A</v>
      </c>
      <c r="E887" s="21" t="str">
        <f>CONCATENATE('Ingest Template'!H887,CHAR(10),'Ingest Template'!I887,CHAR(10),'Ingest Template'!J887)</f>
        <v>
</v>
      </c>
      <c r="F887" s="26" t="str">
        <f>'Ingest Template'!H887</f>
        <v/>
      </c>
      <c r="G887" s="21"/>
      <c r="H887" s="29"/>
      <c r="I887" s="21"/>
      <c r="J887" s="29" t="str">
        <f t="array" ref="J887">iF('Ingest Template'!A887="Standard","Pristine Brand",INDEX(DropDown!$M$2:$M$392,MATCH('Ingest Template'!E887,DropDown!$J$2:$J$392,0)))</f>
        <v>#N/A</v>
      </c>
      <c r="K887" s="21" t="str">
        <f>iF('Ingest Template'!A887="Standard",'Ingest Template'!K887&amp;CHAR(10)&amp;'Ingest Template'!L887,"Competitive View")</f>
        <v>Competitive View</v>
      </c>
      <c r="L887" s="29" t="s">
        <v>146</v>
      </c>
      <c r="M887" s="37" t="str">
        <f>'Ingest Template'!D887</f>
        <v/>
      </c>
      <c r="N887" s="21"/>
      <c r="O887" s="21"/>
      <c r="P887" s="21"/>
      <c r="Q887" s="21"/>
      <c r="R887" s="21" t="str">
        <f>'Ingest Template'!E887</f>
        <v/>
      </c>
      <c r="S887" s="29" t="s">
        <v>153</v>
      </c>
      <c r="T887" s="21" t="str">
        <f>'Ingest Template'!T887</f>
        <v/>
      </c>
      <c r="U887" s="21" t="str">
        <f>'Ingest Template'!S887</f>
        <v/>
      </c>
      <c r="V887" s="21" t="str">
        <f>LOWER(SUBSTITUTE(SUBSTITUTE(SUBSTITUTE(SUBSTITUTE(SUBSTITUTE('Ingest Template'!U887,"https:",""),"www.",""),"/",""),"?hl=en",""),"instagram.com",""))</f>
        <v/>
      </c>
      <c r="W887" s="41" t="str">
        <f t="array" ref="W887">IF('Ingest Template'!V887="",(INDEX(DropDown!$L$2:$L$392,MATCH('Ingest Template'!E887,DropDown!$J$2:$J$392,0))&amp;"|"&amp;'Ingest Template'!B887),(INDEX(DropDown!$L$2:$L$392,MATCH('Ingest Template'!E887,DropDown!$J$2:$J$392,0))&amp;"|"&amp;'Ingest Template'!B887)&amp;CHAR(10)&amp;'Ingest Template'!V887)</f>
        <v>#N/A</v>
      </c>
      <c r="X887" s="41" t="str">
        <f>'Ingest Template'!W887</f>
        <v/>
      </c>
      <c r="Y887" s="21" t="str">
        <f>SUBSTITUTE(SUBSTITUTE(SUBSTITUTE('Ingest Template'!X887,"http:",""),"https:",""),"/","")</f>
        <v/>
      </c>
      <c r="Z887" s="21" t="str">
        <f t="array" ref="Z887">IF('Ingest Template'!A887="Standard",(IF(ISBLANK('Ingest Template'!AA887),"", 'Ingest Template'!AA887&amp;"|DAR")),(IF(ISBLANK('Ingest Template'!AA887),"", 'Ingest Template'!AA887&amp;"|Film Ops")))</f>
        <v/>
      </c>
      <c r="AA887" s="21"/>
      <c r="AB887" s="21" t="str">
        <f>'Ingest Template'!M887</f>
        <v/>
      </c>
      <c r="AC887" s="21" t="str">
        <f>'Ingest Template'!Y887</f>
        <v/>
      </c>
      <c r="AD887" s="21" t="str">
        <f>'Ingest Template'!C887</f>
        <v/>
      </c>
      <c r="AE887" s="21" t="str">
        <f>'Ingest Template'!Z887</f>
        <v/>
      </c>
      <c r="AF887" s="29"/>
      <c r="AG887" s="21" t="str">
        <f t="array" ref="AG887">IF('Ingest Template'!A887="Standard",(CONCATENATE(IF(ISBLANK('Ingest Template'!O887),"", 'Ingest Template'!O887&amp;"|DAR"),CHAR(10), IF(ISBLANK('Ingest Template'!P887),"", 'Ingest Template'!P887&amp;"|DAR"),CHAR(10), IF(ISBLANK('Ingest Template'!Q887),"", 'Ingest Template'!Q887&amp;"|DAR"))),(CONCATENATE(IF(ISBLANK('Ingest Template'!O887),"", 'Ingest Template'!O887&amp;"|Operations - Core Title"),CHAR(10), IF(ISBLANK('Ingest Template'!P887),"", 'Ingest Template'!P887&amp;"|Operations - Core Title"),CHAR(10), IF(ISBLANK('Ingest Template'!Q887),"", 'Ingest Template'!Q887&amp;"|Operations - Core Title"))))</f>
        <v>#|Operations - Core Title
#|Operations - Core Title
</v>
      </c>
      <c r="AH887" s="21"/>
      <c r="AI887" s="21"/>
      <c r="AJ887" s="53" t="str">
        <f>if('Ingest Template'!A887="Standard",'Ingest Template'!N887&amp; "|DAR|DAR|2021-01-01",'Ingest Template'!N887&amp; "|Operations - Core Title|Operations - Core Title")</f>
        <v>#N/A</v>
      </c>
      <c r="AK887" s="53" t="str">
        <f>if('Ingest Template'!A887="Standard",'Ingest Template'!R887&amp; "|2021-01-01",'Ingest Template'!R887)</f>
        <v>#N/A</v>
      </c>
      <c r="AL887" s="21"/>
      <c r="AM887" s="21"/>
    </row>
    <row r="888">
      <c r="A888" s="21"/>
      <c r="B888" s="21" t="str">
        <f>'Ingest Template'!B888&amp;IF('Ingest Template'!A888 = "Standard", " - DAR","")</f>
        <v/>
      </c>
      <c r="C888" s="26" t="s">
        <v>109</v>
      </c>
      <c r="D888" s="29" t="str">
        <f t="array" ref="D888">CONCATENATE(INDEX(DropDown!$H$2:$H$10,MATCH(1,COUNTIF('Ingest Template'!F888,"*"&amp;DropDown!$H$2:$H$10&amp;"*"),0)),CHAR(10),'Ingest Template'!G888)</f>
        <v>#N/A</v>
      </c>
      <c r="E888" s="21" t="str">
        <f>CONCATENATE('Ingest Template'!H888,CHAR(10),'Ingest Template'!I888,CHAR(10),'Ingest Template'!J888)</f>
        <v>
</v>
      </c>
      <c r="F888" s="26" t="str">
        <f>'Ingest Template'!H888</f>
        <v/>
      </c>
      <c r="G888" s="21"/>
      <c r="H888" s="29"/>
      <c r="I888" s="21"/>
      <c r="J888" s="29" t="str">
        <f t="array" ref="J888">iF('Ingest Template'!A888="Standard","Pristine Brand",INDEX(DropDown!$M$2:$M$392,MATCH('Ingest Template'!E888,DropDown!$J$2:$J$392,0)))</f>
        <v>#N/A</v>
      </c>
      <c r="K888" s="21" t="str">
        <f>iF('Ingest Template'!A888="Standard",'Ingest Template'!K888&amp;CHAR(10)&amp;'Ingest Template'!L888,"Competitive View")</f>
        <v>Competitive View</v>
      </c>
      <c r="L888" s="29" t="s">
        <v>146</v>
      </c>
      <c r="M888" s="37" t="str">
        <f>'Ingest Template'!D888</f>
        <v/>
      </c>
      <c r="N888" s="21"/>
      <c r="O888" s="21"/>
      <c r="P888" s="21"/>
      <c r="Q888" s="21"/>
      <c r="R888" s="21" t="str">
        <f>'Ingest Template'!E888</f>
        <v/>
      </c>
      <c r="S888" s="29" t="s">
        <v>153</v>
      </c>
      <c r="T888" s="21" t="str">
        <f>'Ingest Template'!T888</f>
        <v/>
      </c>
      <c r="U888" s="21" t="str">
        <f>'Ingest Template'!S888</f>
        <v/>
      </c>
      <c r="V888" s="21" t="str">
        <f>LOWER(SUBSTITUTE(SUBSTITUTE(SUBSTITUTE(SUBSTITUTE(SUBSTITUTE('Ingest Template'!U888,"https:",""),"www.",""),"/",""),"?hl=en",""),"instagram.com",""))</f>
        <v/>
      </c>
      <c r="W888" s="41" t="str">
        <f t="array" ref="W888">IF('Ingest Template'!V888="",(INDEX(DropDown!$L$2:$L$392,MATCH('Ingest Template'!E888,DropDown!$J$2:$J$392,0))&amp;"|"&amp;'Ingest Template'!B888),(INDEX(DropDown!$L$2:$L$392,MATCH('Ingest Template'!E888,DropDown!$J$2:$J$392,0))&amp;"|"&amp;'Ingest Template'!B888)&amp;CHAR(10)&amp;'Ingest Template'!V888)</f>
        <v>#N/A</v>
      </c>
      <c r="X888" s="41" t="str">
        <f>'Ingest Template'!W888</f>
        <v/>
      </c>
      <c r="Y888" s="21" t="str">
        <f>SUBSTITUTE(SUBSTITUTE(SUBSTITUTE('Ingest Template'!X888,"http:",""),"https:",""),"/","")</f>
        <v/>
      </c>
      <c r="Z888" s="21" t="str">
        <f t="array" ref="Z888">IF('Ingest Template'!A888="Standard",(IF(ISBLANK('Ingest Template'!AA888),"", 'Ingest Template'!AA888&amp;"|DAR")),(IF(ISBLANK('Ingest Template'!AA888),"", 'Ingest Template'!AA888&amp;"|Film Ops")))</f>
        <v/>
      </c>
      <c r="AA888" s="21"/>
      <c r="AB888" s="21" t="str">
        <f>'Ingest Template'!M888</f>
        <v/>
      </c>
      <c r="AC888" s="21" t="str">
        <f>'Ingest Template'!Y888</f>
        <v/>
      </c>
      <c r="AD888" s="21" t="str">
        <f>'Ingest Template'!C888</f>
        <v/>
      </c>
      <c r="AE888" s="21" t="str">
        <f>'Ingest Template'!Z888</f>
        <v/>
      </c>
      <c r="AF888" s="29"/>
      <c r="AG888" s="21" t="str">
        <f t="array" ref="AG888">IF('Ingest Template'!A888="Standard",(CONCATENATE(IF(ISBLANK('Ingest Template'!O888),"", 'Ingest Template'!O888&amp;"|DAR"),CHAR(10), IF(ISBLANK('Ingest Template'!P888),"", 'Ingest Template'!P888&amp;"|DAR"),CHAR(10), IF(ISBLANK('Ingest Template'!Q888),"", 'Ingest Template'!Q888&amp;"|DAR"))),(CONCATENATE(IF(ISBLANK('Ingest Template'!O888),"", 'Ingest Template'!O888&amp;"|Operations - Core Title"),CHAR(10), IF(ISBLANK('Ingest Template'!P888),"", 'Ingest Template'!P888&amp;"|Operations - Core Title"),CHAR(10), IF(ISBLANK('Ingest Template'!Q888),"", 'Ingest Template'!Q888&amp;"|Operations - Core Title"))))</f>
        <v>#|Operations - Core Title
#|Operations - Core Title
</v>
      </c>
      <c r="AH888" s="21"/>
      <c r="AI888" s="21"/>
      <c r="AJ888" s="53" t="str">
        <f>if('Ingest Template'!A888="Standard",'Ingest Template'!N888&amp; "|DAR|DAR|2021-01-01",'Ingest Template'!N888&amp; "|Operations - Core Title|Operations - Core Title")</f>
        <v>#N/A</v>
      </c>
      <c r="AK888" s="53" t="str">
        <f>if('Ingest Template'!A888="Standard",'Ingest Template'!R888&amp; "|2021-01-01",'Ingest Template'!R888)</f>
        <v>#N/A</v>
      </c>
      <c r="AL888" s="21"/>
      <c r="AM888" s="21"/>
    </row>
    <row r="889">
      <c r="A889" s="21"/>
      <c r="B889" s="21" t="str">
        <f>'Ingest Template'!B889&amp;IF('Ingest Template'!A889 = "Standard", " - DAR","")</f>
        <v/>
      </c>
      <c r="C889" s="26" t="s">
        <v>109</v>
      </c>
      <c r="D889" s="29" t="str">
        <f t="array" ref="D889">CONCATENATE(INDEX(DropDown!$H$2:$H$10,MATCH(1,COUNTIF('Ingest Template'!F889,"*"&amp;DropDown!$H$2:$H$10&amp;"*"),0)),CHAR(10),'Ingest Template'!G889)</f>
        <v>#N/A</v>
      </c>
      <c r="E889" s="21" t="str">
        <f>CONCATENATE('Ingest Template'!H889,CHAR(10),'Ingest Template'!I889,CHAR(10),'Ingest Template'!J889)</f>
        <v>
</v>
      </c>
      <c r="F889" s="26" t="str">
        <f>'Ingest Template'!H889</f>
        <v/>
      </c>
      <c r="G889" s="21"/>
      <c r="H889" s="29"/>
      <c r="I889" s="21"/>
      <c r="J889" s="29" t="str">
        <f t="array" ref="J889">iF('Ingest Template'!A889="Standard","Pristine Brand",INDEX(DropDown!$M$2:$M$392,MATCH('Ingest Template'!E889,DropDown!$J$2:$J$392,0)))</f>
        <v>#N/A</v>
      </c>
      <c r="K889" s="21" t="str">
        <f>iF('Ingest Template'!A889="Standard",'Ingest Template'!K889&amp;CHAR(10)&amp;'Ingest Template'!L889,"Competitive View")</f>
        <v>Competitive View</v>
      </c>
      <c r="L889" s="29" t="s">
        <v>146</v>
      </c>
      <c r="M889" s="37" t="str">
        <f>'Ingest Template'!D889</f>
        <v/>
      </c>
      <c r="N889" s="21"/>
      <c r="O889" s="21"/>
      <c r="P889" s="21"/>
      <c r="Q889" s="21"/>
      <c r="R889" s="21" t="str">
        <f>'Ingest Template'!E889</f>
        <v/>
      </c>
      <c r="S889" s="29" t="s">
        <v>153</v>
      </c>
      <c r="T889" s="21" t="str">
        <f>'Ingest Template'!T889</f>
        <v/>
      </c>
      <c r="U889" s="21" t="str">
        <f>'Ingest Template'!S889</f>
        <v/>
      </c>
      <c r="V889" s="21" t="str">
        <f>LOWER(SUBSTITUTE(SUBSTITUTE(SUBSTITUTE(SUBSTITUTE(SUBSTITUTE('Ingest Template'!U889,"https:",""),"www.",""),"/",""),"?hl=en",""),"instagram.com",""))</f>
        <v/>
      </c>
      <c r="W889" s="41" t="str">
        <f t="array" ref="W889">IF('Ingest Template'!V889="",(INDEX(DropDown!$L$2:$L$392,MATCH('Ingest Template'!E889,DropDown!$J$2:$J$392,0))&amp;"|"&amp;'Ingest Template'!B889),(INDEX(DropDown!$L$2:$L$392,MATCH('Ingest Template'!E889,DropDown!$J$2:$J$392,0))&amp;"|"&amp;'Ingest Template'!B889)&amp;CHAR(10)&amp;'Ingest Template'!V889)</f>
        <v>#N/A</v>
      </c>
      <c r="X889" s="41" t="str">
        <f>'Ingest Template'!W889</f>
        <v/>
      </c>
      <c r="Y889" s="21" t="str">
        <f>SUBSTITUTE(SUBSTITUTE(SUBSTITUTE('Ingest Template'!X889,"http:",""),"https:",""),"/","")</f>
        <v/>
      </c>
      <c r="Z889" s="21" t="str">
        <f t="array" ref="Z889">IF('Ingest Template'!A889="Standard",(IF(ISBLANK('Ingest Template'!AA889),"", 'Ingest Template'!AA889&amp;"|DAR")),(IF(ISBLANK('Ingest Template'!AA889),"", 'Ingest Template'!AA889&amp;"|Film Ops")))</f>
        <v/>
      </c>
      <c r="AA889" s="21"/>
      <c r="AB889" s="21" t="str">
        <f>'Ingest Template'!M889</f>
        <v/>
      </c>
      <c r="AC889" s="21" t="str">
        <f>'Ingest Template'!Y889</f>
        <v/>
      </c>
      <c r="AD889" s="21" t="str">
        <f>'Ingest Template'!C889</f>
        <v/>
      </c>
      <c r="AE889" s="21" t="str">
        <f>'Ingest Template'!Z889</f>
        <v/>
      </c>
      <c r="AF889" s="29"/>
      <c r="AG889" s="21" t="str">
        <f t="array" ref="AG889">IF('Ingest Template'!A889="Standard",(CONCATENATE(IF(ISBLANK('Ingest Template'!O889),"", 'Ingest Template'!O889&amp;"|DAR"),CHAR(10), IF(ISBLANK('Ingest Template'!P889),"", 'Ingest Template'!P889&amp;"|DAR"),CHAR(10), IF(ISBLANK('Ingest Template'!Q889),"", 'Ingest Template'!Q889&amp;"|DAR"))),(CONCATENATE(IF(ISBLANK('Ingest Template'!O889),"", 'Ingest Template'!O889&amp;"|Operations - Core Title"),CHAR(10), IF(ISBLANK('Ingest Template'!P889),"", 'Ingest Template'!P889&amp;"|Operations - Core Title"),CHAR(10), IF(ISBLANK('Ingest Template'!Q889),"", 'Ingest Template'!Q889&amp;"|Operations - Core Title"))))</f>
        <v>#|Operations - Core Title
#|Operations - Core Title
</v>
      </c>
      <c r="AH889" s="21"/>
      <c r="AI889" s="21"/>
      <c r="AJ889" s="53" t="str">
        <f>if('Ingest Template'!A889="Standard",'Ingest Template'!N889&amp; "|DAR|DAR|2021-01-01",'Ingest Template'!N889&amp; "|Operations - Core Title|Operations - Core Title")</f>
        <v>#N/A</v>
      </c>
      <c r="AK889" s="53" t="str">
        <f>if('Ingest Template'!A889="Standard",'Ingest Template'!R889&amp; "|2021-01-01",'Ingest Template'!R889)</f>
        <v>#N/A</v>
      </c>
      <c r="AL889" s="21"/>
      <c r="AM889" s="21"/>
    </row>
    <row r="890">
      <c r="A890" s="21"/>
      <c r="B890" s="21" t="str">
        <f>'Ingest Template'!B890&amp;IF('Ingest Template'!A890 = "Standard", " - DAR","")</f>
        <v/>
      </c>
      <c r="C890" s="26" t="s">
        <v>109</v>
      </c>
      <c r="D890" s="29" t="str">
        <f t="array" ref="D890">CONCATENATE(INDEX(DropDown!$H$2:$H$10,MATCH(1,COUNTIF('Ingest Template'!F890,"*"&amp;DropDown!$H$2:$H$10&amp;"*"),0)),CHAR(10),'Ingest Template'!G890)</f>
        <v>#N/A</v>
      </c>
      <c r="E890" s="21" t="str">
        <f>CONCATENATE('Ingest Template'!H890,CHAR(10),'Ingest Template'!I890,CHAR(10),'Ingest Template'!J890)</f>
        <v>
</v>
      </c>
      <c r="F890" s="26" t="str">
        <f>'Ingest Template'!H890</f>
        <v/>
      </c>
      <c r="G890" s="21"/>
      <c r="H890" s="29"/>
      <c r="I890" s="21"/>
      <c r="J890" s="29" t="str">
        <f t="array" ref="J890">iF('Ingest Template'!A890="Standard","Pristine Brand",INDEX(DropDown!$M$2:$M$392,MATCH('Ingest Template'!E890,DropDown!$J$2:$J$392,0)))</f>
        <v>#N/A</v>
      </c>
      <c r="K890" s="21" t="str">
        <f>iF('Ingest Template'!A890="Standard",'Ingest Template'!K890&amp;CHAR(10)&amp;'Ingest Template'!L890,"Competitive View")</f>
        <v>Competitive View</v>
      </c>
      <c r="L890" s="29" t="s">
        <v>146</v>
      </c>
      <c r="M890" s="37" t="str">
        <f>'Ingest Template'!D890</f>
        <v/>
      </c>
      <c r="N890" s="21"/>
      <c r="O890" s="21"/>
      <c r="P890" s="21"/>
      <c r="Q890" s="21"/>
      <c r="R890" s="21" t="str">
        <f>'Ingest Template'!E890</f>
        <v/>
      </c>
      <c r="S890" s="29" t="s">
        <v>153</v>
      </c>
      <c r="T890" s="21" t="str">
        <f>'Ingest Template'!T890</f>
        <v/>
      </c>
      <c r="U890" s="21" t="str">
        <f>'Ingest Template'!S890</f>
        <v/>
      </c>
      <c r="V890" s="21" t="str">
        <f>LOWER(SUBSTITUTE(SUBSTITUTE(SUBSTITUTE(SUBSTITUTE(SUBSTITUTE('Ingest Template'!U890,"https:",""),"www.",""),"/",""),"?hl=en",""),"instagram.com",""))</f>
        <v/>
      </c>
      <c r="W890" s="41" t="str">
        <f t="array" ref="W890">IF('Ingest Template'!V890="",(INDEX(DropDown!$L$2:$L$392,MATCH('Ingest Template'!E890,DropDown!$J$2:$J$392,0))&amp;"|"&amp;'Ingest Template'!B890),(INDEX(DropDown!$L$2:$L$392,MATCH('Ingest Template'!E890,DropDown!$J$2:$J$392,0))&amp;"|"&amp;'Ingest Template'!B890)&amp;CHAR(10)&amp;'Ingest Template'!V890)</f>
        <v>#N/A</v>
      </c>
      <c r="X890" s="41" t="str">
        <f>'Ingest Template'!W890</f>
        <v/>
      </c>
      <c r="Y890" s="21" t="str">
        <f>SUBSTITUTE(SUBSTITUTE(SUBSTITUTE('Ingest Template'!X890,"http:",""),"https:",""),"/","")</f>
        <v/>
      </c>
      <c r="Z890" s="21" t="str">
        <f t="array" ref="Z890">IF('Ingest Template'!A890="Standard",(IF(ISBLANK('Ingest Template'!AA890),"", 'Ingest Template'!AA890&amp;"|DAR")),(IF(ISBLANK('Ingest Template'!AA890),"", 'Ingest Template'!AA890&amp;"|Film Ops")))</f>
        <v/>
      </c>
      <c r="AA890" s="21"/>
      <c r="AB890" s="21" t="str">
        <f>'Ingest Template'!M890</f>
        <v/>
      </c>
      <c r="AC890" s="21" t="str">
        <f>'Ingest Template'!Y890</f>
        <v/>
      </c>
      <c r="AD890" s="21" t="str">
        <f>'Ingest Template'!C890</f>
        <v/>
      </c>
      <c r="AE890" s="21" t="str">
        <f>'Ingest Template'!Z890</f>
        <v/>
      </c>
      <c r="AF890" s="29"/>
      <c r="AG890" s="21" t="str">
        <f t="array" ref="AG890">IF('Ingest Template'!A890="Standard",(CONCATENATE(IF(ISBLANK('Ingest Template'!O890),"", 'Ingest Template'!O890&amp;"|DAR"),CHAR(10), IF(ISBLANK('Ingest Template'!P890),"", 'Ingest Template'!P890&amp;"|DAR"),CHAR(10), IF(ISBLANK('Ingest Template'!Q890),"", 'Ingest Template'!Q890&amp;"|DAR"))),(CONCATENATE(IF(ISBLANK('Ingest Template'!O890),"", 'Ingest Template'!O890&amp;"|Operations - Core Title"),CHAR(10), IF(ISBLANK('Ingest Template'!P890),"", 'Ingest Template'!P890&amp;"|Operations - Core Title"),CHAR(10), IF(ISBLANK('Ingest Template'!Q890),"", 'Ingest Template'!Q890&amp;"|Operations - Core Title"))))</f>
        <v>#|Operations - Core Title
#|Operations - Core Title
</v>
      </c>
      <c r="AH890" s="21"/>
      <c r="AI890" s="21"/>
      <c r="AJ890" s="53" t="str">
        <f>if('Ingest Template'!A890="Standard",'Ingest Template'!N890&amp; "|DAR|DAR|2021-01-01",'Ingest Template'!N890&amp; "|Operations - Core Title|Operations - Core Title")</f>
        <v>#N/A</v>
      </c>
      <c r="AK890" s="53" t="str">
        <f>if('Ingest Template'!A890="Standard",'Ingest Template'!R890&amp; "|2021-01-01",'Ingest Template'!R890)</f>
        <v>#N/A</v>
      </c>
      <c r="AL890" s="21"/>
      <c r="AM890" s="21"/>
    </row>
    <row r="891">
      <c r="A891" s="21"/>
      <c r="B891" s="21" t="str">
        <f>'Ingest Template'!B891&amp;IF('Ingest Template'!A891 = "Standard", " - DAR","")</f>
        <v/>
      </c>
      <c r="C891" s="26" t="s">
        <v>109</v>
      </c>
      <c r="D891" s="29" t="str">
        <f t="array" ref="D891">CONCATENATE(INDEX(DropDown!$H$2:$H$10,MATCH(1,COUNTIF('Ingest Template'!F891,"*"&amp;DropDown!$H$2:$H$10&amp;"*"),0)),CHAR(10),'Ingest Template'!G891)</f>
        <v>#N/A</v>
      </c>
      <c r="E891" s="21" t="str">
        <f>CONCATENATE('Ingest Template'!H891,CHAR(10),'Ingest Template'!I891,CHAR(10),'Ingest Template'!J891)</f>
        <v>
</v>
      </c>
      <c r="F891" s="26" t="str">
        <f>'Ingest Template'!H891</f>
        <v/>
      </c>
      <c r="G891" s="21"/>
      <c r="H891" s="29"/>
      <c r="I891" s="21"/>
      <c r="J891" s="29" t="str">
        <f t="array" ref="J891">iF('Ingest Template'!A891="Standard","Pristine Brand",INDEX(DropDown!$M$2:$M$392,MATCH('Ingest Template'!E891,DropDown!$J$2:$J$392,0)))</f>
        <v>#N/A</v>
      </c>
      <c r="K891" s="21" t="str">
        <f>iF('Ingest Template'!A891="Standard",'Ingest Template'!K891&amp;CHAR(10)&amp;'Ingest Template'!L891,"Competitive View")</f>
        <v>Competitive View</v>
      </c>
      <c r="L891" s="29" t="s">
        <v>146</v>
      </c>
      <c r="M891" s="37" t="str">
        <f>'Ingest Template'!D891</f>
        <v/>
      </c>
      <c r="N891" s="21"/>
      <c r="O891" s="21"/>
      <c r="P891" s="21"/>
      <c r="Q891" s="21"/>
      <c r="R891" s="21" t="str">
        <f>'Ingest Template'!E891</f>
        <v/>
      </c>
      <c r="S891" s="29" t="s">
        <v>153</v>
      </c>
      <c r="T891" s="21" t="str">
        <f>'Ingest Template'!T891</f>
        <v/>
      </c>
      <c r="U891" s="21" t="str">
        <f>'Ingest Template'!S891</f>
        <v/>
      </c>
      <c r="V891" s="21" t="str">
        <f>LOWER(SUBSTITUTE(SUBSTITUTE(SUBSTITUTE(SUBSTITUTE(SUBSTITUTE('Ingest Template'!U891,"https:",""),"www.",""),"/",""),"?hl=en",""),"instagram.com",""))</f>
        <v/>
      </c>
      <c r="W891" s="41" t="str">
        <f t="array" ref="W891">IF('Ingest Template'!V891="",(INDEX(DropDown!$L$2:$L$392,MATCH('Ingest Template'!E891,DropDown!$J$2:$J$392,0))&amp;"|"&amp;'Ingest Template'!B891),(INDEX(DropDown!$L$2:$L$392,MATCH('Ingest Template'!E891,DropDown!$J$2:$J$392,0))&amp;"|"&amp;'Ingest Template'!B891)&amp;CHAR(10)&amp;'Ingest Template'!V891)</f>
        <v>#N/A</v>
      </c>
      <c r="X891" s="41" t="str">
        <f>'Ingest Template'!W891</f>
        <v/>
      </c>
      <c r="Y891" s="21" t="str">
        <f>SUBSTITUTE(SUBSTITUTE(SUBSTITUTE('Ingest Template'!X891,"http:",""),"https:",""),"/","")</f>
        <v/>
      </c>
      <c r="Z891" s="21" t="str">
        <f t="array" ref="Z891">IF('Ingest Template'!A891="Standard",(IF(ISBLANK('Ingest Template'!AA891),"", 'Ingest Template'!AA891&amp;"|DAR")),(IF(ISBLANK('Ingest Template'!AA891),"", 'Ingest Template'!AA891&amp;"|Film Ops")))</f>
        <v/>
      </c>
      <c r="AA891" s="21"/>
      <c r="AB891" s="21" t="str">
        <f>'Ingest Template'!M891</f>
        <v/>
      </c>
      <c r="AC891" s="21" t="str">
        <f>'Ingest Template'!Y891</f>
        <v/>
      </c>
      <c r="AD891" s="21" t="str">
        <f>'Ingest Template'!C891</f>
        <v/>
      </c>
      <c r="AE891" s="21" t="str">
        <f>'Ingest Template'!Z891</f>
        <v/>
      </c>
      <c r="AF891" s="29"/>
      <c r="AG891" s="21" t="str">
        <f t="array" ref="AG891">IF('Ingest Template'!A891="Standard",(CONCATENATE(IF(ISBLANK('Ingest Template'!O891),"", 'Ingest Template'!O891&amp;"|DAR"),CHAR(10), IF(ISBLANK('Ingest Template'!P891),"", 'Ingest Template'!P891&amp;"|DAR"),CHAR(10), IF(ISBLANK('Ingest Template'!Q891),"", 'Ingest Template'!Q891&amp;"|DAR"))),(CONCATENATE(IF(ISBLANK('Ingest Template'!O891),"", 'Ingest Template'!O891&amp;"|Operations - Core Title"),CHAR(10), IF(ISBLANK('Ingest Template'!P891),"", 'Ingest Template'!P891&amp;"|Operations - Core Title"),CHAR(10), IF(ISBLANK('Ingest Template'!Q891),"", 'Ingest Template'!Q891&amp;"|Operations - Core Title"))))</f>
        <v>#|Operations - Core Title
#|Operations - Core Title
</v>
      </c>
      <c r="AH891" s="21"/>
      <c r="AI891" s="21"/>
      <c r="AJ891" s="53" t="str">
        <f>if('Ingest Template'!A891="Standard",'Ingest Template'!N891&amp; "|DAR|DAR|2021-01-01",'Ingest Template'!N891&amp; "|Operations - Core Title|Operations - Core Title")</f>
        <v>#N/A</v>
      </c>
      <c r="AK891" s="53" t="str">
        <f>if('Ingest Template'!A891="Standard",'Ingest Template'!R891&amp; "|2021-01-01",'Ingest Template'!R891)</f>
        <v>#N/A</v>
      </c>
      <c r="AL891" s="21"/>
      <c r="AM891" s="21"/>
    </row>
    <row r="892">
      <c r="A892" s="21"/>
      <c r="B892" s="21" t="str">
        <f>'Ingest Template'!B892&amp;IF('Ingest Template'!A892 = "Standard", " - DAR","")</f>
        <v/>
      </c>
      <c r="C892" s="26" t="s">
        <v>109</v>
      </c>
      <c r="D892" s="29" t="str">
        <f t="array" ref="D892">CONCATENATE(INDEX(DropDown!$H$2:$H$10,MATCH(1,COUNTIF('Ingest Template'!F892,"*"&amp;DropDown!$H$2:$H$10&amp;"*"),0)),CHAR(10),'Ingest Template'!G892)</f>
        <v>#N/A</v>
      </c>
      <c r="E892" s="21" t="str">
        <f>CONCATENATE('Ingest Template'!H892,CHAR(10),'Ingest Template'!I892,CHAR(10),'Ingest Template'!J892)</f>
        <v>
</v>
      </c>
      <c r="F892" s="26" t="str">
        <f>'Ingest Template'!H892</f>
        <v/>
      </c>
      <c r="G892" s="21"/>
      <c r="H892" s="29"/>
      <c r="I892" s="21"/>
      <c r="J892" s="29" t="str">
        <f t="array" ref="J892">iF('Ingest Template'!A892="Standard","Pristine Brand",INDEX(DropDown!$M$2:$M$392,MATCH('Ingest Template'!E892,DropDown!$J$2:$J$392,0)))</f>
        <v>#N/A</v>
      </c>
      <c r="K892" s="21" t="str">
        <f>iF('Ingest Template'!A892="Standard",'Ingest Template'!K892&amp;CHAR(10)&amp;'Ingest Template'!L892,"Competitive View")</f>
        <v>Competitive View</v>
      </c>
      <c r="L892" s="29" t="s">
        <v>146</v>
      </c>
      <c r="M892" s="37" t="str">
        <f>'Ingest Template'!D892</f>
        <v/>
      </c>
      <c r="N892" s="21"/>
      <c r="O892" s="21"/>
      <c r="P892" s="21"/>
      <c r="Q892" s="21"/>
      <c r="R892" s="21" t="str">
        <f>'Ingest Template'!E892</f>
        <v/>
      </c>
      <c r="S892" s="29" t="s">
        <v>153</v>
      </c>
      <c r="T892" s="21" t="str">
        <f>'Ingest Template'!T892</f>
        <v/>
      </c>
      <c r="U892" s="21" t="str">
        <f>'Ingest Template'!S892</f>
        <v/>
      </c>
      <c r="V892" s="21" t="str">
        <f>LOWER(SUBSTITUTE(SUBSTITUTE(SUBSTITUTE(SUBSTITUTE(SUBSTITUTE('Ingest Template'!U892,"https:",""),"www.",""),"/",""),"?hl=en",""),"instagram.com",""))</f>
        <v/>
      </c>
      <c r="W892" s="41" t="str">
        <f t="array" ref="W892">IF('Ingest Template'!V892="",(INDEX(DropDown!$L$2:$L$392,MATCH('Ingest Template'!E892,DropDown!$J$2:$J$392,0))&amp;"|"&amp;'Ingest Template'!B892),(INDEX(DropDown!$L$2:$L$392,MATCH('Ingest Template'!E892,DropDown!$J$2:$J$392,0))&amp;"|"&amp;'Ingest Template'!B892)&amp;CHAR(10)&amp;'Ingest Template'!V892)</f>
        <v>#N/A</v>
      </c>
      <c r="X892" s="41" t="str">
        <f>'Ingest Template'!W892</f>
        <v/>
      </c>
      <c r="Y892" s="21" t="str">
        <f>SUBSTITUTE(SUBSTITUTE(SUBSTITUTE('Ingest Template'!X892,"http:",""),"https:",""),"/","")</f>
        <v/>
      </c>
      <c r="Z892" s="21" t="str">
        <f t="array" ref="Z892">IF('Ingest Template'!A892="Standard",(IF(ISBLANK('Ingest Template'!AA892),"", 'Ingest Template'!AA892&amp;"|DAR")),(IF(ISBLANK('Ingest Template'!AA892),"", 'Ingest Template'!AA892&amp;"|Film Ops")))</f>
        <v/>
      </c>
      <c r="AA892" s="21"/>
      <c r="AB892" s="21" t="str">
        <f>'Ingest Template'!M892</f>
        <v/>
      </c>
      <c r="AC892" s="21" t="str">
        <f>'Ingest Template'!Y892</f>
        <v/>
      </c>
      <c r="AD892" s="21" t="str">
        <f>'Ingest Template'!C892</f>
        <v/>
      </c>
      <c r="AE892" s="21" t="str">
        <f>'Ingest Template'!Z892</f>
        <v/>
      </c>
      <c r="AF892" s="29"/>
      <c r="AG892" s="21" t="str">
        <f t="array" ref="AG892">IF('Ingest Template'!A892="Standard",(CONCATENATE(IF(ISBLANK('Ingest Template'!O892),"", 'Ingest Template'!O892&amp;"|DAR"),CHAR(10), IF(ISBLANK('Ingest Template'!P892),"", 'Ingest Template'!P892&amp;"|DAR"),CHAR(10), IF(ISBLANK('Ingest Template'!Q892),"", 'Ingest Template'!Q892&amp;"|DAR"))),(CONCATENATE(IF(ISBLANK('Ingest Template'!O892),"", 'Ingest Template'!O892&amp;"|Operations - Core Title"),CHAR(10), IF(ISBLANK('Ingest Template'!P892),"", 'Ingest Template'!P892&amp;"|Operations - Core Title"),CHAR(10), IF(ISBLANK('Ingest Template'!Q892),"", 'Ingest Template'!Q892&amp;"|Operations - Core Title"))))</f>
        <v>#|Operations - Core Title
#|Operations - Core Title
</v>
      </c>
      <c r="AH892" s="21"/>
      <c r="AI892" s="21"/>
      <c r="AJ892" s="53" t="str">
        <f>if('Ingest Template'!A892="Standard",'Ingest Template'!N892&amp; "|DAR|DAR|2021-01-01",'Ingest Template'!N892&amp; "|Operations - Core Title|Operations - Core Title")</f>
        <v>#N/A</v>
      </c>
      <c r="AK892" s="53" t="str">
        <f>if('Ingest Template'!A892="Standard",'Ingest Template'!R892&amp; "|2021-01-01",'Ingest Template'!R892)</f>
        <v>#N/A</v>
      </c>
      <c r="AL892" s="21"/>
      <c r="AM892" s="21"/>
    </row>
    <row r="893">
      <c r="A893" s="21"/>
      <c r="B893" s="21" t="str">
        <f>'Ingest Template'!B893&amp;IF('Ingest Template'!A893 = "Standard", " - DAR","")</f>
        <v/>
      </c>
      <c r="C893" s="26" t="s">
        <v>109</v>
      </c>
      <c r="D893" s="29" t="str">
        <f t="array" ref="D893">CONCATENATE(INDEX(DropDown!$H$2:$H$10,MATCH(1,COUNTIF('Ingest Template'!F893,"*"&amp;DropDown!$H$2:$H$10&amp;"*"),0)),CHAR(10),'Ingest Template'!G893)</f>
        <v>#N/A</v>
      </c>
      <c r="E893" s="21" t="str">
        <f>CONCATENATE('Ingest Template'!H893,CHAR(10),'Ingest Template'!I893,CHAR(10),'Ingest Template'!J893)</f>
        <v>
</v>
      </c>
      <c r="F893" s="26" t="str">
        <f>'Ingest Template'!H893</f>
        <v/>
      </c>
      <c r="G893" s="21"/>
      <c r="H893" s="29"/>
      <c r="I893" s="21"/>
      <c r="J893" s="29" t="str">
        <f t="array" ref="J893">iF('Ingest Template'!A893="Standard","Pristine Brand",INDEX(DropDown!$M$2:$M$392,MATCH('Ingest Template'!E893,DropDown!$J$2:$J$392,0)))</f>
        <v>#N/A</v>
      </c>
      <c r="K893" s="21" t="str">
        <f>iF('Ingest Template'!A893="Standard",'Ingest Template'!K893&amp;CHAR(10)&amp;'Ingest Template'!L893,"Competitive View")</f>
        <v>Competitive View</v>
      </c>
      <c r="L893" s="29" t="s">
        <v>146</v>
      </c>
      <c r="M893" s="37" t="str">
        <f>'Ingest Template'!D893</f>
        <v/>
      </c>
      <c r="N893" s="21"/>
      <c r="O893" s="21"/>
      <c r="P893" s="21"/>
      <c r="Q893" s="21"/>
      <c r="R893" s="21" t="str">
        <f>'Ingest Template'!E893</f>
        <v/>
      </c>
      <c r="S893" s="29" t="s">
        <v>153</v>
      </c>
      <c r="T893" s="21" t="str">
        <f>'Ingest Template'!T893</f>
        <v/>
      </c>
      <c r="U893" s="21" t="str">
        <f>'Ingest Template'!S893</f>
        <v/>
      </c>
      <c r="V893" s="21" t="str">
        <f>LOWER(SUBSTITUTE(SUBSTITUTE(SUBSTITUTE(SUBSTITUTE(SUBSTITUTE('Ingest Template'!U893,"https:",""),"www.",""),"/",""),"?hl=en",""),"instagram.com",""))</f>
        <v/>
      </c>
      <c r="W893" s="41" t="str">
        <f t="array" ref="W893">IF('Ingest Template'!V893="",(INDEX(DropDown!$L$2:$L$392,MATCH('Ingest Template'!E893,DropDown!$J$2:$J$392,0))&amp;"|"&amp;'Ingest Template'!B893),(INDEX(DropDown!$L$2:$L$392,MATCH('Ingest Template'!E893,DropDown!$J$2:$J$392,0))&amp;"|"&amp;'Ingest Template'!B893)&amp;CHAR(10)&amp;'Ingest Template'!V893)</f>
        <v>#N/A</v>
      </c>
      <c r="X893" s="41" t="str">
        <f>'Ingest Template'!W893</f>
        <v/>
      </c>
      <c r="Y893" s="21" t="str">
        <f>SUBSTITUTE(SUBSTITUTE(SUBSTITUTE('Ingest Template'!X893,"http:",""),"https:",""),"/","")</f>
        <v/>
      </c>
      <c r="Z893" s="21" t="str">
        <f t="array" ref="Z893">IF('Ingest Template'!A893="Standard",(IF(ISBLANK('Ingest Template'!AA893),"", 'Ingest Template'!AA893&amp;"|DAR")),(IF(ISBLANK('Ingest Template'!AA893),"", 'Ingest Template'!AA893&amp;"|Film Ops")))</f>
        <v/>
      </c>
      <c r="AA893" s="21"/>
      <c r="AB893" s="21" t="str">
        <f>'Ingest Template'!M893</f>
        <v/>
      </c>
      <c r="AC893" s="21" t="str">
        <f>'Ingest Template'!Y893</f>
        <v/>
      </c>
      <c r="AD893" s="21" t="str">
        <f>'Ingest Template'!C893</f>
        <v/>
      </c>
      <c r="AE893" s="21" t="str">
        <f>'Ingest Template'!Z893</f>
        <v/>
      </c>
      <c r="AF893" s="29"/>
      <c r="AG893" s="21" t="str">
        <f t="array" ref="AG893">IF('Ingest Template'!A893="Standard",(CONCATENATE(IF(ISBLANK('Ingest Template'!O893),"", 'Ingest Template'!O893&amp;"|DAR"),CHAR(10), IF(ISBLANK('Ingest Template'!P893),"", 'Ingest Template'!P893&amp;"|DAR"),CHAR(10), IF(ISBLANK('Ingest Template'!Q893),"", 'Ingest Template'!Q893&amp;"|DAR"))),(CONCATENATE(IF(ISBLANK('Ingest Template'!O893),"", 'Ingest Template'!O893&amp;"|Operations - Core Title"),CHAR(10), IF(ISBLANK('Ingest Template'!P893),"", 'Ingest Template'!P893&amp;"|Operations - Core Title"),CHAR(10), IF(ISBLANK('Ingest Template'!Q893),"", 'Ingest Template'!Q893&amp;"|Operations - Core Title"))))</f>
        <v>#|Operations - Core Title
#|Operations - Core Title
</v>
      </c>
      <c r="AH893" s="21"/>
      <c r="AI893" s="21"/>
      <c r="AJ893" s="53" t="str">
        <f>if('Ingest Template'!A893="Standard",'Ingest Template'!N893&amp; "|DAR|DAR|2021-01-01",'Ingest Template'!N893&amp; "|Operations - Core Title|Operations - Core Title")</f>
        <v>#N/A</v>
      </c>
      <c r="AK893" s="53" t="str">
        <f>if('Ingest Template'!A893="Standard",'Ingest Template'!R893&amp; "|2021-01-01",'Ingest Template'!R893)</f>
        <v>#N/A</v>
      </c>
      <c r="AL893" s="21"/>
      <c r="AM893" s="21"/>
    </row>
    <row r="894">
      <c r="A894" s="21"/>
      <c r="B894" s="21" t="str">
        <f>'Ingest Template'!B894&amp;IF('Ingest Template'!A894 = "Standard", " - DAR","")</f>
        <v/>
      </c>
      <c r="C894" s="26" t="s">
        <v>109</v>
      </c>
      <c r="D894" s="29" t="str">
        <f t="array" ref="D894">CONCATENATE(INDEX(DropDown!$H$2:$H$10,MATCH(1,COUNTIF('Ingest Template'!F894,"*"&amp;DropDown!$H$2:$H$10&amp;"*"),0)),CHAR(10),'Ingest Template'!G894)</f>
        <v>#N/A</v>
      </c>
      <c r="E894" s="21" t="str">
        <f>CONCATENATE('Ingest Template'!H894,CHAR(10),'Ingest Template'!I894,CHAR(10),'Ingest Template'!J894)</f>
        <v>
</v>
      </c>
      <c r="F894" s="26" t="str">
        <f>'Ingest Template'!H894</f>
        <v/>
      </c>
      <c r="G894" s="21"/>
      <c r="H894" s="29"/>
      <c r="I894" s="21"/>
      <c r="J894" s="29" t="str">
        <f t="array" ref="J894">iF('Ingest Template'!A894="Standard","Pristine Brand",INDEX(DropDown!$M$2:$M$392,MATCH('Ingest Template'!E894,DropDown!$J$2:$J$392,0)))</f>
        <v>#N/A</v>
      </c>
      <c r="K894" s="21" t="str">
        <f>iF('Ingest Template'!A894="Standard",'Ingest Template'!K894&amp;CHAR(10)&amp;'Ingest Template'!L894,"Competitive View")</f>
        <v>Competitive View</v>
      </c>
      <c r="L894" s="29" t="s">
        <v>146</v>
      </c>
      <c r="M894" s="37" t="str">
        <f>'Ingest Template'!D894</f>
        <v/>
      </c>
      <c r="N894" s="21"/>
      <c r="O894" s="21"/>
      <c r="P894" s="21"/>
      <c r="Q894" s="21"/>
      <c r="R894" s="21" t="str">
        <f>'Ingest Template'!E894</f>
        <v/>
      </c>
      <c r="S894" s="29" t="s">
        <v>153</v>
      </c>
      <c r="T894" s="21" t="str">
        <f>'Ingest Template'!T894</f>
        <v/>
      </c>
      <c r="U894" s="21" t="str">
        <f>'Ingest Template'!S894</f>
        <v/>
      </c>
      <c r="V894" s="21" t="str">
        <f>LOWER(SUBSTITUTE(SUBSTITUTE(SUBSTITUTE(SUBSTITUTE(SUBSTITUTE('Ingest Template'!U894,"https:",""),"www.",""),"/",""),"?hl=en",""),"instagram.com",""))</f>
        <v/>
      </c>
      <c r="W894" s="41" t="str">
        <f t="array" ref="W894">IF('Ingest Template'!V894="",(INDEX(DropDown!$L$2:$L$392,MATCH('Ingest Template'!E894,DropDown!$J$2:$J$392,0))&amp;"|"&amp;'Ingest Template'!B894),(INDEX(DropDown!$L$2:$L$392,MATCH('Ingest Template'!E894,DropDown!$J$2:$J$392,0))&amp;"|"&amp;'Ingest Template'!B894)&amp;CHAR(10)&amp;'Ingest Template'!V894)</f>
        <v>#N/A</v>
      </c>
      <c r="X894" s="41" t="str">
        <f>'Ingest Template'!W894</f>
        <v/>
      </c>
      <c r="Y894" s="21" t="str">
        <f>SUBSTITUTE(SUBSTITUTE(SUBSTITUTE('Ingest Template'!X894,"http:",""),"https:",""),"/","")</f>
        <v/>
      </c>
      <c r="Z894" s="21" t="str">
        <f t="array" ref="Z894">IF('Ingest Template'!A894="Standard",(IF(ISBLANK('Ingest Template'!AA894),"", 'Ingest Template'!AA894&amp;"|DAR")),(IF(ISBLANK('Ingest Template'!AA894),"", 'Ingest Template'!AA894&amp;"|Film Ops")))</f>
        <v/>
      </c>
      <c r="AA894" s="21"/>
      <c r="AB894" s="21" t="str">
        <f>'Ingest Template'!M894</f>
        <v/>
      </c>
      <c r="AC894" s="21" t="str">
        <f>'Ingest Template'!Y894</f>
        <v/>
      </c>
      <c r="AD894" s="21" t="str">
        <f>'Ingest Template'!C894</f>
        <v/>
      </c>
      <c r="AE894" s="21" t="str">
        <f>'Ingest Template'!Z894</f>
        <v/>
      </c>
      <c r="AF894" s="29"/>
      <c r="AG894" s="21" t="str">
        <f t="array" ref="AG894">IF('Ingest Template'!A894="Standard",(CONCATENATE(IF(ISBLANK('Ingest Template'!O894),"", 'Ingest Template'!O894&amp;"|DAR"),CHAR(10), IF(ISBLANK('Ingest Template'!P894),"", 'Ingest Template'!P894&amp;"|DAR"),CHAR(10), IF(ISBLANK('Ingest Template'!Q894),"", 'Ingest Template'!Q894&amp;"|DAR"))),(CONCATENATE(IF(ISBLANK('Ingest Template'!O894),"", 'Ingest Template'!O894&amp;"|Operations - Core Title"),CHAR(10), IF(ISBLANK('Ingest Template'!P894),"", 'Ingest Template'!P894&amp;"|Operations - Core Title"),CHAR(10), IF(ISBLANK('Ingest Template'!Q894),"", 'Ingest Template'!Q894&amp;"|Operations - Core Title"))))</f>
        <v>#|Operations - Core Title
#|Operations - Core Title
</v>
      </c>
      <c r="AH894" s="21"/>
      <c r="AI894" s="21"/>
      <c r="AJ894" s="53" t="str">
        <f>if('Ingest Template'!A894="Standard",'Ingest Template'!N894&amp; "|DAR|DAR|2021-01-01",'Ingest Template'!N894&amp; "|Operations - Core Title|Operations - Core Title")</f>
        <v>#N/A</v>
      </c>
      <c r="AK894" s="53" t="str">
        <f>if('Ingest Template'!A894="Standard",'Ingest Template'!R894&amp; "|2021-01-01",'Ingest Template'!R894)</f>
        <v>#N/A</v>
      </c>
      <c r="AL894" s="21"/>
      <c r="AM894" s="21"/>
    </row>
    <row r="895">
      <c r="A895" s="21"/>
      <c r="B895" s="21" t="str">
        <f>'Ingest Template'!B895&amp;IF('Ingest Template'!A895 = "Standard", " - DAR","")</f>
        <v/>
      </c>
      <c r="C895" s="26" t="s">
        <v>109</v>
      </c>
      <c r="D895" s="29" t="str">
        <f t="array" ref="D895">CONCATENATE(INDEX(DropDown!$H$2:$H$10,MATCH(1,COUNTIF('Ingest Template'!F895,"*"&amp;DropDown!$H$2:$H$10&amp;"*"),0)),CHAR(10),'Ingest Template'!G895)</f>
        <v>#N/A</v>
      </c>
      <c r="E895" s="21" t="str">
        <f>CONCATENATE('Ingest Template'!H895,CHAR(10),'Ingest Template'!I895,CHAR(10),'Ingest Template'!J895)</f>
        <v>
</v>
      </c>
      <c r="F895" s="26" t="str">
        <f>'Ingest Template'!H895</f>
        <v/>
      </c>
      <c r="G895" s="21"/>
      <c r="H895" s="29"/>
      <c r="I895" s="21"/>
      <c r="J895" s="29" t="str">
        <f t="array" ref="J895">iF('Ingest Template'!A895="Standard","Pristine Brand",INDEX(DropDown!$M$2:$M$392,MATCH('Ingest Template'!E895,DropDown!$J$2:$J$392,0)))</f>
        <v>#N/A</v>
      </c>
      <c r="K895" s="21" t="str">
        <f>iF('Ingest Template'!A895="Standard",'Ingest Template'!K895&amp;CHAR(10)&amp;'Ingest Template'!L895,"Competitive View")</f>
        <v>Competitive View</v>
      </c>
      <c r="L895" s="29" t="s">
        <v>146</v>
      </c>
      <c r="M895" s="37" t="str">
        <f>'Ingest Template'!D895</f>
        <v/>
      </c>
      <c r="N895" s="21"/>
      <c r="O895" s="21"/>
      <c r="P895" s="21"/>
      <c r="Q895" s="21"/>
      <c r="R895" s="21" t="str">
        <f>'Ingest Template'!E895</f>
        <v/>
      </c>
      <c r="S895" s="29" t="s">
        <v>153</v>
      </c>
      <c r="T895" s="21" t="str">
        <f>'Ingest Template'!T895</f>
        <v/>
      </c>
      <c r="U895" s="21" t="str">
        <f>'Ingest Template'!S895</f>
        <v/>
      </c>
      <c r="V895" s="21" t="str">
        <f>LOWER(SUBSTITUTE(SUBSTITUTE(SUBSTITUTE(SUBSTITUTE(SUBSTITUTE('Ingest Template'!U895,"https:",""),"www.",""),"/",""),"?hl=en",""),"instagram.com",""))</f>
        <v/>
      </c>
      <c r="W895" s="41" t="str">
        <f t="array" ref="W895">IF('Ingest Template'!V895="",(INDEX(DropDown!$L$2:$L$392,MATCH('Ingest Template'!E895,DropDown!$J$2:$J$392,0))&amp;"|"&amp;'Ingest Template'!B895),(INDEX(DropDown!$L$2:$L$392,MATCH('Ingest Template'!E895,DropDown!$J$2:$J$392,0))&amp;"|"&amp;'Ingest Template'!B895)&amp;CHAR(10)&amp;'Ingest Template'!V895)</f>
        <v>#N/A</v>
      </c>
      <c r="X895" s="41" t="str">
        <f>'Ingest Template'!W895</f>
        <v/>
      </c>
      <c r="Y895" s="21" t="str">
        <f>SUBSTITUTE(SUBSTITUTE(SUBSTITUTE('Ingest Template'!X895,"http:",""),"https:",""),"/","")</f>
        <v/>
      </c>
      <c r="Z895" s="21" t="str">
        <f t="array" ref="Z895">IF('Ingest Template'!A895="Standard",(IF(ISBLANK('Ingest Template'!AA895),"", 'Ingest Template'!AA895&amp;"|DAR")),(IF(ISBLANK('Ingest Template'!AA895),"", 'Ingest Template'!AA895&amp;"|Film Ops")))</f>
        <v/>
      </c>
      <c r="AA895" s="21"/>
      <c r="AB895" s="21" t="str">
        <f>'Ingest Template'!M895</f>
        <v/>
      </c>
      <c r="AC895" s="21" t="str">
        <f>'Ingest Template'!Y895</f>
        <v/>
      </c>
      <c r="AD895" s="21" t="str">
        <f>'Ingest Template'!C895</f>
        <v/>
      </c>
      <c r="AE895" s="21" t="str">
        <f>'Ingest Template'!Z895</f>
        <v/>
      </c>
      <c r="AF895" s="29"/>
      <c r="AG895" s="21" t="str">
        <f t="array" ref="AG895">IF('Ingest Template'!A895="Standard",(CONCATENATE(IF(ISBLANK('Ingest Template'!O895),"", 'Ingest Template'!O895&amp;"|DAR"),CHAR(10), IF(ISBLANK('Ingest Template'!P895),"", 'Ingest Template'!P895&amp;"|DAR"),CHAR(10), IF(ISBLANK('Ingest Template'!Q895),"", 'Ingest Template'!Q895&amp;"|DAR"))),(CONCATENATE(IF(ISBLANK('Ingest Template'!O895),"", 'Ingest Template'!O895&amp;"|Operations - Core Title"),CHAR(10), IF(ISBLANK('Ingest Template'!P895),"", 'Ingest Template'!P895&amp;"|Operations - Core Title"),CHAR(10), IF(ISBLANK('Ingest Template'!Q895),"", 'Ingest Template'!Q895&amp;"|Operations - Core Title"))))</f>
        <v>#|Operations - Core Title
#|Operations - Core Title
</v>
      </c>
      <c r="AH895" s="21"/>
      <c r="AI895" s="21"/>
      <c r="AJ895" s="53" t="str">
        <f>if('Ingest Template'!A895="Standard",'Ingest Template'!N895&amp; "|DAR|DAR|2021-01-01",'Ingest Template'!N895&amp; "|Operations - Core Title|Operations - Core Title")</f>
        <v>#N/A</v>
      </c>
      <c r="AK895" s="53" t="str">
        <f>if('Ingest Template'!A895="Standard",'Ingest Template'!R895&amp; "|2021-01-01",'Ingest Template'!R895)</f>
        <v>#N/A</v>
      </c>
      <c r="AL895" s="21"/>
      <c r="AM895" s="21"/>
    </row>
    <row r="896">
      <c r="A896" s="21"/>
      <c r="B896" s="21" t="str">
        <f>'Ingest Template'!B896&amp;IF('Ingest Template'!A896 = "Standard", " - DAR","")</f>
        <v/>
      </c>
      <c r="C896" s="26" t="s">
        <v>109</v>
      </c>
      <c r="D896" s="29" t="str">
        <f t="array" ref="D896">CONCATENATE(INDEX(DropDown!$H$2:$H$10,MATCH(1,COUNTIF('Ingest Template'!F896,"*"&amp;DropDown!$H$2:$H$10&amp;"*"),0)),CHAR(10),'Ingest Template'!G896)</f>
        <v>#N/A</v>
      </c>
      <c r="E896" s="21" t="str">
        <f>CONCATENATE('Ingest Template'!H896,CHAR(10),'Ingest Template'!I896,CHAR(10),'Ingest Template'!J896)</f>
        <v>
</v>
      </c>
      <c r="F896" s="26" t="str">
        <f>'Ingest Template'!H896</f>
        <v/>
      </c>
      <c r="G896" s="21"/>
      <c r="H896" s="29"/>
      <c r="I896" s="21"/>
      <c r="J896" s="29" t="str">
        <f t="array" ref="J896">iF('Ingest Template'!A896="Standard","Pristine Brand",INDEX(DropDown!$M$2:$M$392,MATCH('Ingest Template'!E896,DropDown!$J$2:$J$392,0)))</f>
        <v>#N/A</v>
      </c>
      <c r="K896" s="21" t="str">
        <f>iF('Ingest Template'!A896="Standard",'Ingest Template'!K896&amp;CHAR(10)&amp;'Ingest Template'!L896,"Competitive View")</f>
        <v>Competitive View</v>
      </c>
      <c r="L896" s="29" t="s">
        <v>146</v>
      </c>
      <c r="M896" s="37" t="str">
        <f>'Ingest Template'!D896</f>
        <v/>
      </c>
      <c r="N896" s="21"/>
      <c r="O896" s="21"/>
      <c r="P896" s="21"/>
      <c r="Q896" s="21"/>
      <c r="R896" s="21" t="str">
        <f>'Ingest Template'!E896</f>
        <v/>
      </c>
      <c r="S896" s="29" t="s">
        <v>153</v>
      </c>
      <c r="T896" s="21" t="str">
        <f>'Ingest Template'!T896</f>
        <v/>
      </c>
      <c r="U896" s="21" t="str">
        <f>'Ingest Template'!S896</f>
        <v/>
      </c>
      <c r="V896" s="21" t="str">
        <f>LOWER(SUBSTITUTE(SUBSTITUTE(SUBSTITUTE(SUBSTITUTE(SUBSTITUTE('Ingest Template'!U896,"https:",""),"www.",""),"/",""),"?hl=en",""),"instagram.com",""))</f>
        <v/>
      </c>
      <c r="W896" s="41" t="str">
        <f t="array" ref="W896">IF('Ingest Template'!V896="",(INDEX(DropDown!$L$2:$L$392,MATCH('Ingest Template'!E896,DropDown!$J$2:$J$392,0))&amp;"|"&amp;'Ingest Template'!B896),(INDEX(DropDown!$L$2:$L$392,MATCH('Ingest Template'!E896,DropDown!$J$2:$J$392,0))&amp;"|"&amp;'Ingest Template'!B896)&amp;CHAR(10)&amp;'Ingest Template'!V896)</f>
        <v>#N/A</v>
      </c>
      <c r="X896" s="41" t="str">
        <f>'Ingest Template'!W896</f>
        <v/>
      </c>
      <c r="Y896" s="21" t="str">
        <f>SUBSTITUTE(SUBSTITUTE(SUBSTITUTE('Ingest Template'!X896,"http:",""),"https:",""),"/","")</f>
        <v/>
      </c>
      <c r="Z896" s="21" t="str">
        <f t="array" ref="Z896">IF('Ingest Template'!A896="Standard",(IF(ISBLANK('Ingest Template'!AA896),"", 'Ingest Template'!AA896&amp;"|DAR")),(IF(ISBLANK('Ingest Template'!AA896),"", 'Ingest Template'!AA896&amp;"|Film Ops")))</f>
        <v/>
      </c>
      <c r="AA896" s="21"/>
      <c r="AB896" s="21" t="str">
        <f>'Ingest Template'!M896</f>
        <v/>
      </c>
      <c r="AC896" s="21" t="str">
        <f>'Ingest Template'!Y896</f>
        <v/>
      </c>
      <c r="AD896" s="21" t="str">
        <f>'Ingest Template'!C896</f>
        <v/>
      </c>
      <c r="AE896" s="21" t="str">
        <f>'Ingest Template'!Z896</f>
        <v/>
      </c>
      <c r="AF896" s="29"/>
      <c r="AG896" s="21" t="str">
        <f t="array" ref="AG896">IF('Ingest Template'!A896="Standard",(CONCATENATE(IF(ISBLANK('Ingest Template'!O896),"", 'Ingest Template'!O896&amp;"|DAR"),CHAR(10), IF(ISBLANK('Ingest Template'!P896),"", 'Ingest Template'!P896&amp;"|DAR"),CHAR(10), IF(ISBLANK('Ingest Template'!Q896),"", 'Ingest Template'!Q896&amp;"|DAR"))),(CONCATENATE(IF(ISBLANK('Ingest Template'!O896),"", 'Ingest Template'!O896&amp;"|Operations - Core Title"),CHAR(10), IF(ISBLANK('Ingest Template'!P896),"", 'Ingest Template'!P896&amp;"|Operations - Core Title"),CHAR(10), IF(ISBLANK('Ingest Template'!Q896),"", 'Ingest Template'!Q896&amp;"|Operations - Core Title"))))</f>
        <v>#|Operations - Core Title
#|Operations - Core Title
</v>
      </c>
      <c r="AH896" s="21"/>
      <c r="AI896" s="21"/>
      <c r="AJ896" s="53" t="str">
        <f>if('Ingest Template'!A896="Standard",'Ingest Template'!N896&amp; "|DAR|DAR|2021-01-01",'Ingest Template'!N896&amp; "|Operations - Core Title|Operations - Core Title")</f>
        <v>#N/A</v>
      </c>
      <c r="AK896" s="53" t="str">
        <f>if('Ingest Template'!A896="Standard",'Ingest Template'!R896&amp; "|2021-01-01",'Ingest Template'!R896)</f>
        <v>#N/A</v>
      </c>
      <c r="AL896" s="21"/>
      <c r="AM896" s="21"/>
    </row>
    <row r="897">
      <c r="A897" s="21"/>
      <c r="B897" s="21" t="str">
        <f>'Ingest Template'!B897&amp;IF('Ingest Template'!A897 = "Standard", " - DAR","")</f>
        <v/>
      </c>
      <c r="C897" s="26" t="s">
        <v>109</v>
      </c>
      <c r="D897" s="29" t="str">
        <f t="array" ref="D897">CONCATENATE(INDEX(DropDown!$H$2:$H$10,MATCH(1,COUNTIF('Ingest Template'!F897,"*"&amp;DropDown!$H$2:$H$10&amp;"*"),0)),CHAR(10),'Ingest Template'!G897)</f>
        <v>#N/A</v>
      </c>
      <c r="E897" s="21" t="str">
        <f>CONCATENATE('Ingest Template'!H897,CHAR(10),'Ingest Template'!I897,CHAR(10),'Ingest Template'!J897)</f>
        <v>
</v>
      </c>
      <c r="F897" s="26" t="str">
        <f>'Ingest Template'!H897</f>
        <v/>
      </c>
      <c r="G897" s="21"/>
      <c r="H897" s="29"/>
      <c r="I897" s="21"/>
      <c r="J897" s="29" t="str">
        <f t="array" ref="J897">iF('Ingest Template'!A897="Standard","Pristine Brand",INDEX(DropDown!$M$2:$M$392,MATCH('Ingest Template'!E897,DropDown!$J$2:$J$392,0)))</f>
        <v>#N/A</v>
      </c>
      <c r="K897" s="21" t="str">
        <f>iF('Ingest Template'!A897="Standard",'Ingest Template'!K897&amp;CHAR(10)&amp;'Ingest Template'!L897,"Competitive View")</f>
        <v>Competitive View</v>
      </c>
      <c r="L897" s="29" t="s">
        <v>146</v>
      </c>
      <c r="M897" s="37" t="str">
        <f>'Ingest Template'!D897</f>
        <v/>
      </c>
      <c r="N897" s="21"/>
      <c r="O897" s="21"/>
      <c r="P897" s="21"/>
      <c r="Q897" s="21"/>
      <c r="R897" s="21" t="str">
        <f>'Ingest Template'!E897</f>
        <v/>
      </c>
      <c r="S897" s="29" t="s">
        <v>153</v>
      </c>
      <c r="T897" s="21" t="str">
        <f>'Ingest Template'!T897</f>
        <v/>
      </c>
      <c r="U897" s="21" t="str">
        <f>'Ingest Template'!S897</f>
        <v/>
      </c>
      <c r="V897" s="21" t="str">
        <f>LOWER(SUBSTITUTE(SUBSTITUTE(SUBSTITUTE(SUBSTITUTE(SUBSTITUTE('Ingest Template'!U897,"https:",""),"www.",""),"/",""),"?hl=en",""),"instagram.com",""))</f>
        <v/>
      </c>
      <c r="W897" s="41" t="str">
        <f t="array" ref="W897">IF('Ingest Template'!V897="",(INDEX(DropDown!$L$2:$L$392,MATCH('Ingest Template'!E897,DropDown!$J$2:$J$392,0))&amp;"|"&amp;'Ingest Template'!B897),(INDEX(DropDown!$L$2:$L$392,MATCH('Ingest Template'!E897,DropDown!$J$2:$J$392,0))&amp;"|"&amp;'Ingest Template'!B897)&amp;CHAR(10)&amp;'Ingest Template'!V897)</f>
        <v>#N/A</v>
      </c>
      <c r="X897" s="41" t="str">
        <f>'Ingest Template'!W897</f>
        <v/>
      </c>
      <c r="Y897" s="21" t="str">
        <f>SUBSTITUTE(SUBSTITUTE(SUBSTITUTE('Ingest Template'!X897,"http:",""),"https:",""),"/","")</f>
        <v/>
      </c>
      <c r="Z897" s="21" t="str">
        <f t="array" ref="Z897">IF('Ingest Template'!A897="Standard",(IF(ISBLANK('Ingest Template'!AA897),"", 'Ingest Template'!AA897&amp;"|DAR")),(IF(ISBLANK('Ingest Template'!AA897),"", 'Ingest Template'!AA897&amp;"|Film Ops")))</f>
        <v/>
      </c>
      <c r="AA897" s="21"/>
      <c r="AB897" s="21" t="str">
        <f>'Ingest Template'!M897</f>
        <v/>
      </c>
      <c r="AC897" s="21" t="str">
        <f>'Ingest Template'!Y897</f>
        <v/>
      </c>
      <c r="AD897" s="21" t="str">
        <f>'Ingest Template'!C897</f>
        <v/>
      </c>
      <c r="AE897" s="21" t="str">
        <f>'Ingest Template'!Z897</f>
        <v/>
      </c>
      <c r="AF897" s="29"/>
      <c r="AG897" s="21" t="str">
        <f t="array" ref="AG897">IF('Ingest Template'!A897="Standard",(CONCATENATE(IF(ISBLANK('Ingest Template'!O897),"", 'Ingest Template'!O897&amp;"|DAR"),CHAR(10), IF(ISBLANK('Ingest Template'!P897),"", 'Ingest Template'!P897&amp;"|DAR"),CHAR(10), IF(ISBLANK('Ingest Template'!Q897),"", 'Ingest Template'!Q897&amp;"|DAR"))),(CONCATENATE(IF(ISBLANK('Ingest Template'!O897),"", 'Ingest Template'!O897&amp;"|Operations - Core Title"),CHAR(10), IF(ISBLANK('Ingest Template'!P897),"", 'Ingest Template'!P897&amp;"|Operations - Core Title"),CHAR(10), IF(ISBLANK('Ingest Template'!Q897),"", 'Ingest Template'!Q897&amp;"|Operations - Core Title"))))</f>
        <v>#|Operations - Core Title
#|Operations - Core Title
</v>
      </c>
      <c r="AH897" s="21"/>
      <c r="AI897" s="21"/>
      <c r="AJ897" s="53" t="str">
        <f>if('Ingest Template'!A897="Standard",'Ingest Template'!N897&amp; "|DAR|DAR|2021-01-01",'Ingest Template'!N897&amp; "|Operations - Core Title|Operations - Core Title")</f>
        <v>#N/A</v>
      </c>
      <c r="AK897" s="53" t="str">
        <f>if('Ingest Template'!A897="Standard",'Ingest Template'!R897&amp; "|2021-01-01",'Ingest Template'!R897)</f>
        <v>#N/A</v>
      </c>
      <c r="AL897" s="21"/>
      <c r="AM897" s="21"/>
    </row>
    <row r="898">
      <c r="A898" s="21"/>
      <c r="B898" s="21" t="str">
        <f>'Ingest Template'!B898&amp;IF('Ingest Template'!A898 = "Standard", " - DAR","")</f>
        <v/>
      </c>
      <c r="C898" s="26" t="s">
        <v>109</v>
      </c>
      <c r="D898" s="29" t="str">
        <f t="array" ref="D898">CONCATENATE(INDEX(DropDown!$H$2:$H$10,MATCH(1,COUNTIF('Ingest Template'!F898,"*"&amp;DropDown!$H$2:$H$10&amp;"*"),0)),CHAR(10),'Ingest Template'!G898)</f>
        <v>#N/A</v>
      </c>
      <c r="E898" s="21" t="str">
        <f>CONCATENATE('Ingest Template'!H898,CHAR(10),'Ingest Template'!I898,CHAR(10),'Ingest Template'!J898)</f>
        <v>
</v>
      </c>
      <c r="F898" s="26" t="str">
        <f>'Ingest Template'!H898</f>
        <v/>
      </c>
      <c r="G898" s="21"/>
      <c r="H898" s="29"/>
      <c r="I898" s="21"/>
      <c r="J898" s="29" t="str">
        <f t="array" ref="J898">iF('Ingest Template'!A898="Standard","Pristine Brand",INDEX(DropDown!$M$2:$M$392,MATCH('Ingest Template'!E898,DropDown!$J$2:$J$392,0)))</f>
        <v>#N/A</v>
      </c>
      <c r="K898" s="21" t="str">
        <f>iF('Ingest Template'!A898="Standard",'Ingest Template'!K898&amp;CHAR(10)&amp;'Ingest Template'!L898,"Competitive View")</f>
        <v>Competitive View</v>
      </c>
      <c r="L898" s="29" t="s">
        <v>146</v>
      </c>
      <c r="M898" s="37" t="str">
        <f>'Ingest Template'!D898</f>
        <v/>
      </c>
      <c r="N898" s="21"/>
      <c r="O898" s="21"/>
      <c r="P898" s="21"/>
      <c r="Q898" s="21"/>
      <c r="R898" s="21" t="str">
        <f>'Ingest Template'!E898</f>
        <v/>
      </c>
      <c r="S898" s="29" t="s">
        <v>153</v>
      </c>
      <c r="T898" s="21" t="str">
        <f>'Ingest Template'!T898</f>
        <v/>
      </c>
      <c r="U898" s="21" t="str">
        <f>'Ingest Template'!S898</f>
        <v/>
      </c>
      <c r="V898" s="21" t="str">
        <f>LOWER(SUBSTITUTE(SUBSTITUTE(SUBSTITUTE(SUBSTITUTE(SUBSTITUTE('Ingest Template'!U898,"https:",""),"www.",""),"/",""),"?hl=en",""),"instagram.com",""))</f>
        <v/>
      </c>
      <c r="W898" s="41" t="str">
        <f t="array" ref="W898">IF('Ingest Template'!V898="",(INDEX(DropDown!$L$2:$L$392,MATCH('Ingest Template'!E898,DropDown!$J$2:$J$392,0))&amp;"|"&amp;'Ingest Template'!B898),(INDEX(DropDown!$L$2:$L$392,MATCH('Ingest Template'!E898,DropDown!$J$2:$J$392,0))&amp;"|"&amp;'Ingest Template'!B898)&amp;CHAR(10)&amp;'Ingest Template'!V898)</f>
        <v>#N/A</v>
      </c>
      <c r="X898" s="41" t="str">
        <f>'Ingest Template'!W898</f>
        <v/>
      </c>
      <c r="Y898" s="21" t="str">
        <f>SUBSTITUTE(SUBSTITUTE(SUBSTITUTE('Ingest Template'!X898,"http:",""),"https:",""),"/","")</f>
        <v/>
      </c>
      <c r="Z898" s="21" t="str">
        <f t="array" ref="Z898">IF('Ingest Template'!A898="Standard",(IF(ISBLANK('Ingest Template'!AA898),"", 'Ingest Template'!AA898&amp;"|DAR")),(IF(ISBLANK('Ingest Template'!AA898),"", 'Ingest Template'!AA898&amp;"|Film Ops")))</f>
        <v/>
      </c>
      <c r="AA898" s="21"/>
      <c r="AB898" s="21" t="str">
        <f>'Ingest Template'!M898</f>
        <v/>
      </c>
      <c r="AC898" s="21" t="str">
        <f>'Ingest Template'!Y898</f>
        <v/>
      </c>
      <c r="AD898" s="21" t="str">
        <f>'Ingest Template'!C898</f>
        <v/>
      </c>
      <c r="AE898" s="21" t="str">
        <f>'Ingest Template'!Z898</f>
        <v/>
      </c>
      <c r="AF898" s="29"/>
      <c r="AG898" s="21" t="str">
        <f t="array" ref="AG898">IF('Ingest Template'!A898="Standard",(CONCATENATE(IF(ISBLANK('Ingest Template'!O898),"", 'Ingest Template'!O898&amp;"|DAR"),CHAR(10), IF(ISBLANK('Ingest Template'!P898),"", 'Ingest Template'!P898&amp;"|DAR"),CHAR(10), IF(ISBLANK('Ingest Template'!Q898),"", 'Ingest Template'!Q898&amp;"|DAR"))),(CONCATENATE(IF(ISBLANK('Ingest Template'!O898),"", 'Ingest Template'!O898&amp;"|Operations - Core Title"),CHAR(10), IF(ISBLANK('Ingest Template'!P898),"", 'Ingest Template'!P898&amp;"|Operations - Core Title"),CHAR(10), IF(ISBLANK('Ingest Template'!Q898),"", 'Ingest Template'!Q898&amp;"|Operations - Core Title"))))</f>
        <v>#|Operations - Core Title
#|Operations - Core Title
</v>
      </c>
      <c r="AH898" s="21"/>
      <c r="AI898" s="21"/>
      <c r="AJ898" s="53" t="str">
        <f>if('Ingest Template'!A898="Standard",'Ingest Template'!N898&amp; "|DAR|DAR|2021-01-01",'Ingest Template'!N898&amp; "|Operations - Core Title|Operations - Core Title")</f>
        <v>#N/A</v>
      </c>
      <c r="AK898" s="53" t="str">
        <f>if('Ingest Template'!A898="Standard",'Ingest Template'!R898&amp; "|2021-01-01",'Ingest Template'!R898)</f>
        <v>#N/A</v>
      </c>
      <c r="AL898" s="21"/>
      <c r="AM898" s="21"/>
    </row>
    <row r="899">
      <c r="A899" s="21"/>
      <c r="B899" s="21" t="str">
        <f>'Ingest Template'!B899&amp;IF('Ingest Template'!A899 = "Standard", " - DAR","")</f>
        <v/>
      </c>
      <c r="C899" s="26" t="s">
        <v>109</v>
      </c>
      <c r="D899" s="29" t="str">
        <f t="array" ref="D899">CONCATENATE(INDEX(DropDown!$H$2:$H$10,MATCH(1,COUNTIF('Ingest Template'!F899,"*"&amp;DropDown!$H$2:$H$10&amp;"*"),0)),CHAR(10),'Ingest Template'!G899)</f>
        <v>#N/A</v>
      </c>
      <c r="E899" s="21" t="str">
        <f>CONCATENATE('Ingest Template'!H899,CHAR(10),'Ingest Template'!I899,CHAR(10),'Ingest Template'!J899)</f>
        <v>
</v>
      </c>
      <c r="F899" s="26" t="str">
        <f>'Ingest Template'!H899</f>
        <v/>
      </c>
      <c r="G899" s="21"/>
      <c r="H899" s="29"/>
      <c r="I899" s="21"/>
      <c r="J899" s="29" t="str">
        <f t="array" ref="J899">iF('Ingest Template'!A899="Standard","Pristine Brand",INDEX(DropDown!$M$2:$M$392,MATCH('Ingest Template'!E899,DropDown!$J$2:$J$392,0)))</f>
        <v>#N/A</v>
      </c>
      <c r="K899" s="21" t="str">
        <f>iF('Ingest Template'!A899="Standard",'Ingest Template'!K899&amp;CHAR(10)&amp;'Ingest Template'!L899,"Competitive View")</f>
        <v>Competitive View</v>
      </c>
      <c r="L899" s="29" t="s">
        <v>146</v>
      </c>
      <c r="M899" s="37" t="str">
        <f>'Ingest Template'!D899</f>
        <v/>
      </c>
      <c r="N899" s="21"/>
      <c r="O899" s="21"/>
      <c r="P899" s="21"/>
      <c r="Q899" s="21"/>
      <c r="R899" s="21" t="str">
        <f>'Ingest Template'!E899</f>
        <v/>
      </c>
      <c r="S899" s="29" t="s">
        <v>153</v>
      </c>
      <c r="T899" s="21" t="str">
        <f>'Ingest Template'!T899</f>
        <v/>
      </c>
      <c r="U899" s="21" t="str">
        <f>'Ingest Template'!S899</f>
        <v/>
      </c>
      <c r="V899" s="21" t="str">
        <f>LOWER(SUBSTITUTE(SUBSTITUTE(SUBSTITUTE(SUBSTITUTE(SUBSTITUTE('Ingest Template'!U899,"https:",""),"www.",""),"/",""),"?hl=en",""),"instagram.com",""))</f>
        <v/>
      </c>
      <c r="W899" s="41" t="str">
        <f t="array" ref="W899">IF('Ingest Template'!V899="",(INDEX(DropDown!$L$2:$L$392,MATCH('Ingest Template'!E899,DropDown!$J$2:$J$392,0))&amp;"|"&amp;'Ingest Template'!B899),(INDEX(DropDown!$L$2:$L$392,MATCH('Ingest Template'!E899,DropDown!$J$2:$J$392,0))&amp;"|"&amp;'Ingest Template'!B899)&amp;CHAR(10)&amp;'Ingest Template'!V899)</f>
        <v>#N/A</v>
      </c>
      <c r="X899" s="41" t="str">
        <f>'Ingest Template'!W899</f>
        <v/>
      </c>
      <c r="Y899" s="21" t="str">
        <f>SUBSTITUTE(SUBSTITUTE(SUBSTITUTE('Ingest Template'!X899,"http:",""),"https:",""),"/","")</f>
        <v/>
      </c>
      <c r="Z899" s="21" t="str">
        <f t="array" ref="Z899">IF('Ingest Template'!A899="Standard",(IF(ISBLANK('Ingest Template'!AA899),"", 'Ingest Template'!AA899&amp;"|DAR")),(IF(ISBLANK('Ingest Template'!AA899),"", 'Ingest Template'!AA899&amp;"|Film Ops")))</f>
        <v/>
      </c>
      <c r="AA899" s="21"/>
      <c r="AB899" s="21" t="str">
        <f>'Ingest Template'!M899</f>
        <v/>
      </c>
      <c r="AC899" s="21" t="str">
        <f>'Ingest Template'!Y899</f>
        <v/>
      </c>
      <c r="AD899" s="21" t="str">
        <f>'Ingest Template'!C899</f>
        <v/>
      </c>
      <c r="AE899" s="21" t="str">
        <f>'Ingest Template'!Z899</f>
        <v/>
      </c>
      <c r="AF899" s="29"/>
      <c r="AG899" s="21" t="str">
        <f t="array" ref="AG899">IF('Ingest Template'!A899="Standard",(CONCATENATE(IF(ISBLANK('Ingest Template'!O899),"", 'Ingest Template'!O899&amp;"|DAR"),CHAR(10), IF(ISBLANK('Ingest Template'!P899),"", 'Ingest Template'!P899&amp;"|DAR"),CHAR(10), IF(ISBLANK('Ingest Template'!Q899),"", 'Ingest Template'!Q899&amp;"|DAR"))),(CONCATENATE(IF(ISBLANK('Ingest Template'!O899),"", 'Ingest Template'!O899&amp;"|Operations - Core Title"),CHAR(10), IF(ISBLANK('Ingest Template'!P899),"", 'Ingest Template'!P899&amp;"|Operations - Core Title"),CHAR(10), IF(ISBLANK('Ingest Template'!Q899),"", 'Ingest Template'!Q899&amp;"|Operations - Core Title"))))</f>
        <v>#|Operations - Core Title
#|Operations - Core Title
</v>
      </c>
      <c r="AH899" s="21"/>
      <c r="AI899" s="21"/>
      <c r="AJ899" s="53" t="str">
        <f>if('Ingest Template'!A899="Standard",'Ingest Template'!N899&amp; "|DAR|DAR|2021-01-01",'Ingest Template'!N899&amp; "|Operations - Core Title|Operations - Core Title")</f>
        <v>#N/A</v>
      </c>
      <c r="AK899" s="53" t="str">
        <f>if('Ingest Template'!A899="Standard",'Ingest Template'!R899&amp; "|2021-01-01",'Ingest Template'!R899)</f>
        <v>#N/A</v>
      </c>
      <c r="AL899" s="21"/>
      <c r="AM899" s="21"/>
    </row>
    <row r="900">
      <c r="A900" s="21"/>
      <c r="B900" s="21" t="str">
        <f>'Ingest Template'!B900&amp;IF('Ingest Template'!A900 = "Standard", " - DAR","")</f>
        <v/>
      </c>
      <c r="C900" s="26" t="s">
        <v>109</v>
      </c>
      <c r="D900" s="29" t="str">
        <f t="array" ref="D900">CONCATENATE(INDEX(DropDown!$H$2:$H$10,MATCH(1,COUNTIF('Ingest Template'!F900,"*"&amp;DropDown!$H$2:$H$10&amp;"*"),0)),CHAR(10),'Ingest Template'!G900)</f>
        <v>#N/A</v>
      </c>
      <c r="E900" s="21" t="str">
        <f>CONCATENATE('Ingest Template'!H900,CHAR(10),'Ingest Template'!I900,CHAR(10),'Ingest Template'!J900)</f>
        <v>
</v>
      </c>
      <c r="F900" s="26" t="str">
        <f>'Ingest Template'!H900</f>
        <v/>
      </c>
      <c r="G900" s="21"/>
      <c r="H900" s="29"/>
      <c r="I900" s="21"/>
      <c r="J900" s="29" t="str">
        <f t="array" ref="J900">iF('Ingest Template'!A900="Standard","Pristine Brand",INDEX(DropDown!$M$2:$M$392,MATCH('Ingest Template'!E900,DropDown!$J$2:$J$392,0)))</f>
        <v>#N/A</v>
      </c>
      <c r="K900" s="21" t="str">
        <f>iF('Ingest Template'!A900="Standard",'Ingest Template'!K900&amp;CHAR(10)&amp;'Ingest Template'!L900,"Competitive View")</f>
        <v>Competitive View</v>
      </c>
      <c r="L900" s="29" t="s">
        <v>146</v>
      </c>
      <c r="M900" s="37" t="str">
        <f>'Ingest Template'!D900</f>
        <v/>
      </c>
      <c r="N900" s="21"/>
      <c r="O900" s="21"/>
      <c r="P900" s="21"/>
      <c r="Q900" s="21"/>
      <c r="R900" s="21" t="str">
        <f>'Ingest Template'!E900</f>
        <v/>
      </c>
      <c r="S900" s="29" t="s">
        <v>153</v>
      </c>
      <c r="T900" s="21" t="str">
        <f>'Ingest Template'!T900</f>
        <v/>
      </c>
      <c r="U900" s="21" t="str">
        <f>'Ingest Template'!S900</f>
        <v/>
      </c>
      <c r="V900" s="21" t="str">
        <f>LOWER(SUBSTITUTE(SUBSTITUTE(SUBSTITUTE(SUBSTITUTE(SUBSTITUTE('Ingest Template'!U900,"https:",""),"www.",""),"/",""),"?hl=en",""),"instagram.com",""))</f>
        <v/>
      </c>
      <c r="W900" s="41" t="str">
        <f t="array" ref="W900">IF('Ingest Template'!V900="",(INDEX(DropDown!$L$2:$L$392,MATCH('Ingest Template'!E900,DropDown!$J$2:$J$392,0))&amp;"|"&amp;'Ingest Template'!B900),(INDEX(DropDown!$L$2:$L$392,MATCH('Ingest Template'!E900,DropDown!$J$2:$J$392,0))&amp;"|"&amp;'Ingest Template'!B900)&amp;CHAR(10)&amp;'Ingest Template'!V900)</f>
        <v>#N/A</v>
      </c>
      <c r="X900" s="41" t="str">
        <f>'Ingest Template'!W900</f>
        <v/>
      </c>
      <c r="Y900" s="21" t="str">
        <f>SUBSTITUTE(SUBSTITUTE(SUBSTITUTE('Ingest Template'!X900,"http:",""),"https:",""),"/","")</f>
        <v/>
      </c>
      <c r="Z900" s="21" t="str">
        <f t="array" ref="Z900">IF('Ingest Template'!A900="Standard",(IF(ISBLANK('Ingest Template'!AA900),"", 'Ingest Template'!AA900&amp;"|DAR")),(IF(ISBLANK('Ingest Template'!AA900),"", 'Ingest Template'!AA900&amp;"|Film Ops")))</f>
        <v/>
      </c>
      <c r="AA900" s="21"/>
      <c r="AB900" s="21" t="str">
        <f>'Ingest Template'!M900</f>
        <v/>
      </c>
      <c r="AC900" s="21" t="str">
        <f>'Ingest Template'!Y900</f>
        <v/>
      </c>
      <c r="AD900" s="21" t="str">
        <f>'Ingest Template'!C900</f>
        <v/>
      </c>
      <c r="AE900" s="21" t="str">
        <f>'Ingest Template'!Z900</f>
        <v/>
      </c>
      <c r="AF900" s="29"/>
      <c r="AG900" s="21" t="str">
        <f t="array" ref="AG900">IF('Ingest Template'!A900="Standard",(CONCATENATE(IF(ISBLANK('Ingest Template'!O900),"", 'Ingest Template'!O900&amp;"|DAR"),CHAR(10), IF(ISBLANK('Ingest Template'!P900),"", 'Ingest Template'!P900&amp;"|DAR"),CHAR(10), IF(ISBLANK('Ingest Template'!Q900),"", 'Ingest Template'!Q900&amp;"|DAR"))),(CONCATENATE(IF(ISBLANK('Ingest Template'!O900),"", 'Ingest Template'!O900&amp;"|Operations - Core Title"),CHAR(10), IF(ISBLANK('Ingest Template'!P900),"", 'Ingest Template'!P900&amp;"|Operations - Core Title"),CHAR(10), IF(ISBLANK('Ingest Template'!Q900),"", 'Ingest Template'!Q900&amp;"|Operations - Core Title"))))</f>
        <v>#|Operations - Core Title
#|Operations - Core Title
</v>
      </c>
      <c r="AH900" s="21"/>
      <c r="AI900" s="21"/>
      <c r="AJ900" s="53" t="str">
        <f>if('Ingest Template'!A900="Standard",'Ingest Template'!N900&amp; "|DAR|DAR|2021-01-01",'Ingest Template'!N900&amp; "|Operations - Core Title|Operations - Core Title")</f>
        <v>#N/A</v>
      </c>
      <c r="AK900" s="53" t="str">
        <f>if('Ingest Template'!A900="Standard",'Ingest Template'!R900&amp; "|2021-01-01",'Ingest Template'!R900)</f>
        <v>#N/A</v>
      </c>
      <c r="AL900" s="21"/>
      <c r="AM900" s="21"/>
    </row>
    <row r="901">
      <c r="A901" s="21"/>
      <c r="B901" s="21" t="str">
        <f>'Ingest Template'!B901&amp;IF('Ingest Template'!A901 = "Standard", " - DAR","")</f>
        <v/>
      </c>
      <c r="C901" s="26" t="s">
        <v>109</v>
      </c>
      <c r="D901" s="29" t="str">
        <f t="array" ref="D901">CONCATENATE(INDEX(DropDown!$H$2:$H$10,MATCH(1,COUNTIF('Ingest Template'!F901,"*"&amp;DropDown!$H$2:$H$10&amp;"*"),0)),CHAR(10),'Ingest Template'!G901)</f>
        <v>#N/A</v>
      </c>
      <c r="E901" s="21" t="str">
        <f>CONCATENATE('Ingest Template'!H901,CHAR(10),'Ingest Template'!I901,CHAR(10),'Ingest Template'!J901)</f>
        <v>
</v>
      </c>
      <c r="F901" s="26" t="str">
        <f>'Ingest Template'!H901</f>
        <v/>
      </c>
      <c r="G901" s="21"/>
      <c r="H901" s="29"/>
      <c r="I901" s="21"/>
      <c r="J901" s="29" t="str">
        <f t="array" ref="J901">iF('Ingest Template'!A901="Standard","Pristine Brand",INDEX(DropDown!$M$2:$M$392,MATCH('Ingest Template'!E901,DropDown!$J$2:$J$392,0)))</f>
        <v>#N/A</v>
      </c>
      <c r="K901" s="21" t="str">
        <f>iF('Ingest Template'!A901="Standard",'Ingest Template'!K901&amp;CHAR(10)&amp;'Ingest Template'!L901,"Competitive View")</f>
        <v>Competitive View</v>
      </c>
      <c r="L901" s="29" t="s">
        <v>146</v>
      </c>
      <c r="M901" s="37" t="str">
        <f>'Ingest Template'!D901</f>
        <v/>
      </c>
      <c r="N901" s="21"/>
      <c r="O901" s="21"/>
      <c r="P901" s="21"/>
      <c r="Q901" s="21"/>
      <c r="R901" s="21" t="str">
        <f>'Ingest Template'!E901</f>
        <v/>
      </c>
      <c r="S901" s="29" t="s">
        <v>153</v>
      </c>
      <c r="T901" s="21" t="str">
        <f>'Ingest Template'!T901</f>
        <v/>
      </c>
      <c r="U901" s="21" t="str">
        <f>'Ingest Template'!S901</f>
        <v/>
      </c>
      <c r="V901" s="21" t="str">
        <f>LOWER(SUBSTITUTE(SUBSTITUTE(SUBSTITUTE(SUBSTITUTE(SUBSTITUTE('Ingest Template'!U901,"https:",""),"www.",""),"/",""),"?hl=en",""),"instagram.com",""))</f>
        <v/>
      </c>
      <c r="W901" s="41" t="str">
        <f t="array" ref="W901">IF('Ingest Template'!V901="",(INDEX(DropDown!$L$2:$L$392,MATCH('Ingest Template'!E901,DropDown!$J$2:$J$392,0))&amp;"|"&amp;'Ingest Template'!B901),(INDEX(DropDown!$L$2:$L$392,MATCH('Ingest Template'!E901,DropDown!$J$2:$J$392,0))&amp;"|"&amp;'Ingest Template'!B901)&amp;CHAR(10)&amp;'Ingest Template'!V901)</f>
        <v>#N/A</v>
      </c>
      <c r="X901" s="41" t="str">
        <f>'Ingest Template'!W901</f>
        <v/>
      </c>
      <c r="Y901" s="21" t="str">
        <f>SUBSTITUTE(SUBSTITUTE(SUBSTITUTE('Ingest Template'!X901,"http:",""),"https:",""),"/","")</f>
        <v/>
      </c>
      <c r="Z901" s="21" t="str">
        <f t="array" ref="Z901">IF('Ingest Template'!A901="Standard",(IF(ISBLANK('Ingest Template'!AA901),"", 'Ingest Template'!AA901&amp;"|DAR")),(IF(ISBLANK('Ingest Template'!AA901),"", 'Ingest Template'!AA901&amp;"|Film Ops")))</f>
        <v/>
      </c>
      <c r="AA901" s="21"/>
      <c r="AB901" s="21" t="str">
        <f>'Ingest Template'!M901</f>
        <v/>
      </c>
      <c r="AC901" s="21" t="str">
        <f>'Ingest Template'!Y901</f>
        <v/>
      </c>
      <c r="AD901" s="21" t="str">
        <f>'Ingest Template'!C901</f>
        <v/>
      </c>
      <c r="AE901" s="21" t="str">
        <f>'Ingest Template'!Z901</f>
        <v/>
      </c>
      <c r="AF901" s="29"/>
      <c r="AG901" s="21" t="str">
        <f t="array" ref="AG901">IF('Ingest Template'!A901="Standard",(CONCATENATE(IF(ISBLANK('Ingest Template'!O901),"", 'Ingest Template'!O901&amp;"|DAR"),CHAR(10), IF(ISBLANK('Ingest Template'!P901),"", 'Ingest Template'!P901&amp;"|DAR"),CHAR(10), IF(ISBLANK('Ingest Template'!Q901),"", 'Ingest Template'!Q901&amp;"|DAR"))),(CONCATENATE(IF(ISBLANK('Ingest Template'!O901),"", 'Ingest Template'!O901&amp;"|Operations - Core Title"),CHAR(10), IF(ISBLANK('Ingest Template'!P901),"", 'Ingest Template'!P901&amp;"|Operations - Core Title"),CHAR(10), IF(ISBLANK('Ingest Template'!Q901),"", 'Ingest Template'!Q901&amp;"|Operations - Core Title"))))</f>
        <v>#|Operations - Core Title
#|Operations - Core Title
</v>
      </c>
      <c r="AH901" s="21"/>
      <c r="AI901" s="21"/>
      <c r="AJ901" s="53" t="str">
        <f>if('Ingest Template'!A901="Standard",'Ingest Template'!N901&amp; "|DAR|DAR|2021-01-01",'Ingest Template'!N901&amp; "|Operations - Core Title|Operations - Core Title")</f>
        <v>#N/A</v>
      </c>
      <c r="AK901" s="53" t="str">
        <f>if('Ingest Template'!A901="Standard",'Ingest Template'!R901&amp; "|2021-01-01",'Ingest Template'!R901)</f>
        <v>#N/A</v>
      </c>
      <c r="AL901" s="21"/>
      <c r="AM901" s="21"/>
    </row>
    <row r="902">
      <c r="A902" s="21"/>
      <c r="B902" s="21" t="str">
        <f>'Ingest Template'!B902&amp;IF('Ingest Template'!A902 = "Standard", " - DAR","")</f>
        <v/>
      </c>
      <c r="C902" s="26" t="s">
        <v>109</v>
      </c>
      <c r="D902" s="29" t="str">
        <f t="array" ref="D902">CONCATENATE(INDEX(DropDown!$H$2:$H$10,MATCH(1,COUNTIF('Ingest Template'!F902,"*"&amp;DropDown!$H$2:$H$10&amp;"*"),0)),CHAR(10),'Ingest Template'!G902)</f>
        <v>#N/A</v>
      </c>
      <c r="E902" s="21" t="str">
        <f>CONCATENATE('Ingest Template'!H902,CHAR(10),'Ingest Template'!I902,CHAR(10),'Ingest Template'!J902)</f>
        <v>
</v>
      </c>
      <c r="F902" s="26" t="str">
        <f>'Ingest Template'!H902</f>
        <v/>
      </c>
      <c r="G902" s="21"/>
      <c r="H902" s="29"/>
      <c r="I902" s="21"/>
      <c r="J902" s="29" t="str">
        <f t="array" ref="J902">iF('Ingest Template'!A902="Standard","Pristine Brand",INDEX(DropDown!$M$2:$M$392,MATCH('Ingest Template'!E902,DropDown!$J$2:$J$392,0)))</f>
        <v>#N/A</v>
      </c>
      <c r="K902" s="21" t="str">
        <f>iF('Ingest Template'!A902="Standard",'Ingest Template'!K902&amp;CHAR(10)&amp;'Ingest Template'!L902,"Competitive View")</f>
        <v>Competitive View</v>
      </c>
      <c r="L902" s="29" t="s">
        <v>146</v>
      </c>
      <c r="M902" s="37" t="str">
        <f>'Ingest Template'!D902</f>
        <v/>
      </c>
      <c r="N902" s="21"/>
      <c r="O902" s="21"/>
      <c r="P902" s="21"/>
      <c r="Q902" s="21"/>
      <c r="R902" s="21" t="str">
        <f>'Ingest Template'!E902</f>
        <v/>
      </c>
      <c r="S902" s="29" t="s">
        <v>153</v>
      </c>
      <c r="T902" s="21" t="str">
        <f>'Ingest Template'!T902</f>
        <v/>
      </c>
      <c r="U902" s="21" t="str">
        <f>'Ingest Template'!S902</f>
        <v/>
      </c>
      <c r="V902" s="21" t="str">
        <f>LOWER(SUBSTITUTE(SUBSTITUTE(SUBSTITUTE(SUBSTITUTE(SUBSTITUTE('Ingest Template'!U902,"https:",""),"www.",""),"/",""),"?hl=en",""),"instagram.com",""))</f>
        <v/>
      </c>
      <c r="W902" s="41" t="str">
        <f t="array" ref="W902">IF('Ingest Template'!V902="",(INDEX(DropDown!$L$2:$L$392,MATCH('Ingest Template'!E902,DropDown!$J$2:$J$392,0))&amp;"|"&amp;'Ingest Template'!B902),(INDEX(DropDown!$L$2:$L$392,MATCH('Ingest Template'!E902,DropDown!$J$2:$J$392,0))&amp;"|"&amp;'Ingest Template'!B902)&amp;CHAR(10)&amp;'Ingest Template'!V902)</f>
        <v>#N/A</v>
      </c>
      <c r="X902" s="41" t="str">
        <f>'Ingest Template'!W902</f>
        <v/>
      </c>
      <c r="Y902" s="21" t="str">
        <f>SUBSTITUTE(SUBSTITUTE(SUBSTITUTE('Ingest Template'!X902,"http:",""),"https:",""),"/","")</f>
        <v/>
      </c>
      <c r="Z902" s="21" t="str">
        <f t="array" ref="Z902">IF('Ingest Template'!A902="Standard",(IF(ISBLANK('Ingest Template'!AA902),"", 'Ingest Template'!AA902&amp;"|DAR")),(IF(ISBLANK('Ingest Template'!AA902),"", 'Ingest Template'!AA902&amp;"|Film Ops")))</f>
        <v/>
      </c>
      <c r="AA902" s="21"/>
      <c r="AB902" s="21" t="str">
        <f>'Ingest Template'!M902</f>
        <v/>
      </c>
      <c r="AC902" s="21" t="str">
        <f>'Ingest Template'!Y902</f>
        <v/>
      </c>
      <c r="AD902" s="21" t="str">
        <f>'Ingest Template'!C902</f>
        <v/>
      </c>
      <c r="AE902" s="21" t="str">
        <f>'Ingest Template'!Z902</f>
        <v/>
      </c>
      <c r="AF902" s="29"/>
      <c r="AG902" s="21" t="str">
        <f t="array" ref="AG902">IF('Ingest Template'!A902="Standard",(CONCATENATE(IF(ISBLANK('Ingest Template'!O902),"", 'Ingest Template'!O902&amp;"|DAR"),CHAR(10), IF(ISBLANK('Ingest Template'!P902),"", 'Ingest Template'!P902&amp;"|DAR"),CHAR(10), IF(ISBLANK('Ingest Template'!Q902),"", 'Ingest Template'!Q902&amp;"|DAR"))),(CONCATENATE(IF(ISBLANK('Ingest Template'!O902),"", 'Ingest Template'!O902&amp;"|Operations - Core Title"),CHAR(10), IF(ISBLANK('Ingest Template'!P902),"", 'Ingest Template'!P902&amp;"|Operations - Core Title"),CHAR(10), IF(ISBLANK('Ingest Template'!Q902),"", 'Ingest Template'!Q902&amp;"|Operations - Core Title"))))</f>
        <v>#|Operations - Core Title
#|Operations - Core Title
</v>
      </c>
      <c r="AH902" s="21"/>
      <c r="AI902" s="21"/>
      <c r="AJ902" s="53" t="str">
        <f>if('Ingest Template'!A902="Standard",'Ingest Template'!N902&amp; "|DAR|DAR|2021-01-01",'Ingest Template'!N902&amp; "|Operations - Core Title|Operations - Core Title")</f>
        <v>#N/A</v>
      </c>
      <c r="AK902" s="53" t="str">
        <f>if('Ingest Template'!A902="Standard",'Ingest Template'!R902&amp; "|2021-01-01",'Ingest Template'!R902)</f>
        <v>#N/A</v>
      </c>
      <c r="AL902" s="21"/>
      <c r="AM902" s="21"/>
    </row>
    <row r="903">
      <c r="A903" s="21"/>
      <c r="B903" s="21" t="str">
        <f>'Ingest Template'!B903&amp;IF('Ingest Template'!A903 = "Standard", " - DAR","")</f>
        <v/>
      </c>
      <c r="C903" s="26" t="s">
        <v>109</v>
      </c>
      <c r="D903" s="29" t="str">
        <f t="array" ref="D903">CONCATENATE(INDEX(DropDown!$H$2:$H$10,MATCH(1,COUNTIF('Ingest Template'!F903,"*"&amp;DropDown!$H$2:$H$10&amp;"*"),0)),CHAR(10),'Ingest Template'!G903)</f>
        <v>#N/A</v>
      </c>
      <c r="E903" s="21" t="str">
        <f>CONCATENATE('Ingest Template'!H903,CHAR(10),'Ingest Template'!I903,CHAR(10),'Ingest Template'!J903)</f>
        <v>
</v>
      </c>
      <c r="F903" s="26" t="str">
        <f>'Ingest Template'!H903</f>
        <v/>
      </c>
      <c r="G903" s="21"/>
      <c r="H903" s="29"/>
      <c r="I903" s="21"/>
      <c r="J903" s="29" t="str">
        <f t="array" ref="J903">iF('Ingest Template'!A903="Standard","Pristine Brand",INDEX(DropDown!$M$2:$M$392,MATCH('Ingest Template'!E903,DropDown!$J$2:$J$392,0)))</f>
        <v>#N/A</v>
      </c>
      <c r="K903" s="21" t="str">
        <f>iF('Ingest Template'!A903="Standard",'Ingest Template'!K903&amp;CHAR(10)&amp;'Ingest Template'!L903,"Competitive View")</f>
        <v>Competitive View</v>
      </c>
      <c r="L903" s="29" t="s">
        <v>146</v>
      </c>
      <c r="M903" s="37" t="str">
        <f>'Ingest Template'!D903</f>
        <v/>
      </c>
      <c r="N903" s="21"/>
      <c r="O903" s="21"/>
      <c r="P903" s="21"/>
      <c r="Q903" s="21"/>
      <c r="R903" s="21" t="str">
        <f>'Ingest Template'!E903</f>
        <v/>
      </c>
      <c r="S903" s="29" t="s">
        <v>153</v>
      </c>
      <c r="T903" s="21" t="str">
        <f>'Ingest Template'!T903</f>
        <v/>
      </c>
      <c r="U903" s="21" t="str">
        <f>'Ingest Template'!S903</f>
        <v/>
      </c>
      <c r="V903" s="21" t="str">
        <f>LOWER(SUBSTITUTE(SUBSTITUTE(SUBSTITUTE(SUBSTITUTE(SUBSTITUTE('Ingest Template'!U903,"https:",""),"www.",""),"/",""),"?hl=en",""),"instagram.com",""))</f>
        <v/>
      </c>
      <c r="W903" s="41" t="str">
        <f t="array" ref="W903">IF('Ingest Template'!V903="",(INDEX(DropDown!$L$2:$L$392,MATCH('Ingest Template'!E903,DropDown!$J$2:$J$392,0))&amp;"|"&amp;'Ingest Template'!B903),(INDEX(DropDown!$L$2:$L$392,MATCH('Ingest Template'!E903,DropDown!$J$2:$J$392,0))&amp;"|"&amp;'Ingest Template'!B903)&amp;CHAR(10)&amp;'Ingest Template'!V903)</f>
        <v>#N/A</v>
      </c>
      <c r="X903" s="41" t="str">
        <f>'Ingest Template'!W903</f>
        <v/>
      </c>
      <c r="Y903" s="21" t="str">
        <f>SUBSTITUTE(SUBSTITUTE(SUBSTITUTE('Ingest Template'!X903,"http:",""),"https:",""),"/","")</f>
        <v/>
      </c>
      <c r="Z903" s="21" t="str">
        <f t="array" ref="Z903">IF('Ingest Template'!A903="Standard",(IF(ISBLANK('Ingest Template'!AA903),"", 'Ingest Template'!AA903&amp;"|DAR")),(IF(ISBLANK('Ingest Template'!AA903),"", 'Ingest Template'!AA903&amp;"|Film Ops")))</f>
        <v/>
      </c>
      <c r="AA903" s="21"/>
      <c r="AB903" s="21" t="str">
        <f>'Ingest Template'!M903</f>
        <v/>
      </c>
      <c r="AC903" s="21" t="str">
        <f>'Ingest Template'!Y903</f>
        <v/>
      </c>
      <c r="AD903" s="21" t="str">
        <f>'Ingest Template'!C903</f>
        <v/>
      </c>
      <c r="AE903" s="21" t="str">
        <f>'Ingest Template'!Z903</f>
        <v/>
      </c>
      <c r="AF903" s="29"/>
      <c r="AG903" s="21" t="str">
        <f t="array" ref="AG903">IF('Ingest Template'!A903="Standard",(CONCATENATE(IF(ISBLANK('Ingest Template'!O903),"", 'Ingest Template'!O903&amp;"|DAR"),CHAR(10), IF(ISBLANK('Ingest Template'!P903),"", 'Ingest Template'!P903&amp;"|DAR"),CHAR(10), IF(ISBLANK('Ingest Template'!Q903),"", 'Ingest Template'!Q903&amp;"|DAR"))),(CONCATENATE(IF(ISBLANK('Ingest Template'!O903),"", 'Ingest Template'!O903&amp;"|Operations - Core Title"),CHAR(10), IF(ISBLANK('Ingest Template'!P903),"", 'Ingest Template'!P903&amp;"|Operations - Core Title"),CHAR(10), IF(ISBLANK('Ingest Template'!Q903),"", 'Ingest Template'!Q903&amp;"|Operations - Core Title"))))</f>
        <v>#|Operations - Core Title
#|Operations - Core Title
</v>
      </c>
      <c r="AH903" s="21"/>
      <c r="AI903" s="21"/>
      <c r="AJ903" s="53" t="str">
        <f>if('Ingest Template'!A903="Standard",'Ingest Template'!N903&amp; "|DAR|DAR|2021-01-01",'Ingest Template'!N903&amp; "|Operations - Core Title|Operations - Core Title")</f>
        <v>#N/A</v>
      </c>
      <c r="AK903" s="53" t="str">
        <f>if('Ingest Template'!A903="Standard",'Ingest Template'!R903&amp; "|2021-01-01",'Ingest Template'!R903)</f>
        <v>#N/A</v>
      </c>
      <c r="AL903" s="21"/>
      <c r="AM903" s="21"/>
    </row>
    <row r="904">
      <c r="A904" s="21"/>
      <c r="B904" s="21" t="str">
        <f>'Ingest Template'!B904&amp;IF('Ingest Template'!A904 = "Standard", " - DAR","")</f>
        <v/>
      </c>
      <c r="C904" s="26" t="s">
        <v>109</v>
      </c>
      <c r="D904" s="29" t="str">
        <f t="array" ref="D904">CONCATENATE(INDEX(DropDown!$H$2:$H$10,MATCH(1,COUNTIF('Ingest Template'!F904,"*"&amp;DropDown!$H$2:$H$10&amp;"*"),0)),CHAR(10),'Ingest Template'!G904)</f>
        <v>#N/A</v>
      </c>
      <c r="E904" s="21" t="str">
        <f>CONCATENATE('Ingest Template'!H904,CHAR(10),'Ingest Template'!I904,CHAR(10),'Ingest Template'!J904)</f>
        <v>
</v>
      </c>
      <c r="F904" s="26" t="str">
        <f>'Ingest Template'!H904</f>
        <v/>
      </c>
      <c r="G904" s="21"/>
      <c r="H904" s="29"/>
      <c r="I904" s="21"/>
      <c r="J904" s="29" t="str">
        <f t="array" ref="J904">iF('Ingest Template'!A904="Standard","Pristine Brand",INDEX(DropDown!$M$2:$M$392,MATCH('Ingest Template'!E904,DropDown!$J$2:$J$392,0)))</f>
        <v>#N/A</v>
      </c>
      <c r="K904" s="21" t="str">
        <f>iF('Ingest Template'!A904="Standard",'Ingest Template'!K904&amp;CHAR(10)&amp;'Ingest Template'!L904,"Competitive View")</f>
        <v>Competitive View</v>
      </c>
      <c r="L904" s="29" t="s">
        <v>146</v>
      </c>
      <c r="M904" s="37" t="str">
        <f>'Ingest Template'!D904</f>
        <v/>
      </c>
      <c r="N904" s="21"/>
      <c r="O904" s="21"/>
      <c r="P904" s="21"/>
      <c r="Q904" s="21"/>
      <c r="R904" s="21" t="str">
        <f>'Ingest Template'!E904</f>
        <v/>
      </c>
      <c r="S904" s="29" t="s">
        <v>153</v>
      </c>
      <c r="T904" s="21" t="str">
        <f>'Ingest Template'!T904</f>
        <v/>
      </c>
      <c r="U904" s="21" t="str">
        <f>'Ingest Template'!S904</f>
        <v/>
      </c>
      <c r="V904" s="21" t="str">
        <f>LOWER(SUBSTITUTE(SUBSTITUTE(SUBSTITUTE(SUBSTITUTE(SUBSTITUTE('Ingest Template'!U904,"https:",""),"www.",""),"/",""),"?hl=en",""),"instagram.com",""))</f>
        <v/>
      </c>
      <c r="W904" s="41" t="str">
        <f t="array" ref="W904">IF('Ingest Template'!V904="",(INDEX(DropDown!$L$2:$L$392,MATCH('Ingest Template'!E904,DropDown!$J$2:$J$392,0))&amp;"|"&amp;'Ingest Template'!B904),(INDEX(DropDown!$L$2:$L$392,MATCH('Ingest Template'!E904,DropDown!$J$2:$J$392,0))&amp;"|"&amp;'Ingest Template'!B904)&amp;CHAR(10)&amp;'Ingest Template'!V904)</f>
        <v>#N/A</v>
      </c>
      <c r="X904" s="41" t="str">
        <f>'Ingest Template'!W904</f>
        <v/>
      </c>
      <c r="Y904" s="21" t="str">
        <f>SUBSTITUTE(SUBSTITUTE(SUBSTITUTE('Ingest Template'!X904,"http:",""),"https:",""),"/","")</f>
        <v/>
      </c>
      <c r="Z904" s="21" t="str">
        <f t="array" ref="Z904">IF('Ingest Template'!A904="Standard",(IF(ISBLANK('Ingest Template'!AA904),"", 'Ingest Template'!AA904&amp;"|DAR")),(IF(ISBLANK('Ingest Template'!AA904),"", 'Ingest Template'!AA904&amp;"|Film Ops")))</f>
        <v/>
      </c>
      <c r="AA904" s="21"/>
      <c r="AB904" s="21" t="str">
        <f>'Ingest Template'!M904</f>
        <v/>
      </c>
      <c r="AC904" s="21" t="str">
        <f>'Ingest Template'!Y904</f>
        <v/>
      </c>
      <c r="AD904" s="21" t="str">
        <f>'Ingest Template'!C904</f>
        <v/>
      </c>
      <c r="AE904" s="21" t="str">
        <f>'Ingest Template'!Z904</f>
        <v/>
      </c>
      <c r="AF904" s="29"/>
      <c r="AG904" s="21" t="str">
        <f t="array" ref="AG904">IF('Ingest Template'!A904="Standard",(CONCATENATE(IF(ISBLANK('Ingest Template'!O904),"", 'Ingest Template'!O904&amp;"|DAR"),CHAR(10), IF(ISBLANK('Ingest Template'!P904),"", 'Ingest Template'!P904&amp;"|DAR"),CHAR(10), IF(ISBLANK('Ingest Template'!Q904),"", 'Ingest Template'!Q904&amp;"|DAR"))),(CONCATENATE(IF(ISBLANK('Ingest Template'!O904),"", 'Ingest Template'!O904&amp;"|Operations - Core Title"),CHAR(10), IF(ISBLANK('Ingest Template'!P904),"", 'Ingest Template'!P904&amp;"|Operations - Core Title"),CHAR(10), IF(ISBLANK('Ingest Template'!Q904),"", 'Ingest Template'!Q904&amp;"|Operations - Core Title"))))</f>
        <v>#|Operations - Core Title
#|Operations - Core Title
</v>
      </c>
      <c r="AH904" s="21"/>
      <c r="AI904" s="21"/>
      <c r="AJ904" s="53" t="str">
        <f>if('Ingest Template'!A904="Standard",'Ingest Template'!N904&amp; "|DAR|DAR|2021-01-01",'Ingest Template'!N904&amp; "|Operations - Core Title|Operations - Core Title")</f>
        <v>#N/A</v>
      </c>
      <c r="AK904" s="53" t="str">
        <f>if('Ingest Template'!A904="Standard",'Ingest Template'!R904&amp; "|2021-01-01",'Ingest Template'!R904)</f>
        <v>#N/A</v>
      </c>
      <c r="AL904" s="21"/>
      <c r="AM904" s="21"/>
    </row>
    <row r="905">
      <c r="A905" s="21"/>
      <c r="B905" s="21" t="str">
        <f>'Ingest Template'!B905&amp;IF('Ingest Template'!A905 = "Standard", " - DAR","")</f>
        <v/>
      </c>
      <c r="C905" s="26" t="s">
        <v>109</v>
      </c>
      <c r="D905" s="29" t="str">
        <f t="array" ref="D905">CONCATENATE(INDEX(DropDown!$H$2:$H$10,MATCH(1,COUNTIF('Ingest Template'!F905,"*"&amp;DropDown!$H$2:$H$10&amp;"*"),0)),CHAR(10),'Ingest Template'!G905)</f>
        <v>#N/A</v>
      </c>
      <c r="E905" s="21" t="str">
        <f>CONCATENATE('Ingest Template'!H905,CHAR(10),'Ingest Template'!I905,CHAR(10),'Ingest Template'!J905)</f>
        <v>
</v>
      </c>
      <c r="F905" s="26" t="str">
        <f>'Ingest Template'!H905</f>
        <v/>
      </c>
      <c r="G905" s="21"/>
      <c r="H905" s="29"/>
      <c r="I905" s="21"/>
      <c r="J905" s="29" t="str">
        <f t="array" ref="J905">iF('Ingest Template'!A905="Standard","Pristine Brand",INDEX(DropDown!$M$2:$M$392,MATCH('Ingest Template'!E905,DropDown!$J$2:$J$392,0)))</f>
        <v>#N/A</v>
      </c>
      <c r="K905" s="21" t="str">
        <f>iF('Ingest Template'!A905="Standard",'Ingest Template'!K905&amp;CHAR(10)&amp;'Ingest Template'!L905,"Competitive View")</f>
        <v>Competitive View</v>
      </c>
      <c r="L905" s="29" t="s">
        <v>146</v>
      </c>
      <c r="M905" s="37" t="str">
        <f>'Ingest Template'!D905</f>
        <v/>
      </c>
      <c r="N905" s="21"/>
      <c r="O905" s="21"/>
      <c r="P905" s="21"/>
      <c r="Q905" s="21"/>
      <c r="R905" s="21" t="str">
        <f>'Ingest Template'!E905</f>
        <v/>
      </c>
      <c r="S905" s="29" t="s">
        <v>153</v>
      </c>
      <c r="T905" s="21" t="str">
        <f>'Ingest Template'!T905</f>
        <v/>
      </c>
      <c r="U905" s="21" t="str">
        <f>'Ingest Template'!S905</f>
        <v/>
      </c>
      <c r="V905" s="21" t="str">
        <f>LOWER(SUBSTITUTE(SUBSTITUTE(SUBSTITUTE(SUBSTITUTE(SUBSTITUTE('Ingest Template'!U905,"https:",""),"www.",""),"/",""),"?hl=en",""),"instagram.com",""))</f>
        <v/>
      </c>
      <c r="W905" s="41" t="str">
        <f t="array" ref="W905">IF('Ingest Template'!V905="",(INDEX(DropDown!$L$2:$L$392,MATCH('Ingest Template'!E905,DropDown!$J$2:$J$392,0))&amp;"|"&amp;'Ingest Template'!B905),(INDEX(DropDown!$L$2:$L$392,MATCH('Ingest Template'!E905,DropDown!$J$2:$J$392,0))&amp;"|"&amp;'Ingest Template'!B905)&amp;CHAR(10)&amp;'Ingest Template'!V905)</f>
        <v>#N/A</v>
      </c>
      <c r="X905" s="41" t="str">
        <f>'Ingest Template'!W905</f>
        <v/>
      </c>
      <c r="Y905" s="21" t="str">
        <f>SUBSTITUTE(SUBSTITUTE(SUBSTITUTE('Ingest Template'!X905,"http:",""),"https:",""),"/","")</f>
        <v/>
      </c>
      <c r="Z905" s="21" t="str">
        <f t="array" ref="Z905">IF('Ingest Template'!A905="Standard",(IF(ISBLANK('Ingest Template'!AA905),"", 'Ingest Template'!AA905&amp;"|DAR")),(IF(ISBLANK('Ingest Template'!AA905),"", 'Ingest Template'!AA905&amp;"|Film Ops")))</f>
        <v/>
      </c>
      <c r="AA905" s="21"/>
      <c r="AB905" s="21" t="str">
        <f>'Ingest Template'!M905</f>
        <v/>
      </c>
      <c r="AC905" s="21" t="str">
        <f>'Ingest Template'!Y905</f>
        <v/>
      </c>
      <c r="AD905" s="21" t="str">
        <f>'Ingest Template'!C905</f>
        <v/>
      </c>
      <c r="AE905" s="21" t="str">
        <f>'Ingest Template'!Z905</f>
        <v/>
      </c>
      <c r="AF905" s="29"/>
      <c r="AG905" s="21" t="str">
        <f t="array" ref="AG905">IF('Ingest Template'!A905="Standard",(CONCATENATE(IF(ISBLANK('Ingest Template'!O905),"", 'Ingest Template'!O905&amp;"|DAR"),CHAR(10), IF(ISBLANK('Ingest Template'!P905),"", 'Ingest Template'!P905&amp;"|DAR"),CHAR(10), IF(ISBLANK('Ingest Template'!Q905),"", 'Ingest Template'!Q905&amp;"|DAR"))),(CONCATENATE(IF(ISBLANK('Ingest Template'!O905),"", 'Ingest Template'!O905&amp;"|Operations - Core Title"),CHAR(10), IF(ISBLANK('Ingest Template'!P905),"", 'Ingest Template'!P905&amp;"|Operations - Core Title"),CHAR(10), IF(ISBLANK('Ingest Template'!Q905),"", 'Ingest Template'!Q905&amp;"|Operations - Core Title"))))</f>
        <v>#|Operations - Core Title
#|Operations - Core Title
</v>
      </c>
      <c r="AH905" s="21"/>
      <c r="AI905" s="21"/>
      <c r="AJ905" s="53" t="str">
        <f>if('Ingest Template'!A905="Standard",'Ingest Template'!N905&amp; "|DAR|DAR|2021-01-01",'Ingest Template'!N905&amp; "|Operations - Core Title|Operations - Core Title")</f>
        <v>#N/A</v>
      </c>
      <c r="AK905" s="53" t="str">
        <f>if('Ingest Template'!A905="Standard",'Ingest Template'!R905&amp; "|2021-01-01",'Ingest Template'!R905)</f>
        <v>#N/A</v>
      </c>
      <c r="AL905" s="21"/>
      <c r="AM905" s="21"/>
    </row>
    <row r="906">
      <c r="A906" s="21"/>
      <c r="B906" s="21" t="str">
        <f>'Ingest Template'!B906&amp;IF('Ingest Template'!A906 = "Standard", " - DAR","")</f>
        <v/>
      </c>
      <c r="C906" s="26" t="s">
        <v>109</v>
      </c>
      <c r="D906" s="29" t="str">
        <f t="array" ref="D906">CONCATENATE(INDEX(DropDown!$H$2:$H$10,MATCH(1,COUNTIF('Ingest Template'!F906,"*"&amp;DropDown!$H$2:$H$10&amp;"*"),0)),CHAR(10),'Ingest Template'!G906)</f>
        <v>#N/A</v>
      </c>
      <c r="E906" s="21" t="str">
        <f>CONCATENATE('Ingest Template'!H906,CHAR(10),'Ingest Template'!I906,CHAR(10),'Ingest Template'!J906)</f>
        <v>
</v>
      </c>
      <c r="F906" s="26" t="str">
        <f>'Ingest Template'!H906</f>
        <v/>
      </c>
      <c r="G906" s="21"/>
      <c r="H906" s="29"/>
      <c r="I906" s="21"/>
      <c r="J906" s="29" t="str">
        <f t="array" ref="J906">iF('Ingest Template'!A906="Standard","Pristine Brand",INDEX(DropDown!$M$2:$M$392,MATCH('Ingest Template'!E906,DropDown!$J$2:$J$392,0)))</f>
        <v>#N/A</v>
      </c>
      <c r="K906" s="21" t="str">
        <f>iF('Ingest Template'!A906="Standard",'Ingest Template'!K906&amp;CHAR(10)&amp;'Ingest Template'!L906,"Competitive View")</f>
        <v>Competitive View</v>
      </c>
      <c r="L906" s="29" t="s">
        <v>146</v>
      </c>
      <c r="M906" s="37" t="str">
        <f>'Ingest Template'!D906</f>
        <v/>
      </c>
      <c r="N906" s="21"/>
      <c r="O906" s="21"/>
      <c r="P906" s="21"/>
      <c r="Q906" s="21"/>
      <c r="R906" s="21" t="str">
        <f>'Ingest Template'!E906</f>
        <v/>
      </c>
      <c r="S906" s="29" t="s">
        <v>153</v>
      </c>
      <c r="T906" s="21" t="str">
        <f>'Ingest Template'!T906</f>
        <v/>
      </c>
      <c r="U906" s="21" t="str">
        <f>'Ingest Template'!S906</f>
        <v/>
      </c>
      <c r="V906" s="21" t="str">
        <f>LOWER(SUBSTITUTE(SUBSTITUTE(SUBSTITUTE(SUBSTITUTE(SUBSTITUTE('Ingest Template'!U906,"https:",""),"www.",""),"/",""),"?hl=en",""),"instagram.com",""))</f>
        <v/>
      </c>
      <c r="W906" s="41" t="str">
        <f t="array" ref="W906">IF('Ingest Template'!V906="",(INDEX(DropDown!$L$2:$L$392,MATCH('Ingest Template'!E906,DropDown!$J$2:$J$392,0))&amp;"|"&amp;'Ingest Template'!B906),(INDEX(DropDown!$L$2:$L$392,MATCH('Ingest Template'!E906,DropDown!$J$2:$J$392,0))&amp;"|"&amp;'Ingest Template'!B906)&amp;CHAR(10)&amp;'Ingest Template'!V906)</f>
        <v>#N/A</v>
      </c>
      <c r="X906" s="41" t="str">
        <f>'Ingest Template'!W906</f>
        <v/>
      </c>
      <c r="Y906" s="21" t="str">
        <f>SUBSTITUTE(SUBSTITUTE(SUBSTITUTE('Ingest Template'!X906,"http:",""),"https:",""),"/","")</f>
        <v/>
      </c>
      <c r="Z906" s="21" t="str">
        <f t="array" ref="Z906">IF('Ingest Template'!A906="Standard",(IF(ISBLANK('Ingest Template'!AA906),"", 'Ingest Template'!AA906&amp;"|DAR")),(IF(ISBLANK('Ingest Template'!AA906),"", 'Ingest Template'!AA906&amp;"|Film Ops")))</f>
        <v/>
      </c>
      <c r="AA906" s="21"/>
      <c r="AB906" s="21" t="str">
        <f>'Ingest Template'!M906</f>
        <v/>
      </c>
      <c r="AC906" s="21" t="str">
        <f>'Ingest Template'!Y906</f>
        <v/>
      </c>
      <c r="AD906" s="21" t="str">
        <f>'Ingest Template'!C906</f>
        <v/>
      </c>
      <c r="AE906" s="21" t="str">
        <f>'Ingest Template'!Z906</f>
        <v/>
      </c>
      <c r="AF906" s="29"/>
      <c r="AG906" s="21" t="str">
        <f t="array" ref="AG906">IF('Ingest Template'!A906="Standard",(CONCATENATE(IF(ISBLANK('Ingest Template'!O906),"", 'Ingest Template'!O906&amp;"|DAR"),CHAR(10), IF(ISBLANK('Ingest Template'!P906),"", 'Ingest Template'!P906&amp;"|DAR"),CHAR(10), IF(ISBLANK('Ingest Template'!Q906),"", 'Ingest Template'!Q906&amp;"|DAR"))),(CONCATENATE(IF(ISBLANK('Ingest Template'!O906),"", 'Ingest Template'!O906&amp;"|Operations - Core Title"),CHAR(10), IF(ISBLANK('Ingest Template'!P906),"", 'Ingest Template'!P906&amp;"|Operations - Core Title"),CHAR(10), IF(ISBLANK('Ingest Template'!Q906),"", 'Ingest Template'!Q906&amp;"|Operations - Core Title"))))</f>
        <v>#|Operations - Core Title
#|Operations - Core Title
</v>
      </c>
      <c r="AH906" s="21"/>
      <c r="AI906" s="21"/>
      <c r="AJ906" s="53" t="str">
        <f>if('Ingest Template'!A906="Standard",'Ingest Template'!N906&amp; "|DAR|DAR|2021-01-01",'Ingest Template'!N906&amp; "|Operations - Core Title|Operations - Core Title")</f>
        <v>#N/A</v>
      </c>
      <c r="AK906" s="53" t="str">
        <f>if('Ingest Template'!A906="Standard",'Ingest Template'!R906&amp; "|2021-01-01",'Ingest Template'!R906)</f>
        <v>#N/A</v>
      </c>
      <c r="AL906" s="21"/>
      <c r="AM906" s="21"/>
    </row>
    <row r="907">
      <c r="A907" s="21"/>
      <c r="B907" s="21" t="str">
        <f>'Ingest Template'!B907&amp;IF('Ingest Template'!A907 = "Standard", " - DAR","")</f>
        <v/>
      </c>
      <c r="C907" s="26" t="s">
        <v>109</v>
      </c>
      <c r="D907" s="29" t="str">
        <f t="array" ref="D907">CONCATENATE(INDEX(DropDown!$H$2:$H$10,MATCH(1,COUNTIF('Ingest Template'!F907,"*"&amp;DropDown!$H$2:$H$10&amp;"*"),0)),CHAR(10),'Ingest Template'!G907)</f>
        <v>#N/A</v>
      </c>
      <c r="E907" s="21" t="str">
        <f>CONCATENATE('Ingest Template'!H907,CHAR(10),'Ingest Template'!I907,CHAR(10),'Ingest Template'!J907)</f>
        <v>
</v>
      </c>
      <c r="F907" s="26" t="str">
        <f>'Ingest Template'!H907</f>
        <v/>
      </c>
      <c r="G907" s="21"/>
      <c r="H907" s="29"/>
      <c r="I907" s="21"/>
      <c r="J907" s="29" t="str">
        <f t="array" ref="J907">iF('Ingest Template'!A907="Standard","Pristine Brand",INDEX(DropDown!$M$2:$M$392,MATCH('Ingest Template'!E907,DropDown!$J$2:$J$392,0)))</f>
        <v>#N/A</v>
      </c>
      <c r="K907" s="21" t="str">
        <f>iF('Ingest Template'!A907="Standard",'Ingest Template'!K907&amp;CHAR(10)&amp;'Ingest Template'!L907,"Competitive View")</f>
        <v>Competitive View</v>
      </c>
      <c r="L907" s="29" t="s">
        <v>146</v>
      </c>
      <c r="M907" s="37" t="str">
        <f>'Ingest Template'!D907</f>
        <v/>
      </c>
      <c r="N907" s="21"/>
      <c r="O907" s="21"/>
      <c r="P907" s="21"/>
      <c r="Q907" s="21"/>
      <c r="R907" s="21" t="str">
        <f>'Ingest Template'!E907</f>
        <v/>
      </c>
      <c r="S907" s="29" t="s">
        <v>153</v>
      </c>
      <c r="T907" s="21" t="str">
        <f>'Ingest Template'!T907</f>
        <v/>
      </c>
      <c r="U907" s="21" t="str">
        <f>'Ingest Template'!S907</f>
        <v/>
      </c>
      <c r="V907" s="21" t="str">
        <f>LOWER(SUBSTITUTE(SUBSTITUTE(SUBSTITUTE(SUBSTITUTE(SUBSTITUTE('Ingest Template'!U907,"https:",""),"www.",""),"/",""),"?hl=en",""),"instagram.com",""))</f>
        <v/>
      </c>
      <c r="W907" s="41" t="str">
        <f t="array" ref="W907">IF('Ingest Template'!V907="",(INDEX(DropDown!$L$2:$L$392,MATCH('Ingest Template'!E907,DropDown!$J$2:$J$392,0))&amp;"|"&amp;'Ingest Template'!B907),(INDEX(DropDown!$L$2:$L$392,MATCH('Ingest Template'!E907,DropDown!$J$2:$J$392,0))&amp;"|"&amp;'Ingest Template'!B907)&amp;CHAR(10)&amp;'Ingest Template'!V907)</f>
        <v>#N/A</v>
      </c>
      <c r="X907" s="41" t="str">
        <f>'Ingest Template'!W907</f>
        <v/>
      </c>
      <c r="Y907" s="21" t="str">
        <f>SUBSTITUTE(SUBSTITUTE(SUBSTITUTE('Ingest Template'!X907,"http:",""),"https:",""),"/","")</f>
        <v/>
      </c>
      <c r="Z907" s="21" t="str">
        <f t="array" ref="Z907">IF('Ingest Template'!A907="Standard",(IF(ISBLANK('Ingest Template'!AA907),"", 'Ingest Template'!AA907&amp;"|DAR")),(IF(ISBLANK('Ingest Template'!AA907),"", 'Ingest Template'!AA907&amp;"|Film Ops")))</f>
        <v/>
      </c>
      <c r="AA907" s="21"/>
      <c r="AB907" s="21" t="str">
        <f>'Ingest Template'!M907</f>
        <v/>
      </c>
      <c r="AC907" s="21" t="str">
        <f>'Ingest Template'!Y907</f>
        <v/>
      </c>
      <c r="AD907" s="21" t="str">
        <f>'Ingest Template'!C907</f>
        <v/>
      </c>
      <c r="AE907" s="21" t="str">
        <f>'Ingest Template'!Z907</f>
        <v/>
      </c>
      <c r="AF907" s="29"/>
      <c r="AG907" s="21" t="str">
        <f t="array" ref="AG907">IF('Ingest Template'!A907="Standard",(CONCATENATE(IF(ISBLANK('Ingest Template'!O907),"", 'Ingest Template'!O907&amp;"|DAR"),CHAR(10), IF(ISBLANK('Ingest Template'!P907),"", 'Ingest Template'!P907&amp;"|DAR"),CHAR(10), IF(ISBLANK('Ingest Template'!Q907),"", 'Ingest Template'!Q907&amp;"|DAR"))),(CONCATENATE(IF(ISBLANK('Ingest Template'!O907),"", 'Ingest Template'!O907&amp;"|Operations - Core Title"),CHAR(10), IF(ISBLANK('Ingest Template'!P907),"", 'Ingest Template'!P907&amp;"|Operations - Core Title"),CHAR(10), IF(ISBLANK('Ingest Template'!Q907),"", 'Ingest Template'!Q907&amp;"|Operations - Core Title"))))</f>
        <v>#|Operations - Core Title
#|Operations - Core Title
</v>
      </c>
      <c r="AH907" s="21"/>
      <c r="AI907" s="21"/>
      <c r="AJ907" s="53" t="str">
        <f>if('Ingest Template'!A907="Standard",'Ingest Template'!N907&amp; "|DAR|DAR|2021-01-01",'Ingest Template'!N907&amp; "|Operations - Core Title|Operations - Core Title")</f>
        <v>#N/A</v>
      </c>
      <c r="AK907" s="53" t="str">
        <f>if('Ingest Template'!A907="Standard",'Ingest Template'!R907&amp; "|2021-01-01",'Ingest Template'!R907)</f>
        <v>#N/A</v>
      </c>
      <c r="AL907" s="21"/>
      <c r="AM907" s="21"/>
    </row>
    <row r="908">
      <c r="A908" s="21"/>
      <c r="B908" s="21" t="str">
        <f>'Ingest Template'!B908&amp;IF('Ingest Template'!A908 = "Standard", " - DAR","")</f>
        <v/>
      </c>
      <c r="C908" s="26" t="s">
        <v>109</v>
      </c>
      <c r="D908" s="29" t="str">
        <f t="array" ref="D908">CONCATENATE(INDEX(DropDown!$H$2:$H$10,MATCH(1,COUNTIF('Ingest Template'!F908,"*"&amp;DropDown!$H$2:$H$10&amp;"*"),0)),CHAR(10),'Ingest Template'!G908)</f>
        <v>#N/A</v>
      </c>
      <c r="E908" s="21" t="str">
        <f>CONCATENATE('Ingest Template'!H908,CHAR(10),'Ingest Template'!I908,CHAR(10),'Ingest Template'!J908)</f>
        <v>
</v>
      </c>
      <c r="F908" s="26" t="str">
        <f>'Ingest Template'!H908</f>
        <v/>
      </c>
      <c r="G908" s="21"/>
      <c r="H908" s="29"/>
      <c r="I908" s="21"/>
      <c r="J908" s="29" t="str">
        <f t="array" ref="J908">iF('Ingest Template'!A908="Standard","Pristine Brand",INDEX(DropDown!$M$2:$M$392,MATCH('Ingest Template'!E908,DropDown!$J$2:$J$392,0)))</f>
        <v>#N/A</v>
      </c>
      <c r="K908" s="21" t="str">
        <f>iF('Ingest Template'!A908="Standard",'Ingest Template'!K908&amp;CHAR(10)&amp;'Ingest Template'!L908,"Competitive View")</f>
        <v>Competitive View</v>
      </c>
      <c r="L908" s="29" t="s">
        <v>146</v>
      </c>
      <c r="M908" s="37" t="str">
        <f>'Ingest Template'!D908</f>
        <v/>
      </c>
      <c r="N908" s="21"/>
      <c r="O908" s="21"/>
      <c r="P908" s="21"/>
      <c r="Q908" s="21"/>
      <c r="R908" s="21" t="str">
        <f>'Ingest Template'!E908</f>
        <v/>
      </c>
      <c r="S908" s="29" t="s">
        <v>153</v>
      </c>
      <c r="T908" s="21" t="str">
        <f>'Ingest Template'!T908</f>
        <v/>
      </c>
      <c r="U908" s="21" t="str">
        <f>'Ingest Template'!S908</f>
        <v/>
      </c>
      <c r="V908" s="21" t="str">
        <f>LOWER(SUBSTITUTE(SUBSTITUTE(SUBSTITUTE(SUBSTITUTE(SUBSTITUTE('Ingest Template'!U908,"https:",""),"www.",""),"/",""),"?hl=en",""),"instagram.com",""))</f>
        <v/>
      </c>
      <c r="W908" s="41" t="str">
        <f t="array" ref="W908">IF('Ingest Template'!V908="",(INDEX(DropDown!$L$2:$L$392,MATCH('Ingest Template'!E908,DropDown!$J$2:$J$392,0))&amp;"|"&amp;'Ingest Template'!B908),(INDEX(DropDown!$L$2:$L$392,MATCH('Ingest Template'!E908,DropDown!$J$2:$J$392,0))&amp;"|"&amp;'Ingest Template'!B908)&amp;CHAR(10)&amp;'Ingest Template'!V908)</f>
        <v>#N/A</v>
      </c>
      <c r="X908" s="41" t="str">
        <f>'Ingest Template'!W908</f>
        <v/>
      </c>
      <c r="Y908" s="21" t="str">
        <f>SUBSTITUTE(SUBSTITUTE(SUBSTITUTE('Ingest Template'!X908,"http:",""),"https:",""),"/","")</f>
        <v/>
      </c>
      <c r="Z908" s="21" t="str">
        <f t="array" ref="Z908">IF('Ingest Template'!A908="Standard",(IF(ISBLANK('Ingest Template'!AA908),"", 'Ingest Template'!AA908&amp;"|DAR")),(IF(ISBLANK('Ingest Template'!AA908),"", 'Ingest Template'!AA908&amp;"|Film Ops")))</f>
        <v/>
      </c>
      <c r="AA908" s="21"/>
      <c r="AB908" s="21" t="str">
        <f>'Ingest Template'!M908</f>
        <v/>
      </c>
      <c r="AC908" s="21" t="str">
        <f>'Ingest Template'!Y908</f>
        <v/>
      </c>
      <c r="AD908" s="21" t="str">
        <f>'Ingest Template'!C908</f>
        <v/>
      </c>
      <c r="AE908" s="21" t="str">
        <f>'Ingest Template'!Z908</f>
        <v/>
      </c>
      <c r="AF908" s="29"/>
      <c r="AG908" s="21" t="str">
        <f t="array" ref="AG908">IF('Ingest Template'!A908="Standard",(CONCATENATE(IF(ISBLANK('Ingest Template'!O908),"", 'Ingest Template'!O908&amp;"|DAR"),CHAR(10), IF(ISBLANK('Ingest Template'!P908),"", 'Ingest Template'!P908&amp;"|DAR"),CHAR(10), IF(ISBLANK('Ingest Template'!Q908),"", 'Ingest Template'!Q908&amp;"|DAR"))),(CONCATENATE(IF(ISBLANK('Ingest Template'!O908),"", 'Ingest Template'!O908&amp;"|Operations - Core Title"),CHAR(10), IF(ISBLANK('Ingest Template'!P908),"", 'Ingest Template'!P908&amp;"|Operations - Core Title"),CHAR(10), IF(ISBLANK('Ingest Template'!Q908),"", 'Ingest Template'!Q908&amp;"|Operations - Core Title"))))</f>
        <v>#|Operations - Core Title
#|Operations - Core Title
</v>
      </c>
      <c r="AH908" s="21"/>
      <c r="AI908" s="21"/>
      <c r="AJ908" s="53" t="str">
        <f>if('Ingest Template'!A908="Standard",'Ingest Template'!N908&amp; "|DAR|DAR|2021-01-01",'Ingest Template'!N908&amp; "|Operations - Core Title|Operations - Core Title")</f>
        <v>#N/A</v>
      </c>
      <c r="AK908" s="53" t="str">
        <f>if('Ingest Template'!A908="Standard",'Ingest Template'!R908&amp; "|2021-01-01",'Ingest Template'!R908)</f>
        <v>#N/A</v>
      </c>
      <c r="AL908" s="21"/>
      <c r="AM908" s="21"/>
    </row>
    <row r="909">
      <c r="A909" s="21"/>
      <c r="B909" s="21" t="str">
        <f>'Ingest Template'!B909&amp;IF('Ingest Template'!A909 = "Standard", " - DAR","")</f>
        <v/>
      </c>
      <c r="C909" s="26" t="s">
        <v>109</v>
      </c>
      <c r="D909" s="29" t="str">
        <f t="array" ref="D909">CONCATENATE(INDEX(DropDown!$H$2:$H$10,MATCH(1,COUNTIF('Ingest Template'!F909,"*"&amp;DropDown!$H$2:$H$10&amp;"*"),0)),CHAR(10),'Ingest Template'!G909)</f>
        <v>#N/A</v>
      </c>
      <c r="E909" s="21" t="str">
        <f>CONCATENATE('Ingest Template'!H909,CHAR(10),'Ingest Template'!I909,CHAR(10),'Ingest Template'!J909)</f>
        <v>
</v>
      </c>
      <c r="F909" s="26" t="str">
        <f>'Ingest Template'!H909</f>
        <v/>
      </c>
      <c r="G909" s="21"/>
      <c r="H909" s="29"/>
      <c r="I909" s="21"/>
      <c r="J909" s="29" t="str">
        <f t="array" ref="J909">iF('Ingest Template'!A909="Standard","Pristine Brand",INDEX(DropDown!$M$2:$M$392,MATCH('Ingest Template'!E909,DropDown!$J$2:$J$392,0)))</f>
        <v>#N/A</v>
      </c>
      <c r="K909" s="21" t="str">
        <f>iF('Ingest Template'!A909="Standard",'Ingest Template'!K909&amp;CHAR(10)&amp;'Ingest Template'!L909,"Competitive View")</f>
        <v>Competitive View</v>
      </c>
      <c r="L909" s="29" t="s">
        <v>146</v>
      </c>
      <c r="M909" s="37" t="str">
        <f>'Ingest Template'!D909</f>
        <v/>
      </c>
      <c r="N909" s="21"/>
      <c r="O909" s="21"/>
      <c r="P909" s="21"/>
      <c r="Q909" s="21"/>
      <c r="R909" s="21" t="str">
        <f>'Ingest Template'!E909</f>
        <v/>
      </c>
      <c r="S909" s="29" t="s">
        <v>153</v>
      </c>
      <c r="T909" s="21" t="str">
        <f>'Ingest Template'!T909</f>
        <v/>
      </c>
      <c r="U909" s="21" t="str">
        <f>'Ingest Template'!S909</f>
        <v/>
      </c>
      <c r="V909" s="21" t="str">
        <f>LOWER(SUBSTITUTE(SUBSTITUTE(SUBSTITUTE(SUBSTITUTE(SUBSTITUTE('Ingest Template'!U909,"https:",""),"www.",""),"/",""),"?hl=en",""),"instagram.com",""))</f>
        <v/>
      </c>
      <c r="W909" s="41" t="str">
        <f t="array" ref="W909">IF('Ingest Template'!V909="",(INDEX(DropDown!$L$2:$L$392,MATCH('Ingest Template'!E909,DropDown!$J$2:$J$392,0))&amp;"|"&amp;'Ingest Template'!B909),(INDEX(DropDown!$L$2:$L$392,MATCH('Ingest Template'!E909,DropDown!$J$2:$J$392,0))&amp;"|"&amp;'Ingest Template'!B909)&amp;CHAR(10)&amp;'Ingest Template'!V909)</f>
        <v>#N/A</v>
      </c>
      <c r="X909" s="41" t="str">
        <f>'Ingest Template'!W909</f>
        <v/>
      </c>
      <c r="Y909" s="21" t="str">
        <f>SUBSTITUTE(SUBSTITUTE(SUBSTITUTE('Ingest Template'!X909,"http:",""),"https:",""),"/","")</f>
        <v/>
      </c>
      <c r="Z909" s="21" t="str">
        <f t="array" ref="Z909">IF('Ingest Template'!A909="Standard",(IF(ISBLANK('Ingest Template'!AA909),"", 'Ingest Template'!AA909&amp;"|DAR")),(IF(ISBLANK('Ingest Template'!AA909),"", 'Ingest Template'!AA909&amp;"|Film Ops")))</f>
        <v/>
      </c>
      <c r="AA909" s="21"/>
      <c r="AB909" s="21" t="str">
        <f>'Ingest Template'!M909</f>
        <v/>
      </c>
      <c r="AC909" s="21" t="str">
        <f>'Ingest Template'!Y909</f>
        <v/>
      </c>
      <c r="AD909" s="21" t="str">
        <f>'Ingest Template'!C909</f>
        <v/>
      </c>
      <c r="AE909" s="21" t="str">
        <f>'Ingest Template'!Z909</f>
        <v/>
      </c>
      <c r="AF909" s="29"/>
      <c r="AG909" s="21" t="str">
        <f t="array" ref="AG909">IF('Ingest Template'!A909="Standard",(CONCATENATE(IF(ISBLANK('Ingest Template'!O909),"", 'Ingest Template'!O909&amp;"|DAR"),CHAR(10), IF(ISBLANK('Ingest Template'!P909),"", 'Ingest Template'!P909&amp;"|DAR"),CHAR(10), IF(ISBLANK('Ingest Template'!Q909),"", 'Ingest Template'!Q909&amp;"|DAR"))),(CONCATENATE(IF(ISBLANK('Ingest Template'!O909),"", 'Ingest Template'!O909&amp;"|Operations - Core Title"),CHAR(10), IF(ISBLANK('Ingest Template'!P909),"", 'Ingest Template'!P909&amp;"|Operations - Core Title"),CHAR(10), IF(ISBLANK('Ingest Template'!Q909),"", 'Ingest Template'!Q909&amp;"|Operations - Core Title"))))</f>
        <v>#|Operations - Core Title
#|Operations - Core Title
</v>
      </c>
      <c r="AH909" s="21"/>
      <c r="AI909" s="21"/>
      <c r="AJ909" s="53" t="str">
        <f>if('Ingest Template'!A909="Standard",'Ingest Template'!N909&amp; "|DAR|DAR|2021-01-01",'Ingest Template'!N909&amp; "|Operations - Core Title|Operations - Core Title")</f>
        <v>#N/A</v>
      </c>
      <c r="AK909" s="53" t="str">
        <f>if('Ingest Template'!A909="Standard",'Ingest Template'!R909&amp; "|2021-01-01",'Ingest Template'!R909)</f>
        <v>#N/A</v>
      </c>
      <c r="AL909" s="21"/>
      <c r="AM909" s="21"/>
    </row>
    <row r="910">
      <c r="A910" s="21"/>
      <c r="B910" s="21" t="str">
        <f>'Ingest Template'!B910&amp;IF('Ingest Template'!A910 = "Standard", " - DAR","")</f>
        <v/>
      </c>
      <c r="C910" s="26" t="s">
        <v>109</v>
      </c>
      <c r="D910" s="29" t="str">
        <f t="array" ref="D910">CONCATENATE(INDEX(DropDown!$H$2:$H$10,MATCH(1,COUNTIF('Ingest Template'!F910,"*"&amp;DropDown!$H$2:$H$10&amp;"*"),0)),CHAR(10),'Ingest Template'!G910)</f>
        <v>#N/A</v>
      </c>
      <c r="E910" s="21" t="str">
        <f>CONCATENATE('Ingest Template'!H910,CHAR(10),'Ingest Template'!I910,CHAR(10),'Ingest Template'!J910)</f>
        <v>
</v>
      </c>
      <c r="F910" s="26" t="str">
        <f>'Ingest Template'!H910</f>
        <v/>
      </c>
      <c r="G910" s="21"/>
      <c r="H910" s="29"/>
      <c r="I910" s="21"/>
      <c r="J910" s="29" t="str">
        <f t="array" ref="J910">iF('Ingest Template'!A910="Standard","Pristine Brand",INDEX(DropDown!$M$2:$M$392,MATCH('Ingest Template'!E910,DropDown!$J$2:$J$392,0)))</f>
        <v>#N/A</v>
      </c>
      <c r="K910" s="21" t="str">
        <f>iF('Ingest Template'!A910="Standard",'Ingest Template'!K910&amp;CHAR(10)&amp;'Ingest Template'!L910,"Competitive View")</f>
        <v>Competitive View</v>
      </c>
      <c r="L910" s="29" t="s">
        <v>146</v>
      </c>
      <c r="M910" s="37" t="str">
        <f>'Ingest Template'!D910</f>
        <v/>
      </c>
      <c r="N910" s="21"/>
      <c r="O910" s="21"/>
      <c r="P910" s="21"/>
      <c r="Q910" s="21"/>
      <c r="R910" s="21" t="str">
        <f>'Ingest Template'!E910</f>
        <v/>
      </c>
      <c r="S910" s="29" t="s">
        <v>153</v>
      </c>
      <c r="T910" s="21" t="str">
        <f>'Ingest Template'!T910</f>
        <v/>
      </c>
      <c r="U910" s="21" t="str">
        <f>'Ingest Template'!S910</f>
        <v/>
      </c>
      <c r="V910" s="21" t="str">
        <f>LOWER(SUBSTITUTE(SUBSTITUTE(SUBSTITUTE(SUBSTITUTE(SUBSTITUTE('Ingest Template'!U910,"https:",""),"www.",""),"/",""),"?hl=en",""),"instagram.com",""))</f>
        <v/>
      </c>
      <c r="W910" s="41" t="str">
        <f t="array" ref="W910">IF('Ingest Template'!V910="",(INDEX(DropDown!$L$2:$L$392,MATCH('Ingest Template'!E910,DropDown!$J$2:$J$392,0))&amp;"|"&amp;'Ingest Template'!B910),(INDEX(DropDown!$L$2:$L$392,MATCH('Ingest Template'!E910,DropDown!$J$2:$J$392,0))&amp;"|"&amp;'Ingest Template'!B910)&amp;CHAR(10)&amp;'Ingest Template'!V910)</f>
        <v>#N/A</v>
      </c>
      <c r="X910" s="41" t="str">
        <f>'Ingest Template'!W910</f>
        <v/>
      </c>
      <c r="Y910" s="21" t="str">
        <f>SUBSTITUTE(SUBSTITUTE(SUBSTITUTE('Ingest Template'!X910,"http:",""),"https:",""),"/","")</f>
        <v/>
      </c>
      <c r="Z910" s="21" t="str">
        <f t="array" ref="Z910">IF('Ingest Template'!A910="Standard",(IF(ISBLANK('Ingest Template'!AA910),"", 'Ingest Template'!AA910&amp;"|DAR")),(IF(ISBLANK('Ingest Template'!AA910),"", 'Ingest Template'!AA910&amp;"|Film Ops")))</f>
        <v/>
      </c>
      <c r="AA910" s="21"/>
      <c r="AB910" s="21" t="str">
        <f>'Ingest Template'!M910</f>
        <v/>
      </c>
      <c r="AC910" s="21" t="str">
        <f>'Ingest Template'!Y910</f>
        <v/>
      </c>
      <c r="AD910" s="21" t="str">
        <f>'Ingest Template'!C910</f>
        <v/>
      </c>
      <c r="AE910" s="21" t="str">
        <f>'Ingest Template'!Z910</f>
        <v/>
      </c>
      <c r="AF910" s="29"/>
      <c r="AG910" s="21" t="str">
        <f t="array" ref="AG910">IF('Ingest Template'!A910="Standard",(CONCATENATE(IF(ISBLANK('Ingest Template'!O910),"", 'Ingest Template'!O910&amp;"|DAR"),CHAR(10), IF(ISBLANK('Ingest Template'!P910),"", 'Ingest Template'!P910&amp;"|DAR"),CHAR(10), IF(ISBLANK('Ingest Template'!Q910),"", 'Ingest Template'!Q910&amp;"|DAR"))),(CONCATENATE(IF(ISBLANK('Ingest Template'!O910),"", 'Ingest Template'!O910&amp;"|Operations - Core Title"),CHAR(10), IF(ISBLANK('Ingest Template'!P910),"", 'Ingest Template'!P910&amp;"|Operations - Core Title"),CHAR(10), IF(ISBLANK('Ingest Template'!Q910),"", 'Ingest Template'!Q910&amp;"|Operations - Core Title"))))</f>
        <v>#|Operations - Core Title
#|Operations - Core Title
</v>
      </c>
      <c r="AH910" s="21"/>
      <c r="AI910" s="21"/>
      <c r="AJ910" s="53" t="str">
        <f>if('Ingest Template'!A910="Standard",'Ingest Template'!N910&amp; "|DAR|DAR|2021-01-01",'Ingest Template'!N910&amp; "|Operations - Core Title|Operations - Core Title")</f>
        <v>#N/A</v>
      </c>
      <c r="AK910" s="53" t="str">
        <f>if('Ingest Template'!A910="Standard",'Ingest Template'!R910&amp; "|2021-01-01",'Ingest Template'!R910)</f>
        <v>#N/A</v>
      </c>
      <c r="AL910" s="21"/>
      <c r="AM910" s="21"/>
    </row>
    <row r="911">
      <c r="A911" s="21"/>
      <c r="B911" s="21" t="str">
        <f>'Ingest Template'!B911&amp;IF('Ingest Template'!A911 = "Standard", " - DAR","")</f>
        <v/>
      </c>
      <c r="C911" s="26" t="s">
        <v>109</v>
      </c>
      <c r="D911" s="29" t="str">
        <f t="array" ref="D911">CONCATENATE(INDEX(DropDown!$H$2:$H$10,MATCH(1,COUNTIF('Ingest Template'!F911,"*"&amp;DropDown!$H$2:$H$10&amp;"*"),0)),CHAR(10),'Ingest Template'!G911)</f>
        <v>#N/A</v>
      </c>
      <c r="E911" s="21" t="str">
        <f>CONCATENATE('Ingest Template'!H911,CHAR(10),'Ingest Template'!I911,CHAR(10),'Ingest Template'!J911)</f>
        <v>
</v>
      </c>
      <c r="F911" s="26" t="str">
        <f>'Ingest Template'!H911</f>
        <v/>
      </c>
      <c r="G911" s="21"/>
      <c r="H911" s="29"/>
      <c r="I911" s="21"/>
      <c r="J911" s="29" t="str">
        <f t="array" ref="J911">iF('Ingest Template'!A911="Standard","Pristine Brand",INDEX(DropDown!$M$2:$M$392,MATCH('Ingest Template'!E911,DropDown!$J$2:$J$392,0)))</f>
        <v>#N/A</v>
      </c>
      <c r="K911" s="21" t="str">
        <f>iF('Ingest Template'!A911="Standard",'Ingest Template'!K911&amp;CHAR(10)&amp;'Ingest Template'!L911,"Competitive View")</f>
        <v>Competitive View</v>
      </c>
      <c r="L911" s="29" t="s">
        <v>146</v>
      </c>
      <c r="M911" s="37" t="str">
        <f>'Ingest Template'!D911</f>
        <v/>
      </c>
      <c r="N911" s="21"/>
      <c r="O911" s="21"/>
      <c r="P911" s="21"/>
      <c r="Q911" s="21"/>
      <c r="R911" s="21" t="str">
        <f>'Ingest Template'!E911</f>
        <v/>
      </c>
      <c r="S911" s="29" t="s">
        <v>153</v>
      </c>
      <c r="T911" s="21" t="str">
        <f>'Ingest Template'!T911</f>
        <v/>
      </c>
      <c r="U911" s="21" t="str">
        <f>'Ingest Template'!S911</f>
        <v/>
      </c>
      <c r="V911" s="21" t="str">
        <f>LOWER(SUBSTITUTE(SUBSTITUTE(SUBSTITUTE(SUBSTITUTE(SUBSTITUTE('Ingest Template'!U911,"https:",""),"www.",""),"/",""),"?hl=en",""),"instagram.com",""))</f>
        <v/>
      </c>
      <c r="W911" s="41" t="str">
        <f t="array" ref="W911">IF('Ingest Template'!V911="",(INDEX(DropDown!$L$2:$L$392,MATCH('Ingest Template'!E911,DropDown!$J$2:$J$392,0))&amp;"|"&amp;'Ingest Template'!B911),(INDEX(DropDown!$L$2:$L$392,MATCH('Ingest Template'!E911,DropDown!$J$2:$J$392,0))&amp;"|"&amp;'Ingest Template'!B911)&amp;CHAR(10)&amp;'Ingest Template'!V911)</f>
        <v>#N/A</v>
      </c>
      <c r="X911" s="41" t="str">
        <f>'Ingest Template'!W911</f>
        <v/>
      </c>
      <c r="Y911" s="21" t="str">
        <f>SUBSTITUTE(SUBSTITUTE(SUBSTITUTE('Ingest Template'!X911,"http:",""),"https:",""),"/","")</f>
        <v/>
      </c>
      <c r="Z911" s="21" t="str">
        <f t="array" ref="Z911">IF('Ingest Template'!A911="Standard",(IF(ISBLANK('Ingest Template'!AA911),"", 'Ingest Template'!AA911&amp;"|DAR")),(IF(ISBLANK('Ingest Template'!AA911),"", 'Ingest Template'!AA911&amp;"|Film Ops")))</f>
        <v/>
      </c>
      <c r="AA911" s="21"/>
      <c r="AB911" s="21" t="str">
        <f>'Ingest Template'!M911</f>
        <v/>
      </c>
      <c r="AC911" s="21" t="str">
        <f>'Ingest Template'!Y911</f>
        <v/>
      </c>
      <c r="AD911" s="21" t="str">
        <f>'Ingest Template'!C911</f>
        <v/>
      </c>
      <c r="AE911" s="21" t="str">
        <f>'Ingest Template'!Z911</f>
        <v/>
      </c>
      <c r="AF911" s="29"/>
      <c r="AG911" s="21" t="str">
        <f t="array" ref="AG911">IF('Ingest Template'!A911="Standard",(CONCATENATE(IF(ISBLANK('Ingest Template'!O911),"", 'Ingest Template'!O911&amp;"|DAR"),CHAR(10), IF(ISBLANK('Ingest Template'!P911),"", 'Ingest Template'!P911&amp;"|DAR"),CHAR(10), IF(ISBLANK('Ingest Template'!Q911),"", 'Ingest Template'!Q911&amp;"|DAR"))),(CONCATENATE(IF(ISBLANK('Ingest Template'!O911),"", 'Ingest Template'!O911&amp;"|Operations - Core Title"),CHAR(10), IF(ISBLANK('Ingest Template'!P911),"", 'Ingest Template'!P911&amp;"|Operations - Core Title"),CHAR(10), IF(ISBLANK('Ingest Template'!Q911),"", 'Ingest Template'!Q911&amp;"|Operations - Core Title"))))</f>
        <v>#|Operations - Core Title
#|Operations - Core Title
</v>
      </c>
      <c r="AH911" s="21"/>
      <c r="AI911" s="21"/>
      <c r="AJ911" s="53" t="str">
        <f>if('Ingest Template'!A911="Standard",'Ingest Template'!N911&amp; "|DAR|DAR|2021-01-01",'Ingest Template'!N911&amp; "|Operations - Core Title|Operations - Core Title")</f>
        <v>#N/A</v>
      </c>
      <c r="AK911" s="53" t="str">
        <f>if('Ingest Template'!A911="Standard",'Ingest Template'!R911&amp; "|2021-01-01",'Ingest Template'!R911)</f>
        <v>#N/A</v>
      </c>
      <c r="AL911" s="21"/>
      <c r="AM911" s="21"/>
    </row>
    <row r="912">
      <c r="A912" s="21"/>
      <c r="B912" s="21" t="str">
        <f>'Ingest Template'!B912&amp;IF('Ingest Template'!A912 = "Standard", " - DAR","")</f>
        <v/>
      </c>
      <c r="C912" s="26" t="s">
        <v>109</v>
      </c>
      <c r="D912" s="29" t="str">
        <f t="array" ref="D912">CONCATENATE(INDEX(DropDown!$H$2:$H$10,MATCH(1,COUNTIF('Ingest Template'!F912,"*"&amp;DropDown!$H$2:$H$10&amp;"*"),0)),CHAR(10),'Ingest Template'!G912)</f>
        <v>#N/A</v>
      </c>
      <c r="E912" s="21" t="str">
        <f>CONCATENATE('Ingest Template'!H912,CHAR(10),'Ingest Template'!I912,CHAR(10),'Ingest Template'!J912)</f>
        <v>
</v>
      </c>
      <c r="F912" s="26" t="str">
        <f>'Ingest Template'!H912</f>
        <v/>
      </c>
      <c r="G912" s="21"/>
      <c r="H912" s="29"/>
      <c r="I912" s="21"/>
      <c r="J912" s="29" t="str">
        <f t="array" ref="J912">iF('Ingest Template'!A912="Standard","Pristine Brand",INDEX(DropDown!$M$2:$M$392,MATCH('Ingest Template'!E912,DropDown!$J$2:$J$392,0)))</f>
        <v>#N/A</v>
      </c>
      <c r="K912" s="21" t="str">
        <f>iF('Ingest Template'!A912="Standard",'Ingest Template'!K912&amp;CHAR(10)&amp;'Ingest Template'!L912,"Competitive View")</f>
        <v>Competitive View</v>
      </c>
      <c r="L912" s="29" t="s">
        <v>146</v>
      </c>
      <c r="M912" s="37" t="str">
        <f>'Ingest Template'!D912</f>
        <v/>
      </c>
      <c r="N912" s="21"/>
      <c r="O912" s="21"/>
      <c r="P912" s="21"/>
      <c r="Q912" s="21"/>
      <c r="R912" s="21" t="str">
        <f>'Ingest Template'!E912</f>
        <v/>
      </c>
      <c r="S912" s="29" t="s">
        <v>153</v>
      </c>
      <c r="T912" s="21" t="str">
        <f>'Ingest Template'!T912</f>
        <v/>
      </c>
      <c r="U912" s="21" t="str">
        <f>'Ingest Template'!S912</f>
        <v/>
      </c>
      <c r="V912" s="21" t="str">
        <f>LOWER(SUBSTITUTE(SUBSTITUTE(SUBSTITUTE(SUBSTITUTE(SUBSTITUTE('Ingest Template'!U912,"https:",""),"www.",""),"/",""),"?hl=en",""),"instagram.com",""))</f>
        <v/>
      </c>
      <c r="W912" s="41" t="str">
        <f t="array" ref="W912">IF('Ingest Template'!V912="",(INDEX(DropDown!$L$2:$L$392,MATCH('Ingest Template'!E912,DropDown!$J$2:$J$392,0))&amp;"|"&amp;'Ingest Template'!B912),(INDEX(DropDown!$L$2:$L$392,MATCH('Ingest Template'!E912,DropDown!$J$2:$J$392,0))&amp;"|"&amp;'Ingest Template'!B912)&amp;CHAR(10)&amp;'Ingest Template'!V912)</f>
        <v>#N/A</v>
      </c>
      <c r="X912" s="41" t="str">
        <f>'Ingest Template'!W912</f>
        <v/>
      </c>
      <c r="Y912" s="21" t="str">
        <f>SUBSTITUTE(SUBSTITUTE(SUBSTITUTE('Ingest Template'!X912,"http:",""),"https:",""),"/","")</f>
        <v/>
      </c>
      <c r="Z912" s="21" t="str">
        <f t="array" ref="Z912">IF('Ingest Template'!A912="Standard",(IF(ISBLANK('Ingest Template'!AA912),"", 'Ingest Template'!AA912&amp;"|DAR")),(IF(ISBLANK('Ingest Template'!AA912),"", 'Ingest Template'!AA912&amp;"|Film Ops")))</f>
        <v/>
      </c>
      <c r="AA912" s="21"/>
      <c r="AB912" s="21" t="str">
        <f>'Ingest Template'!M912</f>
        <v/>
      </c>
      <c r="AC912" s="21" t="str">
        <f>'Ingest Template'!Y912</f>
        <v/>
      </c>
      <c r="AD912" s="21" t="str">
        <f>'Ingest Template'!C912</f>
        <v/>
      </c>
      <c r="AE912" s="21" t="str">
        <f>'Ingest Template'!Z912</f>
        <v/>
      </c>
      <c r="AF912" s="29"/>
      <c r="AG912" s="21" t="str">
        <f t="array" ref="AG912">IF('Ingest Template'!A912="Standard",(CONCATENATE(IF(ISBLANK('Ingest Template'!O912),"", 'Ingest Template'!O912&amp;"|DAR"),CHAR(10), IF(ISBLANK('Ingest Template'!P912),"", 'Ingest Template'!P912&amp;"|DAR"),CHAR(10), IF(ISBLANK('Ingest Template'!Q912),"", 'Ingest Template'!Q912&amp;"|DAR"))),(CONCATENATE(IF(ISBLANK('Ingest Template'!O912),"", 'Ingest Template'!O912&amp;"|Operations - Core Title"),CHAR(10), IF(ISBLANK('Ingest Template'!P912),"", 'Ingest Template'!P912&amp;"|Operations - Core Title"),CHAR(10), IF(ISBLANK('Ingest Template'!Q912),"", 'Ingest Template'!Q912&amp;"|Operations - Core Title"))))</f>
        <v>#|Operations - Core Title
#|Operations - Core Title
</v>
      </c>
      <c r="AH912" s="21"/>
      <c r="AI912" s="21"/>
      <c r="AJ912" s="53" t="str">
        <f>if('Ingest Template'!A912="Standard",'Ingest Template'!N912&amp; "|DAR|DAR|2021-01-01",'Ingest Template'!N912&amp; "|Operations - Core Title|Operations - Core Title")</f>
        <v>#N/A</v>
      </c>
      <c r="AK912" s="53" t="str">
        <f>if('Ingest Template'!A912="Standard",'Ingest Template'!R912&amp; "|2021-01-01",'Ingest Template'!R912)</f>
        <v>#N/A</v>
      </c>
      <c r="AL912" s="21"/>
      <c r="AM912" s="21"/>
    </row>
    <row r="913">
      <c r="A913" s="21"/>
      <c r="B913" s="21" t="str">
        <f>'Ingest Template'!B913&amp;IF('Ingest Template'!A913 = "Standard", " - DAR","")</f>
        <v/>
      </c>
      <c r="C913" s="26" t="s">
        <v>109</v>
      </c>
      <c r="D913" s="29" t="str">
        <f t="array" ref="D913">CONCATENATE(INDEX(DropDown!$H$2:$H$10,MATCH(1,COUNTIF('Ingest Template'!F913,"*"&amp;DropDown!$H$2:$H$10&amp;"*"),0)),CHAR(10),'Ingest Template'!G913)</f>
        <v>#N/A</v>
      </c>
      <c r="E913" s="21" t="str">
        <f>CONCATENATE('Ingest Template'!H913,CHAR(10),'Ingest Template'!I913,CHAR(10),'Ingest Template'!J913)</f>
        <v>
</v>
      </c>
      <c r="F913" s="26" t="str">
        <f>'Ingest Template'!H913</f>
        <v/>
      </c>
      <c r="G913" s="21"/>
      <c r="H913" s="29"/>
      <c r="I913" s="21"/>
      <c r="J913" s="29" t="str">
        <f t="array" ref="J913">iF('Ingest Template'!A913="Standard","Pristine Brand",INDEX(DropDown!$M$2:$M$392,MATCH('Ingest Template'!E913,DropDown!$J$2:$J$392,0)))</f>
        <v>#N/A</v>
      </c>
      <c r="K913" s="21" t="str">
        <f>iF('Ingest Template'!A913="Standard",'Ingest Template'!K913&amp;CHAR(10)&amp;'Ingest Template'!L913,"Competitive View")</f>
        <v>Competitive View</v>
      </c>
      <c r="L913" s="29" t="s">
        <v>146</v>
      </c>
      <c r="M913" s="37" t="str">
        <f>'Ingest Template'!D913</f>
        <v/>
      </c>
      <c r="N913" s="21"/>
      <c r="O913" s="21"/>
      <c r="P913" s="21"/>
      <c r="Q913" s="21"/>
      <c r="R913" s="21" t="str">
        <f>'Ingest Template'!E913</f>
        <v/>
      </c>
      <c r="S913" s="29" t="s">
        <v>153</v>
      </c>
      <c r="T913" s="21" t="str">
        <f>'Ingest Template'!T913</f>
        <v/>
      </c>
      <c r="U913" s="21" t="str">
        <f>'Ingest Template'!S913</f>
        <v/>
      </c>
      <c r="V913" s="21" t="str">
        <f>LOWER(SUBSTITUTE(SUBSTITUTE(SUBSTITUTE(SUBSTITUTE(SUBSTITUTE('Ingest Template'!U913,"https:",""),"www.",""),"/",""),"?hl=en",""),"instagram.com",""))</f>
        <v/>
      </c>
      <c r="W913" s="41" t="str">
        <f t="array" ref="W913">IF('Ingest Template'!V913="",(INDEX(DropDown!$L$2:$L$392,MATCH('Ingest Template'!E913,DropDown!$J$2:$J$392,0))&amp;"|"&amp;'Ingest Template'!B913),(INDEX(DropDown!$L$2:$L$392,MATCH('Ingest Template'!E913,DropDown!$J$2:$J$392,0))&amp;"|"&amp;'Ingest Template'!B913)&amp;CHAR(10)&amp;'Ingest Template'!V913)</f>
        <v>#N/A</v>
      </c>
      <c r="X913" s="41" t="str">
        <f>'Ingest Template'!W913</f>
        <v/>
      </c>
      <c r="Y913" s="21" t="str">
        <f>SUBSTITUTE(SUBSTITUTE(SUBSTITUTE('Ingest Template'!X913,"http:",""),"https:",""),"/","")</f>
        <v/>
      </c>
      <c r="Z913" s="21" t="str">
        <f t="array" ref="Z913">IF('Ingest Template'!A913="Standard",(IF(ISBLANK('Ingest Template'!AA913),"", 'Ingest Template'!AA913&amp;"|DAR")),(IF(ISBLANK('Ingest Template'!AA913),"", 'Ingest Template'!AA913&amp;"|Film Ops")))</f>
        <v/>
      </c>
      <c r="AA913" s="21"/>
      <c r="AB913" s="21" t="str">
        <f>'Ingest Template'!M913</f>
        <v/>
      </c>
      <c r="AC913" s="21" t="str">
        <f>'Ingest Template'!Y913</f>
        <v/>
      </c>
      <c r="AD913" s="21" t="str">
        <f>'Ingest Template'!C913</f>
        <v/>
      </c>
      <c r="AE913" s="21" t="str">
        <f>'Ingest Template'!Z913</f>
        <v/>
      </c>
      <c r="AF913" s="29"/>
      <c r="AG913" s="21" t="str">
        <f t="array" ref="AG913">IF('Ingest Template'!A913="Standard",(CONCATENATE(IF(ISBLANK('Ingest Template'!O913),"", 'Ingest Template'!O913&amp;"|DAR"),CHAR(10), IF(ISBLANK('Ingest Template'!P913),"", 'Ingest Template'!P913&amp;"|DAR"),CHAR(10), IF(ISBLANK('Ingest Template'!Q913),"", 'Ingest Template'!Q913&amp;"|DAR"))),(CONCATENATE(IF(ISBLANK('Ingest Template'!O913),"", 'Ingest Template'!O913&amp;"|Operations - Core Title"),CHAR(10), IF(ISBLANK('Ingest Template'!P913),"", 'Ingest Template'!P913&amp;"|Operations - Core Title"),CHAR(10), IF(ISBLANK('Ingest Template'!Q913),"", 'Ingest Template'!Q913&amp;"|Operations - Core Title"))))</f>
        <v>#|Operations - Core Title
#|Operations - Core Title
</v>
      </c>
      <c r="AH913" s="21"/>
      <c r="AI913" s="21"/>
      <c r="AJ913" s="53" t="str">
        <f>if('Ingest Template'!A913="Standard",'Ingest Template'!N913&amp; "|DAR|DAR|2021-01-01",'Ingest Template'!N913&amp; "|Operations - Core Title|Operations - Core Title")</f>
        <v>#N/A</v>
      </c>
      <c r="AK913" s="53" t="str">
        <f>if('Ingest Template'!A913="Standard",'Ingest Template'!R913&amp; "|2021-01-01",'Ingest Template'!R913)</f>
        <v>#N/A</v>
      </c>
      <c r="AL913" s="21"/>
      <c r="AM913" s="21"/>
    </row>
    <row r="914">
      <c r="A914" s="21"/>
      <c r="B914" s="21" t="str">
        <f>'Ingest Template'!B914&amp;IF('Ingest Template'!A914 = "Standard", " - DAR","")</f>
        <v/>
      </c>
      <c r="C914" s="26" t="s">
        <v>109</v>
      </c>
      <c r="D914" s="29" t="str">
        <f t="array" ref="D914">CONCATENATE(INDEX(DropDown!$H$2:$H$10,MATCH(1,COUNTIF('Ingest Template'!F914,"*"&amp;DropDown!$H$2:$H$10&amp;"*"),0)),CHAR(10),'Ingest Template'!G914)</f>
        <v>#N/A</v>
      </c>
      <c r="E914" s="21" t="str">
        <f>CONCATENATE('Ingest Template'!H914,CHAR(10),'Ingest Template'!I914,CHAR(10),'Ingest Template'!J914)</f>
        <v>
</v>
      </c>
      <c r="F914" s="26" t="str">
        <f>'Ingest Template'!H914</f>
        <v/>
      </c>
      <c r="G914" s="21"/>
      <c r="H914" s="29"/>
      <c r="I914" s="21"/>
      <c r="J914" s="29" t="str">
        <f t="array" ref="J914">iF('Ingest Template'!A914="Standard","Pristine Brand",INDEX(DropDown!$M$2:$M$392,MATCH('Ingest Template'!E914,DropDown!$J$2:$J$392,0)))</f>
        <v>#N/A</v>
      </c>
      <c r="K914" s="21" t="str">
        <f>iF('Ingest Template'!A914="Standard",'Ingest Template'!K914&amp;CHAR(10)&amp;'Ingest Template'!L914,"Competitive View")</f>
        <v>Competitive View</v>
      </c>
      <c r="L914" s="29" t="s">
        <v>146</v>
      </c>
      <c r="M914" s="37" t="str">
        <f>'Ingest Template'!D914</f>
        <v/>
      </c>
      <c r="N914" s="21"/>
      <c r="O914" s="21"/>
      <c r="P914" s="21"/>
      <c r="Q914" s="21"/>
      <c r="R914" s="21" t="str">
        <f>'Ingest Template'!E914</f>
        <v/>
      </c>
      <c r="S914" s="29" t="s">
        <v>153</v>
      </c>
      <c r="T914" s="21" t="str">
        <f>'Ingest Template'!T914</f>
        <v/>
      </c>
      <c r="U914" s="21" t="str">
        <f>'Ingest Template'!S914</f>
        <v/>
      </c>
      <c r="V914" s="21" t="str">
        <f>LOWER(SUBSTITUTE(SUBSTITUTE(SUBSTITUTE(SUBSTITUTE(SUBSTITUTE('Ingest Template'!U914,"https:",""),"www.",""),"/",""),"?hl=en",""),"instagram.com",""))</f>
        <v/>
      </c>
      <c r="W914" s="41" t="str">
        <f t="array" ref="W914">IF('Ingest Template'!V914="",(INDEX(DropDown!$L$2:$L$392,MATCH('Ingest Template'!E914,DropDown!$J$2:$J$392,0))&amp;"|"&amp;'Ingest Template'!B914),(INDEX(DropDown!$L$2:$L$392,MATCH('Ingest Template'!E914,DropDown!$J$2:$J$392,0))&amp;"|"&amp;'Ingest Template'!B914)&amp;CHAR(10)&amp;'Ingest Template'!V914)</f>
        <v>#N/A</v>
      </c>
      <c r="X914" s="41" t="str">
        <f>'Ingest Template'!W914</f>
        <v/>
      </c>
      <c r="Y914" s="21" t="str">
        <f>SUBSTITUTE(SUBSTITUTE(SUBSTITUTE('Ingest Template'!X914,"http:",""),"https:",""),"/","")</f>
        <v/>
      </c>
      <c r="Z914" s="21" t="str">
        <f t="array" ref="Z914">IF('Ingest Template'!A914="Standard",(IF(ISBLANK('Ingest Template'!AA914),"", 'Ingest Template'!AA914&amp;"|DAR")),(IF(ISBLANK('Ingest Template'!AA914),"", 'Ingest Template'!AA914&amp;"|Film Ops")))</f>
        <v/>
      </c>
      <c r="AA914" s="21"/>
      <c r="AB914" s="21" t="str">
        <f>'Ingest Template'!M914</f>
        <v/>
      </c>
      <c r="AC914" s="21" t="str">
        <f>'Ingest Template'!Y914</f>
        <v/>
      </c>
      <c r="AD914" s="21" t="str">
        <f>'Ingest Template'!C914</f>
        <v/>
      </c>
      <c r="AE914" s="21" t="str">
        <f>'Ingest Template'!Z914</f>
        <v/>
      </c>
      <c r="AF914" s="29"/>
      <c r="AG914" s="21" t="str">
        <f t="array" ref="AG914">IF('Ingest Template'!A914="Standard",(CONCATENATE(IF(ISBLANK('Ingest Template'!O914),"", 'Ingest Template'!O914&amp;"|DAR"),CHAR(10), IF(ISBLANK('Ingest Template'!P914),"", 'Ingest Template'!P914&amp;"|DAR"),CHAR(10), IF(ISBLANK('Ingest Template'!Q914),"", 'Ingest Template'!Q914&amp;"|DAR"))),(CONCATENATE(IF(ISBLANK('Ingest Template'!O914),"", 'Ingest Template'!O914&amp;"|Operations - Core Title"),CHAR(10), IF(ISBLANK('Ingest Template'!P914),"", 'Ingest Template'!P914&amp;"|Operations - Core Title"),CHAR(10), IF(ISBLANK('Ingest Template'!Q914),"", 'Ingest Template'!Q914&amp;"|Operations - Core Title"))))</f>
        <v>#|Operations - Core Title
#|Operations - Core Title
</v>
      </c>
      <c r="AH914" s="21"/>
      <c r="AI914" s="21"/>
      <c r="AJ914" s="53" t="str">
        <f>if('Ingest Template'!A914="Standard",'Ingest Template'!N914&amp; "|DAR|DAR|2021-01-01",'Ingest Template'!N914&amp; "|Operations - Core Title|Operations - Core Title")</f>
        <v>#N/A</v>
      </c>
      <c r="AK914" s="53" t="str">
        <f>if('Ingest Template'!A914="Standard",'Ingest Template'!R914&amp; "|2021-01-01",'Ingest Template'!R914)</f>
        <v>#N/A</v>
      </c>
      <c r="AL914" s="21"/>
      <c r="AM914" s="21"/>
    </row>
    <row r="915">
      <c r="A915" s="21"/>
      <c r="B915" s="21" t="str">
        <f>'Ingest Template'!B915&amp;IF('Ingest Template'!A915 = "Standard", " - DAR","")</f>
        <v/>
      </c>
      <c r="C915" s="26" t="s">
        <v>109</v>
      </c>
      <c r="D915" s="29" t="str">
        <f t="array" ref="D915">CONCATENATE(INDEX(DropDown!$H$2:$H$10,MATCH(1,COUNTIF('Ingest Template'!F915,"*"&amp;DropDown!$H$2:$H$10&amp;"*"),0)),CHAR(10),'Ingest Template'!G915)</f>
        <v>#N/A</v>
      </c>
      <c r="E915" s="21" t="str">
        <f>CONCATENATE('Ingest Template'!H915,CHAR(10),'Ingest Template'!I915,CHAR(10),'Ingest Template'!J915)</f>
        <v>
</v>
      </c>
      <c r="F915" s="26" t="str">
        <f>'Ingest Template'!H915</f>
        <v/>
      </c>
      <c r="G915" s="21"/>
      <c r="H915" s="29"/>
      <c r="I915" s="21"/>
      <c r="J915" s="29" t="str">
        <f t="array" ref="J915">iF('Ingest Template'!A915="Standard","Pristine Brand",INDEX(DropDown!$M$2:$M$392,MATCH('Ingest Template'!E915,DropDown!$J$2:$J$392,0)))</f>
        <v>#N/A</v>
      </c>
      <c r="K915" s="21" t="str">
        <f>iF('Ingest Template'!A915="Standard",'Ingest Template'!K915&amp;CHAR(10)&amp;'Ingest Template'!L915,"Competitive View")</f>
        <v>Competitive View</v>
      </c>
      <c r="L915" s="29" t="s">
        <v>146</v>
      </c>
      <c r="M915" s="37" t="str">
        <f>'Ingest Template'!D915</f>
        <v/>
      </c>
      <c r="N915" s="21"/>
      <c r="O915" s="21"/>
      <c r="P915" s="21"/>
      <c r="Q915" s="21"/>
      <c r="R915" s="21" t="str">
        <f>'Ingest Template'!E915</f>
        <v/>
      </c>
      <c r="S915" s="29" t="s">
        <v>153</v>
      </c>
      <c r="T915" s="21" t="str">
        <f>'Ingest Template'!T915</f>
        <v/>
      </c>
      <c r="U915" s="21" t="str">
        <f>'Ingest Template'!S915</f>
        <v/>
      </c>
      <c r="V915" s="21" t="str">
        <f>LOWER(SUBSTITUTE(SUBSTITUTE(SUBSTITUTE(SUBSTITUTE(SUBSTITUTE('Ingest Template'!U915,"https:",""),"www.",""),"/",""),"?hl=en",""),"instagram.com",""))</f>
        <v/>
      </c>
      <c r="W915" s="41" t="str">
        <f t="array" ref="W915">IF('Ingest Template'!V915="",(INDEX(DropDown!$L$2:$L$392,MATCH('Ingest Template'!E915,DropDown!$J$2:$J$392,0))&amp;"|"&amp;'Ingest Template'!B915),(INDEX(DropDown!$L$2:$L$392,MATCH('Ingest Template'!E915,DropDown!$J$2:$J$392,0))&amp;"|"&amp;'Ingest Template'!B915)&amp;CHAR(10)&amp;'Ingest Template'!V915)</f>
        <v>#N/A</v>
      </c>
      <c r="X915" s="41" t="str">
        <f>'Ingest Template'!W915</f>
        <v/>
      </c>
      <c r="Y915" s="21" t="str">
        <f>SUBSTITUTE(SUBSTITUTE(SUBSTITUTE('Ingest Template'!X915,"http:",""),"https:",""),"/","")</f>
        <v/>
      </c>
      <c r="Z915" s="21" t="str">
        <f t="array" ref="Z915">IF('Ingest Template'!A915="Standard",(IF(ISBLANK('Ingest Template'!AA915),"", 'Ingest Template'!AA915&amp;"|DAR")),(IF(ISBLANK('Ingest Template'!AA915),"", 'Ingest Template'!AA915&amp;"|Film Ops")))</f>
        <v/>
      </c>
      <c r="AA915" s="21"/>
      <c r="AB915" s="21" t="str">
        <f>'Ingest Template'!M915</f>
        <v/>
      </c>
      <c r="AC915" s="21" t="str">
        <f>'Ingest Template'!Y915</f>
        <v/>
      </c>
      <c r="AD915" s="21" t="str">
        <f>'Ingest Template'!C915</f>
        <v/>
      </c>
      <c r="AE915" s="21" t="str">
        <f>'Ingest Template'!Z915</f>
        <v/>
      </c>
      <c r="AF915" s="29"/>
      <c r="AG915" s="21" t="str">
        <f t="array" ref="AG915">IF('Ingest Template'!A915="Standard",(CONCATENATE(IF(ISBLANK('Ingest Template'!O915),"", 'Ingest Template'!O915&amp;"|DAR"),CHAR(10), IF(ISBLANK('Ingest Template'!P915),"", 'Ingest Template'!P915&amp;"|DAR"),CHAR(10), IF(ISBLANK('Ingest Template'!Q915),"", 'Ingest Template'!Q915&amp;"|DAR"))),(CONCATENATE(IF(ISBLANK('Ingest Template'!O915),"", 'Ingest Template'!O915&amp;"|Operations - Core Title"),CHAR(10), IF(ISBLANK('Ingest Template'!P915),"", 'Ingest Template'!P915&amp;"|Operations - Core Title"),CHAR(10), IF(ISBLANK('Ingest Template'!Q915),"", 'Ingest Template'!Q915&amp;"|Operations - Core Title"))))</f>
        <v>#|Operations - Core Title
#|Operations - Core Title
</v>
      </c>
      <c r="AH915" s="21"/>
      <c r="AI915" s="21"/>
      <c r="AJ915" s="53" t="str">
        <f>if('Ingest Template'!A915="Standard",'Ingest Template'!N915&amp; "|DAR|DAR|2021-01-01",'Ingest Template'!N915&amp; "|Operations - Core Title|Operations - Core Title")</f>
        <v>#N/A</v>
      </c>
      <c r="AK915" s="53" t="str">
        <f>if('Ingest Template'!A915="Standard",'Ingest Template'!R915&amp; "|2021-01-01",'Ingest Template'!R915)</f>
        <v>#N/A</v>
      </c>
      <c r="AL915" s="21"/>
      <c r="AM915" s="21"/>
    </row>
    <row r="916">
      <c r="A916" s="21"/>
      <c r="B916" s="21" t="str">
        <f>'Ingest Template'!B916&amp;IF('Ingest Template'!A916 = "Standard", " - DAR","")</f>
        <v/>
      </c>
      <c r="C916" s="26" t="s">
        <v>109</v>
      </c>
      <c r="D916" s="29" t="str">
        <f t="array" ref="D916">CONCATENATE(INDEX(DropDown!$H$2:$H$10,MATCH(1,COUNTIF('Ingest Template'!F916,"*"&amp;DropDown!$H$2:$H$10&amp;"*"),0)),CHAR(10),'Ingest Template'!G916)</f>
        <v>#N/A</v>
      </c>
      <c r="E916" s="21" t="str">
        <f>CONCATENATE('Ingest Template'!H916,CHAR(10),'Ingest Template'!I916,CHAR(10),'Ingest Template'!J916)</f>
        <v>
</v>
      </c>
      <c r="F916" s="26" t="str">
        <f>'Ingest Template'!H916</f>
        <v/>
      </c>
      <c r="G916" s="21"/>
      <c r="H916" s="29"/>
      <c r="I916" s="21"/>
      <c r="J916" s="29" t="str">
        <f t="array" ref="J916">iF('Ingest Template'!A916="Standard","Pristine Brand",INDEX(DropDown!$M$2:$M$392,MATCH('Ingest Template'!E916,DropDown!$J$2:$J$392,0)))</f>
        <v>#N/A</v>
      </c>
      <c r="K916" s="21" t="str">
        <f>iF('Ingest Template'!A916="Standard",'Ingest Template'!K916&amp;CHAR(10)&amp;'Ingest Template'!L916,"Competitive View")</f>
        <v>Competitive View</v>
      </c>
      <c r="L916" s="29" t="s">
        <v>146</v>
      </c>
      <c r="M916" s="37" t="str">
        <f>'Ingest Template'!D916</f>
        <v/>
      </c>
      <c r="N916" s="21"/>
      <c r="O916" s="21"/>
      <c r="P916" s="21"/>
      <c r="Q916" s="21"/>
      <c r="R916" s="21" t="str">
        <f>'Ingest Template'!E916</f>
        <v/>
      </c>
      <c r="S916" s="29" t="s">
        <v>153</v>
      </c>
      <c r="T916" s="21" t="str">
        <f>'Ingest Template'!T916</f>
        <v/>
      </c>
      <c r="U916" s="21" t="str">
        <f>'Ingest Template'!S916</f>
        <v/>
      </c>
      <c r="V916" s="21" t="str">
        <f>LOWER(SUBSTITUTE(SUBSTITUTE(SUBSTITUTE(SUBSTITUTE(SUBSTITUTE('Ingest Template'!U916,"https:",""),"www.",""),"/",""),"?hl=en",""),"instagram.com",""))</f>
        <v/>
      </c>
      <c r="W916" s="41" t="str">
        <f t="array" ref="W916">IF('Ingest Template'!V916="",(INDEX(DropDown!$L$2:$L$392,MATCH('Ingest Template'!E916,DropDown!$J$2:$J$392,0))&amp;"|"&amp;'Ingest Template'!B916),(INDEX(DropDown!$L$2:$L$392,MATCH('Ingest Template'!E916,DropDown!$J$2:$J$392,0))&amp;"|"&amp;'Ingest Template'!B916)&amp;CHAR(10)&amp;'Ingest Template'!V916)</f>
        <v>#N/A</v>
      </c>
      <c r="X916" s="41" t="str">
        <f>'Ingest Template'!W916</f>
        <v/>
      </c>
      <c r="Y916" s="21" t="str">
        <f>SUBSTITUTE(SUBSTITUTE(SUBSTITUTE('Ingest Template'!X916,"http:",""),"https:",""),"/","")</f>
        <v/>
      </c>
      <c r="Z916" s="21" t="str">
        <f t="array" ref="Z916">IF('Ingest Template'!A916="Standard",(IF(ISBLANK('Ingest Template'!AA916),"", 'Ingest Template'!AA916&amp;"|DAR")),(IF(ISBLANK('Ingest Template'!AA916),"", 'Ingest Template'!AA916&amp;"|Film Ops")))</f>
        <v/>
      </c>
      <c r="AA916" s="21"/>
      <c r="AB916" s="21" t="str">
        <f>'Ingest Template'!M916</f>
        <v/>
      </c>
      <c r="AC916" s="21" t="str">
        <f>'Ingest Template'!Y916</f>
        <v/>
      </c>
      <c r="AD916" s="21" t="str">
        <f>'Ingest Template'!C916</f>
        <v/>
      </c>
      <c r="AE916" s="21" t="str">
        <f>'Ingest Template'!Z916</f>
        <v/>
      </c>
      <c r="AF916" s="29"/>
      <c r="AG916" s="21" t="str">
        <f t="array" ref="AG916">IF('Ingest Template'!A916="Standard",(CONCATENATE(IF(ISBLANK('Ingest Template'!O916),"", 'Ingest Template'!O916&amp;"|DAR"),CHAR(10), IF(ISBLANK('Ingest Template'!P916),"", 'Ingest Template'!P916&amp;"|DAR"),CHAR(10), IF(ISBLANK('Ingest Template'!Q916),"", 'Ingest Template'!Q916&amp;"|DAR"))),(CONCATENATE(IF(ISBLANK('Ingest Template'!O916),"", 'Ingest Template'!O916&amp;"|Operations - Core Title"),CHAR(10), IF(ISBLANK('Ingest Template'!P916),"", 'Ingest Template'!P916&amp;"|Operations - Core Title"),CHAR(10), IF(ISBLANK('Ingest Template'!Q916),"", 'Ingest Template'!Q916&amp;"|Operations - Core Title"))))</f>
        <v>#|Operations - Core Title
#|Operations - Core Title
</v>
      </c>
      <c r="AH916" s="21"/>
      <c r="AI916" s="21"/>
      <c r="AJ916" s="53" t="str">
        <f>if('Ingest Template'!A916="Standard",'Ingest Template'!N916&amp; "|DAR|DAR|2021-01-01",'Ingest Template'!N916&amp; "|Operations - Core Title|Operations - Core Title")</f>
        <v>#N/A</v>
      </c>
      <c r="AK916" s="53" t="str">
        <f>if('Ingest Template'!A916="Standard",'Ingest Template'!R916&amp; "|2021-01-01",'Ingest Template'!R916)</f>
        <v>#N/A</v>
      </c>
      <c r="AL916" s="21"/>
      <c r="AM916" s="21"/>
    </row>
    <row r="917">
      <c r="A917" s="21"/>
      <c r="B917" s="21" t="str">
        <f>'Ingest Template'!B917&amp;IF('Ingest Template'!A917 = "Standard", " - DAR","")</f>
        <v/>
      </c>
      <c r="C917" s="26" t="s">
        <v>109</v>
      </c>
      <c r="D917" s="29" t="str">
        <f t="array" ref="D917">CONCATENATE(INDEX(DropDown!$H$2:$H$10,MATCH(1,COUNTIF('Ingest Template'!F917,"*"&amp;DropDown!$H$2:$H$10&amp;"*"),0)),CHAR(10),'Ingest Template'!G917)</f>
        <v>#N/A</v>
      </c>
      <c r="E917" s="21" t="str">
        <f>CONCATENATE('Ingest Template'!H917,CHAR(10),'Ingest Template'!I917,CHAR(10),'Ingest Template'!J917)</f>
        <v>
</v>
      </c>
      <c r="F917" s="26" t="str">
        <f>'Ingest Template'!H917</f>
        <v/>
      </c>
      <c r="G917" s="21"/>
      <c r="H917" s="29"/>
      <c r="I917" s="21"/>
      <c r="J917" s="29" t="str">
        <f t="array" ref="J917">iF('Ingest Template'!A917="Standard","Pristine Brand",INDEX(DropDown!$M$2:$M$392,MATCH('Ingest Template'!E917,DropDown!$J$2:$J$392,0)))</f>
        <v>#N/A</v>
      </c>
      <c r="K917" s="21" t="str">
        <f>iF('Ingest Template'!A917="Standard",'Ingest Template'!K917&amp;CHAR(10)&amp;'Ingest Template'!L917,"Competitive View")</f>
        <v>Competitive View</v>
      </c>
      <c r="L917" s="29" t="s">
        <v>146</v>
      </c>
      <c r="M917" s="37" t="str">
        <f>'Ingest Template'!D917</f>
        <v/>
      </c>
      <c r="N917" s="21"/>
      <c r="O917" s="21"/>
      <c r="P917" s="21"/>
      <c r="Q917" s="21"/>
      <c r="R917" s="21" t="str">
        <f>'Ingest Template'!E917</f>
        <v/>
      </c>
      <c r="S917" s="29" t="s">
        <v>153</v>
      </c>
      <c r="T917" s="21" t="str">
        <f>'Ingest Template'!T917</f>
        <v/>
      </c>
      <c r="U917" s="21" t="str">
        <f>'Ingest Template'!S917</f>
        <v/>
      </c>
      <c r="V917" s="21" t="str">
        <f>LOWER(SUBSTITUTE(SUBSTITUTE(SUBSTITUTE(SUBSTITUTE(SUBSTITUTE('Ingest Template'!U917,"https:",""),"www.",""),"/",""),"?hl=en",""),"instagram.com",""))</f>
        <v/>
      </c>
      <c r="W917" s="41" t="str">
        <f t="array" ref="W917">IF('Ingest Template'!V917="",(INDEX(DropDown!$L$2:$L$392,MATCH('Ingest Template'!E917,DropDown!$J$2:$J$392,0))&amp;"|"&amp;'Ingest Template'!B917),(INDEX(DropDown!$L$2:$L$392,MATCH('Ingest Template'!E917,DropDown!$J$2:$J$392,0))&amp;"|"&amp;'Ingest Template'!B917)&amp;CHAR(10)&amp;'Ingest Template'!V917)</f>
        <v>#N/A</v>
      </c>
      <c r="X917" s="41" t="str">
        <f>'Ingest Template'!W917</f>
        <v/>
      </c>
      <c r="Y917" s="21" t="str">
        <f>SUBSTITUTE(SUBSTITUTE(SUBSTITUTE('Ingest Template'!X917,"http:",""),"https:",""),"/","")</f>
        <v/>
      </c>
      <c r="Z917" s="21" t="str">
        <f t="array" ref="Z917">IF('Ingest Template'!A917="Standard",(IF(ISBLANK('Ingest Template'!AA917),"", 'Ingest Template'!AA917&amp;"|DAR")),(IF(ISBLANK('Ingest Template'!AA917),"", 'Ingest Template'!AA917&amp;"|Film Ops")))</f>
        <v/>
      </c>
      <c r="AA917" s="21"/>
      <c r="AB917" s="21" t="str">
        <f>'Ingest Template'!M917</f>
        <v/>
      </c>
      <c r="AC917" s="21" t="str">
        <f>'Ingest Template'!Y917</f>
        <v/>
      </c>
      <c r="AD917" s="21" t="str">
        <f>'Ingest Template'!C917</f>
        <v/>
      </c>
      <c r="AE917" s="21" t="str">
        <f>'Ingest Template'!Z917</f>
        <v/>
      </c>
      <c r="AF917" s="29"/>
      <c r="AG917" s="21" t="str">
        <f t="array" ref="AG917">IF('Ingest Template'!A917="Standard",(CONCATENATE(IF(ISBLANK('Ingest Template'!O917),"", 'Ingest Template'!O917&amp;"|DAR"),CHAR(10), IF(ISBLANK('Ingest Template'!P917),"", 'Ingest Template'!P917&amp;"|DAR"),CHAR(10), IF(ISBLANK('Ingest Template'!Q917),"", 'Ingest Template'!Q917&amp;"|DAR"))),(CONCATENATE(IF(ISBLANK('Ingest Template'!O917),"", 'Ingest Template'!O917&amp;"|Operations - Core Title"),CHAR(10), IF(ISBLANK('Ingest Template'!P917),"", 'Ingest Template'!P917&amp;"|Operations - Core Title"),CHAR(10), IF(ISBLANK('Ingest Template'!Q917),"", 'Ingest Template'!Q917&amp;"|Operations - Core Title"))))</f>
        <v>#|Operations - Core Title
#|Operations - Core Title
</v>
      </c>
      <c r="AH917" s="21"/>
      <c r="AI917" s="21"/>
      <c r="AJ917" s="53" t="str">
        <f>if('Ingest Template'!A917="Standard",'Ingest Template'!N917&amp; "|DAR|DAR|2021-01-01",'Ingest Template'!N917&amp; "|Operations - Core Title|Operations - Core Title")</f>
        <v>#N/A</v>
      </c>
      <c r="AK917" s="53" t="str">
        <f>if('Ingest Template'!A917="Standard",'Ingest Template'!R917&amp; "|2021-01-01",'Ingest Template'!R917)</f>
        <v>#N/A</v>
      </c>
      <c r="AL917" s="21"/>
      <c r="AM917" s="21"/>
    </row>
    <row r="918">
      <c r="A918" s="21"/>
      <c r="B918" s="21" t="str">
        <f>'Ingest Template'!B918&amp;IF('Ingest Template'!A918 = "Standard", " - DAR","")</f>
        <v/>
      </c>
      <c r="C918" s="26" t="s">
        <v>109</v>
      </c>
      <c r="D918" s="29" t="str">
        <f t="array" ref="D918">CONCATENATE(INDEX(DropDown!$H$2:$H$10,MATCH(1,COUNTIF('Ingest Template'!F918,"*"&amp;DropDown!$H$2:$H$10&amp;"*"),0)),CHAR(10),'Ingest Template'!G918)</f>
        <v>#N/A</v>
      </c>
      <c r="E918" s="21" t="str">
        <f>CONCATENATE('Ingest Template'!H918,CHAR(10),'Ingest Template'!I918,CHAR(10),'Ingest Template'!J918)</f>
        <v>
</v>
      </c>
      <c r="F918" s="26" t="str">
        <f>'Ingest Template'!H918</f>
        <v/>
      </c>
      <c r="G918" s="21"/>
      <c r="H918" s="29"/>
      <c r="I918" s="21"/>
      <c r="J918" s="29" t="str">
        <f t="array" ref="J918">iF('Ingest Template'!A918="Standard","Pristine Brand",INDEX(DropDown!$M$2:$M$392,MATCH('Ingest Template'!E918,DropDown!$J$2:$J$392,0)))</f>
        <v>#N/A</v>
      </c>
      <c r="K918" s="21" t="str">
        <f>iF('Ingest Template'!A918="Standard",'Ingest Template'!K918&amp;CHAR(10)&amp;'Ingest Template'!L918,"Competitive View")</f>
        <v>Competitive View</v>
      </c>
      <c r="L918" s="29" t="s">
        <v>146</v>
      </c>
      <c r="M918" s="37" t="str">
        <f>'Ingest Template'!D918</f>
        <v/>
      </c>
      <c r="N918" s="21"/>
      <c r="O918" s="21"/>
      <c r="P918" s="21"/>
      <c r="Q918" s="21"/>
      <c r="R918" s="21" t="str">
        <f>'Ingest Template'!E918</f>
        <v/>
      </c>
      <c r="S918" s="29" t="s">
        <v>153</v>
      </c>
      <c r="T918" s="21" t="str">
        <f>'Ingest Template'!T918</f>
        <v/>
      </c>
      <c r="U918" s="21" t="str">
        <f>'Ingest Template'!S918</f>
        <v/>
      </c>
      <c r="V918" s="21" t="str">
        <f>LOWER(SUBSTITUTE(SUBSTITUTE(SUBSTITUTE(SUBSTITUTE(SUBSTITUTE('Ingest Template'!U918,"https:",""),"www.",""),"/",""),"?hl=en",""),"instagram.com",""))</f>
        <v/>
      </c>
      <c r="W918" s="41" t="str">
        <f t="array" ref="W918">IF('Ingest Template'!V918="",(INDEX(DropDown!$L$2:$L$392,MATCH('Ingest Template'!E918,DropDown!$J$2:$J$392,0))&amp;"|"&amp;'Ingest Template'!B918),(INDEX(DropDown!$L$2:$L$392,MATCH('Ingest Template'!E918,DropDown!$J$2:$J$392,0))&amp;"|"&amp;'Ingest Template'!B918)&amp;CHAR(10)&amp;'Ingest Template'!V918)</f>
        <v>#N/A</v>
      </c>
      <c r="X918" s="41" t="str">
        <f>'Ingest Template'!W918</f>
        <v/>
      </c>
      <c r="Y918" s="21" t="str">
        <f>SUBSTITUTE(SUBSTITUTE(SUBSTITUTE('Ingest Template'!X918,"http:",""),"https:",""),"/","")</f>
        <v/>
      </c>
      <c r="Z918" s="21" t="str">
        <f t="array" ref="Z918">IF('Ingest Template'!A918="Standard",(IF(ISBLANK('Ingest Template'!AA918),"", 'Ingest Template'!AA918&amp;"|DAR")),(IF(ISBLANK('Ingest Template'!AA918),"", 'Ingest Template'!AA918&amp;"|Film Ops")))</f>
        <v/>
      </c>
      <c r="AA918" s="21"/>
      <c r="AB918" s="21" t="str">
        <f>'Ingest Template'!M918</f>
        <v/>
      </c>
      <c r="AC918" s="21" t="str">
        <f>'Ingest Template'!Y918</f>
        <v/>
      </c>
      <c r="AD918" s="21" t="str">
        <f>'Ingest Template'!C918</f>
        <v/>
      </c>
      <c r="AE918" s="21" t="str">
        <f>'Ingest Template'!Z918</f>
        <v/>
      </c>
      <c r="AF918" s="29"/>
      <c r="AG918" s="21" t="str">
        <f t="array" ref="AG918">IF('Ingest Template'!A918="Standard",(CONCATENATE(IF(ISBLANK('Ingest Template'!O918),"", 'Ingest Template'!O918&amp;"|DAR"),CHAR(10), IF(ISBLANK('Ingest Template'!P918),"", 'Ingest Template'!P918&amp;"|DAR"),CHAR(10), IF(ISBLANK('Ingest Template'!Q918),"", 'Ingest Template'!Q918&amp;"|DAR"))),(CONCATENATE(IF(ISBLANK('Ingest Template'!O918),"", 'Ingest Template'!O918&amp;"|Operations - Core Title"),CHAR(10), IF(ISBLANK('Ingest Template'!P918),"", 'Ingest Template'!P918&amp;"|Operations - Core Title"),CHAR(10), IF(ISBLANK('Ingest Template'!Q918),"", 'Ingest Template'!Q918&amp;"|Operations - Core Title"))))</f>
        <v>#|Operations - Core Title
#|Operations - Core Title
</v>
      </c>
      <c r="AH918" s="21"/>
      <c r="AI918" s="21"/>
      <c r="AJ918" s="53" t="str">
        <f>if('Ingest Template'!A918="Standard",'Ingest Template'!N918&amp; "|DAR|DAR|2021-01-01",'Ingest Template'!N918&amp; "|Operations - Core Title|Operations - Core Title")</f>
        <v>#N/A</v>
      </c>
      <c r="AK918" s="53" t="str">
        <f>if('Ingest Template'!A918="Standard",'Ingest Template'!R918&amp; "|2021-01-01",'Ingest Template'!R918)</f>
        <v>#N/A</v>
      </c>
      <c r="AL918" s="21"/>
      <c r="AM918" s="21"/>
    </row>
    <row r="919">
      <c r="A919" s="21"/>
      <c r="B919" s="21" t="str">
        <f>'Ingest Template'!B919&amp;IF('Ingest Template'!A919 = "Standard", " - DAR","")</f>
        <v/>
      </c>
      <c r="C919" s="26" t="s">
        <v>109</v>
      </c>
      <c r="D919" s="29" t="str">
        <f t="array" ref="D919">CONCATENATE(INDEX(DropDown!$H$2:$H$10,MATCH(1,COUNTIF('Ingest Template'!F919,"*"&amp;DropDown!$H$2:$H$10&amp;"*"),0)),CHAR(10),'Ingest Template'!G919)</f>
        <v>#N/A</v>
      </c>
      <c r="E919" s="21" t="str">
        <f>CONCATENATE('Ingest Template'!H919,CHAR(10),'Ingest Template'!I919,CHAR(10),'Ingest Template'!J919)</f>
        <v>
</v>
      </c>
      <c r="F919" s="26" t="str">
        <f>'Ingest Template'!H919</f>
        <v/>
      </c>
      <c r="G919" s="21"/>
      <c r="H919" s="29"/>
      <c r="I919" s="21"/>
      <c r="J919" s="29" t="str">
        <f t="array" ref="J919">iF('Ingest Template'!A919="Standard","Pristine Brand",INDEX(DropDown!$M$2:$M$392,MATCH('Ingest Template'!E919,DropDown!$J$2:$J$392,0)))</f>
        <v>#N/A</v>
      </c>
      <c r="K919" s="21" t="str">
        <f>iF('Ingest Template'!A919="Standard",'Ingest Template'!K919&amp;CHAR(10)&amp;'Ingest Template'!L919,"Competitive View")</f>
        <v>Competitive View</v>
      </c>
      <c r="L919" s="29" t="s">
        <v>146</v>
      </c>
      <c r="M919" s="37" t="str">
        <f>'Ingest Template'!D919</f>
        <v/>
      </c>
      <c r="N919" s="21"/>
      <c r="O919" s="21"/>
      <c r="P919" s="21"/>
      <c r="Q919" s="21"/>
      <c r="R919" s="21" t="str">
        <f>'Ingest Template'!E919</f>
        <v/>
      </c>
      <c r="S919" s="29" t="s">
        <v>153</v>
      </c>
      <c r="T919" s="21" t="str">
        <f>'Ingest Template'!T919</f>
        <v/>
      </c>
      <c r="U919" s="21" t="str">
        <f>'Ingest Template'!S919</f>
        <v/>
      </c>
      <c r="V919" s="21" t="str">
        <f>LOWER(SUBSTITUTE(SUBSTITUTE(SUBSTITUTE(SUBSTITUTE(SUBSTITUTE('Ingest Template'!U919,"https:",""),"www.",""),"/",""),"?hl=en",""),"instagram.com",""))</f>
        <v/>
      </c>
      <c r="W919" s="41" t="str">
        <f t="array" ref="W919">IF('Ingest Template'!V919="",(INDEX(DropDown!$L$2:$L$392,MATCH('Ingest Template'!E919,DropDown!$J$2:$J$392,0))&amp;"|"&amp;'Ingest Template'!B919),(INDEX(DropDown!$L$2:$L$392,MATCH('Ingest Template'!E919,DropDown!$J$2:$J$392,0))&amp;"|"&amp;'Ingest Template'!B919)&amp;CHAR(10)&amp;'Ingest Template'!V919)</f>
        <v>#N/A</v>
      </c>
      <c r="X919" s="41" t="str">
        <f>'Ingest Template'!W919</f>
        <v/>
      </c>
      <c r="Y919" s="21" t="str">
        <f>SUBSTITUTE(SUBSTITUTE(SUBSTITUTE('Ingest Template'!X919,"http:",""),"https:",""),"/","")</f>
        <v/>
      </c>
      <c r="Z919" s="21" t="str">
        <f t="array" ref="Z919">IF('Ingest Template'!A919="Standard",(IF(ISBLANK('Ingest Template'!AA919),"", 'Ingest Template'!AA919&amp;"|DAR")),(IF(ISBLANK('Ingest Template'!AA919),"", 'Ingest Template'!AA919&amp;"|Film Ops")))</f>
        <v/>
      </c>
      <c r="AA919" s="21"/>
      <c r="AB919" s="21" t="str">
        <f>'Ingest Template'!M919</f>
        <v/>
      </c>
      <c r="AC919" s="21" t="str">
        <f>'Ingest Template'!Y919</f>
        <v/>
      </c>
      <c r="AD919" s="21" t="str">
        <f>'Ingest Template'!C919</f>
        <v/>
      </c>
      <c r="AE919" s="21" t="str">
        <f>'Ingest Template'!Z919</f>
        <v/>
      </c>
      <c r="AF919" s="29"/>
      <c r="AG919" s="21" t="str">
        <f t="array" ref="AG919">IF('Ingest Template'!A919="Standard",(CONCATENATE(IF(ISBLANK('Ingest Template'!O919),"", 'Ingest Template'!O919&amp;"|DAR"),CHAR(10), IF(ISBLANK('Ingest Template'!P919),"", 'Ingest Template'!P919&amp;"|DAR"),CHAR(10), IF(ISBLANK('Ingest Template'!Q919),"", 'Ingest Template'!Q919&amp;"|DAR"))),(CONCATENATE(IF(ISBLANK('Ingest Template'!O919),"", 'Ingest Template'!O919&amp;"|Operations - Core Title"),CHAR(10), IF(ISBLANK('Ingest Template'!P919),"", 'Ingest Template'!P919&amp;"|Operations - Core Title"),CHAR(10), IF(ISBLANK('Ingest Template'!Q919),"", 'Ingest Template'!Q919&amp;"|Operations - Core Title"))))</f>
        <v>#|Operations - Core Title
#|Operations - Core Title
</v>
      </c>
      <c r="AH919" s="21"/>
      <c r="AI919" s="21"/>
      <c r="AJ919" s="53" t="str">
        <f>if('Ingest Template'!A919="Standard",'Ingest Template'!N919&amp; "|DAR|DAR|2021-01-01",'Ingest Template'!N919&amp; "|Operations - Core Title|Operations - Core Title")</f>
        <v>#N/A</v>
      </c>
      <c r="AK919" s="53" t="str">
        <f>if('Ingest Template'!A919="Standard",'Ingest Template'!R919&amp; "|2021-01-01",'Ingest Template'!R919)</f>
        <v>#N/A</v>
      </c>
      <c r="AL919" s="21"/>
      <c r="AM919" s="21"/>
    </row>
    <row r="920">
      <c r="A920" s="21"/>
      <c r="B920" s="21" t="str">
        <f>'Ingest Template'!B920&amp;IF('Ingest Template'!A920 = "Standard", " - DAR","")</f>
        <v/>
      </c>
      <c r="C920" s="26" t="s">
        <v>109</v>
      </c>
      <c r="D920" s="29" t="str">
        <f t="array" ref="D920">CONCATENATE(INDEX(DropDown!$H$2:$H$10,MATCH(1,COUNTIF('Ingest Template'!F920,"*"&amp;DropDown!$H$2:$H$10&amp;"*"),0)),CHAR(10),'Ingest Template'!G920)</f>
        <v>#N/A</v>
      </c>
      <c r="E920" s="21" t="str">
        <f>CONCATENATE('Ingest Template'!H920,CHAR(10),'Ingest Template'!I920,CHAR(10),'Ingest Template'!J920)</f>
        <v>
</v>
      </c>
      <c r="F920" s="26" t="str">
        <f>'Ingest Template'!H920</f>
        <v/>
      </c>
      <c r="G920" s="21"/>
      <c r="H920" s="29"/>
      <c r="I920" s="21"/>
      <c r="J920" s="29" t="str">
        <f t="array" ref="J920">iF('Ingest Template'!A920="Standard","Pristine Brand",INDEX(DropDown!$M$2:$M$392,MATCH('Ingest Template'!E920,DropDown!$J$2:$J$392,0)))</f>
        <v>#N/A</v>
      </c>
      <c r="K920" s="21" t="str">
        <f>iF('Ingest Template'!A920="Standard",'Ingest Template'!K920&amp;CHAR(10)&amp;'Ingest Template'!L920,"Competitive View")</f>
        <v>Competitive View</v>
      </c>
      <c r="L920" s="29" t="s">
        <v>146</v>
      </c>
      <c r="M920" s="37" t="str">
        <f>'Ingest Template'!D920</f>
        <v/>
      </c>
      <c r="N920" s="21"/>
      <c r="O920" s="21"/>
      <c r="P920" s="21"/>
      <c r="Q920" s="21"/>
      <c r="R920" s="21" t="str">
        <f>'Ingest Template'!E920</f>
        <v/>
      </c>
      <c r="S920" s="29" t="s">
        <v>153</v>
      </c>
      <c r="T920" s="21" t="str">
        <f>'Ingest Template'!T920</f>
        <v/>
      </c>
      <c r="U920" s="21" t="str">
        <f>'Ingest Template'!S920</f>
        <v/>
      </c>
      <c r="V920" s="21" t="str">
        <f>LOWER(SUBSTITUTE(SUBSTITUTE(SUBSTITUTE(SUBSTITUTE(SUBSTITUTE('Ingest Template'!U920,"https:",""),"www.",""),"/",""),"?hl=en",""),"instagram.com",""))</f>
        <v/>
      </c>
      <c r="W920" s="41" t="str">
        <f t="array" ref="W920">IF('Ingest Template'!V920="",(INDEX(DropDown!$L$2:$L$392,MATCH('Ingest Template'!E920,DropDown!$J$2:$J$392,0))&amp;"|"&amp;'Ingest Template'!B920),(INDEX(DropDown!$L$2:$L$392,MATCH('Ingest Template'!E920,DropDown!$J$2:$J$392,0))&amp;"|"&amp;'Ingest Template'!B920)&amp;CHAR(10)&amp;'Ingest Template'!V920)</f>
        <v>#N/A</v>
      </c>
      <c r="X920" s="41" t="str">
        <f>'Ingest Template'!W920</f>
        <v/>
      </c>
      <c r="Y920" s="21" t="str">
        <f>SUBSTITUTE(SUBSTITUTE(SUBSTITUTE('Ingest Template'!X920,"http:",""),"https:",""),"/","")</f>
        <v/>
      </c>
      <c r="Z920" s="21" t="str">
        <f t="array" ref="Z920">IF('Ingest Template'!A920="Standard",(IF(ISBLANK('Ingest Template'!AA920),"", 'Ingest Template'!AA920&amp;"|DAR")),(IF(ISBLANK('Ingest Template'!AA920),"", 'Ingest Template'!AA920&amp;"|Film Ops")))</f>
        <v/>
      </c>
      <c r="AA920" s="21"/>
      <c r="AB920" s="21" t="str">
        <f>'Ingest Template'!M920</f>
        <v/>
      </c>
      <c r="AC920" s="21" t="str">
        <f>'Ingest Template'!Y920</f>
        <v/>
      </c>
      <c r="AD920" s="21" t="str">
        <f>'Ingest Template'!C920</f>
        <v/>
      </c>
      <c r="AE920" s="21" t="str">
        <f>'Ingest Template'!Z920</f>
        <v/>
      </c>
      <c r="AF920" s="29"/>
      <c r="AG920" s="21" t="str">
        <f t="array" ref="AG920">IF('Ingest Template'!A920="Standard",(CONCATENATE(IF(ISBLANK('Ingest Template'!O920),"", 'Ingest Template'!O920&amp;"|DAR"),CHAR(10), IF(ISBLANK('Ingest Template'!P920),"", 'Ingest Template'!P920&amp;"|DAR"),CHAR(10), IF(ISBLANK('Ingest Template'!Q920),"", 'Ingest Template'!Q920&amp;"|DAR"))),(CONCATENATE(IF(ISBLANK('Ingest Template'!O920),"", 'Ingest Template'!O920&amp;"|Operations - Core Title"),CHAR(10), IF(ISBLANK('Ingest Template'!P920),"", 'Ingest Template'!P920&amp;"|Operations - Core Title"),CHAR(10), IF(ISBLANK('Ingest Template'!Q920),"", 'Ingest Template'!Q920&amp;"|Operations - Core Title"))))</f>
        <v>#|Operations - Core Title
#|Operations - Core Title
</v>
      </c>
      <c r="AH920" s="21"/>
      <c r="AI920" s="21"/>
      <c r="AJ920" s="53" t="str">
        <f>if('Ingest Template'!A920="Standard",'Ingest Template'!N920&amp; "|DAR|DAR|2021-01-01",'Ingest Template'!N920&amp; "|Operations - Core Title|Operations - Core Title")</f>
        <v>#N/A</v>
      </c>
      <c r="AK920" s="53" t="str">
        <f>if('Ingest Template'!A920="Standard",'Ingest Template'!R920&amp; "|2021-01-01",'Ingest Template'!R920)</f>
        <v>#N/A</v>
      </c>
      <c r="AL920" s="21"/>
      <c r="AM920" s="21"/>
    </row>
    <row r="921">
      <c r="A921" s="21"/>
      <c r="B921" s="21" t="str">
        <f>'Ingest Template'!B921&amp;IF('Ingest Template'!A921 = "Standard", " - DAR","")</f>
        <v/>
      </c>
      <c r="C921" s="26" t="s">
        <v>109</v>
      </c>
      <c r="D921" s="29" t="str">
        <f t="array" ref="D921">CONCATENATE(INDEX(DropDown!$H$2:$H$10,MATCH(1,COUNTIF('Ingest Template'!F921,"*"&amp;DropDown!$H$2:$H$10&amp;"*"),0)),CHAR(10),'Ingest Template'!G921)</f>
        <v>#N/A</v>
      </c>
      <c r="E921" s="21" t="str">
        <f>CONCATENATE('Ingest Template'!H921,CHAR(10),'Ingest Template'!I921,CHAR(10),'Ingest Template'!J921)</f>
        <v>
</v>
      </c>
      <c r="F921" s="26" t="str">
        <f>'Ingest Template'!H921</f>
        <v/>
      </c>
      <c r="G921" s="21"/>
      <c r="H921" s="29"/>
      <c r="I921" s="21"/>
      <c r="J921" s="29" t="str">
        <f t="array" ref="J921">iF('Ingest Template'!A921="Standard","Pristine Brand",INDEX(DropDown!$M$2:$M$392,MATCH('Ingest Template'!E921,DropDown!$J$2:$J$392,0)))</f>
        <v>#N/A</v>
      </c>
      <c r="K921" s="21" t="str">
        <f>iF('Ingest Template'!A921="Standard",'Ingest Template'!K921&amp;CHAR(10)&amp;'Ingest Template'!L921,"Competitive View")</f>
        <v>Competitive View</v>
      </c>
      <c r="L921" s="29" t="s">
        <v>146</v>
      </c>
      <c r="M921" s="37" t="str">
        <f>'Ingest Template'!D921</f>
        <v/>
      </c>
      <c r="N921" s="21"/>
      <c r="O921" s="21"/>
      <c r="P921" s="21"/>
      <c r="Q921" s="21"/>
      <c r="R921" s="21" t="str">
        <f>'Ingest Template'!E921</f>
        <v/>
      </c>
      <c r="S921" s="29" t="s">
        <v>153</v>
      </c>
      <c r="T921" s="21" t="str">
        <f>'Ingest Template'!T921</f>
        <v/>
      </c>
      <c r="U921" s="21" t="str">
        <f>'Ingest Template'!S921</f>
        <v/>
      </c>
      <c r="V921" s="21" t="str">
        <f>LOWER(SUBSTITUTE(SUBSTITUTE(SUBSTITUTE(SUBSTITUTE(SUBSTITUTE('Ingest Template'!U921,"https:",""),"www.",""),"/",""),"?hl=en",""),"instagram.com",""))</f>
        <v/>
      </c>
      <c r="W921" s="41" t="str">
        <f t="array" ref="W921">IF('Ingest Template'!V921="",(INDEX(DropDown!$L$2:$L$392,MATCH('Ingest Template'!E921,DropDown!$J$2:$J$392,0))&amp;"|"&amp;'Ingest Template'!B921),(INDEX(DropDown!$L$2:$L$392,MATCH('Ingest Template'!E921,DropDown!$J$2:$J$392,0))&amp;"|"&amp;'Ingest Template'!B921)&amp;CHAR(10)&amp;'Ingest Template'!V921)</f>
        <v>#N/A</v>
      </c>
      <c r="X921" s="41" t="str">
        <f>'Ingest Template'!W921</f>
        <v/>
      </c>
      <c r="Y921" s="21" t="str">
        <f>SUBSTITUTE(SUBSTITUTE(SUBSTITUTE('Ingest Template'!X921,"http:",""),"https:",""),"/","")</f>
        <v/>
      </c>
      <c r="Z921" s="21" t="str">
        <f t="array" ref="Z921">IF('Ingest Template'!A921="Standard",(IF(ISBLANK('Ingest Template'!AA921),"", 'Ingest Template'!AA921&amp;"|DAR")),(IF(ISBLANK('Ingest Template'!AA921),"", 'Ingest Template'!AA921&amp;"|Film Ops")))</f>
        <v/>
      </c>
      <c r="AA921" s="21"/>
      <c r="AB921" s="21" t="str">
        <f>'Ingest Template'!M921</f>
        <v/>
      </c>
      <c r="AC921" s="21" t="str">
        <f>'Ingest Template'!Y921</f>
        <v/>
      </c>
      <c r="AD921" s="21" t="str">
        <f>'Ingest Template'!C921</f>
        <v/>
      </c>
      <c r="AE921" s="21" t="str">
        <f>'Ingest Template'!Z921</f>
        <v/>
      </c>
      <c r="AF921" s="29"/>
      <c r="AG921" s="21" t="str">
        <f t="array" ref="AG921">IF('Ingest Template'!A921="Standard",(CONCATENATE(IF(ISBLANK('Ingest Template'!O921),"", 'Ingest Template'!O921&amp;"|DAR"),CHAR(10), IF(ISBLANK('Ingest Template'!P921),"", 'Ingest Template'!P921&amp;"|DAR"),CHAR(10), IF(ISBLANK('Ingest Template'!Q921),"", 'Ingest Template'!Q921&amp;"|DAR"))),(CONCATENATE(IF(ISBLANK('Ingest Template'!O921),"", 'Ingest Template'!O921&amp;"|Operations - Core Title"),CHAR(10), IF(ISBLANK('Ingest Template'!P921),"", 'Ingest Template'!P921&amp;"|Operations - Core Title"),CHAR(10), IF(ISBLANK('Ingest Template'!Q921),"", 'Ingest Template'!Q921&amp;"|Operations - Core Title"))))</f>
        <v>#|Operations - Core Title
#|Operations - Core Title
</v>
      </c>
      <c r="AH921" s="21"/>
      <c r="AI921" s="21"/>
      <c r="AJ921" s="53" t="str">
        <f>if('Ingest Template'!A921="Standard",'Ingest Template'!N921&amp; "|DAR|DAR|2021-01-01",'Ingest Template'!N921&amp; "|Operations - Core Title|Operations - Core Title")</f>
        <v>#N/A</v>
      </c>
      <c r="AK921" s="53" t="str">
        <f>if('Ingest Template'!A921="Standard",'Ingest Template'!R921&amp; "|2021-01-01",'Ingest Template'!R921)</f>
        <v>#N/A</v>
      </c>
      <c r="AL921" s="21"/>
      <c r="AM921" s="21"/>
    </row>
    <row r="922">
      <c r="A922" s="21"/>
      <c r="B922" s="21" t="str">
        <f>'Ingest Template'!B922&amp;IF('Ingest Template'!A922 = "Standard", " - DAR","")</f>
        <v/>
      </c>
      <c r="C922" s="26" t="s">
        <v>109</v>
      </c>
      <c r="D922" s="29" t="str">
        <f t="array" ref="D922">CONCATENATE(INDEX(DropDown!$H$2:$H$10,MATCH(1,COUNTIF('Ingest Template'!F922,"*"&amp;DropDown!$H$2:$H$10&amp;"*"),0)),CHAR(10),'Ingest Template'!G922)</f>
        <v>#N/A</v>
      </c>
      <c r="E922" s="21" t="str">
        <f>CONCATENATE('Ingest Template'!H922,CHAR(10),'Ingest Template'!I922,CHAR(10),'Ingest Template'!J922)</f>
        <v>
</v>
      </c>
      <c r="F922" s="26" t="str">
        <f>'Ingest Template'!H922</f>
        <v/>
      </c>
      <c r="G922" s="21"/>
      <c r="H922" s="29"/>
      <c r="I922" s="21"/>
      <c r="J922" s="29" t="str">
        <f t="array" ref="J922">iF('Ingest Template'!A922="Standard","Pristine Brand",INDEX(DropDown!$M$2:$M$392,MATCH('Ingest Template'!E922,DropDown!$J$2:$J$392,0)))</f>
        <v>#N/A</v>
      </c>
      <c r="K922" s="21" t="str">
        <f>iF('Ingest Template'!A922="Standard",'Ingest Template'!K922&amp;CHAR(10)&amp;'Ingest Template'!L922,"Competitive View")</f>
        <v>Competitive View</v>
      </c>
      <c r="L922" s="29" t="s">
        <v>146</v>
      </c>
      <c r="M922" s="37" t="str">
        <f>'Ingest Template'!D922</f>
        <v/>
      </c>
      <c r="N922" s="21"/>
      <c r="O922" s="21"/>
      <c r="P922" s="21"/>
      <c r="Q922" s="21"/>
      <c r="R922" s="21" t="str">
        <f>'Ingest Template'!E922</f>
        <v/>
      </c>
      <c r="S922" s="29" t="s">
        <v>153</v>
      </c>
      <c r="T922" s="21" t="str">
        <f>'Ingest Template'!T922</f>
        <v/>
      </c>
      <c r="U922" s="21" t="str">
        <f>'Ingest Template'!S922</f>
        <v/>
      </c>
      <c r="V922" s="21" t="str">
        <f>LOWER(SUBSTITUTE(SUBSTITUTE(SUBSTITUTE(SUBSTITUTE(SUBSTITUTE('Ingest Template'!U922,"https:",""),"www.",""),"/",""),"?hl=en",""),"instagram.com",""))</f>
        <v/>
      </c>
      <c r="W922" s="41" t="str">
        <f t="array" ref="W922">IF('Ingest Template'!V922="",(INDEX(DropDown!$L$2:$L$392,MATCH('Ingest Template'!E922,DropDown!$J$2:$J$392,0))&amp;"|"&amp;'Ingest Template'!B922),(INDEX(DropDown!$L$2:$L$392,MATCH('Ingest Template'!E922,DropDown!$J$2:$J$392,0))&amp;"|"&amp;'Ingest Template'!B922)&amp;CHAR(10)&amp;'Ingest Template'!V922)</f>
        <v>#N/A</v>
      </c>
      <c r="X922" s="41" t="str">
        <f>'Ingest Template'!W922</f>
        <v/>
      </c>
      <c r="Y922" s="21" t="str">
        <f>SUBSTITUTE(SUBSTITUTE(SUBSTITUTE('Ingest Template'!X922,"http:",""),"https:",""),"/","")</f>
        <v/>
      </c>
      <c r="Z922" s="21" t="str">
        <f t="array" ref="Z922">IF('Ingest Template'!A922="Standard",(IF(ISBLANK('Ingest Template'!AA922),"", 'Ingest Template'!AA922&amp;"|DAR")),(IF(ISBLANK('Ingest Template'!AA922),"", 'Ingest Template'!AA922&amp;"|Film Ops")))</f>
        <v/>
      </c>
      <c r="AA922" s="21"/>
      <c r="AB922" s="21" t="str">
        <f>'Ingest Template'!M922</f>
        <v/>
      </c>
      <c r="AC922" s="21" t="str">
        <f>'Ingest Template'!Y922</f>
        <v/>
      </c>
      <c r="AD922" s="21" t="str">
        <f>'Ingest Template'!C922</f>
        <v/>
      </c>
      <c r="AE922" s="21" t="str">
        <f>'Ingest Template'!Z922</f>
        <v/>
      </c>
      <c r="AF922" s="29"/>
      <c r="AG922" s="21" t="str">
        <f t="array" ref="AG922">IF('Ingest Template'!A922="Standard",(CONCATENATE(IF(ISBLANK('Ingest Template'!O922),"", 'Ingest Template'!O922&amp;"|DAR"),CHAR(10), IF(ISBLANK('Ingest Template'!P922),"", 'Ingest Template'!P922&amp;"|DAR"),CHAR(10), IF(ISBLANK('Ingest Template'!Q922),"", 'Ingest Template'!Q922&amp;"|DAR"))),(CONCATENATE(IF(ISBLANK('Ingest Template'!O922),"", 'Ingest Template'!O922&amp;"|Operations - Core Title"),CHAR(10), IF(ISBLANK('Ingest Template'!P922),"", 'Ingest Template'!P922&amp;"|Operations - Core Title"),CHAR(10), IF(ISBLANK('Ingest Template'!Q922),"", 'Ingest Template'!Q922&amp;"|Operations - Core Title"))))</f>
        <v>#|Operations - Core Title
#|Operations - Core Title
</v>
      </c>
      <c r="AH922" s="21"/>
      <c r="AI922" s="21"/>
      <c r="AJ922" s="53" t="str">
        <f>if('Ingest Template'!A922="Standard",'Ingest Template'!N922&amp; "|DAR|DAR|2021-01-01",'Ingest Template'!N922&amp; "|Operations - Core Title|Operations - Core Title")</f>
        <v>#N/A</v>
      </c>
      <c r="AK922" s="53" t="str">
        <f>if('Ingest Template'!A922="Standard",'Ingest Template'!R922&amp; "|2021-01-01",'Ingest Template'!R922)</f>
        <v>#N/A</v>
      </c>
      <c r="AL922" s="21"/>
      <c r="AM922" s="21"/>
    </row>
    <row r="923">
      <c r="A923" s="21"/>
      <c r="B923" s="21" t="str">
        <f>'Ingest Template'!B923&amp;IF('Ingest Template'!A923 = "Standard", " - DAR","")</f>
        <v/>
      </c>
      <c r="C923" s="26" t="s">
        <v>109</v>
      </c>
      <c r="D923" s="29" t="str">
        <f t="array" ref="D923">CONCATENATE(INDEX(DropDown!$H$2:$H$10,MATCH(1,COUNTIF('Ingest Template'!F923,"*"&amp;DropDown!$H$2:$H$10&amp;"*"),0)),CHAR(10),'Ingest Template'!G923)</f>
        <v>#N/A</v>
      </c>
      <c r="E923" s="21" t="str">
        <f>CONCATENATE('Ingest Template'!H923,CHAR(10),'Ingest Template'!I923,CHAR(10),'Ingest Template'!J923)</f>
        <v>
</v>
      </c>
      <c r="F923" s="26" t="str">
        <f>'Ingest Template'!H923</f>
        <v/>
      </c>
      <c r="G923" s="21"/>
      <c r="H923" s="29"/>
      <c r="I923" s="21"/>
      <c r="J923" s="29" t="str">
        <f t="array" ref="J923">iF('Ingest Template'!A923="Standard","Pristine Brand",INDEX(DropDown!$M$2:$M$392,MATCH('Ingest Template'!E923,DropDown!$J$2:$J$392,0)))</f>
        <v>#N/A</v>
      </c>
      <c r="K923" s="21" t="str">
        <f>iF('Ingest Template'!A923="Standard",'Ingest Template'!K923&amp;CHAR(10)&amp;'Ingest Template'!L923,"Competitive View")</f>
        <v>Competitive View</v>
      </c>
      <c r="L923" s="29" t="s">
        <v>146</v>
      </c>
      <c r="M923" s="37" t="str">
        <f>'Ingest Template'!D923</f>
        <v/>
      </c>
      <c r="N923" s="21"/>
      <c r="O923" s="21"/>
      <c r="P923" s="21"/>
      <c r="Q923" s="21"/>
      <c r="R923" s="21" t="str">
        <f>'Ingest Template'!E923</f>
        <v/>
      </c>
      <c r="S923" s="29" t="s">
        <v>153</v>
      </c>
      <c r="T923" s="21" t="str">
        <f>'Ingest Template'!T923</f>
        <v/>
      </c>
      <c r="U923" s="21" t="str">
        <f>'Ingest Template'!S923</f>
        <v/>
      </c>
      <c r="V923" s="21" t="str">
        <f>LOWER(SUBSTITUTE(SUBSTITUTE(SUBSTITUTE(SUBSTITUTE(SUBSTITUTE('Ingest Template'!U923,"https:",""),"www.",""),"/",""),"?hl=en",""),"instagram.com",""))</f>
        <v/>
      </c>
      <c r="W923" s="41" t="str">
        <f t="array" ref="W923">IF('Ingest Template'!V923="",(INDEX(DropDown!$L$2:$L$392,MATCH('Ingest Template'!E923,DropDown!$J$2:$J$392,0))&amp;"|"&amp;'Ingest Template'!B923),(INDEX(DropDown!$L$2:$L$392,MATCH('Ingest Template'!E923,DropDown!$J$2:$J$392,0))&amp;"|"&amp;'Ingest Template'!B923)&amp;CHAR(10)&amp;'Ingest Template'!V923)</f>
        <v>#N/A</v>
      </c>
      <c r="X923" s="41" t="str">
        <f>'Ingest Template'!W923</f>
        <v/>
      </c>
      <c r="Y923" s="21" t="str">
        <f>SUBSTITUTE(SUBSTITUTE(SUBSTITUTE('Ingest Template'!X923,"http:",""),"https:",""),"/","")</f>
        <v/>
      </c>
      <c r="Z923" s="21" t="str">
        <f t="array" ref="Z923">IF('Ingest Template'!A923="Standard",(IF(ISBLANK('Ingest Template'!AA923),"", 'Ingest Template'!AA923&amp;"|DAR")),(IF(ISBLANK('Ingest Template'!AA923),"", 'Ingest Template'!AA923&amp;"|Film Ops")))</f>
        <v/>
      </c>
      <c r="AA923" s="21"/>
      <c r="AB923" s="21" t="str">
        <f>'Ingest Template'!M923</f>
        <v/>
      </c>
      <c r="AC923" s="21" t="str">
        <f>'Ingest Template'!Y923</f>
        <v/>
      </c>
      <c r="AD923" s="21" t="str">
        <f>'Ingest Template'!C923</f>
        <v/>
      </c>
      <c r="AE923" s="21" t="str">
        <f>'Ingest Template'!Z923</f>
        <v/>
      </c>
      <c r="AF923" s="29"/>
      <c r="AG923" s="21" t="str">
        <f t="array" ref="AG923">IF('Ingest Template'!A923="Standard",(CONCATENATE(IF(ISBLANK('Ingest Template'!O923),"", 'Ingest Template'!O923&amp;"|DAR"),CHAR(10), IF(ISBLANK('Ingest Template'!P923),"", 'Ingest Template'!P923&amp;"|DAR"),CHAR(10), IF(ISBLANK('Ingest Template'!Q923),"", 'Ingest Template'!Q923&amp;"|DAR"))),(CONCATENATE(IF(ISBLANK('Ingest Template'!O923),"", 'Ingest Template'!O923&amp;"|Operations - Core Title"),CHAR(10), IF(ISBLANK('Ingest Template'!P923),"", 'Ingest Template'!P923&amp;"|Operations - Core Title"),CHAR(10), IF(ISBLANK('Ingest Template'!Q923),"", 'Ingest Template'!Q923&amp;"|Operations - Core Title"))))</f>
        <v>#|Operations - Core Title
#|Operations - Core Title
</v>
      </c>
      <c r="AH923" s="21"/>
      <c r="AI923" s="21"/>
      <c r="AJ923" s="53" t="str">
        <f>if('Ingest Template'!A923="Standard",'Ingest Template'!N923&amp; "|DAR|DAR|2021-01-01",'Ingest Template'!N923&amp; "|Operations - Core Title|Operations - Core Title")</f>
        <v>#N/A</v>
      </c>
      <c r="AK923" s="53" t="str">
        <f>if('Ingest Template'!A923="Standard",'Ingest Template'!R923&amp; "|2021-01-01",'Ingest Template'!R923)</f>
        <v>#N/A</v>
      </c>
      <c r="AL923" s="21"/>
      <c r="AM923" s="21"/>
    </row>
    <row r="924">
      <c r="A924" s="21"/>
      <c r="B924" s="21" t="str">
        <f>'Ingest Template'!B924&amp;IF('Ingest Template'!A924 = "Standard", " - DAR","")</f>
        <v/>
      </c>
      <c r="C924" s="26" t="s">
        <v>109</v>
      </c>
      <c r="D924" s="29" t="str">
        <f t="array" ref="D924">CONCATENATE(INDEX(DropDown!$H$2:$H$10,MATCH(1,COUNTIF('Ingest Template'!F924,"*"&amp;DropDown!$H$2:$H$10&amp;"*"),0)),CHAR(10),'Ingest Template'!G924)</f>
        <v>#N/A</v>
      </c>
      <c r="E924" s="21" t="str">
        <f>CONCATENATE('Ingest Template'!H924,CHAR(10),'Ingest Template'!I924,CHAR(10),'Ingest Template'!J924)</f>
        <v>
</v>
      </c>
      <c r="F924" s="26" t="str">
        <f>'Ingest Template'!H924</f>
        <v/>
      </c>
      <c r="G924" s="21"/>
      <c r="H924" s="29"/>
      <c r="I924" s="21"/>
      <c r="J924" s="29" t="str">
        <f t="array" ref="J924">iF('Ingest Template'!A924="Standard","Pristine Brand",INDEX(DropDown!$M$2:$M$392,MATCH('Ingest Template'!E924,DropDown!$J$2:$J$392,0)))</f>
        <v>#N/A</v>
      </c>
      <c r="K924" s="21" t="str">
        <f>iF('Ingest Template'!A924="Standard",'Ingest Template'!K924&amp;CHAR(10)&amp;'Ingest Template'!L924,"Competitive View")</f>
        <v>Competitive View</v>
      </c>
      <c r="L924" s="29" t="s">
        <v>146</v>
      </c>
      <c r="M924" s="37" t="str">
        <f>'Ingest Template'!D924</f>
        <v/>
      </c>
      <c r="N924" s="21"/>
      <c r="O924" s="21"/>
      <c r="P924" s="21"/>
      <c r="Q924" s="21"/>
      <c r="R924" s="21" t="str">
        <f>'Ingest Template'!E924</f>
        <v/>
      </c>
      <c r="S924" s="29" t="s">
        <v>153</v>
      </c>
      <c r="T924" s="21" t="str">
        <f>'Ingest Template'!T924</f>
        <v/>
      </c>
      <c r="U924" s="21" t="str">
        <f>'Ingest Template'!S924</f>
        <v/>
      </c>
      <c r="V924" s="21" t="str">
        <f>LOWER(SUBSTITUTE(SUBSTITUTE(SUBSTITUTE(SUBSTITUTE(SUBSTITUTE('Ingest Template'!U924,"https:",""),"www.",""),"/",""),"?hl=en",""),"instagram.com",""))</f>
        <v/>
      </c>
      <c r="W924" s="41" t="str">
        <f t="array" ref="W924">IF('Ingest Template'!V924="",(INDEX(DropDown!$L$2:$L$392,MATCH('Ingest Template'!E924,DropDown!$J$2:$J$392,0))&amp;"|"&amp;'Ingest Template'!B924),(INDEX(DropDown!$L$2:$L$392,MATCH('Ingest Template'!E924,DropDown!$J$2:$J$392,0))&amp;"|"&amp;'Ingest Template'!B924)&amp;CHAR(10)&amp;'Ingest Template'!V924)</f>
        <v>#N/A</v>
      </c>
      <c r="X924" s="41" t="str">
        <f>'Ingest Template'!W924</f>
        <v/>
      </c>
      <c r="Y924" s="21" t="str">
        <f>SUBSTITUTE(SUBSTITUTE(SUBSTITUTE('Ingest Template'!X924,"http:",""),"https:",""),"/","")</f>
        <v/>
      </c>
      <c r="Z924" s="21" t="str">
        <f t="array" ref="Z924">IF('Ingest Template'!A924="Standard",(IF(ISBLANK('Ingest Template'!AA924),"", 'Ingest Template'!AA924&amp;"|DAR")),(IF(ISBLANK('Ingest Template'!AA924),"", 'Ingest Template'!AA924&amp;"|Film Ops")))</f>
        <v/>
      </c>
      <c r="AA924" s="21"/>
      <c r="AB924" s="21" t="str">
        <f>'Ingest Template'!M924</f>
        <v/>
      </c>
      <c r="AC924" s="21" t="str">
        <f>'Ingest Template'!Y924</f>
        <v/>
      </c>
      <c r="AD924" s="21" t="str">
        <f>'Ingest Template'!C924</f>
        <v/>
      </c>
      <c r="AE924" s="21" t="str">
        <f>'Ingest Template'!Z924</f>
        <v/>
      </c>
      <c r="AF924" s="29"/>
      <c r="AG924" s="21" t="str">
        <f t="array" ref="AG924">IF('Ingest Template'!A924="Standard",(CONCATENATE(IF(ISBLANK('Ingest Template'!O924),"", 'Ingest Template'!O924&amp;"|DAR"),CHAR(10), IF(ISBLANK('Ingest Template'!P924),"", 'Ingest Template'!P924&amp;"|DAR"),CHAR(10), IF(ISBLANK('Ingest Template'!Q924),"", 'Ingest Template'!Q924&amp;"|DAR"))),(CONCATENATE(IF(ISBLANK('Ingest Template'!O924),"", 'Ingest Template'!O924&amp;"|Operations - Core Title"),CHAR(10), IF(ISBLANK('Ingest Template'!P924),"", 'Ingest Template'!P924&amp;"|Operations - Core Title"),CHAR(10), IF(ISBLANK('Ingest Template'!Q924),"", 'Ingest Template'!Q924&amp;"|Operations - Core Title"))))</f>
        <v>#|Operations - Core Title
#|Operations - Core Title
</v>
      </c>
      <c r="AH924" s="21"/>
      <c r="AI924" s="21"/>
      <c r="AJ924" s="53" t="str">
        <f>if('Ingest Template'!A924="Standard",'Ingest Template'!N924&amp; "|DAR|DAR|2021-01-01",'Ingest Template'!N924&amp; "|Operations - Core Title|Operations - Core Title")</f>
        <v>#N/A</v>
      </c>
      <c r="AK924" s="53" t="str">
        <f>if('Ingest Template'!A924="Standard",'Ingest Template'!R924&amp; "|2021-01-01",'Ingest Template'!R924)</f>
        <v>#N/A</v>
      </c>
      <c r="AL924" s="21"/>
      <c r="AM924" s="21"/>
    </row>
    <row r="925">
      <c r="A925" s="21"/>
      <c r="B925" s="21" t="str">
        <f>'Ingest Template'!B925&amp;IF('Ingest Template'!A925 = "Standard", " - DAR","")</f>
        <v/>
      </c>
      <c r="C925" s="26" t="s">
        <v>109</v>
      </c>
      <c r="D925" s="29" t="str">
        <f t="array" ref="D925">CONCATENATE(INDEX(DropDown!$H$2:$H$10,MATCH(1,COUNTIF('Ingest Template'!F925,"*"&amp;DropDown!$H$2:$H$10&amp;"*"),0)),CHAR(10),'Ingest Template'!G925)</f>
        <v>#N/A</v>
      </c>
      <c r="E925" s="21" t="str">
        <f>CONCATENATE('Ingest Template'!H925,CHAR(10),'Ingest Template'!I925,CHAR(10),'Ingest Template'!J925)</f>
        <v>
</v>
      </c>
      <c r="F925" s="26" t="str">
        <f>'Ingest Template'!H925</f>
        <v/>
      </c>
      <c r="G925" s="21"/>
      <c r="H925" s="29"/>
      <c r="I925" s="21"/>
      <c r="J925" s="29" t="str">
        <f t="array" ref="J925">iF('Ingest Template'!A925="Standard","Pristine Brand",INDEX(DropDown!$M$2:$M$392,MATCH('Ingest Template'!E925,DropDown!$J$2:$J$392,0)))</f>
        <v>#N/A</v>
      </c>
      <c r="K925" s="21" t="str">
        <f>iF('Ingest Template'!A925="Standard",'Ingest Template'!K925&amp;CHAR(10)&amp;'Ingest Template'!L925,"Competitive View")</f>
        <v>Competitive View</v>
      </c>
      <c r="L925" s="29" t="s">
        <v>146</v>
      </c>
      <c r="M925" s="37" t="str">
        <f>'Ingest Template'!D925</f>
        <v/>
      </c>
      <c r="N925" s="21"/>
      <c r="O925" s="21"/>
      <c r="P925" s="21"/>
      <c r="Q925" s="21"/>
      <c r="R925" s="21" t="str">
        <f>'Ingest Template'!E925</f>
        <v/>
      </c>
      <c r="S925" s="29" t="s">
        <v>153</v>
      </c>
      <c r="T925" s="21" t="str">
        <f>'Ingest Template'!T925</f>
        <v/>
      </c>
      <c r="U925" s="21" t="str">
        <f>'Ingest Template'!S925</f>
        <v/>
      </c>
      <c r="V925" s="21" t="str">
        <f>LOWER(SUBSTITUTE(SUBSTITUTE(SUBSTITUTE(SUBSTITUTE(SUBSTITUTE('Ingest Template'!U925,"https:",""),"www.",""),"/",""),"?hl=en",""),"instagram.com",""))</f>
        <v/>
      </c>
      <c r="W925" s="41" t="str">
        <f t="array" ref="W925">IF('Ingest Template'!V925="",(INDEX(DropDown!$L$2:$L$392,MATCH('Ingest Template'!E925,DropDown!$J$2:$J$392,0))&amp;"|"&amp;'Ingest Template'!B925),(INDEX(DropDown!$L$2:$L$392,MATCH('Ingest Template'!E925,DropDown!$J$2:$J$392,0))&amp;"|"&amp;'Ingest Template'!B925)&amp;CHAR(10)&amp;'Ingest Template'!V925)</f>
        <v>#N/A</v>
      </c>
      <c r="X925" s="41" t="str">
        <f>'Ingest Template'!W925</f>
        <v/>
      </c>
      <c r="Y925" s="21" t="str">
        <f>SUBSTITUTE(SUBSTITUTE(SUBSTITUTE('Ingest Template'!X925,"http:",""),"https:",""),"/","")</f>
        <v/>
      </c>
      <c r="Z925" s="21" t="str">
        <f t="array" ref="Z925">IF('Ingest Template'!A925="Standard",(IF(ISBLANK('Ingest Template'!AA925),"", 'Ingest Template'!AA925&amp;"|DAR")),(IF(ISBLANK('Ingest Template'!AA925),"", 'Ingest Template'!AA925&amp;"|Film Ops")))</f>
        <v/>
      </c>
      <c r="AA925" s="21"/>
      <c r="AB925" s="21" t="str">
        <f>'Ingest Template'!M925</f>
        <v/>
      </c>
      <c r="AC925" s="21" t="str">
        <f>'Ingest Template'!Y925</f>
        <v/>
      </c>
      <c r="AD925" s="21" t="str">
        <f>'Ingest Template'!C925</f>
        <v/>
      </c>
      <c r="AE925" s="21" t="str">
        <f>'Ingest Template'!Z925</f>
        <v/>
      </c>
      <c r="AF925" s="29"/>
      <c r="AG925" s="21" t="str">
        <f t="array" ref="AG925">IF('Ingest Template'!A925="Standard",(CONCATENATE(IF(ISBLANK('Ingest Template'!O925),"", 'Ingest Template'!O925&amp;"|DAR"),CHAR(10), IF(ISBLANK('Ingest Template'!P925),"", 'Ingest Template'!P925&amp;"|DAR"),CHAR(10), IF(ISBLANK('Ingest Template'!Q925),"", 'Ingest Template'!Q925&amp;"|DAR"))),(CONCATENATE(IF(ISBLANK('Ingest Template'!O925),"", 'Ingest Template'!O925&amp;"|Operations - Core Title"),CHAR(10), IF(ISBLANK('Ingest Template'!P925),"", 'Ingest Template'!P925&amp;"|Operations - Core Title"),CHAR(10), IF(ISBLANK('Ingest Template'!Q925),"", 'Ingest Template'!Q925&amp;"|Operations - Core Title"))))</f>
        <v>#|Operations - Core Title
#|Operations - Core Title
</v>
      </c>
      <c r="AH925" s="21"/>
      <c r="AI925" s="21"/>
      <c r="AJ925" s="53" t="str">
        <f>if('Ingest Template'!A925="Standard",'Ingest Template'!N925&amp; "|DAR|DAR|2021-01-01",'Ingest Template'!N925&amp; "|Operations - Core Title|Operations - Core Title")</f>
        <v>#N/A</v>
      </c>
      <c r="AK925" s="53" t="str">
        <f>if('Ingest Template'!A925="Standard",'Ingest Template'!R925&amp; "|2021-01-01",'Ingest Template'!R925)</f>
        <v>#N/A</v>
      </c>
      <c r="AL925" s="21"/>
      <c r="AM925" s="21"/>
    </row>
    <row r="926">
      <c r="A926" s="21"/>
      <c r="B926" s="21" t="str">
        <f>'Ingest Template'!B926&amp;IF('Ingest Template'!A926 = "Standard", " - DAR","")</f>
        <v/>
      </c>
      <c r="C926" s="26" t="s">
        <v>109</v>
      </c>
      <c r="D926" s="29" t="str">
        <f t="array" ref="D926">CONCATENATE(INDEX(DropDown!$H$2:$H$10,MATCH(1,COUNTIF('Ingest Template'!F926,"*"&amp;DropDown!$H$2:$H$10&amp;"*"),0)),CHAR(10),'Ingest Template'!G926)</f>
        <v>#N/A</v>
      </c>
      <c r="E926" s="21" t="str">
        <f>CONCATENATE('Ingest Template'!H926,CHAR(10),'Ingest Template'!I926,CHAR(10),'Ingest Template'!J926)</f>
        <v>
</v>
      </c>
      <c r="F926" s="26" t="str">
        <f>'Ingest Template'!H926</f>
        <v/>
      </c>
      <c r="G926" s="21"/>
      <c r="H926" s="29"/>
      <c r="I926" s="21"/>
      <c r="J926" s="29" t="str">
        <f t="array" ref="J926">iF('Ingest Template'!A926="Standard","Pristine Brand",INDEX(DropDown!$M$2:$M$392,MATCH('Ingest Template'!E926,DropDown!$J$2:$J$392,0)))</f>
        <v>#N/A</v>
      </c>
      <c r="K926" s="21" t="str">
        <f>iF('Ingest Template'!A926="Standard",'Ingest Template'!K926&amp;CHAR(10)&amp;'Ingest Template'!L926,"Competitive View")</f>
        <v>Competitive View</v>
      </c>
      <c r="L926" s="29" t="s">
        <v>146</v>
      </c>
      <c r="M926" s="37" t="str">
        <f>'Ingest Template'!D926</f>
        <v/>
      </c>
      <c r="N926" s="21"/>
      <c r="O926" s="21"/>
      <c r="P926" s="21"/>
      <c r="Q926" s="21"/>
      <c r="R926" s="21" t="str">
        <f>'Ingest Template'!E926</f>
        <v/>
      </c>
      <c r="S926" s="29" t="s">
        <v>153</v>
      </c>
      <c r="T926" s="21" t="str">
        <f>'Ingest Template'!T926</f>
        <v/>
      </c>
      <c r="U926" s="21" t="str">
        <f>'Ingest Template'!S926</f>
        <v/>
      </c>
      <c r="V926" s="21" t="str">
        <f>LOWER(SUBSTITUTE(SUBSTITUTE(SUBSTITUTE(SUBSTITUTE(SUBSTITUTE('Ingest Template'!U926,"https:",""),"www.",""),"/",""),"?hl=en",""),"instagram.com",""))</f>
        <v/>
      </c>
      <c r="W926" s="41" t="str">
        <f t="array" ref="W926">IF('Ingest Template'!V926="",(INDEX(DropDown!$L$2:$L$392,MATCH('Ingest Template'!E926,DropDown!$J$2:$J$392,0))&amp;"|"&amp;'Ingest Template'!B926),(INDEX(DropDown!$L$2:$L$392,MATCH('Ingest Template'!E926,DropDown!$J$2:$J$392,0))&amp;"|"&amp;'Ingest Template'!B926)&amp;CHAR(10)&amp;'Ingest Template'!V926)</f>
        <v>#N/A</v>
      </c>
      <c r="X926" s="41" t="str">
        <f>'Ingest Template'!W926</f>
        <v/>
      </c>
      <c r="Y926" s="21" t="str">
        <f>SUBSTITUTE(SUBSTITUTE(SUBSTITUTE('Ingest Template'!X926,"http:",""),"https:",""),"/","")</f>
        <v/>
      </c>
      <c r="Z926" s="21" t="str">
        <f t="array" ref="Z926">IF('Ingest Template'!A926="Standard",(IF(ISBLANK('Ingest Template'!AA926),"", 'Ingest Template'!AA926&amp;"|DAR")),(IF(ISBLANK('Ingest Template'!AA926),"", 'Ingest Template'!AA926&amp;"|Film Ops")))</f>
        <v/>
      </c>
      <c r="AA926" s="21"/>
      <c r="AB926" s="21" t="str">
        <f>'Ingest Template'!M926</f>
        <v/>
      </c>
      <c r="AC926" s="21" t="str">
        <f>'Ingest Template'!Y926</f>
        <v/>
      </c>
      <c r="AD926" s="21" t="str">
        <f>'Ingest Template'!C926</f>
        <v/>
      </c>
      <c r="AE926" s="21" t="str">
        <f>'Ingest Template'!Z926</f>
        <v/>
      </c>
      <c r="AF926" s="29"/>
      <c r="AG926" s="21" t="str">
        <f t="array" ref="AG926">IF('Ingest Template'!A926="Standard",(CONCATENATE(IF(ISBLANK('Ingest Template'!O926),"", 'Ingest Template'!O926&amp;"|DAR"),CHAR(10), IF(ISBLANK('Ingest Template'!P926),"", 'Ingest Template'!P926&amp;"|DAR"),CHAR(10), IF(ISBLANK('Ingest Template'!Q926),"", 'Ingest Template'!Q926&amp;"|DAR"))),(CONCATENATE(IF(ISBLANK('Ingest Template'!O926),"", 'Ingest Template'!O926&amp;"|Operations - Core Title"),CHAR(10), IF(ISBLANK('Ingest Template'!P926),"", 'Ingest Template'!P926&amp;"|Operations - Core Title"),CHAR(10), IF(ISBLANK('Ingest Template'!Q926),"", 'Ingest Template'!Q926&amp;"|Operations - Core Title"))))</f>
        <v>#|Operations - Core Title
#|Operations - Core Title
</v>
      </c>
      <c r="AH926" s="21"/>
      <c r="AI926" s="21"/>
      <c r="AJ926" s="53" t="str">
        <f>if('Ingest Template'!A926="Standard",'Ingest Template'!N926&amp; "|DAR|DAR|2021-01-01",'Ingest Template'!N926&amp; "|Operations - Core Title|Operations - Core Title")</f>
        <v>#N/A</v>
      </c>
      <c r="AK926" s="53" t="str">
        <f>if('Ingest Template'!A926="Standard",'Ingest Template'!R926&amp; "|2021-01-01",'Ingest Template'!R926)</f>
        <v>#N/A</v>
      </c>
      <c r="AL926" s="21"/>
      <c r="AM926" s="21"/>
    </row>
    <row r="927">
      <c r="A927" s="21"/>
      <c r="B927" s="21" t="str">
        <f>'Ingest Template'!B927&amp;IF('Ingest Template'!A927 = "Standard", " - DAR","")</f>
        <v/>
      </c>
      <c r="C927" s="26" t="s">
        <v>109</v>
      </c>
      <c r="D927" s="29" t="str">
        <f t="array" ref="D927">CONCATENATE(INDEX(DropDown!$H$2:$H$10,MATCH(1,COUNTIF('Ingest Template'!F927,"*"&amp;DropDown!$H$2:$H$10&amp;"*"),0)),CHAR(10),'Ingest Template'!G927)</f>
        <v>#N/A</v>
      </c>
      <c r="E927" s="21" t="str">
        <f>CONCATENATE('Ingest Template'!H927,CHAR(10),'Ingest Template'!I927,CHAR(10),'Ingest Template'!J927)</f>
        <v>
</v>
      </c>
      <c r="F927" s="26" t="str">
        <f>'Ingest Template'!H927</f>
        <v/>
      </c>
      <c r="G927" s="21"/>
      <c r="H927" s="29"/>
      <c r="I927" s="21"/>
      <c r="J927" s="29" t="str">
        <f t="array" ref="J927">iF('Ingest Template'!A927="Standard","Pristine Brand",INDEX(DropDown!$M$2:$M$392,MATCH('Ingest Template'!E927,DropDown!$J$2:$J$392,0)))</f>
        <v>#N/A</v>
      </c>
      <c r="K927" s="21" t="str">
        <f>iF('Ingest Template'!A927="Standard",'Ingest Template'!K927&amp;CHAR(10)&amp;'Ingest Template'!L927,"Competitive View")</f>
        <v>Competitive View</v>
      </c>
      <c r="L927" s="29" t="s">
        <v>146</v>
      </c>
      <c r="M927" s="37" t="str">
        <f>'Ingest Template'!D927</f>
        <v/>
      </c>
      <c r="N927" s="21"/>
      <c r="O927" s="21"/>
      <c r="P927" s="21"/>
      <c r="Q927" s="21"/>
      <c r="R927" s="21" t="str">
        <f>'Ingest Template'!E927</f>
        <v/>
      </c>
      <c r="S927" s="29" t="s">
        <v>153</v>
      </c>
      <c r="T927" s="21" t="str">
        <f>'Ingest Template'!T927</f>
        <v/>
      </c>
      <c r="U927" s="21" t="str">
        <f>'Ingest Template'!S927</f>
        <v/>
      </c>
      <c r="V927" s="21" t="str">
        <f>LOWER(SUBSTITUTE(SUBSTITUTE(SUBSTITUTE(SUBSTITUTE(SUBSTITUTE('Ingest Template'!U927,"https:",""),"www.",""),"/",""),"?hl=en",""),"instagram.com",""))</f>
        <v/>
      </c>
      <c r="W927" s="41" t="str">
        <f t="array" ref="W927">IF('Ingest Template'!V927="",(INDEX(DropDown!$L$2:$L$392,MATCH('Ingest Template'!E927,DropDown!$J$2:$J$392,0))&amp;"|"&amp;'Ingest Template'!B927),(INDEX(DropDown!$L$2:$L$392,MATCH('Ingest Template'!E927,DropDown!$J$2:$J$392,0))&amp;"|"&amp;'Ingest Template'!B927)&amp;CHAR(10)&amp;'Ingest Template'!V927)</f>
        <v>#N/A</v>
      </c>
      <c r="X927" s="41" t="str">
        <f>'Ingest Template'!W927</f>
        <v/>
      </c>
      <c r="Y927" s="21" t="str">
        <f>SUBSTITUTE(SUBSTITUTE(SUBSTITUTE('Ingest Template'!X927,"http:",""),"https:",""),"/","")</f>
        <v/>
      </c>
      <c r="Z927" s="21" t="str">
        <f t="array" ref="Z927">IF('Ingest Template'!A927="Standard",(IF(ISBLANK('Ingest Template'!AA927),"", 'Ingest Template'!AA927&amp;"|DAR")),(IF(ISBLANK('Ingest Template'!AA927),"", 'Ingest Template'!AA927&amp;"|Film Ops")))</f>
        <v/>
      </c>
      <c r="AA927" s="21"/>
      <c r="AB927" s="21" t="str">
        <f>'Ingest Template'!M927</f>
        <v/>
      </c>
      <c r="AC927" s="21" t="str">
        <f>'Ingest Template'!Y927</f>
        <v/>
      </c>
      <c r="AD927" s="21" t="str">
        <f>'Ingest Template'!C927</f>
        <v/>
      </c>
      <c r="AE927" s="21" t="str">
        <f>'Ingest Template'!Z927</f>
        <v/>
      </c>
      <c r="AF927" s="29"/>
      <c r="AG927" s="21" t="str">
        <f t="array" ref="AG927">IF('Ingest Template'!A927="Standard",(CONCATENATE(IF(ISBLANK('Ingest Template'!O927),"", 'Ingest Template'!O927&amp;"|DAR"),CHAR(10), IF(ISBLANK('Ingest Template'!P927),"", 'Ingest Template'!P927&amp;"|DAR"),CHAR(10), IF(ISBLANK('Ingest Template'!Q927),"", 'Ingest Template'!Q927&amp;"|DAR"))),(CONCATENATE(IF(ISBLANK('Ingest Template'!O927),"", 'Ingest Template'!O927&amp;"|Operations - Core Title"),CHAR(10), IF(ISBLANK('Ingest Template'!P927),"", 'Ingest Template'!P927&amp;"|Operations - Core Title"),CHAR(10), IF(ISBLANK('Ingest Template'!Q927),"", 'Ingest Template'!Q927&amp;"|Operations - Core Title"))))</f>
        <v>#|Operations - Core Title
#|Operations - Core Title
</v>
      </c>
      <c r="AH927" s="21"/>
      <c r="AI927" s="21"/>
      <c r="AJ927" s="53" t="str">
        <f>if('Ingest Template'!A927="Standard",'Ingest Template'!N927&amp; "|DAR|DAR|2021-01-01",'Ingest Template'!N927&amp; "|Operations - Core Title|Operations - Core Title")</f>
        <v>#N/A</v>
      </c>
      <c r="AK927" s="53" t="str">
        <f>if('Ingest Template'!A927="Standard",'Ingest Template'!R927&amp; "|2021-01-01",'Ingest Template'!R927)</f>
        <v>#N/A</v>
      </c>
      <c r="AL927" s="21"/>
      <c r="AM927" s="21"/>
    </row>
    <row r="928">
      <c r="A928" s="21"/>
      <c r="B928" s="21" t="str">
        <f>'Ingest Template'!B928&amp;IF('Ingest Template'!A928 = "Standard", " - DAR","")</f>
        <v/>
      </c>
      <c r="C928" s="26" t="s">
        <v>109</v>
      </c>
      <c r="D928" s="29" t="str">
        <f t="array" ref="D928">CONCATENATE(INDEX(DropDown!$H$2:$H$10,MATCH(1,COUNTIF('Ingest Template'!F928,"*"&amp;DropDown!$H$2:$H$10&amp;"*"),0)),CHAR(10),'Ingest Template'!G928)</f>
        <v>#N/A</v>
      </c>
      <c r="E928" s="21" t="str">
        <f>CONCATENATE('Ingest Template'!H928,CHAR(10),'Ingest Template'!I928,CHAR(10),'Ingest Template'!J928)</f>
        <v>
</v>
      </c>
      <c r="F928" s="26" t="str">
        <f>'Ingest Template'!H928</f>
        <v/>
      </c>
      <c r="G928" s="21"/>
      <c r="H928" s="29"/>
      <c r="I928" s="21"/>
      <c r="J928" s="29" t="str">
        <f t="array" ref="J928">iF('Ingest Template'!A928="Standard","Pristine Brand",INDEX(DropDown!$M$2:$M$392,MATCH('Ingest Template'!E928,DropDown!$J$2:$J$392,0)))</f>
        <v>#N/A</v>
      </c>
      <c r="K928" s="21" t="str">
        <f>iF('Ingest Template'!A928="Standard",'Ingest Template'!K928&amp;CHAR(10)&amp;'Ingest Template'!L928,"Competitive View")</f>
        <v>Competitive View</v>
      </c>
      <c r="L928" s="29" t="s">
        <v>146</v>
      </c>
      <c r="M928" s="37" t="str">
        <f>'Ingest Template'!D928</f>
        <v/>
      </c>
      <c r="N928" s="21"/>
      <c r="O928" s="21"/>
      <c r="P928" s="21"/>
      <c r="Q928" s="21"/>
      <c r="R928" s="21" t="str">
        <f>'Ingest Template'!E928</f>
        <v/>
      </c>
      <c r="S928" s="29" t="s">
        <v>153</v>
      </c>
      <c r="T928" s="21" t="str">
        <f>'Ingest Template'!T928</f>
        <v/>
      </c>
      <c r="U928" s="21" t="str">
        <f>'Ingest Template'!S928</f>
        <v/>
      </c>
      <c r="V928" s="21" t="str">
        <f>LOWER(SUBSTITUTE(SUBSTITUTE(SUBSTITUTE(SUBSTITUTE(SUBSTITUTE('Ingest Template'!U928,"https:",""),"www.",""),"/",""),"?hl=en",""),"instagram.com",""))</f>
        <v/>
      </c>
      <c r="W928" s="41" t="str">
        <f t="array" ref="W928">IF('Ingest Template'!V928="",(INDEX(DropDown!$L$2:$L$392,MATCH('Ingest Template'!E928,DropDown!$J$2:$J$392,0))&amp;"|"&amp;'Ingest Template'!B928),(INDEX(DropDown!$L$2:$L$392,MATCH('Ingest Template'!E928,DropDown!$J$2:$J$392,0))&amp;"|"&amp;'Ingest Template'!B928)&amp;CHAR(10)&amp;'Ingest Template'!V928)</f>
        <v>#N/A</v>
      </c>
      <c r="X928" s="41" t="str">
        <f>'Ingest Template'!W928</f>
        <v/>
      </c>
      <c r="Y928" s="21" t="str">
        <f>SUBSTITUTE(SUBSTITUTE(SUBSTITUTE('Ingest Template'!X928,"http:",""),"https:",""),"/","")</f>
        <v/>
      </c>
      <c r="Z928" s="21" t="str">
        <f t="array" ref="Z928">IF('Ingest Template'!A928="Standard",(IF(ISBLANK('Ingest Template'!AA928),"", 'Ingest Template'!AA928&amp;"|DAR")),(IF(ISBLANK('Ingest Template'!AA928),"", 'Ingest Template'!AA928&amp;"|Film Ops")))</f>
        <v/>
      </c>
      <c r="AA928" s="21"/>
      <c r="AB928" s="21" t="str">
        <f>'Ingest Template'!M928</f>
        <v/>
      </c>
      <c r="AC928" s="21" t="str">
        <f>'Ingest Template'!Y928</f>
        <v/>
      </c>
      <c r="AD928" s="21" t="str">
        <f>'Ingest Template'!C928</f>
        <v/>
      </c>
      <c r="AE928" s="21" t="str">
        <f>'Ingest Template'!Z928</f>
        <v/>
      </c>
      <c r="AF928" s="29"/>
      <c r="AG928" s="21" t="str">
        <f t="array" ref="AG928">IF('Ingest Template'!A928="Standard",(CONCATENATE(IF(ISBLANK('Ingest Template'!O928),"", 'Ingest Template'!O928&amp;"|DAR"),CHAR(10), IF(ISBLANK('Ingest Template'!P928),"", 'Ingest Template'!P928&amp;"|DAR"),CHAR(10), IF(ISBLANK('Ingest Template'!Q928),"", 'Ingest Template'!Q928&amp;"|DAR"))),(CONCATENATE(IF(ISBLANK('Ingest Template'!O928),"", 'Ingest Template'!O928&amp;"|Operations - Core Title"),CHAR(10), IF(ISBLANK('Ingest Template'!P928),"", 'Ingest Template'!P928&amp;"|Operations - Core Title"),CHAR(10), IF(ISBLANK('Ingest Template'!Q928),"", 'Ingest Template'!Q928&amp;"|Operations - Core Title"))))</f>
        <v>#|Operations - Core Title
#|Operations - Core Title
</v>
      </c>
      <c r="AH928" s="21"/>
      <c r="AI928" s="21"/>
      <c r="AJ928" s="53" t="str">
        <f>if('Ingest Template'!A928="Standard",'Ingest Template'!N928&amp; "|DAR|DAR|2021-01-01",'Ingest Template'!N928&amp; "|Operations - Core Title|Operations - Core Title")</f>
        <v>#N/A</v>
      </c>
      <c r="AK928" s="53" t="str">
        <f>if('Ingest Template'!A928="Standard",'Ingest Template'!R928&amp; "|2021-01-01",'Ingest Template'!R928)</f>
        <v>#N/A</v>
      </c>
      <c r="AL928" s="21"/>
      <c r="AM928" s="21"/>
    </row>
    <row r="929">
      <c r="A929" s="21"/>
      <c r="B929" s="21" t="str">
        <f>'Ingest Template'!B929&amp;IF('Ingest Template'!A929 = "Standard", " - DAR","")</f>
        <v/>
      </c>
      <c r="C929" s="26" t="s">
        <v>109</v>
      </c>
      <c r="D929" s="29" t="str">
        <f t="array" ref="D929">CONCATENATE(INDEX(DropDown!$H$2:$H$10,MATCH(1,COUNTIF('Ingest Template'!F929,"*"&amp;DropDown!$H$2:$H$10&amp;"*"),0)),CHAR(10),'Ingest Template'!G929)</f>
        <v>#N/A</v>
      </c>
      <c r="E929" s="21" t="str">
        <f>CONCATENATE('Ingest Template'!H929,CHAR(10),'Ingest Template'!I929,CHAR(10),'Ingest Template'!J929)</f>
        <v>
</v>
      </c>
      <c r="F929" s="26" t="str">
        <f>'Ingest Template'!H929</f>
        <v/>
      </c>
      <c r="G929" s="21"/>
      <c r="H929" s="29"/>
      <c r="I929" s="21"/>
      <c r="J929" s="29" t="str">
        <f t="array" ref="J929">iF('Ingest Template'!A929="Standard","Pristine Brand",INDEX(DropDown!$M$2:$M$392,MATCH('Ingest Template'!E929,DropDown!$J$2:$J$392,0)))</f>
        <v>#N/A</v>
      </c>
      <c r="K929" s="21" t="str">
        <f>iF('Ingest Template'!A929="Standard",'Ingest Template'!K929&amp;CHAR(10)&amp;'Ingest Template'!L929,"Competitive View")</f>
        <v>Competitive View</v>
      </c>
      <c r="L929" s="29" t="s">
        <v>146</v>
      </c>
      <c r="M929" s="37" t="str">
        <f>'Ingest Template'!D929</f>
        <v/>
      </c>
      <c r="N929" s="21"/>
      <c r="O929" s="21"/>
      <c r="P929" s="21"/>
      <c r="Q929" s="21"/>
      <c r="R929" s="21" t="str">
        <f>'Ingest Template'!E929</f>
        <v/>
      </c>
      <c r="S929" s="29" t="s">
        <v>153</v>
      </c>
      <c r="T929" s="21" t="str">
        <f>'Ingest Template'!T929</f>
        <v/>
      </c>
      <c r="U929" s="21" t="str">
        <f>'Ingest Template'!S929</f>
        <v/>
      </c>
      <c r="V929" s="21" t="str">
        <f>LOWER(SUBSTITUTE(SUBSTITUTE(SUBSTITUTE(SUBSTITUTE(SUBSTITUTE('Ingest Template'!U929,"https:",""),"www.",""),"/",""),"?hl=en",""),"instagram.com",""))</f>
        <v/>
      </c>
      <c r="W929" s="41" t="str">
        <f t="array" ref="W929">IF('Ingest Template'!V929="",(INDEX(DropDown!$L$2:$L$392,MATCH('Ingest Template'!E929,DropDown!$J$2:$J$392,0))&amp;"|"&amp;'Ingest Template'!B929),(INDEX(DropDown!$L$2:$L$392,MATCH('Ingest Template'!E929,DropDown!$J$2:$J$392,0))&amp;"|"&amp;'Ingest Template'!B929)&amp;CHAR(10)&amp;'Ingest Template'!V929)</f>
        <v>#N/A</v>
      </c>
      <c r="X929" s="41" t="str">
        <f>'Ingest Template'!W929</f>
        <v/>
      </c>
      <c r="Y929" s="21" t="str">
        <f>SUBSTITUTE(SUBSTITUTE(SUBSTITUTE('Ingest Template'!X929,"http:",""),"https:",""),"/","")</f>
        <v/>
      </c>
      <c r="Z929" s="21" t="str">
        <f t="array" ref="Z929">IF('Ingest Template'!A929="Standard",(IF(ISBLANK('Ingest Template'!AA929),"", 'Ingest Template'!AA929&amp;"|DAR")),(IF(ISBLANK('Ingest Template'!AA929),"", 'Ingest Template'!AA929&amp;"|Film Ops")))</f>
        <v/>
      </c>
      <c r="AA929" s="21"/>
      <c r="AB929" s="21" t="str">
        <f>'Ingest Template'!M929</f>
        <v/>
      </c>
      <c r="AC929" s="21" t="str">
        <f>'Ingest Template'!Y929</f>
        <v/>
      </c>
      <c r="AD929" s="21" t="str">
        <f>'Ingest Template'!C929</f>
        <v/>
      </c>
      <c r="AE929" s="21" t="str">
        <f>'Ingest Template'!Z929</f>
        <v/>
      </c>
      <c r="AF929" s="29"/>
      <c r="AG929" s="21" t="str">
        <f t="array" ref="AG929">IF('Ingest Template'!A929="Standard",(CONCATENATE(IF(ISBLANK('Ingest Template'!O929),"", 'Ingest Template'!O929&amp;"|DAR"),CHAR(10), IF(ISBLANK('Ingest Template'!P929),"", 'Ingest Template'!P929&amp;"|DAR"),CHAR(10), IF(ISBLANK('Ingest Template'!Q929),"", 'Ingest Template'!Q929&amp;"|DAR"))),(CONCATENATE(IF(ISBLANK('Ingest Template'!O929),"", 'Ingest Template'!O929&amp;"|Operations - Core Title"),CHAR(10), IF(ISBLANK('Ingest Template'!P929),"", 'Ingest Template'!P929&amp;"|Operations - Core Title"),CHAR(10), IF(ISBLANK('Ingest Template'!Q929),"", 'Ingest Template'!Q929&amp;"|Operations - Core Title"))))</f>
        <v>#|Operations - Core Title
#|Operations - Core Title
</v>
      </c>
      <c r="AH929" s="21"/>
      <c r="AI929" s="21"/>
      <c r="AJ929" s="53" t="str">
        <f>if('Ingest Template'!A929="Standard",'Ingest Template'!N929&amp; "|DAR|DAR|2021-01-01",'Ingest Template'!N929&amp; "|Operations - Core Title|Operations - Core Title")</f>
        <v>#N/A</v>
      </c>
      <c r="AK929" s="53" t="str">
        <f>if('Ingest Template'!A929="Standard",'Ingest Template'!R929&amp; "|2021-01-01",'Ingest Template'!R929)</f>
        <v>#N/A</v>
      </c>
      <c r="AL929" s="21"/>
      <c r="AM929" s="21"/>
    </row>
    <row r="930">
      <c r="A930" s="21"/>
      <c r="B930" s="21" t="str">
        <f>'Ingest Template'!B930&amp;IF('Ingest Template'!A930 = "Standard", " - DAR","")</f>
        <v/>
      </c>
      <c r="C930" s="26" t="s">
        <v>109</v>
      </c>
      <c r="D930" s="29" t="str">
        <f t="array" ref="D930">CONCATENATE(INDEX(DropDown!$H$2:$H$10,MATCH(1,COUNTIF('Ingest Template'!F930,"*"&amp;DropDown!$H$2:$H$10&amp;"*"),0)),CHAR(10),'Ingest Template'!G930)</f>
        <v>#N/A</v>
      </c>
      <c r="E930" s="21" t="str">
        <f>CONCATENATE('Ingest Template'!H930,CHAR(10),'Ingest Template'!I930,CHAR(10),'Ingest Template'!J930)</f>
        <v>
</v>
      </c>
      <c r="F930" s="26" t="str">
        <f>'Ingest Template'!H930</f>
        <v/>
      </c>
      <c r="G930" s="21"/>
      <c r="H930" s="29"/>
      <c r="I930" s="21"/>
      <c r="J930" s="29" t="str">
        <f t="array" ref="J930">iF('Ingest Template'!A930="Standard","Pristine Brand",INDEX(DropDown!$M$2:$M$392,MATCH('Ingest Template'!E930,DropDown!$J$2:$J$392,0)))</f>
        <v>#N/A</v>
      </c>
      <c r="K930" s="21" t="str">
        <f>iF('Ingest Template'!A930="Standard",'Ingest Template'!K930&amp;CHAR(10)&amp;'Ingest Template'!L930,"Competitive View")</f>
        <v>Competitive View</v>
      </c>
      <c r="L930" s="29" t="s">
        <v>146</v>
      </c>
      <c r="M930" s="37" t="str">
        <f>'Ingest Template'!D930</f>
        <v/>
      </c>
      <c r="N930" s="21"/>
      <c r="O930" s="21"/>
      <c r="P930" s="21"/>
      <c r="Q930" s="21"/>
      <c r="R930" s="21" t="str">
        <f>'Ingest Template'!E930</f>
        <v/>
      </c>
      <c r="S930" s="29" t="s">
        <v>153</v>
      </c>
      <c r="T930" s="21" t="str">
        <f>'Ingest Template'!T930</f>
        <v/>
      </c>
      <c r="U930" s="21" t="str">
        <f>'Ingest Template'!S930</f>
        <v/>
      </c>
      <c r="V930" s="21" t="str">
        <f>LOWER(SUBSTITUTE(SUBSTITUTE(SUBSTITUTE(SUBSTITUTE(SUBSTITUTE('Ingest Template'!U930,"https:",""),"www.",""),"/",""),"?hl=en",""),"instagram.com",""))</f>
        <v/>
      </c>
      <c r="W930" s="41" t="str">
        <f t="array" ref="W930">IF('Ingest Template'!V930="",(INDEX(DropDown!$L$2:$L$392,MATCH('Ingest Template'!E930,DropDown!$J$2:$J$392,0))&amp;"|"&amp;'Ingest Template'!B930),(INDEX(DropDown!$L$2:$L$392,MATCH('Ingest Template'!E930,DropDown!$J$2:$J$392,0))&amp;"|"&amp;'Ingest Template'!B930)&amp;CHAR(10)&amp;'Ingest Template'!V930)</f>
        <v>#N/A</v>
      </c>
      <c r="X930" s="41" t="str">
        <f>'Ingest Template'!W930</f>
        <v/>
      </c>
      <c r="Y930" s="21" t="str">
        <f>SUBSTITUTE(SUBSTITUTE(SUBSTITUTE('Ingest Template'!X930,"http:",""),"https:",""),"/","")</f>
        <v/>
      </c>
      <c r="Z930" s="21" t="str">
        <f t="array" ref="Z930">IF('Ingest Template'!A930="Standard",(IF(ISBLANK('Ingest Template'!AA930),"", 'Ingest Template'!AA930&amp;"|DAR")),(IF(ISBLANK('Ingest Template'!AA930),"", 'Ingest Template'!AA930&amp;"|Film Ops")))</f>
        <v/>
      </c>
      <c r="AA930" s="21"/>
      <c r="AB930" s="21" t="str">
        <f>'Ingest Template'!M930</f>
        <v/>
      </c>
      <c r="AC930" s="21" t="str">
        <f>'Ingest Template'!Y930</f>
        <v/>
      </c>
      <c r="AD930" s="21" t="str">
        <f>'Ingest Template'!C930</f>
        <v/>
      </c>
      <c r="AE930" s="21" t="str">
        <f>'Ingest Template'!Z930</f>
        <v/>
      </c>
      <c r="AF930" s="29"/>
      <c r="AG930" s="21" t="str">
        <f t="array" ref="AG930">IF('Ingest Template'!A930="Standard",(CONCATENATE(IF(ISBLANK('Ingest Template'!O930),"", 'Ingest Template'!O930&amp;"|DAR"),CHAR(10), IF(ISBLANK('Ingest Template'!P930),"", 'Ingest Template'!P930&amp;"|DAR"),CHAR(10), IF(ISBLANK('Ingest Template'!Q930),"", 'Ingest Template'!Q930&amp;"|DAR"))),(CONCATENATE(IF(ISBLANK('Ingest Template'!O930),"", 'Ingest Template'!O930&amp;"|Operations - Core Title"),CHAR(10), IF(ISBLANK('Ingest Template'!P930),"", 'Ingest Template'!P930&amp;"|Operations - Core Title"),CHAR(10), IF(ISBLANK('Ingest Template'!Q930),"", 'Ingest Template'!Q930&amp;"|Operations - Core Title"))))</f>
        <v>#|Operations - Core Title
#|Operations - Core Title
</v>
      </c>
      <c r="AH930" s="21"/>
      <c r="AI930" s="21"/>
      <c r="AJ930" s="53" t="str">
        <f>if('Ingest Template'!A930="Standard",'Ingest Template'!N930&amp; "|DAR|DAR|2021-01-01",'Ingest Template'!N930&amp; "|Operations - Core Title|Operations - Core Title")</f>
        <v>#N/A</v>
      </c>
      <c r="AK930" s="53" t="str">
        <f>if('Ingest Template'!A930="Standard",'Ingest Template'!R930&amp; "|2021-01-01",'Ingest Template'!R930)</f>
        <v>#N/A</v>
      </c>
      <c r="AL930" s="21"/>
      <c r="AM930" s="21"/>
    </row>
    <row r="931">
      <c r="A931" s="21"/>
      <c r="B931" s="21" t="str">
        <f>'Ingest Template'!B931&amp;IF('Ingest Template'!A931 = "Standard", " - DAR","")</f>
        <v/>
      </c>
      <c r="C931" s="26" t="s">
        <v>109</v>
      </c>
      <c r="D931" s="29" t="str">
        <f t="array" ref="D931">CONCATENATE(INDEX(DropDown!$H$2:$H$10,MATCH(1,COUNTIF('Ingest Template'!F931,"*"&amp;DropDown!$H$2:$H$10&amp;"*"),0)),CHAR(10),'Ingest Template'!G931)</f>
        <v>#N/A</v>
      </c>
      <c r="E931" s="21" t="str">
        <f>CONCATENATE('Ingest Template'!H931,CHAR(10),'Ingest Template'!I931,CHAR(10),'Ingest Template'!J931)</f>
        <v>
</v>
      </c>
      <c r="F931" s="26" t="str">
        <f>'Ingest Template'!H931</f>
        <v/>
      </c>
      <c r="G931" s="21"/>
      <c r="H931" s="29"/>
      <c r="I931" s="21"/>
      <c r="J931" s="29" t="str">
        <f t="array" ref="J931">iF('Ingest Template'!A931="Standard","Pristine Brand",INDEX(DropDown!$M$2:$M$392,MATCH('Ingest Template'!E931,DropDown!$J$2:$J$392,0)))</f>
        <v>#N/A</v>
      </c>
      <c r="K931" s="21" t="str">
        <f>iF('Ingest Template'!A931="Standard",'Ingest Template'!K931&amp;CHAR(10)&amp;'Ingest Template'!L931,"Competitive View")</f>
        <v>Competitive View</v>
      </c>
      <c r="L931" s="29" t="s">
        <v>146</v>
      </c>
      <c r="M931" s="37" t="str">
        <f>'Ingest Template'!D931</f>
        <v/>
      </c>
      <c r="N931" s="21"/>
      <c r="O931" s="21"/>
      <c r="P931" s="21"/>
      <c r="Q931" s="21"/>
      <c r="R931" s="21" t="str">
        <f>'Ingest Template'!E931</f>
        <v/>
      </c>
      <c r="S931" s="29" t="s">
        <v>153</v>
      </c>
      <c r="T931" s="21" t="str">
        <f>'Ingest Template'!T931</f>
        <v/>
      </c>
      <c r="U931" s="21" t="str">
        <f>'Ingest Template'!S931</f>
        <v/>
      </c>
      <c r="V931" s="21" t="str">
        <f>LOWER(SUBSTITUTE(SUBSTITUTE(SUBSTITUTE(SUBSTITUTE(SUBSTITUTE('Ingest Template'!U931,"https:",""),"www.",""),"/",""),"?hl=en",""),"instagram.com",""))</f>
        <v/>
      </c>
      <c r="W931" s="41" t="str">
        <f t="array" ref="W931">IF('Ingest Template'!V931="",(INDEX(DropDown!$L$2:$L$392,MATCH('Ingest Template'!E931,DropDown!$J$2:$J$392,0))&amp;"|"&amp;'Ingest Template'!B931),(INDEX(DropDown!$L$2:$L$392,MATCH('Ingest Template'!E931,DropDown!$J$2:$J$392,0))&amp;"|"&amp;'Ingest Template'!B931)&amp;CHAR(10)&amp;'Ingest Template'!V931)</f>
        <v>#N/A</v>
      </c>
      <c r="X931" s="41" t="str">
        <f>'Ingest Template'!W931</f>
        <v/>
      </c>
      <c r="Y931" s="21" t="str">
        <f>SUBSTITUTE(SUBSTITUTE(SUBSTITUTE('Ingest Template'!X931,"http:",""),"https:",""),"/","")</f>
        <v/>
      </c>
      <c r="Z931" s="21" t="str">
        <f t="array" ref="Z931">IF('Ingest Template'!A931="Standard",(IF(ISBLANK('Ingest Template'!AA931),"", 'Ingest Template'!AA931&amp;"|DAR")),(IF(ISBLANK('Ingest Template'!AA931),"", 'Ingest Template'!AA931&amp;"|Film Ops")))</f>
        <v/>
      </c>
      <c r="AA931" s="21"/>
      <c r="AB931" s="21" t="str">
        <f>'Ingest Template'!M931</f>
        <v/>
      </c>
      <c r="AC931" s="21" t="str">
        <f>'Ingest Template'!Y931</f>
        <v/>
      </c>
      <c r="AD931" s="21" t="str">
        <f>'Ingest Template'!C931</f>
        <v/>
      </c>
      <c r="AE931" s="21" t="str">
        <f>'Ingest Template'!Z931</f>
        <v/>
      </c>
      <c r="AF931" s="29"/>
      <c r="AG931" s="21" t="str">
        <f t="array" ref="AG931">IF('Ingest Template'!A931="Standard",(CONCATENATE(IF(ISBLANK('Ingest Template'!O931),"", 'Ingest Template'!O931&amp;"|DAR"),CHAR(10), IF(ISBLANK('Ingest Template'!P931),"", 'Ingest Template'!P931&amp;"|DAR"),CHAR(10), IF(ISBLANK('Ingest Template'!Q931),"", 'Ingest Template'!Q931&amp;"|DAR"))),(CONCATENATE(IF(ISBLANK('Ingest Template'!O931),"", 'Ingest Template'!O931&amp;"|Operations - Core Title"),CHAR(10), IF(ISBLANK('Ingest Template'!P931),"", 'Ingest Template'!P931&amp;"|Operations - Core Title"),CHAR(10), IF(ISBLANK('Ingest Template'!Q931),"", 'Ingest Template'!Q931&amp;"|Operations - Core Title"))))</f>
        <v>#|Operations - Core Title
#|Operations - Core Title
</v>
      </c>
      <c r="AH931" s="21"/>
      <c r="AI931" s="21"/>
      <c r="AJ931" s="53" t="str">
        <f>if('Ingest Template'!A931="Standard",'Ingest Template'!N931&amp; "|DAR|DAR|2021-01-01",'Ingest Template'!N931&amp; "|Operations - Core Title|Operations - Core Title")</f>
        <v>#N/A</v>
      </c>
      <c r="AK931" s="53" t="str">
        <f>if('Ingest Template'!A931="Standard",'Ingest Template'!R931&amp; "|2021-01-01",'Ingest Template'!R931)</f>
        <v>#N/A</v>
      </c>
      <c r="AL931" s="21"/>
      <c r="AM931" s="21"/>
    </row>
    <row r="932">
      <c r="A932" s="21"/>
      <c r="B932" s="21" t="str">
        <f>'Ingest Template'!B932&amp;IF('Ingest Template'!A932 = "Standard", " - DAR","")</f>
        <v/>
      </c>
      <c r="C932" s="26" t="s">
        <v>109</v>
      </c>
      <c r="D932" s="29" t="str">
        <f t="array" ref="D932">CONCATENATE(INDEX(DropDown!$H$2:$H$10,MATCH(1,COUNTIF('Ingest Template'!F932,"*"&amp;DropDown!$H$2:$H$10&amp;"*"),0)),CHAR(10),'Ingest Template'!G932)</f>
        <v>#N/A</v>
      </c>
      <c r="E932" s="21" t="str">
        <f>CONCATENATE('Ingest Template'!H932,CHAR(10),'Ingest Template'!I932,CHAR(10),'Ingest Template'!J932)</f>
        <v>
</v>
      </c>
      <c r="F932" s="26" t="str">
        <f>'Ingest Template'!H932</f>
        <v/>
      </c>
      <c r="G932" s="21"/>
      <c r="H932" s="29"/>
      <c r="I932" s="21"/>
      <c r="J932" s="29" t="str">
        <f t="array" ref="J932">iF('Ingest Template'!A932="Standard","Pristine Brand",INDEX(DropDown!$M$2:$M$392,MATCH('Ingest Template'!E932,DropDown!$J$2:$J$392,0)))</f>
        <v>#N/A</v>
      </c>
      <c r="K932" s="21" t="str">
        <f>iF('Ingest Template'!A932="Standard",'Ingest Template'!K932&amp;CHAR(10)&amp;'Ingest Template'!L932,"Competitive View")</f>
        <v>Competitive View</v>
      </c>
      <c r="L932" s="29" t="s">
        <v>146</v>
      </c>
      <c r="M932" s="37" t="str">
        <f>'Ingest Template'!D932</f>
        <v/>
      </c>
      <c r="N932" s="21"/>
      <c r="O932" s="21"/>
      <c r="P932" s="21"/>
      <c r="Q932" s="21"/>
      <c r="R932" s="21" t="str">
        <f>'Ingest Template'!E932</f>
        <v/>
      </c>
      <c r="S932" s="29" t="s">
        <v>153</v>
      </c>
      <c r="T932" s="21" t="str">
        <f>'Ingest Template'!T932</f>
        <v/>
      </c>
      <c r="U932" s="21" t="str">
        <f>'Ingest Template'!S932</f>
        <v/>
      </c>
      <c r="V932" s="21" t="str">
        <f>LOWER(SUBSTITUTE(SUBSTITUTE(SUBSTITUTE(SUBSTITUTE(SUBSTITUTE('Ingest Template'!U932,"https:",""),"www.",""),"/",""),"?hl=en",""),"instagram.com",""))</f>
        <v/>
      </c>
      <c r="W932" s="41" t="str">
        <f t="array" ref="W932">IF('Ingest Template'!V932="",(INDEX(DropDown!$L$2:$L$392,MATCH('Ingest Template'!E932,DropDown!$J$2:$J$392,0))&amp;"|"&amp;'Ingest Template'!B932),(INDEX(DropDown!$L$2:$L$392,MATCH('Ingest Template'!E932,DropDown!$J$2:$J$392,0))&amp;"|"&amp;'Ingest Template'!B932)&amp;CHAR(10)&amp;'Ingest Template'!V932)</f>
        <v>#N/A</v>
      </c>
      <c r="X932" s="41" t="str">
        <f>'Ingest Template'!W932</f>
        <v/>
      </c>
      <c r="Y932" s="21" t="str">
        <f>SUBSTITUTE(SUBSTITUTE(SUBSTITUTE('Ingest Template'!X932,"http:",""),"https:",""),"/","")</f>
        <v/>
      </c>
      <c r="Z932" s="21" t="str">
        <f t="array" ref="Z932">IF('Ingest Template'!A932="Standard",(IF(ISBLANK('Ingest Template'!AA932),"", 'Ingest Template'!AA932&amp;"|DAR")),(IF(ISBLANK('Ingest Template'!AA932),"", 'Ingest Template'!AA932&amp;"|Film Ops")))</f>
        <v/>
      </c>
      <c r="AA932" s="21"/>
      <c r="AB932" s="21" t="str">
        <f>'Ingest Template'!M932</f>
        <v/>
      </c>
      <c r="AC932" s="21" t="str">
        <f>'Ingest Template'!Y932</f>
        <v/>
      </c>
      <c r="AD932" s="21" t="str">
        <f>'Ingest Template'!C932</f>
        <v/>
      </c>
      <c r="AE932" s="21" t="str">
        <f>'Ingest Template'!Z932</f>
        <v/>
      </c>
      <c r="AF932" s="29"/>
      <c r="AG932" s="21" t="str">
        <f t="array" ref="AG932">IF('Ingest Template'!A932="Standard",(CONCATENATE(IF(ISBLANK('Ingest Template'!O932),"", 'Ingest Template'!O932&amp;"|DAR"),CHAR(10), IF(ISBLANK('Ingest Template'!P932),"", 'Ingest Template'!P932&amp;"|DAR"),CHAR(10), IF(ISBLANK('Ingest Template'!Q932),"", 'Ingest Template'!Q932&amp;"|DAR"))),(CONCATENATE(IF(ISBLANK('Ingest Template'!O932),"", 'Ingest Template'!O932&amp;"|Operations - Core Title"),CHAR(10), IF(ISBLANK('Ingest Template'!P932),"", 'Ingest Template'!P932&amp;"|Operations - Core Title"),CHAR(10), IF(ISBLANK('Ingest Template'!Q932),"", 'Ingest Template'!Q932&amp;"|Operations - Core Title"))))</f>
        <v>#|Operations - Core Title
#|Operations - Core Title
</v>
      </c>
      <c r="AH932" s="21"/>
      <c r="AI932" s="21"/>
      <c r="AJ932" s="53" t="str">
        <f>if('Ingest Template'!A932="Standard",'Ingest Template'!N932&amp; "|DAR|DAR|2021-01-01",'Ingest Template'!N932&amp; "|Operations - Core Title|Operations - Core Title")</f>
        <v>#N/A</v>
      </c>
      <c r="AK932" s="53" t="str">
        <f>if('Ingest Template'!A932="Standard",'Ingest Template'!R932&amp; "|2021-01-01",'Ingest Template'!R932)</f>
        <v>#N/A</v>
      </c>
      <c r="AL932" s="21"/>
      <c r="AM932" s="21"/>
    </row>
    <row r="933">
      <c r="A933" s="21"/>
      <c r="B933" s="21" t="str">
        <f>'Ingest Template'!B933&amp;IF('Ingest Template'!A933 = "Standard", " - DAR","")</f>
        <v/>
      </c>
      <c r="C933" s="26" t="s">
        <v>109</v>
      </c>
      <c r="D933" s="29" t="str">
        <f t="array" ref="D933">CONCATENATE(INDEX(DropDown!$H$2:$H$10,MATCH(1,COUNTIF('Ingest Template'!F933,"*"&amp;DropDown!$H$2:$H$10&amp;"*"),0)),CHAR(10),'Ingest Template'!G933)</f>
        <v>#N/A</v>
      </c>
      <c r="E933" s="21" t="str">
        <f>CONCATENATE('Ingest Template'!H933,CHAR(10),'Ingest Template'!I933,CHAR(10),'Ingest Template'!J933)</f>
        <v>
</v>
      </c>
      <c r="F933" s="26" t="str">
        <f>'Ingest Template'!H933</f>
        <v/>
      </c>
      <c r="G933" s="21"/>
      <c r="H933" s="29"/>
      <c r="I933" s="21"/>
      <c r="J933" s="29" t="str">
        <f t="array" ref="J933">iF('Ingest Template'!A933="Standard","Pristine Brand",INDEX(DropDown!$M$2:$M$392,MATCH('Ingest Template'!E933,DropDown!$J$2:$J$392,0)))</f>
        <v>#N/A</v>
      </c>
      <c r="K933" s="21" t="str">
        <f>iF('Ingest Template'!A933="Standard",'Ingest Template'!K933&amp;CHAR(10)&amp;'Ingest Template'!L933,"Competitive View")</f>
        <v>Competitive View</v>
      </c>
      <c r="L933" s="29" t="s">
        <v>146</v>
      </c>
      <c r="M933" s="37" t="str">
        <f>'Ingest Template'!D933</f>
        <v/>
      </c>
      <c r="N933" s="21"/>
      <c r="O933" s="21"/>
      <c r="P933" s="21"/>
      <c r="Q933" s="21"/>
      <c r="R933" s="21" t="str">
        <f>'Ingest Template'!E933</f>
        <v/>
      </c>
      <c r="S933" s="29" t="s">
        <v>153</v>
      </c>
      <c r="T933" s="21" t="str">
        <f>'Ingest Template'!T933</f>
        <v/>
      </c>
      <c r="U933" s="21" t="str">
        <f>'Ingest Template'!S933</f>
        <v/>
      </c>
      <c r="V933" s="21" t="str">
        <f>LOWER(SUBSTITUTE(SUBSTITUTE(SUBSTITUTE(SUBSTITUTE(SUBSTITUTE('Ingest Template'!U933,"https:",""),"www.",""),"/",""),"?hl=en",""),"instagram.com",""))</f>
        <v/>
      </c>
      <c r="W933" s="41" t="str">
        <f t="array" ref="W933">IF('Ingest Template'!V933="",(INDEX(DropDown!$L$2:$L$392,MATCH('Ingest Template'!E933,DropDown!$J$2:$J$392,0))&amp;"|"&amp;'Ingest Template'!B933),(INDEX(DropDown!$L$2:$L$392,MATCH('Ingest Template'!E933,DropDown!$J$2:$J$392,0))&amp;"|"&amp;'Ingest Template'!B933)&amp;CHAR(10)&amp;'Ingest Template'!V933)</f>
        <v>#N/A</v>
      </c>
      <c r="X933" s="41" t="str">
        <f>'Ingest Template'!W933</f>
        <v/>
      </c>
      <c r="Y933" s="21" t="str">
        <f>SUBSTITUTE(SUBSTITUTE(SUBSTITUTE('Ingest Template'!X933,"http:",""),"https:",""),"/","")</f>
        <v/>
      </c>
      <c r="Z933" s="21" t="str">
        <f t="array" ref="Z933">IF('Ingest Template'!A933="Standard",(IF(ISBLANK('Ingest Template'!AA933),"", 'Ingest Template'!AA933&amp;"|DAR")),(IF(ISBLANK('Ingest Template'!AA933),"", 'Ingest Template'!AA933&amp;"|Film Ops")))</f>
        <v/>
      </c>
      <c r="AA933" s="21"/>
      <c r="AB933" s="21" t="str">
        <f>'Ingest Template'!M933</f>
        <v/>
      </c>
      <c r="AC933" s="21" t="str">
        <f>'Ingest Template'!Y933</f>
        <v/>
      </c>
      <c r="AD933" s="21" t="str">
        <f>'Ingest Template'!C933</f>
        <v/>
      </c>
      <c r="AE933" s="21" t="str">
        <f>'Ingest Template'!Z933</f>
        <v/>
      </c>
      <c r="AF933" s="29"/>
      <c r="AG933" s="21" t="str">
        <f t="array" ref="AG933">IF('Ingest Template'!A933="Standard",(CONCATENATE(IF(ISBLANK('Ingest Template'!O933),"", 'Ingest Template'!O933&amp;"|DAR"),CHAR(10), IF(ISBLANK('Ingest Template'!P933),"", 'Ingest Template'!P933&amp;"|DAR"),CHAR(10), IF(ISBLANK('Ingest Template'!Q933),"", 'Ingest Template'!Q933&amp;"|DAR"))),(CONCATENATE(IF(ISBLANK('Ingest Template'!O933),"", 'Ingest Template'!O933&amp;"|Operations - Core Title"),CHAR(10), IF(ISBLANK('Ingest Template'!P933),"", 'Ingest Template'!P933&amp;"|Operations - Core Title"),CHAR(10), IF(ISBLANK('Ingest Template'!Q933),"", 'Ingest Template'!Q933&amp;"|Operations - Core Title"))))</f>
        <v>#|Operations - Core Title
#|Operations - Core Title
</v>
      </c>
      <c r="AH933" s="21"/>
      <c r="AI933" s="21"/>
      <c r="AJ933" s="53" t="str">
        <f>if('Ingest Template'!A933="Standard",'Ingest Template'!N933&amp; "|DAR|DAR|2021-01-01",'Ingest Template'!N933&amp; "|Operations - Core Title|Operations - Core Title")</f>
        <v>#N/A</v>
      </c>
      <c r="AK933" s="53" t="str">
        <f>if('Ingest Template'!A933="Standard",'Ingest Template'!R933&amp; "|2021-01-01",'Ingest Template'!R933)</f>
        <v>#N/A</v>
      </c>
      <c r="AL933" s="21"/>
      <c r="AM933" s="21"/>
    </row>
    <row r="934">
      <c r="A934" s="21"/>
      <c r="B934" s="21" t="str">
        <f>'Ingest Template'!B934&amp;IF('Ingest Template'!A934 = "Standard", " - DAR","")</f>
        <v/>
      </c>
      <c r="C934" s="26" t="s">
        <v>109</v>
      </c>
      <c r="D934" s="29" t="str">
        <f t="array" ref="D934">CONCATENATE(INDEX(DropDown!$H$2:$H$10,MATCH(1,COUNTIF('Ingest Template'!F934,"*"&amp;DropDown!$H$2:$H$10&amp;"*"),0)),CHAR(10),'Ingest Template'!G934)</f>
        <v>#N/A</v>
      </c>
      <c r="E934" s="21" t="str">
        <f>CONCATENATE('Ingest Template'!H934,CHAR(10),'Ingest Template'!I934,CHAR(10),'Ingest Template'!J934)</f>
        <v>
</v>
      </c>
      <c r="F934" s="26" t="str">
        <f>'Ingest Template'!H934</f>
        <v/>
      </c>
      <c r="G934" s="21"/>
      <c r="H934" s="29"/>
      <c r="I934" s="21"/>
      <c r="J934" s="29" t="str">
        <f t="array" ref="J934">iF('Ingest Template'!A934="Standard","Pristine Brand",INDEX(DropDown!$M$2:$M$392,MATCH('Ingest Template'!E934,DropDown!$J$2:$J$392,0)))</f>
        <v>#N/A</v>
      </c>
      <c r="K934" s="21" t="str">
        <f>iF('Ingest Template'!A934="Standard",'Ingest Template'!K934&amp;CHAR(10)&amp;'Ingest Template'!L934,"Competitive View")</f>
        <v>Competitive View</v>
      </c>
      <c r="L934" s="29" t="s">
        <v>146</v>
      </c>
      <c r="M934" s="37" t="str">
        <f>'Ingest Template'!D934</f>
        <v/>
      </c>
      <c r="N934" s="21"/>
      <c r="O934" s="21"/>
      <c r="P934" s="21"/>
      <c r="Q934" s="21"/>
      <c r="R934" s="21" t="str">
        <f>'Ingest Template'!E934</f>
        <v/>
      </c>
      <c r="S934" s="29" t="s">
        <v>153</v>
      </c>
      <c r="T934" s="21" t="str">
        <f>'Ingest Template'!T934</f>
        <v/>
      </c>
      <c r="U934" s="21" t="str">
        <f>'Ingest Template'!S934</f>
        <v/>
      </c>
      <c r="V934" s="21" t="str">
        <f>LOWER(SUBSTITUTE(SUBSTITUTE(SUBSTITUTE(SUBSTITUTE(SUBSTITUTE('Ingest Template'!U934,"https:",""),"www.",""),"/",""),"?hl=en",""),"instagram.com",""))</f>
        <v/>
      </c>
      <c r="W934" s="41" t="str">
        <f t="array" ref="W934">IF('Ingest Template'!V934="",(INDEX(DropDown!$L$2:$L$392,MATCH('Ingest Template'!E934,DropDown!$J$2:$J$392,0))&amp;"|"&amp;'Ingest Template'!B934),(INDEX(DropDown!$L$2:$L$392,MATCH('Ingest Template'!E934,DropDown!$J$2:$J$392,0))&amp;"|"&amp;'Ingest Template'!B934)&amp;CHAR(10)&amp;'Ingest Template'!V934)</f>
        <v>#N/A</v>
      </c>
      <c r="X934" s="41" t="str">
        <f>'Ingest Template'!W934</f>
        <v/>
      </c>
      <c r="Y934" s="21" t="str">
        <f>SUBSTITUTE(SUBSTITUTE(SUBSTITUTE('Ingest Template'!X934,"http:",""),"https:",""),"/","")</f>
        <v/>
      </c>
      <c r="Z934" s="21" t="str">
        <f t="array" ref="Z934">IF('Ingest Template'!A934="Standard",(IF(ISBLANK('Ingest Template'!AA934),"", 'Ingest Template'!AA934&amp;"|DAR")),(IF(ISBLANK('Ingest Template'!AA934),"", 'Ingest Template'!AA934&amp;"|Film Ops")))</f>
        <v/>
      </c>
      <c r="AA934" s="21"/>
      <c r="AB934" s="21" t="str">
        <f>'Ingest Template'!M934</f>
        <v/>
      </c>
      <c r="AC934" s="21" t="str">
        <f>'Ingest Template'!Y934</f>
        <v/>
      </c>
      <c r="AD934" s="21" t="str">
        <f>'Ingest Template'!C934</f>
        <v/>
      </c>
      <c r="AE934" s="21" t="str">
        <f>'Ingest Template'!Z934</f>
        <v/>
      </c>
      <c r="AF934" s="29"/>
      <c r="AG934" s="21" t="str">
        <f t="array" ref="AG934">IF('Ingest Template'!A934="Standard",(CONCATENATE(IF(ISBLANK('Ingest Template'!O934),"", 'Ingest Template'!O934&amp;"|DAR"),CHAR(10), IF(ISBLANK('Ingest Template'!P934),"", 'Ingest Template'!P934&amp;"|DAR"),CHAR(10), IF(ISBLANK('Ingest Template'!Q934),"", 'Ingest Template'!Q934&amp;"|DAR"))),(CONCATENATE(IF(ISBLANK('Ingest Template'!O934),"", 'Ingest Template'!O934&amp;"|Operations - Core Title"),CHAR(10), IF(ISBLANK('Ingest Template'!P934),"", 'Ingest Template'!P934&amp;"|Operations - Core Title"),CHAR(10), IF(ISBLANK('Ingest Template'!Q934),"", 'Ingest Template'!Q934&amp;"|Operations - Core Title"))))</f>
        <v>#|Operations - Core Title
#|Operations - Core Title
</v>
      </c>
      <c r="AH934" s="21"/>
      <c r="AI934" s="21"/>
      <c r="AJ934" s="53" t="str">
        <f>if('Ingest Template'!A934="Standard",'Ingest Template'!N934&amp; "|DAR|DAR|2021-01-01",'Ingest Template'!N934&amp; "|Operations - Core Title|Operations - Core Title")</f>
        <v>#N/A</v>
      </c>
      <c r="AK934" s="53" t="str">
        <f>if('Ingest Template'!A934="Standard",'Ingest Template'!R934&amp; "|2021-01-01",'Ingest Template'!R934)</f>
        <v>#N/A</v>
      </c>
      <c r="AL934" s="21"/>
      <c r="AM934" s="21"/>
    </row>
    <row r="935">
      <c r="A935" s="21"/>
      <c r="B935" s="21" t="str">
        <f>'Ingest Template'!B935&amp;IF('Ingest Template'!A935 = "Standard", " - DAR","")</f>
        <v/>
      </c>
      <c r="C935" s="26" t="s">
        <v>109</v>
      </c>
      <c r="D935" s="29" t="str">
        <f t="array" ref="D935">CONCATENATE(INDEX(DropDown!$H$2:$H$10,MATCH(1,COUNTIF('Ingest Template'!F935,"*"&amp;DropDown!$H$2:$H$10&amp;"*"),0)),CHAR(10),'Ingest Template'!G935)</f>
        <v>#N/A</v>
      </c>
      <c r="E935" s="21" t="str">
        <f>CONCATENATE('Ingest Template'!H935,CHAR(10),'Ingest Template'!I935,CHAR(10),'Ingest Template'!J935)</f>
        <v>
</v>
      </c>
      <c r="F935" s="26" t="str">
        <f>'Ingest Template'!H935</f>
        <v/>
      </c>
      <c r="G935" s="21"/>
      <c r="H935" s="29"/>
      <c r="I935" s="21"/>
      <c r="J935" s="29" t="str">
        <f t="array" ref="J935">iF('Ingest Template'!A935="Standard","Pristine Brand",INDEX(DropDown!$M$2:$M$392,MATCH('Ingest Template'!E935,DropDown!$J$2:$J$392,0)))</f>
        <v>#N/A</v>
      </c>
      <c r="K935" s="21" t="str">
        <f>iF('Ingest Template'!A935="Standard",'Ingest Template'!K935&amp;CHAR(10)&amp;'Ingest Template'!L935,"Competitive View")</f>
        <v>Competitive View</v>
      </c>
      <c r="L935" s="29" t="s">
        <v>146</v>
      </c>
      <c r="M935" s="37" t="str">
        <f>'Ingest Template'!D935</f>
        <v/>
      </c>
      <c r="N935" s="21"/>
      <c r="O935" s="21"/>
      <c r="P935" s="21"/>
      <c r="Q935" s="21"/>
      <c r="R935" s="21" t="str">
        <f>'Ingest Template'!E935</f>
        <v/>
      </c>
      <c r="S935" s="29" t="s">
        <v>153</v>
      </c>
      <c r="T935" s="21" t="str">
        <f>'Ingest Template'!T935</f>
        <v/>
      </c>
      <c r="U935" s="21" t="str">
        <f>'Ingest Template'!S935</f>
        <v/>
      </c>
      <c r="V935" s="21" t="str">
        <f>LOWER(SUBSTITUTE(SUBSTITUTE(SUBSTITUTE(SUBSTITUTE(SUBSTITUTE('Ingest Template'!U935,"https:",""),"www.",""),"/",""),"?hl=en",""),"instagram.com",""))</f>
        <v/>
      </c>
      <c r="W935" s="41" t="str">
        <f t="array" ref="W935">IF('Ingest Template'!V935="",(INDEX(DropDown!$L$2:$L$392,MATCH('Ingest Template'!E935,DropDown!$J$2:$J$392,0))&amp;"|"&amp;'Ingest Template'!B935),(INDEX(DropDown!$L$2:$L$392,MATCH('Ingest Template'!E935,DropDown!$J$2:$J$392,0))&amp;"|"&amp;'Ingest Template'!B935)&amp;CHAR(10)&amp;'Ingest Template'!V935)</f>
        <v>#N/A</v>
      </c>
      <c r="X935" s="41" t="str">
        <f>'Ingest Template'!W935</f>
        <v/>
      </c>
      <c r="Y935" s="21" t="str">
        <f>SUBSTITUTE(SUBSTITUTE(SUBSTITUTE('Ingest Template'!X935,"http:",""),"https:",""),"/","")</f>
        <v/>
      </c>
      <c r="Z935" s="21" t="str">
        <f t="array" ref="Z935">IF('Ingest Template'!A935="Standard",(IF(ISBLANK('Ingest Template'!AA935),"", 'Ingest Template'!AA935&amp;"|DAR")),(IF(ISBLANK('Ingest Template'!AA935),"", 'Ingest Template'!AA935&amp;"|Film Ops")))</f>
        <v/>
      </c>
      <c r="AA935" s="21"/>
      <c r="AB935" s="21" t="str">
        <f>'Ingest Template'!M935</f>
        <v/>
      </c>
      <c r="AC935" s="21" t="str">
        <f>'Ingest Template'!Y935</f>
        <v/>
      </c>
      <c r="AD935" s="21" t="str">
        <f>'Ingest Template'!C935</f>
        <v/>
      </c>
      <c r="AE935" s="21" t="str">
        <f>'Ingest Template'!Z935</f>
        <v/>
      </c>
      <c r="AF935" s="29"/>
      <c r="AG935" s="21" t="str">
        <f t="array" ref="AG935">IF('Ingest Template'!A935="Standard",(CONCATENATE(IF(ISBLANK('Ingest Template'!O935),"", 'Ingest Template'!O935&amp;"|DAR"),CHAR(10), IF(ISBLANK('Ingest Template'!P935),"", 'Ingest Template'!P935&amp;"|DAR"),CHAR(10), IF(ISBLANK('Ingest Template'!Q935),"", 'Ingest Template'!Q935&amp;"|DAR"))),(CONCATENATE(IF(ISBLANK('Ingest Template'!O935),"", 'Ingest Template'!O935&amp;"|Operations - Core Title"),CHAR(10), IF(ISBLANK('Ingest Template'!P935),"", 'Ingest Template'!P935&amp;"|Operations - Core Title"),CHAR(10), IF(ISBLANK('Ingest Template'!Q935),"", 'Ingest Template'!Q935&amp;"|Operations - Core Title"))))</f>
        <v>#|Operations - Core Title
#|Operations - Core Title
</v>
      </c>
      <c r="AH935" s="21"/>
      <c r="AI935" s="21"/>
      <c r="AJ935" s="53" t="str">
        <f>if('Ingest Template'!A935="Standard",'Ingest Template'!N935&amp; "|DAR|DAR|2021-01-01",'Ingest Template'!N935&amp; "|Operations - Core Title|Operations - Core Title")</f>
        <v>#N/A</v>
      </c>
      <c r="AK935" s="53" t="str">
        <f>if('Ingest Template'!A935="Standard",'Ingest Template'!R935&amp; "|2021-01-01",'Ingest Template'!R935)</f>
        <v>#N/A</v>
      </c>
      <c r="AL935" s="21"/>
      <c r="AM935" s="21"/>
    </row>
    <row r="936">
      <c r="A936" s="21"/>
      <c r="B936" s="21" t="str">
        <f>'Ingest Template'!B936&amp;IF('Ingest Template'!A936 = "Standard", " - DAR","")</f>
        <v/>
      </c>
      <c r="C936" s="26" t="s">
        <v>109</v>
      </c>
      <c r="D936" s="29" t="str">
        <f t="array" ref="D936">CONCATENATE(INDEX(DropDown!$H$2:$H$10,MATCH(1,COUNTIF('Ingest Template'!F936,"*"&amp;DropDown!$H$2:$H$10&amp;"*"),0)),CHAR(10),'Ingest Template'!G936)</f>
        <v>#N/A</v>
      </c>
      <c r="E936" s="21" t="str">
        <f>CONCATENATE('Ingest Template'!H936,CHAR(10),'Ingest Template'!I936,CHAR(10),'Ingest Template'!J936)</f>
        <v>
</v>
      </c>
      <c r="F936" s="26" t="str">
        <f>'Ingest Template'!H936</f>
        <v/>
      </c>
      <c r="G936" s="21"/>
      <c r="H936" s="29"/>
      <c r="I936" s="21"/>
      <c r="J936" s="29" t="str">
        <f t="array" ref="J936">iF('Ingest Template'!A936="Standard","Pristine Brand",INDEX(DropDown!$M$2:$M$392,MATCH('Ingest Template'!E936,DropDown!$J$2:$J$392,0)))</f>
        <v>#N/A</v>
      </c>
      <c r="K936" s="21" t="str">
        <f>iF('Ingest Template'!A936="Standard",'Ingest Template'!K936&amp;CHAR(10)&amp;'Ingest Template'!L936,"Competitive View")</f>
        <v>Competitive View</v>
      </c>
      <c r="L936" s="29" t="s">
        <v>146</v>
      </c>
      <c r="M936" s="37" t="str">
        <f>'Ingest Template'!D936</f>
        <v/>
      </c>
      <c r="N936" s="21"/>
      <c r="O936" s="21"/>
      <c r="P936" s="21"/>
      <c r="Q936" s="21"/>
      <c r="R936" s="21" t="str">
        <f>'Ingest Template'!E936</f>
        <v/>
      </c>
      <c r="S936" s="29" t="s">
        <v>153</v>
      </c>
      <c r="T936" s="21" t="str">
        <f>'Ingest Template'!T936</f>
        <v/>
      </c>
      <c r="U936" s="21" t="str">
        <f>'Ingest Template'!S936</f>
        <v/>
      </c>
      <c r="V936" s="21" t="str">
        <f>LOWER(SUBSTITUTE(SUBSTITUTE(SUBSTITUTE(SUBSTITUTE(SUBSTITUTE('Ingest Template'!U936,"https:",""),"www.",""),"/",""),"?hl=en",""),"instagram.com",""))</f>
        <v/>
      </c>
      <c r="W936" s="41" t="str">
        <f t="array" ref="W936">IF('Ingest Template'!V936="",(INDEX(DropDown!$L$2:$L$392,MATCH('Ingest Template'!E936,DropDown!$J$2:$J$392,0))&amp;"|"&amp;'Ingest Template'!B936),(INDEX(DropDown!$L$2:$L$392,MATCH('Ingest Template'!E936,DropDown!$J$2:$J$392,0))&amp;"|"&amp;'Ingest Template'!B936)&amp;CHAR(10)&amp;'Ingest Template'!V936)</f>
        <v>#N/A</v>
      </c>
      <c r="X936" s="41" t="str">
        <f>'Ingest Template'!W936</f>
        <v/>
      </c>
      <c r="Y936" s="21" t="str">
        <f>SUBSTITUTE(SUBSTITUTE(SUBSTITUTE('Ingest Template'!X936,"http:",""),"https:",""),"/","")</f>
        <v/>
      </c>
      <c r="Z936" s="21" t="str">
        <f t="array" ref="Z936">IF('Ingest Template'!A936="Standard",(IF(ISBLANK('Ingest Template'!AA936),"", 'Ingest Template'!AA936&amp;"|DAR")),(IF(ISBLANK('Ingest Template'!AA936),"", 'Ingest Template'!AA936&amp;"|Film Ops")))</f>
        <v/>
      </c>
      <c r="AA936" s="21"/>
      <c r="AB936" s="21" t="str">
        <f>'Ingest Template'!M936</f>
        <v/>
      </c>
      <c r="AC936" s="21" t="str">
        <f>'Ingest Template'!Y936</f>
        <v/>
      </c>
      <c r="AD936" s="21" t="str">
        <f>'Ingest Template'!C936</f>
        <v/>
      </c>
      <c r="AE936" s="21" t="str">
        <f>'Ingest Template'!Z936</f>
        <v/>
      </c>
      <c r="AF936" s="29"/>
      <c r="AG936" s="21" t="str">
        <f t="array" ref="AG936">IF('Ingest Template'!A936="Standard",(CONCATENATE(IF(ISBLANK('Ingest Template'!O936),"", 'Ingest Template'!O936&amp;"|DAR"),CHAR(10), IF(ISBLANK('Ingest Template'!P936),"", 'Ingest Template'!P936&amp;"|DAR"),CHAR(10), IF(ISBLANK('Ingest Template'!Q936),"", 'Ingest Template'!Q936&amp;"|DAR"))),(CONCATENATE(IF(ISBLANK('Ingest Template'!O936),"", 'Ingest Template'!O936&amp;"|Operations - Core Title"),CHAR(10), IF(ISBLANK('Ingest Template'!P936),"", 'Ingest Template'!P936&amp;"|Operations - Core Title"),CHAR(10), IF(ISBLANK('Ingest Template'!Q936),"", 'Ingest Template'!Q936&amp;"|Operations - Core Title"))))</f>
        <v>#|Operations - Core Title
#|Operations - Core Title
</v>
      </c>
      <c r="AH936" s="21"/>
      <c r="AI936" s="21"/>
      <c r="AJ936" s="53" t="str">
        <f>if('Ingest Template'!A936="Standard",'Ingest Template'!N936&amp; "|DAR|DAR|2021-01-01",'Ingest Template'!N936&amp; "|Operations - Core Title|Operations - Core Title")</f>
        <v>#N/A</v>
      </c>
      <c r="AK936" s="53" t="str">
        <f>if('Ingest Template'!A936="Standard",'Ingest Template'!R936&amp; "|2021-01-01",'Ingest Template'!R936)</f>
        <v>#N/A</v>
      </c>
      <c r="AL936" s="21"/>
      <c r="AM936" s="21"/>
    </row>
    <row r="937">
      <c r="A937" s="21"/>
      <c r="B937" s="21" t="str">
        <f>'Ingest Template'!B937&amp;IF('Ingest Template'!A937 = "Standard", " - DAR","")</f>
        <v/>
      </c>
      <c r="C937" s="26" t="s">
        <v>109</v>
      </c>
      <c r="D937" s="29" t="str">
        <f t="array" ref="D937">CONCATENATE(INDEX(DropDown!$H$2:$H$10,MATCH(1,COUNTIF('Ingest Template'!F937,"*"&amp;DropDown!$H$2:$H$10&amp;"*"),0)),CHAR(10),'Ingest Template'!G937)</f>
        <v>#N/A</v>
      </c>
      <c r="E937" s="21" t="str">
        <f>CONCATENATE('Ingest Template'!H937,CHAR(10),'Ingest Template'!I937,CHAR(10),'Ingest Template'!J937)</f>
        <v>
</v>
      </c>
      <c r="F937" s="26" t="str">
        <f>'Ingest Template'!H937</f>
        <v/>
      </c>
      <c r="G937" s="21"/>
      <c r="H937" s="29"/>
      <c r="I937" s="21"/>
      <c r="J937" s="29" t="str">
        <f t="array" ref="J937">iF('Ingest Template'!A937="Standard","Pristine Brand",INDEX(DropDown!$M$2:$M$392,MATCH('Ingest Template'!E937,DropDown!$J$2:$J$392,0)))</f>
        <v>#N/A</v>
      </c>
      <c r="K937" s="21" t="str">
        <f>iF('Ingest Template'!A937="Standard",'Ingest Template'!K937&amp;CHAR(10)&amp;'Ingest Template'!L937,"Competitive View")</f>
        <v>Competitive View</v>
      </c>
      <c r="L937" s="29" t="s">
        <v>146</v>
      </c>
      <c r="M937" s="37" t="str">
        <f>'Ingest Template'!D937</f>
        <v/>
      </c>
      <c r="N937" s="21"/>
      <c r="O937" s="21"/>
      <c r="P937" s="21"/>
      <c r="Q937" s="21"/>
      <c r="R937" s="21" t="str">
        <f>'Ingest Template'!E937</f>
        <v/>
      </c>
      <c r="S937" s="29" t="s">
        <v>153</v>
      </c>
      <c r="T937" s="21" t="str">
        <f>'Ingest Template'!T937</f>
        <v/>
      </c>
      <c r="U937" s="21" t="str">
        <f>'Ingest Template'!S937</f>
        <v/>
      </c>
      <c r="V937" s="21" t="str">
        <f>LOWER(SUBSTITUTE(SUBSTITUTE(SUBSTITUTE(SUBSTITUTE(SUBSTITUTE('Ingest Template'!U937,"https:",""),"www.",""),"/",""),"?hl=en",""),"instagram.com",""))</f>
        <v/>
      </c>
      <c r="W937" s="41" t="str">
        <f t="array" ref="W937">IF('Ingest Template'!V937="",(INDEX(DropDown!$L$2:$L$392,MATCH('Ingest Template'!E937,DropDown!$J$2:$J$392,0))&amp;"|"&amp;'Ingest Template'!B937),(INDEX(DropDown!$L$2:$L$392,MATCH('Ingest Template'!E937,DropDown!$J$2:$J$392,0))&amp;"|"&amp;'Ingest Template'!B937)&amp;CHAR(10)&amp;'Ingest Template'!V937)</f>
        <v>#N/A</v>
      </c>
      <c r="X937" s="41" t="str">
        <f>'Ingest Template'!W937</f>
        <v/>
      </c>
      <c r="Y937" s="21" t="str">
        <f>SUBSTITUTE(SUBSTITUTE(SUBSTITUTE('Ingest Template'!X937,"http:",""),"https:",""),"/","")</f>
        <v/>
      </c>
      <c r="Z937" s="21" t="str">
        <f t="array" ref="Z937">IF('Ingest Template'!A937="Standard",(IF(ISBLANK('Ingest Template'!AA937),"", 'Ingest Template'!AA937&amp;"|DAR")),(IF(ISBLANK('Ingest Template'!AA937),"", 'Ingest Template'!AA937&amp;"|Film Ops")))</f>
        <v/>
      </c>
      <c r="AA937" s="21"/>
      <c r="AB937" s="21" t="str">
        <f>'Ingest Template'!M937</f>
        <v/>
      </c>
      <c r="AC937" s="21" t="str">
        <f>'Ingest Template'!Y937</f>
        <v/>
      </c>
      <c r="AD937" s="21" t="str">
        <f>'Ingest Template'!C937</f>
        <v/>
      </c>
      <c r="AE937" s="21" t="str">
        <f>'Ingest Template'!Z937</f>
        <v/>
      </c>
      <c r="AF937" s="29"/>
      <c r="AG937" s="21" t="str">
        <f t="array" ref="AG937">IF('Ingest Template'!A937="Standard",(CONCATENATE(IF(ISBLANK('Ingest Template'!O937),"", 'Ingest Template'!O937&amp;"|DAR"),CHAR(10), IF(ISBLANK('Ingest Template'!P937),"", 'Ingest Template'!P937&amp;"|DAR"),CHAR(10), IF(ISBLANK('Ingest Template'!Q937),"", 'Ingest Template'!Q937&amp;"|DAR"))),(CONCATENATE(IF(ISBLANK('Ingest Template'!O937),"", 'Ingest Template'!O937&amp;"|Operations - Core Title"),CHAR(10), IF(ISBLANK('Ingest Template'!P937),"", 'Ingest Template'!P937&amp;"|Operations - Core Title"),CHAR(10), IF(ISBLANK('Ingest Template'!Q937),"", 'Ingest Template'!Q937&amp;"|Operations - Core Title"))))</f>
        <v>#|Operations - Core Title
#|Operations - Core Title
</v>
      </c>
      <c r="AH937" s="21"/>
      <c r="AI937" s="21"/>
      <c r="AJ937" s="53" t="str">
        <f>if('Ingest Template'!A937="Standard",'Ingest Template'!N937&amp; "|DAR|DAR|2021-01-01",'Ingest Template'!N937&amp; "|Operations - Core Title|Operations - Core Title")</f>
        <v>#N/A</v>
      </c>
      <c r="AK937" s="53" t="str">
        <f>if('Ingest Template'!A937="Standard",'Ingest Template'!R937&amp; "|2021-01-01",'Ingest Template'!R937)</f>
        <v>#N/A</v>
      </c>
      <c r="AL937" s="21"/>
      <c r="AM937" s="21"/>
    </row>
    <row r="938">
      <c r="A938" s="21"/>
      <c r="B938" s="21" t="str">
        <f>'Ingest Template'!B938&amp;IF('Ingest Template'!A938 = "Standard", " - DAR","")</f>
        <v/>
      </c>
      <c r="C938" s="26" t="s">
        <v>109</v>
      </c>
      <c r="D938" s="29" t="str">
        <f t="array" ref="D938">CONCATENATE(INDEX(DropDown!$H$2:$H$10,MATCH(1,COUNTIF('Ingest Template'!F938,"*"&amp;DropDown!$H$2:$H$10&amp;"*"),0)),CHAR(10),'Ingest Template'!G938)</f>
        <v>#N/A</v>
      </c>
      <c r="E938" s="21" t="str">
        <f>CONCATENATE('Ingest Template'!H938,CHAR(10),'Ingest Template'!I938,CHAR(10),'Ingest Template'!J938)</f>
        <v>
</v>
      </c>
      <c r="F938" s="26" t="str">
        <f>'Ingest Template'!H938</f>
        <v/>
      </c>
      <c r="G938" s="21"/>
      <c r="H938" s="29"/>
      <c r="I938" s="21"/>
      <c r="J938" s="29" t="str">
        <f t="array" ref="J938">iF('Ingest Template'!A938="Standard","Pristine Brand",INDEX(DropDown!$M$2:$M$392,MATCH('Ingest Template'!E938,DropDown!$J$2:$J$392,0)))</f>
        <v>#N/A</v>
      </c>
      <c r="K938" s="21" t="str">
        <f>iF('Ingest Template'!A938="Standard",'Ingest Template'!K938&amp;CHAR(10)&amp;'Ingest Template'!L938,"Competitive View")</f>
        <v>Competitive View</v>
      </c>
      <c r="L938" s="29" t="s">
        <v>146</v>
      </c>
      <c r="M938" s="37" t="str">
        <f>'Ingest Template'!D938</f>
        <v/>
      </c>
      <c r="N938" s="21"/>
      <c r="O938" s="21"/>
      <c r="P938" s="21"/>
      <c r="Q938" s="21"/>
      <c r="R938" s="21" t="str">
        <f>'Ingest Template'!E938</f>
        <v/>
      </c>
      <c r="S938" s="29" t="s">
        <v>153</v>
      </c>
      <c r="T938" s="21" t="str">
        <f>'Ingest Template'!T938</f>
        <v/>
      </c>
      <c r="U938" s="21" t="str">
        <f>'Ingest Template'!S938</f>
        <v/>
      </c>
      <c r="V938" s="21" t="str">
        <f>LOWER(SUBSTITUTE(SUBSTITUTE(SUBSTITUTE(SUBSTITUTE(SUBSTITUTE('Ingest Template'!U938,"https:",""),"www.",""),"/",""),"?hl=en",""),"instagram.com",""))</f>
        <v/>
      </c>
      <c r="W938" s="41" t="str">
        <f t="array" ref="W938">IF('Ingest Template'!V938="",(INDEX(DropDown!$L$2:$L$392,MATCH('Ingest Template'!E938,DropDown!$J$2:$J$392,0))&amp;"|"&amp;'Ingest Template'!B938),(INDEX(DropDown!$L$2:$L$392,MATCH('Ingest Template'!E938,DropDown!$J$2:$J$392,0))&amp;"|"&amp;'Ingest Template'!B938)&amp;CHAR(10)&amp;'Ingest Template'!V938)</f>
        <v>#N/A</v>
      </c>
      <c r="X938" s="41" t="str">
        <f>'Ingest Template'!W938</f>
        <v/>
      </c>
      <c r="Y938" s="21" t="str">
        <f>SUBSTITUTE(SUBSTITUTE(SUBSTITUTE('Ingest Template'!X938,"http:",""),"https:",""),"/","")</f>
        <v/>
      </c>
      <c r="Z938" s="21" t="str">
        <f t="array" ref="Z938">IF('Ingest Template'!A938="Standard",(IF(ISBLANK('Ingest Template'!AA938),"", 'Ingest Template'!AA938&amp;"|DAR")),(IF(ISBLANK('Ingest Template'!AA938),"", 'Ingest Template'!AA938&amp;"|Film Ops")))</f>
        <v/>
      </c>
      <c r="AA938" s="21"/>
      <c r="AB938" s="21" t="str">
        <f>'Ingest Template'!M938</f>
        <v/>
      </c>
      <c r="AC938" s="21" t="str">
        <f>'Ingest Template'!Y938</f>
        <v/>
      </c>
      <c r="AD938" s="21" t="str">
        <f>'Ingest Template'!C938</f>
        <v/>
      </c>
      <c r="AE938" s="21" t="str">
        <f>'Ingest Template'!Z938</f>
        <v/>
      </c>
      <c r="AF938" s="29"/>
      <c r="AG938" s="21" t="str">
        <f t="array" ref="AG938">IF('Ingest Template'!A938="Standard",(CONCATENATE(IF(ISBLANK('Ingest Template'!O938),"", 'Ingest Template'!O938&amp;"|DAR"),CHAR(10), IF(ISBLANK('Ingest Template'!P938),"", 'Ingest Template'!P938&amp;"|DAR"),CHAR(10), IF(ISBLANK('Ingest Template'!Q938),"", 'Ingest Template'!Q938&amp;"|DAR"))),(CONCATENATE(IF(ISBLANK('Ingest Template'!O938),"", 'Ingest Template'!O938&amp;"|Operations - Core Title"),CHAR(10), IF(ISBLANK('Ingest Template'!P938),"", 'Ingest Template'!P938&amp;"|Operations - Core Title"),CHAR(10), IF(ISBLANK('Ingest Template'!Q938),"", 'Ingest Template'!Q938&amp;"|Operations - Core Title"))))</f>
        <v>#|Operations - Core Title
#|Operations - Core Title
</v>
      </c>
      <c r="AH938" s="21"/>
      <c r="AI938" s="21"/>
      <c r="AJ938" s="53" t="str">
        <f>if('Ingest Template'!A938="Standard",'Ingest Template'!N938&amp; "|DAR|DAR|2021-01-01",'Ingest Template'!N938&amp; "|Operations - Core Title|Operations - Core Title")</f>
        <v>#N/A</v>
      </c>
      <c r="AK938" s="53" t="str">
        <f>if('Ingest Template'!A938="Standard",'Ingest Template'!R938&amp; "|2021-01-01",'Ingest Template'!R938)</f>
        <v>#N/A</v>
      </c>
      <c r="AL938" s="21"/>
      <c r="AM938" s="21"/>
    </row>
    <row r="939">
      <c r="A939" s="21"/>
      <c r="B939" s="21" t="str">
        <f>'Ingest Template'!B939&amp;IF('Ingest Template'!A939 = "Standard", " - DAR","")</f>
        <v/>
      </c>
      <c r="C939" s="26" t="s">
        <v>109</v>
      </c>
      <c r="D939" s="29" t="str">
        <f t="array" ref="D939">CONCATENATE(INDEX(DropDown!$H$2:$H$10,MATCH(1,COUNTIF('Ingest Template'!F939,"*"&amp;DropDown!$H$2:$H$10&amp;"*"),0)),CHAR(10),'Ingest Template'!G939)</f>
        <v>#N/A</v>
      </c>
      <c r="E939" s="21" t="str">
        <f>CONCATENATE('Ingest Template'!H939,CHAR(10),'Ingest Template'!I939,CHAR(10),'Ingest Template'!J939)</f>
        <v>
</v>
      </c>
      <c r="F939" s="26" t="str">
        <f>'Ingest Template'!H939</f>
        <v/>
      </c>
      <c r="G939" s="21"/>
      <c r="H939" s="29"/>
      <c r="I939" s="21"/>
      <c r="J939" s="29" t="str">
        <f t="array" ref="J939">iF('Ingest Template'!A939="Standard","Pristine Brand",INDEX(DropDown!$M$2:$M$392,MATCH('Ingest Template'!E939,DropDown!$J$2:$J$392,0)))</f>
        <v>#N/A</v>
      </c>
      <c r="K939" s="21" t="str">
        <f>iF('Ingest Template'!A939="Standard",'Ingest Template'!K939&amp;CHAR(10)&amp;'Ingest Template'!L939,"Competitive View")</f>
        <v>Competitive View</v>
      </c>
      <c r="L939" s="29" t="s">
        <v>146</v>
      </c>
      <c r="M939" s="37" t="str">
        <f>'Ingest Template'!D939</f>
        <v/>
      </c>
      <c r="N939" s="21"/>
      <c r="O939" s="21"/>
      <c r="P939" s="21"/>
      <c r="Q939" s="21"/>
      <c r="R939" s="21" t="str">
        <f>'Ingest Template'!E939</f>
        <v/>
      </c>
      <c r="S939" s="29" t="s">
        <v>153</v>
      </c>
      <c r="T939" s="21" t="str">
        <f>'Ingest Template'!T939</f>
        <v/>
      </c>
      <c r="U939" s="21" t="str">
        <f>'Ingest Template'!S939</f>
        <v/>
      </c>
      <c r="V939" s="21" t="str">
        <f>LOWER(SUBSTITUTE(SUBSTITUTE(SUBSTITUTE(SUBSTITUTE(SUBSTITUTE('Ingest Template'!U939,"https:",""),"www.",""),"/",""),"?hl=en",""),"instagram.com",""))</f>
        <v/>
      </c>
      <c r="W939" s="41" t="str">
        <f t="array" ref="W939">IF('Ingest Template'!V939="",(INDEX(DropDown!$L$2:$L$392,MATCH('Ingest Template'!E939,DropDown!$J$2:$J$392,0))&amp;"|"&amp;'Ingest Template'!B939),(INDEX(DropDown!$L$2:$L$392,MATCH('Ingest Template'!E939,DropDown!$J$2:$J$392,0))&amp;"|"&amp;'Ingest Template'!B939)&amp;CHAR(10)&amp;'Ingest Template'!V939)</f>
        <v>#N/A</v>
      </c>
      <c r="X939" s="41" t="str">
        <f>'Ingest Template'!W939</f>
        <v/>
      </c>
      <c r="Y939" s="21" t="str">
        <f>SUBSTITUTE(SUBSTITUTE(SUBSTITUTE('Ingest Template'!X939,"http:",""),"https:",""),"/","")</f>
        <v/>
      </c>
      <c r="Z939" s="21" t="str">
        <f t="array" ref="Z939">IF('Ingest Template'!A939="Standard",(IF(ISBLANK('Ingest Template'!AA939),"", 'Ingest Template'!AA939&amp;"|DAR")),(IF(ISBLANK('Ingest Template'!AA939),"", 'Ingest Template'!AA939&amp;"|Film Ops")))</f>
        <v/>
      </c>
      <c r="AA939" s="21"/>
      <c r="AB939" s="21" t="str">
        <f>'Ingest Template'!M939</f>
        <v/>
      </c>
      <c r="AC939" s="21" t="str">
        <f>'Ingest Template'!Y939</f>
        <v/>
      </c>
      <c r="AD939" s="21" t="str">
        <f>'Ingest Template'!C939</f>
        <v/>
      </c>
      <c r="AE939" s="21" t="str">
        <f>'Ingest Template'!Z939</f>
        <v/>
      </c>
      <c r="AF939" s="29"/>
      <c r="AG939" s="21" t="str">
        <f t="array" ref="AG939">IF('Ingest Template'!A939="Standard",(CONCATENATE(IF(ISBLANK('Ingest Template'!O939),"", 'Ingest Template'!O939&amp;"|DAR"),CHAR(10), IF(ISBLANK('Ingest Template'!P939),"", 'Ingest Template'!P939&amp;"|DAR"),CHAR(10), IF(ISBLANK('Ingest Template'!Q939),"", 'Ingest Template'!Q939&amp;"|DAR"))),(CONCATENATE(IF(ISBLANK('Ingest Template'!O939),"", 'Ingest Template'!O939&amp;"|Operations - Core Title"),CHAR(10), IF(ISBLANK('Ingest Template'!P939),"", 'Ingest Template'!P939&amp;"|Operations - Core Title"),CHAR(10), IF(ISBLANK('Ingest Template'!Q939),"", 'Ingest Template'!Q939&amp;"|Operations - Core Title"))))</f>
        <v>#|Operations - Core Title
#|Operations - Core Title
</v>
      </c>
      <c r="AH939" s="21"/>
      <c r="AI939" s="21"/>
      <c r="AJ939" s="53" t="str">
        <f>if('Ingest Template'!A939="Standard",'Ingest Template'!N939&amp; "|DAR|DAR|2021-01-01",'Ingest Template'!N939&amp; "|Operations - Core Title|Operations - Core Title")</f>
        <v>#N/A</v>
      </c>
      <c r="AK939" s="53" t="str">
        <f>if('Ingest Template'!A939="Standard",'Ingest Template'!R939&amp; "|2021-01-01",'Ingest Template'!R939)</f>
        <v>#N/A</v>
      </c>
      <c r="AL939" s="21"/>
      <c r="AM939" s="21"/>
    </row>
    <row r="940">
      <c r="A940" s="21"/>
      <c r="B940" s="21" t="str">
        <f>'Ingest Template'!B940&amp;IF('Ingest Template'!A940 = "Standard", " - DAR","")</f>
        <v/>
      </c>
      <c r="C940" s="26" t="s">
        <v>109</v>
      </c>
      <c r="D940" s="29" t="str">
        <f t="array" ref="D940">CONCATENATE(INDEX(DropDown!$H$2:$H$10,MATCH(1,COUNTIF('Ingest Template'!F940,"*"&amp;DropDown!$H$2:$H$10&amp;"*"),0)),CHAR(10),'Ingest Template'!G940)</f>
        <v>#N/A</v>
      </c>
      <c r="E940" s="21" t="str">
        <f>CONCATENATE('Ingest Template'!H940,CHAR(10),'Ingest Template'!I940,CHAR(10),'Ingest Template'!J940)</f>
        <v>
</v>
      </c>
      <c r="F940" s="26" t="str">
        <f>'Ingest Template'!H940</f>
        <v/>
      </c>
      <c r="G940" s="21"/>
      <c r="H940" s="29"/>
      <c r="I940" s="21"/>
      <c r="J940" s="29" t="str">
        <f t="array" ref="J940">iF('Ingest Template'!A940="Standard","Pristine Brand",INDEX(DropDown!$M$2:$M$392,MATCH('Ingest Template'!E940,DropDown!$J$2:$J$392,0)))</f>
        <v>#N/A</v>
      </c>
      <c r="K940" s="21" t="str">
        <f>iF('Ingest Template'!A940="Standard",'Ingest Template'!K940&amp;CHAR(10)&amp;'Ingest Template'!L940,"Competitive View")</f>
        <v>Competitive View</v>
      </c>
      <c r="L940" s="29" t="s">
        <v>146</v>
      </c>
      <c r="M940" s="37" t="str">
        <f>'Ingest Template'!D940</f>
        <v/>
      </c>
      <c r="N940" s="21"/>
      <c r="O940" s="21"/>
      <c r="P940" s="21"/>
      <c r="Q940" s="21"/>
      <c r="R940" s="21" t="str">
        <f>'Ingest Template'!E940</f>
        <v/>
      </c>
      <c r="S940" s="29" t="s">
        <v>153</v>
      </c>
      <c r="T940" s="21" t="str">
        <f>'Ingest Template'!T940</f>
        <v/>
      </c>
      <c r="U940" s="21" t="str">
        <f>'Ingest Template'!S940</f>
        <v/>
      </c>
      <c r="V940" s="21" t="str">
        <f>LOWER(SUBSTITUTE(SUBSTITUTE(SUBSTITUTE(SUBSTITUTE(SUBSTITUTE('Ingest Template'!U940,"https:",""),"www.",""),"/",""),"?hl=en",""),"instagram.com",""))</f>
        <v/>
      </c>
      <c r="W940" s="41" t="str">
        <f t="array" ref="W940">IF('Ingest Template'!V940="",(INDEX(DropDown!$L$2:$L$392,MATCH('Ingest Template'!E940,DropDown!$J$2:$J$392,0))&amp;"|"&amp;'Ingest Template'!B940),(INDEX(DropDown!$L$2:$L$392,MATCH('Ingest Template'!E940,DropDown!$J$2:$J$392,0))&amp;"|"&amp;'Ingest Template'!B940)&amp;CHAR(10)&amp;'Ingest Template'!V940)</f>
        <v>#N/A</v>
      </c>
      <c r="X940" s="41" t="str">
        <f>'Ingest Template'!W940</f>
        <v/>
      </c>
      <c r="Y940" s="21" t="str">
        <f>SUBSTITUTE(SUBSTITUTE(SUBSTITUTE('Ingest Template'!X940,"http:",""),"https:",""),"/","")</f>
        <v/>
      </c>
      <c r="Z940" s="21" t="str">
        <f t="array" ref="Z940">IF('Ingest Template'!A940="Standard",(IF(ISBLANK('Ingest Template'!AA940),"", 'Ingest Template'!AA940&amp;"|DAR")),(IF(ISBLANK('Ingest Template'!AA940),"", 'Ingest Template'!AA940&amp;"|Film Ops")))</f>
        <v/>
      </c>
      <c r="AA940" s="21"/>
      <c r="AB940" s="21" t="str">
        <f>'Ingest Template'!M940</f>
        <v/>
      </c>
      <c r="AC940" s="21" t="str">
        <f>'Ingest Template'!Y940</f>
        <v/>
      </c>
      <c r="AD940" s="21" t="str">
        <f>'Ingest Template'!C940</f>
        <v/>
      </c>
      <c r="AE940" s="21" t="str">
        <f>'Ingest Template'!Z940</f>
        <v/>
      </c>
      <c r="AF940" s="29"/>
      <c r="AG940" s="21" t="str">
        <f t="array" ref="AG940">IF('Ingest Template'!A940="Standard",(CONCATENATE(IF(ISBLANK('Ingest Template'!O940),"", 'Ingest Template'!O940&amp;"|DAR"),CHAR(10), IF(ISBLANK('Ingest Template'!P940),"", 'Ingest Template'!P940&amp;"|DAR"),CHAR(10), IF(ISBLANK('Ingest Template'!Q940),"", 'Ingest Template'!Q940&amp;"|DAR"))),(CONCATENATE(IF(ISBLANK('Ingest Template'!O940),"", 'Ingest Template'!O940&amp;"|Operations - Core Title"),CHAR(10), IF(ISBLANK('Ingest Template'!P940),"", 'Ingest Template'!P940&amp;"|Operations - Core Title"),CHAR(10), IF(ISBLANK('Ingest Template'!Q940),"", 'Ingest Template'!Q940&amp;"|Operations - Core Title"))))</f>
        <v>#|Operations - Core Title
#|Operations - Core Title
</v>
      </c>
      <c r="AH940" s="21"/>
      <c r="AI940" s="21"/>
      <c r="AJ940" s="53" t="str">
        <f>if('Ingest Template'!A940="Standard",'Ingest Template'!N940&amp; "|DAR|DAR|2021-01-01",'Ingest Template'!N940&amp; "|Operations - Core Title|Operations - Core Title")</f>
        <v>#N/A</v>
      </c>
      <c r="AK940" s="53" t="str">
        <f>if('Ingest Template'!A940="Standard",'Ingest Template'!R940&amp; "|2021-01-01",'Ingest Template'!R940)</f>
        <v>#N/A</v>
      </c>
      <c r="AL940" s="21"/>
      <c r="AM940" s="21"/>
    </row>
    <row r="941">
      <c r="A941" s="21"/>
      <c r="B941" s="21" t="str">
        <f>'Ingest Template'!B941&amp;IF('Ingest Template'!A941 = "Standard", " - DAR","")</f>
        <v/>
      </c>
      <c r="C941" s="26" t="s">
        <v>109</v>
      </c>
      <c r="D941" s="29" t="str">
        <f t="array" ref="D941">CONCATENATE(INDEX(DropDown!$H$2:$H$10,MATCH(1,COUNTIF('Ingest Template'!F941,"*"&amp;DropDown!$H$2:$H$10&amp;"*"),0)),CHAR(10),'Ingest Template'!G941)</f>
        <v>#N/A</v>
      </c>
      <c r="E941" s="21" t="str">
        <f>CONCATENATE('Ingest Template'!H941,CHAR(10),'Ingest Template'!I941,CHAR(10),'Ingest Template'!J941)</f>
        <v>
</v>
      </c>
      <c r="F941" s="26" t="str">
        <f>'Ingest Template'!H941</f>
        <v/>
      </c>
      <c r="G941" s="21"/>
      <c r="H941" s="29"/>
      <c r="I941" s="21"/>
      <c r="J941" s="29" t="str">
        <f t="array" ref="J941">iF('Ingest Template'!A941="Standard","Pristine Brand",INDEX(DropDown!$M$2:$M$392,MATCH('Ingest Template'!E941,DropDown!$J$2:$J$392,0)))</f>
        <v>#N/A</v>
      </c>
      <c r="K941" s="21" t="str">
        <f>iF('Ingest Template'!A941="Standard",'Ingest Template'!K941&amp;CHAR(10)&amp;'Ingest Template'!L941,"Competitive View")</f>
        <v>Competitive View</v>
      </c>
      <c r="L941" s="29" t="s">
        <v>146</v>
      </c>
      <c r="M941" s="37" t="str">
        <f>'Ingest Template'!D941</f>
        <v/>
      </c>
      <c r="N941" s="21"/>
      <c r="O941" s="21"/>
      <c r="P941" s="21"/>
      <c r="Q941" s="21"/>
      <c r="R941" s="21" t="str">
        <f>'Ingest Template'!E941</f>
        <v/>
      </c>
      <c r="S941" s="29" t="s">
        <v>153</v>
      </c>
      <c r="T941" s="21" t="str">
        <f>'Ingest Template'!T941</f>
        <v/>
      </c>
      <c r="U941" s="21" t="str">
        <f>'Ingest Template'!S941</f>
        <v/>
      </c>
      <c r="V941" s="21" t="str">
        <f>LOWER(SUBSTITUTE(SUBSTITUTE(SUBSTITUTE(SUBSTITUTE(SUBSTITUTE('Ingest Template'!U941,"https:",""),"www.",""),"/",""),"?hl=en",""),"instagram.com",""))</f>
        <v/>
      </c>
      <c r="W941" s="41" t="str">
        <f t="array" ref="W941">IF('Ingest Template'!V941="",(INDEX(DropDown!$L$2:$L$392,MATCH('Ingest Template'!E941,DropDown!$J$2:$J$392,0))&amp;"|"&amp;'Ingest Template'!B941),(INDEX(DropDown!$L$2:$L$392,MATCH('Ingest Template'!E941,DropDown!$J$2:$J$392,0))&amp;"|"&amp;'Ingest Template'!B941)&amp;CHAR(10)&amp;'Ingest Template'!V941)</f>
        <v>#N/A</v>
      </c>
      <c r="X941" s="41" t="str">
        <f>'Ingest Template'!W941</f>
        <v/>
      </c>
      <c r="Y941" s="21" t="str">
        <f>SUBSTITUTE(SUBSTITUTE(SUBSTITUTE('Ingest Template'!X941,"http:",""),"https:",""),"/","")</f>
        <v/>
      </c>
      <c r="Z941" s="21" t="str">
        <f t="array" ref="Z941">IF('Ingest Template'!A941="Standard",(IF(ISBLANK('Ingest Template'!AA941),"", 'Ingest Template'!AA941&amp;"|DAR")),(IF(ISBLANK('Ingest Template'!AA941),"", 'Ingest Template'!AA941&amp;"|Film Ops")))</f>
        <v/>
      </c>
      <c r="AA941" s="21"/>
      <c r="AB941" s="21" t="str">
        <f>'Ingest Template'!M941</f>
        <v/>
      </c>
      <c r="AC941" s="21" t="str">
        <f>'Ingest Template'!Y941</f>
        <v/>
      </c>
      <c r="AD941" s="21" t="str">
        <f>'Ingest Template'!C941</f>
        <v/>
      </c>
      <c r="AE941" s="21" t="str">
        <f>'Ingest Template'!Z941</f>
        <v/>
      </c>
      <c r="AF941" s="29"/>
      <c r="AG941" s="21" t="str">
        <f t="array" ref="AG941">IF('Ingest Template'!A941="Standard",(CONCATENATE(IF(ISBLANK('Ingest Template'!O941),"", 'Ingest Template'!O941&amp;"|DAR"),CHAR(10), IF(ISBLANK('Ingest Template'!P941),"", 'Ingest Template'!P941&amp;"|DAR"),CHAR(10), IF(ISBLANK('Ingest Template'!Q941),"", 'Ingest Template'!Q941&amp;"|DAR"))),(CONCATENATE(IF(ISBLANK('Ingest Template'!O941),"", 'Ingest Template'!O941&amp;"|Operations - Core Title"),CHAR(10), IF(ISBLANK('Ingest Template'!P941),"", 'Ingest Template'!P941&amp;"|Operations - Core Title"),CHAR(10), IF(ISBLANK('Ingest Template'!Q941),"", 'Ingest Template'!Q941&amp;"|Operations - Core Title"))))</f>
        <v>#|Operations - Core Title
#|Operations - Core Title
</v>
      </c>
      <c r="AH941" s="21"/>
      <c r="AI941" s="21"/>
      <c r="AJ941" s="53" t="str">
        <f>if('Ingest Template'!A941="Standard",'Ingest Template'!N941&amp; "|DAR|DAR|2021-01-01",'Ingest Template'!N941&amp; "|Operations - Core Title|Operations - Core Title")</f>
        <v>#N/A</v>
      </c>
      <c r="AK941" s="53" t="str">
        <f>if('Ingest Template'!A941="Standard",'Ingest Template'!R941&amp; "|2021-01-01",'Ingest Template'!R941)</f>
        <v>#N/A</v>
      </c>
      <c r="AL941" s="21"/>
      <c r="AM941" s="21"/>
    </row>
    <row r="942">
      <c r="A942" s="21"/>
      <c r="B942" s="21" t="str">
        <f>'Ingest Template'!B942&amp;IF('Ingest Template'!A942 = "Standard", " - DAR","")</f>
        <v/>
      </c>
      <c r="C942" s="26" t="s">
        <v>109</v>
      </c>
      <c r="D942" s="29" t="str">
        <f t="array" ref="D942">CONCATENATE(INDEX(DropDown!$H$2:$H$10,MATCH(1,COUNTIF('Ingest Template'!F942,"*"&amp;DropDown!$H$2:$H$10&amp;"*"),0)),CHAR(10),'Ingest Template'!G942)</f>
        <v>#N/A</v>
      </c>
      <c r="E942" s="21" t="str">
        <f>CONCATENATE('Ingest Template'!H942,CHAR(10),'Ingest Template'!I942,CHAR(10),'Ingest Template'!J942)</f>
        <v>
</v>
      </c>
      <c r="F942" s="26" t="str">
        <f>'Ingest Template'!H942</f>
        <v/>
      </c>
      <c r="G942" s="21"/>
      <c r="H942" s="29"/>
      <c r="I942" s="21"/>
      <c r="J942" s="29" t="str">
        <f t="array" ref="J942">iF('Ingest Template'!A942="Standard","Pristine Brand",INDEX(DropDown!$M$2:$M$392,MATCH('Ingest Template'!E942,DropDown!$J$2:$J$392,0)))</f>
        <v>#N/A</v>
      </c>
      <c r="K942" s="21" t="str">
        <f>iF('Ingest Template'!A942="Standard",'Ingest Template'!K942&amp;CHAR(10)&amp;'Ingest Template'!L942,"Competitive View")</f>
        <v>Competitive View</v>
      </c>
      <c r="L942" s="29" t="s">
        <v>146</v>
      </c>
      <c r="M942" s="37" t="str">
        <f>'Ingest Template'!D942</f>
        <v/>
      </c>
      <c r="N942" s="21"/>
      <c r="O942" s="21"/>
      <c r="P942" s="21"/>
      <c r="Q942" s="21"/>
      <c r="R942" s="21" t="str">
        <f>'Ingest Template'!E942</f>
        <v/>
      </c>
      <c r="S942" s="29" t="s">
        <v>153</v>
      </c>
      <c r="T942" s="21" t="str">
        <f>'Ingest Template'!T942</f>
        <v/>
      </c>
      <c r="U942" s="21" t="str">
        <f>'Ingest Template'!S942</f>
        <v/>
      </c>
      <c r="V942" s="21" t="str">
        <f>LOWER(SUBSTITUTE(SUBSTITUTE(SUBSTITUTE(SUBSTITUTE(SUBSTITUTE('Ingest Template'!U942,"https:",""),"www.",""),"/",""),"?hl=en",""),"instagram.com",""))</f>
        <v/>
      </c>
      <c r="W942" s="41" t="str">
        <f t="array" ref="W942">IF('Ingest Template'!V942="",(INDEX(DropDown!$L$2:$L$392,MATCH('Ingest Template'!E942,DropDown!$J$2:$J$392,0))&amp;"|"&amp;'Ingest Template'!B942),(INDEX(DropDown!$L$2:$L$392,MATCH('Ingest Template'!E942,DropDown!$J$2:$J$392,0))&amp;"|"&amp;'Ingest Template'!B942)&amp;CHAR(10)&amp;'Ingest Template'!V942)</f>
        <v>#N/A</v>
      </c>
      <c r="X942" s="41" t="str">
        <f>'Ingest Template'!W942</f>
        <v/>
      </c>
      <c r="Y942" s="21" t="str">
        <f>SUBSTITUTE(SUBSTITUTE(SUBSTITUTE('Ingest Template'!X942,"http:",""),"https:",""),"/","")</f>
        <v/>
      </c>
      <c r="Z942" s="21" t="str">
        <f t="array" ref="Z942">IF('Ingest Template'!A942="Standard",(IF(ISBLANK('Ingest Template'!AA942),"", 'Ingest Template'!AA942&amp;"|DAR")),(IF(ISBLANK('Ingest Template'!AA942),"", 'Ingest Template'!AA942&amp;"|Film Ops")))</f>
        <v/>
      </c>
      <c r="AA942" s="21"/>
      <c r="AB942" s="21" t="str">
        <f>'Ingest Template'!M942</f>
        <v/>
      </c>
      <c r="AC942" s="21" t="str">
        <f>'Ingest Template'!Y942</f>
        <v/>
      </c>
      <c r="AD942" s="21" t="str">
        <f>'Ingest Template'!C942</f>
        <v/>
      </c>
      <c r="AE942" s="21" t="str">
        <f>'Ingest Template'!Z942</f>
        <v/>
      </c>
      <c r="AF942" s="29"/>
      <c r="AG942" s="21" t="str">
        <f t="array" ref="AG942">IF('Ingest Template'!A942="Standard",(CONCATENATE(IF(ISBLANK('Ingest Template'!O942),"", 'Ingest Template'!O942&amp;"|DAR"),CHAR(10), IF(ISBLANK('Ingest Template'!P942),"", 'Ingest Template'!P942&amp;"|DAR"),CHAR(10), IF(ISBLANK('Ingest Template'!Q942),"", 'Ingest Template'!Q942&amp;"|DAR"))),(CONCATENATE(IF(ISBLANK('Ingest Template'!O942),"", 'Ingest Template'!O942&amp;"|Operations - Core Title"),CHAR(10), IF(ISBLANK('Ingest Template'!P942),"", 'Ingest Template'!P942&amp;"|Operations - Core Title"),CHAR(10), IF(ISBLANK('Ingest Template'!Q942),"", 'Ingest Template'!Q942&amp;"|Operations - Core Title"))))</f>
        <v>#|Operations - Core Title
#|Operations - Core Title
</v>
      </c>
      <c r="AH942" s="21"/>
      <c r="AI942" s="21"/>
      <c r="AJ942" s="53" t="str">
        <f>if('Ingest Template'!A942="Standard",'Ingest Template'!N942&amp; "|DAR|DAR|2021-01-01",'Ingest Template'!N942&amp; "|Operations - Core Title|Operations - Core Title")</f>
        <v>#N/A</v>
      </c>
      <c r="AK942" s="53" t="str">
        <f>if('Ingest Template'!A942="Standard",'Ingest Template'!R942&amp; "|2021-01-01",'Ingest Template'!R942)</f>
        <v>#N/A</v>
      </c>
      <c r="AL942" s="21"/>
      <c r="AM942" s="21"/>
    </row>
    <row r="943">
      <c r="A943" s="21"/>
      <c r="B943" s="21" t="str">
        <f>'Ingest Template'!B943&amp;IF('Ingest Template'!A943 = "Standard", " - DAR","")</f>
        <v/>
      </c>
      <c r="C943" s="26" t="s">
        <v>109</v>
      </c>
      <c r="D943" s="29" t="str">
        <f t="array" ref="D943">CONCATENATE(INDEX(DropDown!$H$2:$H$10,MATCH(1,COUNTIF('Ingest Template'!F943,"*"&amp;DropDown!$H$2:$H$10&amp;"*"),0)),CHAR(10),'Ingest Template'!G943)</f>
        <v>#N/A</v>
      </c>
      <c r="E943" s="21" t="str">
        <f>CONCATENATE('Ingest Template'!H943,CHAR(10),'Ingest Template'!I943,CHAR(10),'Ingest Template'!J943)</f>
        <v>
</v>
      </c>
      <c r="F943" s="26" t="str">
        <f>'Ingest Template'!H943</f>
        <v/>
      </c>
      <c r="G943" s="21"/>
      <c r="H943" s="29"/>
      <c r="I943" s="21"/>
      <c r="J943" s="29" t="str">
        <f t="array" ref="J943">iF('Ingest Template'!A943="Standard","Pristine Brand",INDEX(DropDown!$M$2:$M$392,MATCH('Ingest Template'!E943,DropDown!$J$2:$J$392,0)))</f>
        <v>#N/A</v>
      </c>
      <c r="K943" s="21" t="str">
        <f>iF('Ingest Template'!A943="Standard",'Ingest Template'!K943&amp;CHAR(10)&amp;'Ingest Template'!L943,"Competitive View")</f>
        <v>Competitive View</v>
      </c>
      <c r="L943" s="29" t="s">
        <v>146</v>
      </c>
      <c r="M943" s="37" t="str">
        <f>'Ingest Template'!D943</f>
        <v/>
      </c>
      <c r="N943" s="21"/>
      <c r="O943" s="21"/>
      <c r="P943" s="21"/>
      <c r="Q943" s="21"/>
      <c r="R943" s="21" t="str">
        <f>'Ingest Template'!E943</f>
        <v/>
      </c>
      <c r="S943" s="29" t="s">
        <v>153</v>
      </c>
      <c r="T943" s="21" t="str">
        <f>'Ingest Template'!T943</f>
        <v/>
      </c>
      <c r="U943" s="21" t="str">
        <f>'Ingest Template'!S943</f>
        <v/>
      </c>
      <c r="V943" s="21" t="str">
        <f>LOWER(SUBSTITUTE(SUBSTITUTE(SUBSTITUTE(SUBSTITUTE(SUBSTITUTE('Ingest Template'!U943,"https:",""),"www.",""),"/",""),"?hl=en",""),"instagram.com",""))</f>
        <v/>
      </c>
      <c r="W943" s="41" t="str">
        <f t="array" ref="W943">IF('Ingest Template'!V943="",(INDEX(DropDown!$L$2:$L$392,MATCH('Ingest Template'!E943,DropDown!$J$2:$J$392,0))&amp;"|"&amp;'Ingest Template'!B943),(INDEX(DropDown!$L$2:$L$392,MATCH('Ingest Template'!E943,DropDown!$J$2:$J$392,0))&amp;"|"&amp;'Ingest Template'!B943)&amp;CHAR(10)&amp;'Ingest Template'!V943)</f>
        <v>#N/A</v>
      </c>
      <c r="X943" s="41" t="str">
        <f>'Ingest Template'!W943</f>
        <v/>
      </c>
      <c r="Y943" s="21" t="str">
        <f>SUBSTITUTE(SUBSTITUTE(SUBSTITUTE('Ingest Template'!X943,"http:",""),"https:",""),"/","")</f>
        <v/>
      </c>
      <c r="Z943" s="21" t="str">
        <f t="array" ref="Z943">IF('Ingest Template'!A943="Standard",(IF(ISBLANK('Ingest Template'!AA943),"", 'Ingest Template'!AA943&amp;"|DAR")),(IF(ISBLANK('Ingest Template'!AA943),"", 'Ingest Template'!AA943&amp;"|Film Ops")))</f>
        <v/>
      </c>
      <c r="AA943" s="21"/>
      <c r="AB943" s="21" t="str">
        <f>'Ingest Template'!M943</f>
        <v/>
      </c>
      <c r="AC943" s="21" t="str">
        <f>'Ingest Template'!Y943</f>
        <v/>
      </c>
      <c r="AD943" s="21" t="str">
        <f>'Ingest Template'!C943</f>
        <v/>
      </c>
      <c r="AE943" s="21" t="str">
        <f>'Ingest Template'!Z943</f>
        <v/>
      </c>
      <c r="AF943" s="29"/>
      <c r="AG943" s="21" t="str">
        <f t="array" ref="AG943">IF('Ingest Template'!A943="Standard",(CONCATENATE(IF(ISBLANK('Ingest Template'!O943),"", 'Ingest Template'!O943&amp;"|DAR"),CHAR(10), IF(ISBLANK('Ingest Template'!P943),"", 'Ingest Template'!P943&amp;"|DAR"),CHAR(10), IF(ISBLANK('Ingest Template'!Q943),"", 'Ingest Template'!Q943&amp;"|DAR"))),(CONCATENATE(IF(ISBLANK('Ingest Template'!O943),"", 'Ingest Template'!O943&amp;"|Operations - Core Title"),CHAR(10), IF(ISBLANK('Ingest Template'!P943),"", 'Ingest Template'!P943&amp;"|Operations - Core Title"),CHAR(10), IF(ISBLANK('Ingest Template'!Q943),"", 'Ingest Template'!Q943&amp;"|Operations - Core Title"))))</f>
        <v>#|Operations - Core Title
#|Operations - Core Title
</v>
      </c>
      <c r="AH943" s="21"/>
      <c r="AI943" s="21"/>
      <c r="AJ943" s="53" t="str">
        <f>if('Ingest Template'!A943="Standard",'Ingest Template'!N943&amp; "|DAR|DAR|2021-01-01",'Ingest Template'!N943&amp; "|Operations - Core Title|Operations - Core Title")</f>
        <v>#N/A</v>
      </c>
      <c r="AK943" s="53" t="str">
        <f>if('Ingest Template'!A943="Standard",'Ingest Template'!R943&amp; "|2021-01-01",'Ingest Template'!R943)</f>
        <v>#N/A</v>
      </c>
      <c r="AL943" s="21"/>
      <c r="AM943" s="21"/>
    </row>
    <row r="944">
      <c r="A944" s="21"/>
      <c r="B944" s="21" t="str">
        <f>'Ingest Template'!B944&amp;IF('Ingest Template'!A944 = "Standard", " - DAR","")</f>
        <v/>
      </c>
      <c r="C944" s="26" t="s">
        <v>109</v>
      </c>
      <c r="D944" s="29" t="str">
        <f t="array" ref="D944">CONCATENATE(INDEX(DropDown!$H$2:$H$10,MATCH(1,COUNTIF('Ingest Template'!F944,"*"&amp;DropDown!$H$2:$H$10&amp;"*"),0)),CHAR(10),'Ingest Template'!G944)</f>
        <v>#N/A</v>
      </c>
      <c r="E944" s="21" t="str">
        <f>CONCATENATE('Ingest Template'!H944,CHAR(10),'Ingest Template'!I944,CHAR(10),'Ingest Template'!J944)</f>
        <v>
</v>
      </c>
      <c r="F944" s="26" t="str">
        <f>'Ingest Template'!H944</f>
        <v/>
      </c>
      <c r="G944" s="21"/>
      <c r="H944" s="29"/>
      <c r="I944" s="21"/>
      <c r="J944" s="29" t="str">
        <f t="array" ref="J944">iF('Ingest Template'!A944="Standard","Pristine Brand",INDEX(DropDown!$M$2:$M$392,MATCH('Ingest Template'!E944,DropDown!$J$2:$J$392,0)))</f>
        <v>#N/A</v>
      </c>
      <c r="K944" s="21" t="str">
        <f>iF('Ingest Template'!A944="Standard",'Ingest Template'!K944&amp;CHAR(10)&amp;'Ingest Template'!L944,"Competitive View")</f>
        <v>Competitive View</v>
      </c>
      <c r="L944" s="29" t="s">
        <v>146</v>
      </c>
      <c r="M944" s="37" t="str">
        <f>'Ingest Template'!D944</f>
        <v/>
      </c>
      <c r="N944" s="21"/>
      <c r="O944" s="21"/>
      <c r="P944" s="21"/>
      <c r="Q944" s="21"/>
      <c r="R944" s="21" t="str">
        <f>'Ingest Template'!E944</f>
        <v/>
      </c>
      <c r="S944" s="29" t="s">
        <v>153</v>
      </c>
      <c r="T944" s="21" t="str">
        <f>'Ingest Template'!T944</f>
        <v/>
      </c>
      <c r="U944" s="21" t="str">
        <f>'Ingest Template'!S944</f>
        <v/>
      </c>
      <c r="V944" s="21" t="str">
        <f>LOWER(SUBSTITUTE(SUBSTITUTE(SUBSTITUTE(SUBSTITUTE(SUBSTITUTE('Ingest Template'!U944,"https:",""),"www.",""),"/",""),"?hl=en",""),"instagram.com",""))</f>
        <v/>
      </c>
      <c r="W944" s="41" t="str">
        <f t="array" ref="W944">IF('Ingest Template'!V944="",(INDEX(DropDown!$L$2:$L$392,MATCH('Ingest Template'!E944,DropDown!$J$2:$J$392,0))&amp;"|"&amp;'Ingest Template'!B944),(INDEX(DropDown!$L$2:$L$392,MATCH('Ingest Template'!E944,DropDown!$J$2:$J$392,0))&amp;"|"&amp;'Ingest Template'!B944)&amp;CHAR(10)&amp;'Ingest Template'!V944)</f>
        <v>#N/A</v>
      </c>
      <c r="X944" s="41" t="str">
        <f>'Ingest Template'!W944</f>
        <v/>
      </c>
      <c r="Y944" s="21" t="str">
        <f>SUBSTITUTE(SUBSTITUTE(SUBSTITUTE('Ingest Template'!X944,"http:",""),"https:",""),"/","")</f>
        <v/>
      </c>
      <c r="Z944" s="21" t="str">
        <f t="array" ref="Z944">IF('Ingest Template'!A944="Standard",(IF(ISBLANK('Ingest Template'!AA944),"", 'Ingest Template'!AA944&amp;"|DAR")),(IF(ISBLANK('Ingest Template'!AA944),"", 'Ingest Template'!AA944&amp;"|Film Ops")))</f>
        <v/>
      </c>
      <c r="AA944" s="21"/>
      <c r="AB944" s="21" t="str">
        <f>'Ingest Template'!M944</f>
        <v/>
      </c>
      <c r="AC944" s="21" t="str">
        <f>'Ingest Template'!Y944</f>
        <v/>
      </c>
      <c r="AD944" s="21" t="str">
        <f>'Ingest Template'!C944</f>
        <v/>
      </c>
      <c r="AE944" s="21" t="str">
        <f>'Ingest Template'!Z944</f>
        <v/>
      </c>
      <c r="AF944" s="29"/>
      <c r="AG944" s="21" t="str">
        <f t="array" ref="AG944">IF('Ingest Template'!A944="Standard",(CONCATENATE(IF(ISBLANK('Ingest Template'!O944),"", 'Ingest Template'!O944&amp;"|DAR"),CHAR(10), IF(ISBLANK('Ingest Template'!P944),"", 'Ingest Template'!P944&amp;"|DAR"),CHAR(10), IF(ISBLANK('Ingest Template'!Q944),"", 'Ingest Template'!Q944&amp;"|DAR"))),(CONCATENATE(IF(ISBLANK('Ingest Template'!O944),"", 'Ingest Template'!O944&amp;"|Operations - Core Title"),CHAR(10), IF(ISBLANK('Ingest Template'!P944),"", 'Ingest Template'!P944&amp;"|Operations - Core Title"),CHAR(10), IF(ISBLANK('Ingest Template'!Q944),"", 'Ingest Template'!Q944&amp;"|Operations - Core Title"))))</f>
        <v>#|Operations - Core Title
#|Operations - Core Title
</v>
      </c>
      <c r="AH944" s="21"/>
      <c r="AI944" s="21"/>
      <c r="AJ944" s="53" t="str">
        <f>if('Ingest Template'!A944="Standard",'Ingest Template'!N944&amp; "|DAR|DAR|2021-01-01",'Ingest Template'!N944&amp; "|Operations - Core Title|Operations - Core Title")</f>
        <v>#N/A</v>
      </c>
      <c r="AK944" s="53" t="str">
        <f>if('Ingest Template'!A944="Standard",'Ingest Template'!R944&amp; "|2021-01-01",'Ingest Template'!R944)</f>
        <v>#N/A</v>
      </c>
      <c r="AL944" s="21"/>
      <c r="AM944" s="21"/>
    </row>
    <row r="945">
      <c r="A945" s="21"/>
      <c r="B945" s="21" t="str">
        <f>'Ingest Template'!B945&amp;IF('Ingest Template'!A945 = "Standard", " - DAR","")</f>
        <v/>
      </c>
      <c r="C945" s="26" t="s">
        <v>109</v>
      </c>
      <c r="D945" s="29" t="str">
        <f t="array" ref="D945">CONCATENATE(INDEX(DropDown!$H$2:$H$10,MATCH(1,COUNTIF('Ingest Template'!F945,"*"&amp;DropDown!$H$2:$H$10&amp;"*"),0)),CHAR(10),'Ingest Template'!G945)</f>
        <v>#N/A</v>
      </c>
      <c r="E945" s="21" t="str">
        <f>CONCATENATE('Ingest Template'!H945,CHAR(10),'Ingest Template'!I945,CHAR(10),'Ingest Template'!J945)</f>
        <v>
</v>
      </c>
      <c r="F945" s="26" t="str">
        <f>'Ingest Template'!H945</f>
        <v/>
      </c>
      <c r="G945" s="21"/>
      <c r="H945" s="29"/>
      <c r="I945" s="21"/>
      <c r="J945" s="29" t="str">
        <f t="array" ref="J945">iF('Ingest Template'!A945="Standard","Pristine Brand",INDEX(DropDown!$M$2:$M$392,MATCH('Ingest Template'!E945,DropDown!$J$2:$J$392,0)))</f>
        <v>#N/A</v>
      </c>
      <c r="K945" s="21" t="str">
        <f>iF('Ingest Template'!A945="Standard",'Ingest Template'!K945&amp;CHAR(10)&amp;'Ingest Template'!L945,"Competitive View")</f>
        <v>Competitive View</v>
      </c>
      <c r="L945" s="29" t="s">
        <v>146</v>
      </c>
      <c r="M945" s="37" t="str">
        <f>'Ingest Template'!D945</f>
        <v/>
      </c>
      <c r="N945" s="21"/>
      <c r="O945" s="21"/>
      <c r="P945" s="21"/>
      <c r="Q945" s="21"/>
      <c r="R945" s="21" t="str">
        <f>'Ingest Template'!E945</f>
        <v/>
      </c>
      <c r="S945" s="29" t="s">
        <v>153</v>
      </c>
      <c r="T945" s="21" t="str">
        <f>'Ingest Template'!T945</f>
        <v/>
      </c>
      <c r="U945" s="21" t="str">
        <f>'Ingest Template'!S945</f>
        <v/>
      </c>
      <c r="V945" s="21" t="str">
        <f>LOWER(SUBSTITUTE(SUBSTITUTE(SUBSTITUTE(SUBSTITUTE(SUBSTITUTE('Ingest Template'!U945,"https:",""),"www.",""),"/",""),"?hl=en",""),"instagram.com",""))</f>
        <v/>
      </c>
      <c r="W945" s="41" t="str">
        <f t="array" ref="W945">IF('Ingest Template'!V945="",(INDEX(DropDown!$L$2:$L$392,MATCH('Ingest Template'!E945,DropDown!$J$2:$J$392,0))&amp;"|"&amp;'Ingest Template'!B945),(INDEX(DropDown!$L$2:$L$392,MATCH('Ingest Template'!E945,DropDown!$J$2:$J$392,0))&amp;"|"&amp;'Ingest Template'!B945)&amp;CHAR(10)&amp;'Ingest Template'!V945)</f>
        <v>#N/A</v>
      </c>
      <c r="X945" s="41" t="str">
        <f>'Ingest Template'!W945</f>
        <v/>
      </c>
      <c r="Y945" s="21" t="str">
        <f>SUBSTITUTE(SUBSTITUTE(SUBSTITUTE('Ingest Template'!X945,"http:",""),"https:",""),"/","")</f>
        <v/>
      </c>
      <c r="Z945" s="21" t="str">
        <f t="array" ref="Z945">IF('Ingest Template'!A945="Standard",(IF(ISBLANK('Ingest Template'!AA945),"", 'Ingest Template'!AA945&amp;"|DAR")),(IF(ISBLANK('Ingest Template'!AA945),"", 'Ingest Template'!AA945&amp;"|Film Ops")))</f>
        <v/>
      </c>
      <c r="AA945" s="21"/>
      <c r="AB945" s="21" t="str">
        <f>'Ingest Template'!M945</f>
        <v/>
      </c>
      <c r="AC945" s="21" t="str">
        <f>'Ingest Template'!Y945</f>
        <v/>
      </c>
      <c r="AD945" s="21" t="str">
        <f>'Ingest Template'!C945</f>
        <v/>
      </c>
      <c r="AE945" s="21" t="str">
        <f>'Ingest Template'!Z945</f>
        <v/>
      </c>
      <c r="AF945" s="29"/>
      <c r="AG945" s="21" t="str">
        <f t="array" ref="AG945">IF('Ingest Template'!A945="Standard",(CONCATENATE(IF(ISBLANK('Ingest Template'!O945),"", 'Ingest Template'!O945&amp;"|DAR"),CHAR(10), IF(ISBLANK('Ingest Template'!P945),"", 'Ingest Template'!P945&amp;"|DAR"),CHAR(10), IF(ISBLANK('Ingest Template'!Q945),"", 'Ingest Template'!Q945&amp;"|DAR"))),(CONCATENATE(IF(ISBLANK('Ingest Template'!O945),"", 'Ingest Template'!O945&amp;"|Operations - Core Title"),CHAR(10), IF(ISBLANK('Ingest Template'!P945),"", 'Ingest Template'!P945&amp;"|Operations - Core Title"),CHAR(10), IF(ISBLANK('Ingest Template'!Q945),"", 'Ingest Template'!Q945&amp;"|Operations - Core Title"))))</f>
        <v>#|Operations - Core Title
#|Operations - Core Title
</v>
      </c>
      <c r="AH945" s="21"/>
      <c r="AI945" s="21"/>
      <c r="AJ945" s="53" t="str">
        <f>if('Ingest Template'!A945="Standard",'Ingest Template'!N945&amp; "|DAR|DAR|2021-01-01",'Ingest Template'!N945&amp; "|Operations - Core Title|Operations - Core Title")</f>
        <v>#N/A</v>
      </c>
      <c r="AK945" s="53" t="str">
        <f>if('Ingest Template'!A945="Standard",'Ingest Template'!R945&amp; "|2021-01-01",'Ingest Template'!R945)</f>
        <v>#N/A</v>
      </c>
      <c r="AL945" s="21"/>
      <c r="AM945" s="21"/>
    </row>
    <row r="946">
      <c r="A946" s="21"/>
      <c r="B946" s="21" t="str">
        <f>'Ingest Template'!B946&amp;IF('Ingest Template'!A946 = "Standard", " - DAR","")</f>
        <v/>
      </c>
      <c r="C946" s="26" t="s">
        <v>109</v>
      </c>
      <c r="D946" s="29" t="str">
        <f t="array" ref="D946">CONCATENATE(INDEX(DropDown!$H$2:$H$10,MATCH(1,COUNTIF('Ingest Template'!F946,"*"&amp;DropDown!$H$2:$H$10&amp;"*"),0)),CHAR(10),'Ingest Template'!G946)</f>
        <v>#N/A</v>
      </c>
      <c r="E946" s="21" t="str">
        <f>CONCATENATE('Ingest Template'!H946,CHAR(10),'Ingest Template'!I946,CHAR(10),'Ingest Template'!J946)</f>
        <v>
</v>
      </c>
      <c r="F946" s="26" t="str">
        <f>'Ingest Template'!H946</f>
        <v/>
      </c>
      <c r="G946" s="21"/>
      <c r="H946" s="29"/>
      <c r="I946" s="21"/>
      <c r="J946" s="29" t="str">
        <f t="array" ref="J946">iF('Ingest Template'!A946="Standard","Pristine Brand",INDEX(DropDown!$M$2:$M$392,MATCH('Ingest Template'!E946,DropDown!$J$2:$J$392,0)))</f>
        <v>#N/A</v>
      </c>
      <c r="K946" s="21" t="str">
        <f>iF('Ingest Template'!A946="Standard",'Ingest Template'!K946&amp;CHAR(10)&amp;'Ingest Template'!L946,"Competitive View")</f>
        <v>Competitive View</v>
      </c>
      <c r="L946" s="29" t="s">
        <v>146</v>
      </c>
      <c r="M946" s="37" t="str">
        <f>'Ingest Template'!D946</f>
        <v/>
      </c>
      <c r="N946" s="21"/>
      <c r="O946" s="21"/>
      <c r="P946" s="21"/>
      <c r="Q946" s="21"/>
      <c r="R946" s="21" t="str">
        <f>'Ingest Template'!E946</f>
        <v/>
      </c>
      <c r="S946" s="29" t="s">
        <v>153</v>
      </c>
      <c r="T946" s="21" t="str">
        <f>'Ingest Template'!T946</f>
        <v/>
      </c>
      <c r="U946" s="21" t="str">
        <f>'Ingest Template'!S946</f>
        <v/>
      </c>
      <c r="V946" s="21" t="str">
        <f>LOWER(SUBSTITUTE(SUBSTITUTE(SUBSTITUTE(SUBSTITUTE(SUBSTITUTE('Ingest Template'!U946,"https:",""),"www.",""),"/",""),"?hl=en",""),"instagram.com",""))</f>
        <v/>
      </c>
      <c r="W946" s="41" t="str">
        <f t="array" ref="W946">IF('Ingest Template'!V946="",(INDEX(DropDown!$L$2:$L$392,MATCH('Ingest Template'!E946,DropDown!$J$2:$J$392,0))&amp;"|"&amp;'Ingest Template'!B946),(INDEX(DropDown!$L$2:$L$392,MATCH('Ingest Template'!E946,DropDown!$J$2:$J$392,0))&amp;"|"&amp;'Ingest Template'!B946)&amp;CHAR(10)&amp;'Ingest Template'!V946)</f>
        <v>#N/A</v>
      </c>
      <c r="X946" s="41" t="str">
        <f>'Ingest Template'!W946</f>
        <v/>
      </c>
      <c r="Y946" s="21" t="str">
        <f>SUBSTITUTE(SUBSTITUTE(SUBSTITUTE('Ingest Template'!X946,"http:",""),"https:",""),"/","")</f>
        <v/>
      </c>
      <c r="Z946" s="21" t="str">
        <f t="array" ref="Z946">IF('Ingest Template'!A946="Standard",(IF(ISBLANK('Ingest Template'!AA946),"", 'Ingest Template'!AA946&amp;"|DAR")),(IF(ISBLANK('Ingest Template'!AA946),"", 'Ingest Template'!AA946&amp;"|Film Ops")))</f>
        <v/>
      </c>
      <c r="AA946" s="21"/>
      <c r="AB946" s="21" t="str">
        <f>'Ingest Template'!M946</f>
        <v/>
      </c>
      <c r="AC946" s="21" t="str">
        <f>'Ingest Template'!Y946</f>
        <v/>
      </c>
      <c r="AD946" s="21" t="str">
        <f>'Ingest Template'!C946</f>
        <v/>
      </c>
      <c r="AE946" s="21" t="str">
        <f>'Ingest Template'!Z946</f>
        <v/>
      </c>
      <c r="AF946" s="29"/>
      <c r="AG946" s="21" t="str">
        <f t="array" ref="AG946">IF('Ingest Template'!A946="Standard",(CONCATENATE(IF(ISBLANK('Ingest Template'!O946),"", 'Ingest Template'!O946&amp;"|DAR"),CHAR(10), IF(ISBLANK('Ingest Template'!P946),"", 'Ingest Template'!P946&amp;"|DAR"),CHAR(10), IF(ISBLANK('Ingest Template'!Q946),"", 'Ingest Template'!Q946&amp;"|DAR"))),(CONCATENATE(IF(ISBLANK('Ingest Template'!O946),"", 'Ingest Template'!O946&amp;"|Operations - Core Title"),CHAR(10), IF(ISBLANK('Ingest Template'!P946),"", 'Ingest Template'!P946&amp;"|Operations - Core Title"),CHAR(10), IF(ISBLANK('Ingest Template'!Q946),"", 'Ingest Template'!Q946&amp;"|Operations - Core Title"))))</f>
        <v>#|Operations - Core Title
#|Operations - Core Title
</v>
      </c>
      <c r="AH946" s="21"/>
      <c r="AI946" s="21"/>
      <c r="AJ946" s="53" t="str">
        <f>if('Ingest Template'!A946="Standard",'Ingest Template'!N946&amp; "|DAR|DAR|2021-01-01",'Ingest Template'!N946&amp; "|Operations - Core Title|Operations - Core Title")</f>
        <v>#N/A</v>
      </c>
      <c r="AK946" s="53" t="str">
        <f>if('Ingest Template'!A946="Standard",'Ingest Template'!R946&amp; "|2021-01-01",'Ingest Template'!R946)</f>
        <v>#N/A</v>
      </c>
      <c r="AL946" s="21"/>
      <c r="AM946" s="21"/>
    </row>
    <row r="947">
      <c r="A947" s="21"/>
      <c r="B947" s="21" t="str">
        <f>'Ingest Template'!B947&amp;IF('Ingest Template'!A947 = "Standard", " - DAR","")</f>
        <v/>
      </c>
      <c r="C947" s="26" t="s">
        <v>109</v>
      </c>
      <c r="D947" s="29" t="str">
        <f t="array" ref="D947">CONCATENATE(INDEX(DropDown!$H$2:$H$10,MATCH(1,COUNTIF('Ingest Template'!F947,"*"&amp;DropDown!$H$2:$H$10&amp;"*"),0)),CHAR(10),'Ingest Template'!G947)</f>
        <v>#N/A</v>
      </c>
      <c r="E947" s="21" t="str">
        <f>CONCATENATE('Ingest Template'!H947,CHAR(10),'Ingest Template'!I947,CHAR(10),'Ingest Template'!J947)</f>
        <v>
</v>
      </c>
      <c r="F947" s="26" t="str">
        <f>'Ingest Template'!H947</f>
        <v/>
      </c>
      <c r="G947" s="21"/>
      <c r="H947" s="29"/>
      <c r="I947" s="21"/>
      <c r="J947" s="29" t="str">
        <f t="array" ref="J947">iF('Ingest Template'!A947="Standard","Pristine Brand",INDEX(DropDown!$M$2:$M$392,MATCH('Ingest Template'!E947,DropDown!$J$2:$J$392,0)))</f>
        <v>#N/A</v>
      </c>
      <c r="K947" s="21" t="str">
        <f>iF('Ingest Template'!A947="Standard",'Ingest Template'!K947&amp;CHAR(10)&amp;'Ingest Template'!L947,"Competitive View")</f>
        <v>Competitive View</v>
      </c>
      <c r="L947" s="29" t="s">
        <v>146</v>
      </c>
      <c r="M947" s="37" t="str">
        <f>'Ingest Template'!D947</f>
        <v/>
      </c>
      <c r="N947" s="21"/>
      <c r="O947" s="21"/>
      <c r="P947" s="21"/>
      <c r="Q947" s="21"/>
      <c r="R947" s="21" t="str">
        <f>'Ingest Template'!E947</f>
        <v/>
      </c>
      <c r="S947" s="29" t="s">
        <v>153</v>
      </c>
      <c r="T947" s="21" t="str">
        <f>'Ingest Template'!T947</f>
        <v/>
      </c>
      <c r="U947" s="21" t="str">
        <f>'Ingest Template'!S947</f>
        <v/>
      </c>
      <c r="V947" s="21" t="str">
        <f>LOWER(SUBSTITUTE(SUBSTITUTE(SUBSTITUTE(SUBSTITUTE(SUBSTITUTE('Ingest Template'!U947,"https:",""),"www.",""),"/",""),"?hl=en",""),"instagram.com",""))</f>
        <v/>
      </c>
      <c r="W947" s="41" t="str">
        <f t="array" ref="W947">IF('Ingest Template'!V947="",(INDEX(DropDown!$L$2:$L$392,MATCH('Ingest Template'!E947,DropDown!$J$2:$J$392,0))&amp;"|"&amp;'Ingest Template'!B947),(INDEX(DropDown!$L$2:$L$392,MATCH('Ingest Template'!E947,DropDown!$J$2:$J$392,0))&amp;"|"&amp;'Ingest Template'!B947)&amp;CHAR(10)&amp;'Ingest Template'!V947)</f>
        <v>#N/A</v>
      </c>
      <c r="X947" s="41" t="str">
        <f>'Ingest Template'!W947</f>
        <v/>
      </c>
      <c r="Y947" s="21" t="str">
        <f>SUBSTITUTE(SUBSTITUTE(SUBSTITUTE('Ingest Template'!X947,"http:",""),"https:",""),"/","")</f>
        <v/>
      </c>
      <c r="Z947" s="21" t="str">
        <f t="array" ref="Z947">IF('Ingest Template'!A947="Standard",(IF(ISBLANK('Ingest Template'!AA947),"", 'Ingest Template'!AA947&amp;"|DAR")),(IF(ISBLANK('Ingest Template'!AA947),"", 'Ingest Template'!AA947&amp;"|Film Ops")))</f>
        <v/>
      </c>
      <c r="AA947" s="21"/>
      <c r="AB947" s="21" t="str">
        <f>'Ingest Template'!M947</f>
        <v/>
      </c>
      <c r="AC947" s="21" t="str">
        <f>'Ingest Template'!Y947</f>
        <v/>
      </c>
      <c r="AD947" s="21" t="str">
        <f>'Ingest Template'!C947</f>
        <v/>
      </c>
      <c r="AE947" s="21" t="str">
        <f>'Ingest Template'!Z947</f>
        <v/>
      </c>
      <c r="AF947" s="29"/>
      <c r="AG947" s="21" t="str">
        <f t="array" ref="AG947">IF('Ingest Template'!A947="Standard",(CONCATENATE(IF(ISBLANK('Ingest Template'!O947),"", 'Ingest Template'!O947&amp;"|DAR"),CHAR(10), IF(ISBLANK('Ingest Template'!P947),"", 'Ingest Template'!P947&amp;"|DAR"),CHAR(10), IF(ISBLANK('Ingest Template'!Q947),"", 'Ingest Template'!Q947&amp;"|DAR"))),(CONCATENATE(IF(ISBLANK('Ingest Template'!O947),"", 'Ingest Template'!O947&amp;"|Operations - Core Title"),CHAR(10), IF(ISBLANK('Ingest Template'!P947),"", 'Ingest Template'!P947&amp;"|Operations - Core Title"),CHAR(10), IF(ISBLANK('Ingest Template'!Q947),"", 'Ingest Template'!Q947&amp;"|Operations - Core Title"))))</f>
        <v>#|Operations - Core Title
#|Operations - Core Title
</v>
      </c>
      <c r="AH947" s="21"/>
      <c r="AI947" s="21"/>
      <c r="AJ947" s="53" t="str">
        <f>if('Ingest Template'!A947="Standard",'Ingest Template'!N947&amp; "|DAR|DAR|2021-01-01",'Ingest Template'!N947&amp; "|Operations - Core Title|Operations - Core Title")</f>
        <v>#N/A</v>
      </c>
      <c r="AK947" s="53" t="str">
        <f>if('Ingest Template'!A947="Standard",'Ingest Template'!R947&amp; "|2021-01-01",'Ingest Template'!R947)</f>
        <v>#N/A</v>
      </c>
      <c r="AL947" s="21"/>
      <c r="AM947" s="21"/>
    </row>
    <row r="948">
      <c r="A948" s="21"/>
      <c r="B948" s="21" t="str">
        <f>'Ingest Template'!B948&amp;IF('Ingest Template'!A948 = "Standard", " - DAR","")</f>
        <v/>
      </c>
      <c r="C948" s="26" t="s">
        <v>109</v>
      </c>
      <c r="D948" s="29" t="str">
        <f t="array" ref="D948">CONCATENATE(INDEX(DropDown!$H$2:$H$10,MATCH(1,COUNTIF('Ingest Template'!F948,"*"&amp;DropDown!$H$2:$H$10&amp;"*"),0)),CHAR(10),'Ingest Template'!G948)</f>
        <v>#N/A</v>
      </c>
      <c r="E948" s="21" t="str">
        <f>CONCATENATE('Ingest Template'!H948,CHAR(10),'Ingest Template'!I948,CHAR(10),'Ingest Template'!J948)</f>
        <v>
</v>
      </c>
      <c r="F948" s="26" t="str">
        <f>'Ingest Template'!H948</f>
        <v/>
      </c>
      <c r="G948" s="21"/>
      <c r="H948" s="29"/>
      <c r="I948" s="21"/>
      <c r="J948" s="29" t="str">
        <f t="array" ref="J948">iF('Ingest Template'!A948="Standard","Pristine Brand",INDEX(DropDown!$M$2:$M$392,MATCH('Ingest Template'!E948,DropDown!$J$2:$J$392,0)))</f>
        <v>#N/A</v>
      </c>
      <c r="K948" s="21" t="str">
        <f>iF('Ingest Template'!A948="Standard",'Ingest Template'!K948&amp;CHAR(10)&amp;'Ingest Template'!L948,"Competitive View")</f>
        <v>Competitive View</v>
      </c>
      <c r="L948" s="29" t="s">
        <v>146</v>
      </c>
      <c r="M948" s="37" t="str">
        <f>'Ingest Template'!D948</f>
        <v/>
      </c>
      <c r="N948" s="21"/>
      <c r="O948" s="21"/>
      <c r="P948" s="21"/>
      <c r="Q948" s="21"/>
      <c r="R948" s="21" t="str">
        <f>'Ingest Template'!E948</f>
        <v/>
      </c>
      <c r="S948" s="29" t="s">
        <v>153</v>
      </c>
      <c r="T948" s="21" t="str">
        <f>'Ingest Template'!T948</f>
        <v/>
      </c>
      <c r="U948" s="21" t="str">
        <f>'Ingest Template'!S948</f>
        <v/>
      </c>
      <c r="V948" s="21" t="str">
        <f>LOWER(SUBSTITUTE(SUBSTITUTE(SUBSTITUTE(SUBSTITUTE(SUBSTITUTE('Ingest Template'!U948,"https:",""),"www.",""),"/",""),"?hl=en",""),"instagram.com",""))</f>
        <v/>
      </c>
      <c r="W948" s="41" t="str">
        <f t="array" ref="W948">IF('Ingest Template'!V948="",(INDEX(DropDown!$L$2:$L$392,MATCH('Ingest Template'!E948,DropDown!$J$2:$J$392,0))&amp;"|"&amp;'Ingest Template'!B948),(INDEX(DropDown!$L$2:$L$392,MATCH('Ingest Template'!E948,DropDown!$J$2:$J$392,0))&amp;"|"&amp;'Ingest Template'!B948)&amp;CHAR(10)&amp;'Ingest Template'!V948)</f>
        <v>#N/A</v>
      </c>
      <c r="X948" s="41" t="str">
        <f>'Ingest Template'!W948</f>
        <v/>
      </c>
      <c r="Y948" s="21" t="str">
        <f>SUBSTITUTE(SUBSTITUTE(SUBSTITUTE('Ingest Template'!X948,"http:",""),"https:",""),"/","")</f>
        <v/>
      </c>
      <c r="Z948" s="21" t="str">
        <f t="array" ref="Z948">IF('Ingest Template'!A948="Standard",(IF(ISBLANK('Ingest Template'!AA948),"", 'Ingest Template'!AA948&amp;"|DAR")),(IF(ISBLANK('Ingest Template'!AA948),"", 'Ingest Template'!AA948&amp;"|Film Ops")))</f>
        <v/>
      </c>
      <c r="AA948" s="21"/>
      <c r="AB948" s="21" t="str">
        <f>'Ingest Template'!M948</f>
        <v/>
      </c>
      <c r="AC948" s="21" t="str">
        <f>'Ingest Template'!Y948</f>
        <v/>
      </c>
      <c r="AD948" s="21" t="str">
        <f>'Ingest Template'!C948</f>
        <v/>
      </c>
      <c r="AE948" s="21" t="str">
        <f>'Ingest Template'!Z948</f>
        <v/>
      </c>
      <c r="AF948" s="29"/>
      <c r="AG948" s="21" t="str">
        <f t="array" ref="AG948">IF('Ingest Template'!A948="Standard",(CONCATENATE(IF(ISBLANK('Ingest Template'!O948),"", 'Ingest Template'!O948&amp;"|DAR"),CHAR(10), IF(ISBLANK('Ingest Template'!P948),"", 'Ingest Template'!P948&amp;"|DAR"),CHAR(10), IF(ISBLANK('Ingest Template'!Q948),"", 'Ingest Template'!Q948&amp;"|DAR"))),(CONCATENATE(IF(ISBLANK('Ingest Template'!O948),"", 'Ingest Template'!O948&amp;"|Operations - Core Title"),CHAR(10), IF(ISBLANK('Ingest Template'!P948),"", 'Ingest Template'!P948&amp;"|Operations - Core Title"),CHAR(10), IF(ISBLANK('Ingest Template'!Q948),"", 'Ingest Template'!Q948&amp;"|Operations - Core Title"))))</f>
        <v>#|Operations - Core Title
#|Operations - Core Title
</v>
      </c>
      <c r="AH948" s="21"/>
      <c r="AI948" s="21"/>
      <c r="AJ948" s="53" t="str">
        <f>if('Ingest Template'!A948="Standard",'Ingest Template'!N948&amp; "|DAR|DAR|2021-01-01",'Ingest Template'!N948&amp; "|Operations - Core Title|Operations - Core Title")</f>
        <v>#N/A</v>
      </c>
      <c r="AK948" s="53" t="str">
        <f>if('Ingest Template'!A948="Standard",'Ingest Template'!R948&amp; "|2021-01-01",'Ingest Template'!R948)</f>
        <v>#N/A</v>
      </c>
      <c r="AL948" s="21"/>
      <c r="AM948" s="21"/>
    </row>
    <row r="949">
      <c r="A949" s="21"/>
      <c r="B949" s="21" t="str">
        <f>'Ingest Template'!B949&amp;IF('Ingest Template'!A949 = "Standard", " - DAR","")</f>
        <v/>
      </c>
      <c r="C949" s="26" t="s">
        <v>109</v>
      </c>
      <c r="D949" s="29" t="str">
        <f t="array" ref="D949">CONCATENATE(INDEX(DropDown!$H$2:$H$10,MATCH(1,COUNTIF('Ingest Template'!F949,"*"&amp;DropDown!$H$2:$H$10&amp;"*"),0)),CHAR(10),'Ingest Template'!G949)</f>
        <v>#N/A</v>
      </c>
      <c r="E949" s="21" t="str">
        <f>CONCATENATE('Ingest Template'!H949,CHAR(10),'Ingest Template'!I949,CHAR(10),'Ingest Template'!J949)</f>
        <v>
</v>
      </c>
      <c r="F949" s="26" t="str">
        <f>'Ingest Template'!H949</f>
        <v/>
      </c>
      <c r="G949" s="21"/>
      <c r="H949" s="29"/>
      <c r="I949" s="21"/>
      <c r="J949" s="29" t="str">
        <f t="array" ref="J949">iF('Ingest Template'!A949="Standard","Pristine Brand",INDEX(DropDown!$M$2:$M$392,MATCH('Ingest Template'!E949,DropDown!$J$2:$J$392,0)))</f>
        <v>#N/A</v>
      </c>
      <c r="K949" s="21" t="str">
        <f>iF('Ingest Template'!A949="Standard",'Ingest Template'!K949&amp;CHAR(10)&amp;'Ingest Template'!L949,"Competitive View")</f>
        <v>Competitive View</v>
      </c>
      <c r="L949" s="29" t="s">
        <v>146</v>
      </c>
      <c r="M949" s="37" t="str">
        <f>'Ingest Template'!D949</f>
        <v/>
      </c>
      <c r="N949" s="21"/>
      <c r="O949" s="21"/>
      <c r="P949" s="21"/>
      <c r="Q949" s="21"/>
      <c r="R949" s="21" t="str">
        <f>'Ingest Template'!E949</f>
        <v/>
      </c>
      <c r="S949" s="29" t="s">
        <v>153</v>
      </c>
      <c r="T949" s="21" t="str">
        <f>'Ingest Template'!T949</f>
        <v/>
      </c>
      <c r="U949" s="21" t="str">
        <f>'Ingest Template'!S949</f>
        <v/>
      </c>
      <c r="V949" s="21" t="str">
        <f>LOWER(SUBSTITUTE(SUBSTITUTE(SUBSTITUTE(SUBSTITUTE(SUBSTITUTE('Ingest Template'!U949,"https:",""),"www.",""),"/",""),"?hl=en",""),"instagram.com",""))</f>
        <v/>
      </c>
      <c r="W949" s="41" t="str">
        <f t="array" ref="W949">IF('Ingest Template'!V949="",(INDEX(DropDown!$L$2:$L$392,MATCH('Ingest Template'!E949,DropDown!$J$2:$J$392,0))&amp;"|"&amp;'Ingest Template'!B949),(INDEX(DropDown!$L$2:$L$392,MATCH('Ingest Template'!E949,DropDown!$J$2:$J$392,0))&amp;"|"&amp;'Ingest Template'!B949)&amp;CHAR(10)&amp;'Ingest Template'!V949)</f>
        <v>#N/A</v>
      </c>
      <c r="X949" s="41" t="str">
        <f>'Ingest Template'!W949</f>
        <v/>
      </c>
      <c r="Y949" s="21" t="str">
        <f>SUBSTITUTE(SUBSTITUTE(SUBSTITUTE('Ingest Template'!X949,"http:",""),"https:",""),"/","")</f>
        <v/>
      </c>
      <c r="Z949" s="21" t="str">
        <f t="array" ref="Z949">IF('Ingest Template'!A949="Standard",(IF(ISBLANK('Ingest Template'!AA949),"", 'Ingest Template'!AA949&amp;"|DAR")),(IF(ISBLANK('Ingest Template'!AA949),"", 'Ingest Template'!AA949&amp;"|Film Ops")))</f>
        <v/>
      </c>
      <c r="AA949" s="21"/>
      <c r="AB949" s="21" t="str">
        <f>'Ingest Template'!M949</f>
        <v/>
      </c>
      <c r="AC949" s="21" t="str">
        <f>'Ingest Template'!Y949</f>
        <v/>
      </c>
      <c r="AD949" s="21" t="str">
        <f>'Ingest Template'!C949</f>
        <v/>
      </c>
      <c r="AE949" s="21" t="str">
        <f>'Ingest Template'!Z949</f>
        <v/>
      </c>
      <c r="AF949" s="29"/>
      <c r="AG949" s="21" t="str">
        <f t="array" ref="AG949">IF('Ingest Template'!A949="Standard",(CONCATENATE(IF(ISBLANK('Ingest Template'!O949),"", 'Ingest Template'!O949&amp;"|DAR"),CHAR(10), IF(ISBLANK('Ingest Template'!P949),"", 'Ingest Template'!P949&amp;"|DAR"),CHAR(10), IF(ISBLANK('Ingest Template'!Q949),"", 'Ingest Template'!Q949&amp;"|DAR"))),(CONCATENATE(IF(ISBLANK('Ingest Template'!O949),"", 'Ingest Template'!O949&amp;"|Operations - Core Title"),CHAR(10), IF(ISBLANK('Ingest Template'!P949),"", 'Ingest Template'!P949&amp;"|Operations - Core Title"),CHAR(10), IF(ISBLANK('Ingest Template'!Q949),"", 'Ingest Template'!Q949&amp;"|Operations - Core Title"))))</f>
        <v>#|Operations - Core Title
#|Operations - Core Title
</v>
      </c>
      <c r="AH949" s="21"/>
      <c r="AI949" s="21"/>
      <c r="AJ949" s="53" t="str">
        <f>if('Ingest Template'!A949="Standard",'Ingest Template'!N949&amp; "|DAR|DAR|2021-01-01",'Ingest Template'!N949&amp; "|Operations - Core Title|Operations - Core Title")</f>
        <v>#N/A</v>
      </c>
      <c r="AK949" s="53" t="str">
        <f>if('Ingest Template'!A949="Standard",'Ingest Template'!R949&amp; "|2021-01-01",'Ingest Template'!R949)</f>
        <v>#N/A</v>
      </c>
      <c r="AL949" s="21"/>
      <c r="AM949" s="21"/>
    </row>
    <row r="950">
      <c r="A950" s="21"/>
      <c r="B950" s="21" t="str">
        <f>'Ingest Template'!B950&amp;IF('Ingest Template'!A950 = "Standard", " - DAR","")</f>
        <v/>
      </c>
      <c r="C950" s="26" t="s">
        <v>109</v>
      </c>
      <c r="D950" s="29" t="str">
        <f t="array" ref="D950">CONCATENATE(INDEX(DropDown!$H$2:$H$10,MATCH(1,COUNTIF('Ingest Template'!F950,"*"&amp;DropDown!$H$2:$H$10&amp;"*"),0)),CHAR(10),'Ingest Template'!G950)</f>
        <v>#N/A</v>
      </c>
      <c r="E950" s="21" t="str">
        <f>CONCATENATE('Ingest Template'!H950,CHAR(10),'Ingest Template'!I950,CHAR(10),'Ingest Template'!J950)</f>
        <v>
</v>
      </c>
      <c r="F950" s="26" t="str">
        <f>'Ingest Template'!H950</f>
        <v/>
      </c>
      <c r="G950" s="21"/>
      <c r="H950" s="29"/>
      <c r="I950" s="21"/>
      <c r="J950" s="29" t="str">
        <f t="array" ref="J950">iF('Ingest Template'!A950="Standard","Pristine Brand",INDEX(DropDown!$M$2:$M$392,MATCH('Ingest Template'!E950,DropDown!$J$2:$J$392,0)))</f>
        <v>#N/A</v>
      </c>
      <c r="K950" s="21" t="str">
        <f>iF('Ingest Template'!A950="Standard",'Ingest Template'!K950&amp;CHAR(10)&amp;'Ingest Template'!L950,"Competitive View")</f>
        <v>Competitive View</v>
      </c>
      <c r="L950" s="29" t="s">
        <v>146</v>
      </c>
      <c r="M950" s="37" t="str">
        <f>'Ingest Template'!D950</f>
        <v/>
      </c>
      <c r="N950" s="21"/>
      <c r="O950" s="21"/>
      <c r="P950" s="21"/>
      <c r="Q950" s="21"/>
      <c r="R950" s="21" t="str">
        <f>'Ingest Template'!E950</f>
        <v/>
      </c>
      <c r="S950" s="29" t="s">
        <v>153</v>
      </c>
      <c r="T950" s="21" t="str">
        <f>'Ingest Template'!T950</f>
        <v/>
      </c>
      <c r="U950" s="21" t="str">
        <f>'Ingest Template'!S950</f>
        <v/>
      </c>
      <c r="V950" s="21" t="str">
        <f>LOWER(SUBSTITUTE(SUBSTITUTE(SUBSTITUTE(SUBSTITUTE(SUBSTITUTE('Ingest Template'!U950,"https:",""),"www.",""),"/",""),"?hl=en",""),"instagram.com",""))</f>
        <v/>
      </c>
      <c r="W950" s="41" t="str">
        <f t="array" ref="W950">IF('Ingest Template'!V950="",(INDEX(DropDown!$L$2:$L$392,MATCH('Ingest Template'!E950,DropDown!$J$2:$J$392,0))&amp;"|"&amp;'Ingest Template'!B950),(INDEX(DropDown!$L$2:$L$392,MATCH('Ingest Template'!E950,DropDown!$J$2:$J$392,0))&amp;"|"&amp;'Ingest Template'!B950)&amp;CHAR(10)&amp;'Ingest Template'!V950)</f>
        <v>#N/A</v>
      </c>
      <c r="X950" s="41" t="str">
        <f>'Ingest Template'!W950</f>
        <v/>
      </c>
      <c r="Y950" s="21" t="str">
        <f>SUBSTITUTE(SUBSTITUTE(SUBSTITUTE('Ingest Template'!X950,"http:",""),"https:",""),"/","")</f>
        <v/>
      </c>
      <c r="Z950" s="21" t="str">
        <f t="array" ref="Z950">IF('Ingest Template'!A950="Standard",(IF(ISBLANK('Ingest Template'!AA950),"", 'Ingest Template'!AA950&amp;"|DAR")),(IF(ISBLANK('Ingest Template'!AA950),"", 'Ingest Template'!AA950&amp;"|Film Ops")))</f>
        <v/>
      </c>
      <c r="AA950" s="21"/>
      <c r="AB950" s="21" t="str">
        <f>'Ingest Template'!M950</f>
        <v/>
      </c>
      <c r="AC950" s="21" t="str">
        <f>'Ingest Template'!Y950</f>
        <v/>
      </c>
      <c r="AD950" s="21" t="str">
        <f>'Ingest Template'!C950</f>
        <v/>
      </c>
      <c r="AE950" s="21" t="str">
        <f>'Ingest Template'!Z950</f>
        <v/>
      </c>
      <c r="AF950" s="29"/>
      <c r="AG950" s="21" t="str">
        <f t="array" ref="AG950">IF('Ingest Template'!A950="Standard",(CONCATENATE(IF(ISBLANK('Ingest Template'!O950),"", 'Ingest Template'!O950&amp;"|DAR"),CHAR(10), IF(ISBLANK('Ingest Template'!P950),"", 'Ingest Template'!P950&amp;"|DAR"),CHAR(10), IF(ISBLANK('Ingest Template'!Q950),"", 'Ingest Template'!Q950&amp;"|DAR"))),(CONCATENATE(IF(ISBLANK('Ingest Template'!O950),"", 'Ingest Template'!O950&amp;"|Operations - Core Title"),CHAR(10), IF(ISBLANK('Ingest Template'!P950),"", 'Ingest Template'!P950&amp;"|Operations - Core Title"),CHAR(10), IF(ISBLANK('Ingest Template'!Q950),"", 'Ingest Template'!Q950&amp;"|Operations - Core Title"))))</f>
        <v>#|Operations - Core Title
#|Operations - Core Title
</v>
      </c>
      <c r="AH950" s="21"/>
      <c r="AI950" s="21"/>
      <c r="AJ950" s="53" t="str">
        <f>if('Ingest Template'!A950="Standard",'Ingest Template'!N950&amp; "|DAR|DAR|2021-01-01",'Ingest Template'!N950&amp; "|Operations - Core Title|Operations - Core Title")</f>
        <v>#N/A</v>
      </c>
      <c r="AK950" s="53" t="str">
        <f>if('Ingest Template'!A950="Standard",'Ingest Template'!R950&amp; "|2021-01-01",'Ingest Template'!R950)</f>
        <v>#N/A</v>
      </c>
      <c r="AL950" s="21"/>
      <c r="AM950" s="21"/>
    </row>
    <row r="951">
      <c r="A951" s="21"/>
      <c r="B951" s="21" t="str">
        <f>'Ingest Template'!B951&amp;IF('Ingest Template'!A951 = "Standard", " - DAR","")</f>
        <v/>
      </c>
      <c r="C951" s="26" t="s">
        <v>109</v>
      </c>
      <c r="D951" s="29" t="str">
        <f t="array" ref="D951">CONCATENATE(INDEX(DropDown!$H$2:$H$10,MATCH(1,COUNTIF('Ingest Template'!F951,"*"&amp;DropDown!$H$2:$H$10&amp;"*"),0)),CHAR(10),'Ingest Template'!G951)</f>
        <v>#N/A</v>
      </c>
      <c r="E951" s="21" t="str">
        <f>CONCATENATE('Ingest Template'!H951,CHAR(10),'Ingest Template'!I951,CHAR(10),'Ingest Template'!J951)</f>
        <v>
</v>
      </c>
      <c r="F951" s="26" t="str">
        <f>'Ingest Template'!H951</f>
        <v/>
      </c>
      <c r="G951" s="21"/>
      <c r="H951" s="29"/>
      <c r="I951" s="21"/>
      <c r="J951" s="29" t="str">
        <f t="array" ref="J951">iF('Ingest Template'!A951="Standard","Pristine Brand",INDEX(DropDown!$M$2:$M$392,MATCH('Ingest Template'!E951,DropDown!$J$2:$J$392,0)))</f>
        <v>#N/A</v>
      </c>
      <c r="K951" s="21" t="str">
        <f>iF('Ingest Template'!A951="Standard",'Ingest Template'!K951&amp;CHAR(10)&amp;'Ingest Template'!L951,"Competitive View")</f>
        <v>Competitive View</v>
      </c>
      <c r="L951" s="29" t="s">
        <v>146</v>
      </c>
      <c r="M951" s="37" t="str">
        <f>'Ingest Template'!D951</f>
        <v/>
      </c>
      <c r="N951" s="21"/>
      <c r="O951" s="21"/>
      <c r="P951" s="21"/>
      <c r="Q951" s="21"/>
      <c r="R951" s="21" t="str">
        <f>'Ingest Template'!E951</f>
        <v/>
      </c>
      <c r="S951" s="29" t="s">
        <v>153</v>
      </c>
      <c r="T951" s="21" t="str">
        <f>'Ingest Template'!T951</f>
        <v/>
      </c>
      <c r="U951" s="21" t="str">
        <f>'Ingest Template'!S951</f>
        <v/>
      </c>
      <c r="V951" s="21" t="str">
        <f>LOWER(SUBSTITUTE(SUBSTITUTE(SUBSTITUTE(SUBSTITUTE(SUBSTITUTE('Ingest Template'!U951,"https:",""),"www.",""),"/",""),"?hl=en",""),"instagram.com",""))</f>
        <v/>
      </c>
      <c r="W951" s="41" t="str">
        <f t="array" ref="W951">IF('Ingest Template'!V951="",(INDEX(DropDown!$L$2:$L$392,MATCH('Ingest Template'!E951,DropDown!$J$2:$J$392,0))&amp;"|"&amp;'Ingest Template'!B951),(INDEX(DropDown!$L$2:$L$392,MATCH('Ingest Template'!E951,DropDown!$J$2:$J$392,0))&amp;"|"&amp;'Ingest Template'!B951)&amp;CHAR(10)&amp;'Ingest Template'!V951)</f>
        <v>#N/A</v>
      </c>
      <c r="X951" s="41" t="str">
        <f>'Ingest Template'!W951</f>
        <v/>
      </c>
      <c r="Y951" s="21" t="str">
        <f>SUBSTITUTE(SUBSTITUTE(SUBSTITUTE('Ingest Template'!X951,"http:",""),"https:",""),"/","")</f>
        <v/>
      </c>
      <c r="Z951" s="21" t="str">
        <f t="array" ref="Z951">IF('Ingest Template'!A951="Standard",(IF(ISBLANK('Ingest Template'!AA951),"", 'Ingest Template'!AA951&amp;"|DAR")),(IF(ISBLANK('Ingest Template'!AA951),"", 'Ingest Template'!AA951&amp;"|Film Ops")))</f>
        <v/>
      </c>
      <c r="AA951" s="21"/>
      <c r="AB951" s="21" t="str">
        <f>'Ingest Template'!M951</f>
        <v/>
      </c>
      <c r="AC951" s="21" t="str">
        <f>'Ingest Template'!Y951</f>
        <v/>
      </c>
      <c r="AD951" s="21" t="str">
        <f>'Ingest Template'!C951</f>
        <v/>
      </c>
      <c r="AE951" s="21" t="str">
        <f>'Ingest Template'!Z951</f>
        <v/>
      </c>
      <c r="AF951" s="29"/>
      <c r="AG951" s="21" t="str">
        <f t="array" ref="AG951">IF('Ingest Template'!A951="Standard",(CONCATENATE(IF(ISBLANK('Ingest Template'!O951),"", 'Ingest Template'!O951&amp;"|DAR"),CHAR(10), IF(ISBLANK('Ingest Template'!P951),"", 'Ingest Template'!P951&amp;"|DAR"),CHAR(10), IF(ISBLANK('Ingest Template'!Q951),"", 'Ingest Template'!Q951&amp;"|DAR"))),(CONCATENATE(IF(ISBLANK('Ingest Template'!O951),"", 'Ingest Template'!O951&amp;"|Operations - Core Title"),CHAR(10), IF(ISBLANK('Ingest Template'!P951),"", 'Ingest Template'!P951&amp;"|Operations - Core Title"),CHAR(10), IF(ISBLANK('Ingest Template'!Q951),"", 'Ingest Template'!Q951&amp;"|Operations - Core Title"))))</f>
        <v>#|Operations - Core Title
#|Operations - Core Title
</v>
      </c>
      <c r="AH951" s="21"/>
      <c r="AI951" s="21"/>
      <c r="AJ951" s="53" t="str">
        <f>if('Ingest Template'!A951="Standard",'Ingest Template'!N951&amp; "|DAR|DAR|2021-01-01",'Ingest Template'!N951&amp; "|Operations - Core Title|Operations - Core Title")</f>
        <v>#N/A</v>
      </c>
      <c r="AK951" s="53" t="str">
        <f>if('Ingest Template'!A951="Standard",'Ingest Template'!R951&amp; "|2021-01-01",'Ingest Template'!R951)</f>
        <v>#N/A</v>
      </c>
      <c r="AL951" s="21"/>
      <c r="AM951" s="21"/>
    </row>
    <row r="952">
      <c r="A952" s="21"/>
      <c r="B952" s="21" t="str">
        <f>'Ingest Template'!B952&amp;IF('Ingest Template'!A952 = "Standard", " - DAR","")</f>
        <v/>
      </c>
      <c r="C952" s="26" t="s">
        <v>109</v>
      </c>
      <c r="D952" s="29" t="str">
        <f t="array" ref="D952">CONCATENATE(INDEX(DropDown!$H$2:$H$10,MATCH(1,COUNTIF('Ingest Template'!F952,"*"&amp;DropDown!$H$2:$H$10&amp;"*"),0)),CHAR(10),'Ingest Template'!G952)</f>
        <v>#N/A</v>
      </c>
      <c r="E952" s="21" t="str">
        <f>CONCATENATE('Ingest Template'!H952,CHAR(10),'Ingest Template'!I952,CHAR(10),'Ingest Template'!J952)</f>
        <v>
</v>
      </c>
      <c r="F952" s="26" t="str">
        <f>'Ingest Template'!H952</f>
        <v/>
      </c>
      <c r="G952" s="21"/>
      <c r="H952" s="29"/>
      <c r="I952" s="21"/>
      <c r="J952" s="29" t="str">
        <f t="array" ref="J952">iF('Ingest Template'!A952="Standard","Pristine Brand",INDEX(DropDown!$M$2:$M$392,MATCH('Ingest Template'!E952,DropDown!$J$2:$J$392,0)))</f>
        <v>#N/A</v>
      </c>
      <c r="K952" s="21" t="str">
        <f>iF('Ingest Template'!A952="Standard",'Ingest Template'!K952&amp;CHAR(10)&amp;'Ingest Template'!L952,"Competitive View")</f>
        <v>Competitive View</v>
      </c>
      <c r="L952" s="29" t="s">
        <v>146</v>
      </c>
      <c r="M952" s="37" t="str">
        <f>'Ingest Template'!D952</f>
        <v/>
      </c>
      <c r="N952" s="21"/>
      <c r="O952" s="21"/>
      <c r="P952" s="21"/>
      <c r="Q952" s="21"/>
      <c r="R952" s="21" t="str">
        <f>'Ingest Template'!E952</f>
        <v/>
      </c>
      <c r="S952" s="29" t="s">
        <v>153</v>
      </c>
      <c r="T952" s="21" t="str">
        <f>'Ingest Template'!T952</f>
        <v/>
      </c>
      <c r="U952" s="21" t="str">
        <f>'Ingest Template'!S952</f>
        <v/>
      </c>
      <c r="V952" s="21" t="str">
        <f>LOWER(SUBSTITUTE(SUBSTITUTE(SUBSTITUTE(SUBSTITUTE(SUBSTITUTE('Ingest Template'!U952,"https:",""),"www.",""),"/",""),"?hl=en",""),"instagram.com",""))</f>
        <v/>
      </c>
      <c r="W952" s="41" t="str">
        <f t="array" ref="W952">IF('Ingest Template'!V952="",(INDEX(DropDown!$L$2:$L$392,MATCH('Ingest Template'!E952,DropDown!$J$2:$J$392,0))&amp;"|"&amp;'Ingest Template'!B952),(INDEX(DropDown!$L$2:$L$392,MATCH('Ingest Template'!E952,DropDown!$J$2:$J$392,0))&amp;"|"&amp;'Ingest Template'!B952)&amp;CHAR(10)&amp;'Ingest Template'!V952)</f>
        <v>#N/A</v>
      </c>
      <c r="X952" s="41" t="str">
        <f>'Ingest Template'!W952</f>
        <v/>
      </c>
      <c r="Y952" s="21" t="str">
        <f>SUBSTITUTE(SUBSTITUTE(SUBSTITUTE('Ingest Template'!X952,"http:",""),"https:",""),"/","")</f>
        <v/>
      </c>
      <c r="Z952" s="21" t="str">
        <f t="array" ref="Z952">IF('Ingest Template'!A952="Standard",(IF(ISBLANK('Ingest Template'!AA952),"", 'Ingest Template'!AA952&amp;"|DAR")),(IF(ISBLANK('Ingest Template'!AA952),"", 'Ingest Template'!AA952&amp;"|Film Ops")))</f>
        <v/>
      </c>
      <c r="AA952" s="21"/>
      <c r="AB952" s="21" t="str">
        <f>'Ingest Template'!M952</f>
        <v/>
      </c>
      <c r="AC952" s="21" t="str">
        <f>'Ingest Template'!Y952</f>
        <v/>
      </c>
      <c r="AD952" s="21" t="str">
        <f>'Ingest Template'!C952</f>
        <v/>
      </c>
      <c r="AE952" s="21" t="str">
        <f>'Ingest Template'!Z952</f>
        <v/>
      </c>
      <c r="AF952" s="29"/>
      <c r="AG952" s="21" t="str">
        <f t="array" ref="AG952">IF('Ingest Template'!A952="Standard",(CONCATENATE(IF(ISBLANK('Ingest Template'!O952),"", 'Ingest Template'!O952&amp;"|DAR"),CHAR(10), IF(ISBLANK('Ingest Template'!P952),"", 'Ingest Template'!P952&amp;"|DAR"),CHAR(10), IF(ISBLANK('Ingest Template'!Q952),"", 'Ingest Template'!Q952&amp;"|DAR"))),(CONCATENATE(IF(ISBLANK('Ingest Template'!O952),"", 'Ingest Template'!O952&amp;"|Operations - Core Title"),CHAR(10), IF(ISBLANK('Ingest Template'!P952),"", 'Ingest Template'!P952&amp;"|Operations - Core Title"),CHAR(10), IF(ISBLANK('Ingest Template'!Q952),"", 'Ingest Template'!Q952&amp;"|Operations - Core Title"))))</f>
        <v>#|Operations - Core Title
#|Operations - Core Title
</v>
      </c>
      <c r="AH952" s="21"/>
      <c r="AI952" s="21"/>
      <c r="AJ952" s="53" t="str">
        <f>if('Ingest Template'!A952="Standard",'Ingest Template'!N952&amp; "|DAR|DAR|2021-01-01",'Ingest Template'!N952&amp; "|Operations - Core Title|Operations - Core Title")</f>
        <v>#N/A</v>
      </c>
      <c r="AK952" s="53" t="str">
        <f>if('Ingest Template'!A952="Standard",'Ingest Template'!R952&amp; "|2021-01-01",'Ingest Template'!R952)</f>
        <v>#N/A</v>
      </c>
      <c r="AL952" s="21"/>
      <c r="AM952" s="21"/>
    </row>
    <row r="953">
      <c r="A953" s="21"/>
      <c r="B953" s="21" t="str">
        <f>'Ingest Template'!B953&amp;IF('Ingest Template'!A953 = "Standard", " - DAR","")</f>
        <v/>
      </c>
      <c r="C953" s="26" t="s">
        <v>109</v>
      </c>
      <c r="D953" s="29" t="str">
        <f t="array" ref="D953">CONCATENATE(INDEX(DropDown!$H$2:$H$10,MATCH(1,COUNTIF('Ingest Template'!F953,"*"&amp;DropDown!$H$2:$H$10&amp;"*"),0)),CHAR(10),'Ingest Template'!G953)</f>
        <v>#N/A</v>
      </c>
      <c r="E953" s="21" t="str">
        <f>CONCATENATE('Ingest Template'!H953,CHAR(10),'Ingest Template'!I953,CHAR(10),'Ingest Template'!J953)</f>
        <v>
</v>
      </c>
      <c r="F953" s="26" t="str">
        <f>'Ingest Template'!H953</f>
        <v/>
      </c>
      <c r="G953" s="21"/>
      <c r="H953" s="29"/>
      <c r="I953" s="21"/>
      <c r="J953" s="29" t="str">
        <f t="array" ref="J953">iF('Ingest Template'!A953="Standard","Pristine Brand",INDEX(DropDown!$M$2:$M$392,MATCH('Ingest Template'!E953,DropDown!$J$2:$J$392,0)))</f>
        <v>#N/A</v>
      </c>
      <c r="K953" s="21" t="str">
        <f>iF('Ingest Template'!A953="Standard",'Ingest Template'!K953&amp;CHAR(10)&amp;'Ingest Template'!L953,"Competitive View")</f>
        <v>Competitive View</v>
      </c>
      <c r="L953" s="29" t="s">
        <v>146</v>
      </c>
      <c r="M953" s="37" t="str">
        <f>'Ingest Template'!D953</f>
        <v/>
      </c>
      <c r="N953" s="21"/>
      <c r="O953" s="21"/>
      <c r="P953" s="21"/>
      <c r="Q953" s="21"/>
      <c r="R953" s="21" t="str">
        <f>'Ingest Template'!E953</f>
        <v/>
      </c>
      <c r="S953" s="29" t="s">
        <v>153</v>
      </c>
      <c r="T953" s="21" t="str">
        <f>'Ingest Template'!T953</f>
        <v/>
      </c>
      <c r="U953" s="21" t="str">
        <f>'Ingest Template'!S953</f>
        <v/>
      </c>
      <c r="V953" s="21" t="str">
        <f>LOWER(SUBSTITUTE(SUBSTITUTE(SUBSTITUTE(SUBSTITUTE(SUBSTITUTE('Ingest Template'!U953,"https:",""),"www.",""),"/",""),"?hl=en",""),"instagram.com",""))</f>
        <v/>
      </c>
      <c r="W953" s="41" t="str">
        <f t="array" ref="W953">IF('Ingest Template'!V953="",(INDEX(DropDown!$L$2:$L$392,MATCH('Ingest Template'!E953,DropDown!$J$2:$J$392,0))&amp;"|"&amp;'Ingest Template'!B953),(INDEX(DropDown!$L$2:$L$392,MATCH('Ingest Template'!E953,DropDown!$J$2:$J$392,0))&amp;"|"&amp;'Ingest Template'!B953)&amp;CHAR(10)&amp;'Ingest Template'!V953)</f>
        <v>#N/A</v>
      </c>
      <c r="X953" s="41" t="str">
        <f>'Ingest Template'!W953</f>
        <v/>
      </c>
      <c r="Y953" s="21" t="str">
        <f>SUBSTITUTE(SUBSTITUTE(SUBSTITUTE('Ingest Template'!X953,"http:",""),"https:",""),"/","")</f>
        <v/>
      </c>
      <c r="Z953" s="21" t="str">
        <f t="array" ref="Z953">IF('Ingest Template'!A953="Standard",(IF(ISBLANK('Ingest Template'!AA953),"", 'Ingest Template'!AA953&amp;"|DAR")),(IF(ISBLANK('Ingest Template'!AA953),"", 'Ingest Template'!AA953&amp;"|Film Ops")))</f>
        <v/>
      </c>
      <c r="AA953" s="21"/>
      <c r="AB953" s="21" t="str">
        <f>'Ingest Template'!M953</f>
        <v/>
      </c>
      <c r="AC953" s="21" t="str">
        <f>'Ingest Template'!Y953</f>
        <v/>
      </c>
      <c r="AD953" s="21" t="str">
        <f>'Ingest Template'!C953</f>
        <v/>
      </c>
      <c r="AE953" s="21" t="str">
        <f>'Ingest Template'!Z953</f>
        <v/>
      </c>
      <c r="AF953" s="29"/>
      <c r="AG953" s="21" t="str">
        <f t="array" ref="AG953">IF('Ingest Template'!A953="Standard",(CONCATENATE(IF(ISBLANK('Ingest Template'!O953),"", 'Ingest Template'!O953&amp;"|DAR"),CHAR(10), IF(ISBLANK('Ingest Template'!P953),"", 'Ingest Template'!P953&amp;"|DAR"),CHAR(10), IF(ISBLANK('Ingest Template'!Q953),"", 'Ingest Template'!Q953&amp;"|DAR"))),(CONCATENATE(IF(ISBLANK('Ingest Template'!O953),"", 'Ingest Template'!O953&amp;"|Operations - Core Title"),CHAR(10), IF(ISBLANK('Ingest Template'!P953),"", 'Ingest Template'!P953&amp;"|Operations - Core Title"),CHAR(10), IF(ISBLANK('Ingest Template'!Q953),"", 'Ingest Template'!Q953&amp;"|Operations - Core Title"))))</f>
        <v>#|Operations - Core Title
#|Operations - Core Title
</v>
      </c>
      <c r="AH953" s="21"/>
      <c r="AI953" s="21"/>
      <c r="AJ953" s="53" t="str">
        <f>if('Ingest Template'!A953="Standard",'Ingest Template'!N953&amp; "|DAR|DAR|2021-01-01",'Ingest Template'!N953&amp; "|Operations - Core Title|Operations - Core Title")</f>
        <v>#N/A</v>
      </c>
      <c r="AK953" s="53" t="str">
        <f>if('Ingest Template'!A953="Standard",'Ingest Template'!R953&amp; "|2021-01-01",'Ingest Template'!R953)</f>
        <v>#N/A</v>
      </c>
      <c r="AL953" s="21"/>
      <c r="AM953" s="21"/>
    </row>
    <row r="954">
      <c r="A954" s="21"/>
      <c r="B954" s="21" t="str">
        <f>'Ingest Template'!B954&amp;IF('Ingest Template'!A954 = "Standard", " - DAR","")</f>
        <v/>
      </c>
      <c r="C954" s="26" t="s">
        <v>109</v>
      </c>
      <c r="D954" s="29" t="str">
        <f t="array" ref="D954">CONCATENATE(INDEX(DropDown!$H$2:$H$10,MATCH(1,COUNTIF('Ingest Template'!F954,"*"&amp;DropDown!$H$2:$H$10&amp;"*"),0)),CHAR(10),'Ingest Template'!G954)</f>
        <v>#N/A</v>
      </c>
      <c r="E954" s="21" t="str">
        <f>CONCATENATE('Ingest Template'!H954,CHAR(10),'Ingest Template'!I954,CHAR(10),'Ingest Template'!J954)</f>
        <v>
</v>
      </c>
      <c r="F954" s="26" t="str">
        <f>'Ingest Template'!H954</f>
        <v/>
      </c>
      <c r="G954" s="21"/>
      <c r="H954" s="29"/>
      <c r="I954" s="21"/>
      <c r="J954" s="29" t="str">
        <f t="array" ref="J954">iF('Ingest Template'!A954="Standard","Pristine Brand",INDEX(DropDown!$M$2:$M$392,MATCH('Ingest Template'!E954,DropDown!$J$2:$J$392,0)))</f>
        <v>#N/A</v>
      </c>
      <c r="K954" s="21" t="str">
        <f>iF('Ingest Template'!A954="Standard",'Ingest Template'!K954&amp;CHAR(10)&amp;'Ingest Template'!L954,"Competitive View")</f>
        <v>Competitive View</v>
      </c>
      <c r="L954" s="29" t="s">
        <v>146</v>
      </c>
      <c r="M954" s="37" t="str">
        <f>'Ingest Template'!D954</f>
        <v/>
      </c>
      <c r="N954" s="21"/>
      <c r="O954" s="21"/>
      <c r="P954" s="21"/>
      <c r="Q954" s="21"/>
      <c r="R954" s="21" t="str">
        <f>'Ingest Template'!E954</f>
        <v/>
      </c>
      <c r="S954" s="29" t="s">
        <v>153</v>
      </c>
      <c r="T954" s="21" t="str">
        <f>'Ingest Template'!T954</f>
        <v/>
      </c>
      <c r="U954" s="21" t="str">
        <f>'Ingest Template'!S954</f>
        <v/>
      </c>
      <c r="V954" s="21" t="str">
        <f>LOWER(SUBSTITUTE(SUBSTITUTE(SUBSTITUTE(SUBSTITUTE(SUBSTITUTE('Ingest Template'!U954,"https:",""),"www.",""),"/",""),"?hl=en",""),"instagram.com",""))</f>
        <v/>
      </c>
      <c r="W954" s="41" t="str">
        <f t="array" ref="W954">IF('Ingest Template'!V954="",(INDEX(DropDown!$L$2:$L$392,MATCH('Ingest Template'!E954,DropDown!$J$2:$J$392,0))&amp;"|"&amp;'Ingest Template'!B954),(INDEX(DropDown!$L$2:$L$392,MATCH('Ingest Template'!E954,DropDown!$J$2:$J$392,0))&amp;"|"&amp;'Ingest Template'!B954)&amp;CHAR(10)&amp;'Ingest Template'!V954)</f>
        <v>#N/A</v>
      </c>
      <c r="X954" s="41" t="str">
        <f>'Ingest Template'!W954</f>
        <v/>
      </c>
      <c r="Y954" s="21" t="str">
        <f>SUBSTITUTE(SUBSTITUTE(SUBSTITUTE('Ingest Template'!X954,"http:",""),"https:",""),"/","")</f>
        <v/>
      </c>
      <c r="Z954" s="21" t="str">
        <f t="array" ref="Z954">IF('Ingest Template'!A954="Standard",(IF(ISBLANK('Ingest Template'!AA954),"", 'Ingest Template'!AA954&amp;"|DAR")),(IF(ISBLANK('Ingest Template'!AA954),"", 'Ingest Template'!AA954&amp;"|Film Ops")))</f>
        <v/>
      </c>
      <c r="AA954" s="21"/>
      <c r="AB954" s="21" t="str">
        <f>'Ingest Template'!M954</f>
        <v/>
      </c>
      <c r="AC954" s="21" t="str">
        <f>'Ingest Template'!Y954</f>
        <v/>
      </c>
      <c r="AD954" s="21" t="str">
        <f>'Ingest Template'!C954</f>
        <v/>
      </c>
      <c r="AE954" s="21" t="str">
        <f>'Ingest Template'!Z954</f>
        <v/>
      </c>
      <c r="AF954" s="29"/>
      <c r="AG954" s="21" t="str">
        <f t="array" ref="AG954">IF('Ingest Template'!A954="Standard",(CONCATENATE(IF(ISBLANK('Ingest Template'!O954),"", 'Ingest Template'!O954&amp;"|DAR"),CHAR(10), IF(ISBLANK('Ingest Template'!P954),"", 'Ingest Template'!P954&amp;"|DAR"),CHAR(10), IF(ISBLANK('Ingest Template'!Q954),"", 'Ingest Template'!Q954&amp;"|DAR"))),(CONCATENATE(IF(ISBLANK('Ingest Template'!O954),"", 'Ingest Template'!O954&amp;"|Operations - Core Title"),CHAR(10), IF(ISBLANK('Ingest Template'!P954),"", 'Ingest Template'!P954&amp;"|Operations - Core Title"),CHAR(10), IF(ISBLANK('Ingest Template'!Q954),"", 'Ingest Template'!Q954&amp;"|Operations - Core Title"))))</f>
        <v>#|Operations - Core Title
#|Operations - Core Title
</v>
      </c>
      <c r="AH954" s="21"/>
      <c r="AI954" s="21"/>
      <c r="AJ954" s="53" t="str">
        <f>if('Ingest Template'!A954="Standard",'Ingest Template'!N954&amp; "|DAR|DAR|2021-01-01",'Ingest Template'!N954&amp; "|Operations - Core Title|Operations - Core Title")</f>
        <v>#N/A</v>
      </c>
      <c r="AK954" s="53" t="str">
        <f>if('Ingest Template'!A954="Standard",'Ingest Template'!R954&amp; "|2021-01-01",'Ingest Template'!R954)</f>
        <v>#N/A</v>
      </c>
      <c r="AL954" s="21"/>
      <c r="AM954" s="21"/>
    </row>
    <row r="955">
      <c r="A955" s="21"/>
      <c r="B955" s="21" t="str">
        <f>'Ingest Template'!B955&amp;IF('Ingest Template'!A955 = "Standard", " - DAR","")</f>
        <v/>
      </c>
      <c r="C955" s="26" t="s">
        <v>109</v>
      </c>
      <c r="D955" s="29" t="str">
        <f t="array" ref="D955">CONCATENATE(INDEX(DropDown!$H$2:$H$10,MATCH(1,COUNTIF('Ingest Template'!F955,"*"&amp;DropDown!$H$2:$H$10&amp;"*"),0)),CHAR(10),'Ingest Template'!G955)</f>
        <v>#N/A</v>
      </c>
      <c r="E955" s="21" t="str">
        <f>CONCATENATE('Ingest Template'!H955,CHAR(10),'Ingest Template'!I955,CHAR(10),'Ingest Template'!J955)</f>
        <v>
</v>
      </c>
      <c r="F955" s="26" t="str">
        <f>'Ingest Template'!H955</f>
        <v/>
      </c>
      <c r="G955" s="21"/>
      <c r="H955" s="29"/>
      <c r="I955" s="21"/>
      <c r="J955" s="29" t="str">
        <f t="array" ref="J955">iF('Ingest Template'!A955="Standard","Pristine Brand",INDEX(DropDown!$M$2:$M$392,MATCH('Ingest Template'!E955,DropDown!$J$2:$J$392,0)))</f>
        <v>#N/A</v>
      </c>
      <c r="K955" s="21" t="str">
        <f>iF('Ingest Template'!A955="Standard",'Ingest Template'!K955&amp;CHAR(10)&amp;'Ingest Template'!L955,"Competitive View")</f>
        <v>Competitive View</v>
      </c>
      <c r="L955" s="29" t="s">
        <v>146</v>
      </c>
      <c r="M955" s="37" t="str">
        <f>'Ingest Template'!D955</f>
        <v/>
      </c>
      <c r="N955" s="21"/>
      <c r="O955" s="21"/>
      <c r="P955" s="21"/>
      <c r="Q955" s="21"/>
      <c r="R955" s="21" t="str">
        <f>'Ingest Template'!E955</f>
        <v/>
      </c>
      <c r="S955" s="29" t="s">
        <v>153</v>
      </c>
      <c r="T955" s="21" t="str">
        <f>'Ingest Template'!T955</f>
        <v/>
      </c>
      <c r="U955" s="21" t="str">
        <f>'Ingest Template'!S955</f>
        <v/>
      </c>
      <c r="V955" s="21" t="str">
        <f>LOWER(SUBSTITUTE(SUBSTITUTE(SUBSTITUTE(SUBSTITUTE(SUBSTITUTE('Ingest Template'!U955,"https:",""),"www.",""),"/",""),"?hl=en",""),"instagram.com",""))</f>
        <v/>
      </c>
      <c r="W955" s="41" t="str">
        <f t="array" ref="W955">IF('Ingest Template'!V955="",(INDEX(DropDown!$L$2:$L$392,MATCH('Ingest Template'!E955,DropDown!$J$2:$J$392,0))&amp;"|"&amp;'Ingest Template'!B955),(INDEX(DropDown!$L$2:$L$392,MATCH('Ingest Template'!E955,DropDown!$J$2:$J$392,0))&amp;"|"&amp;'Ingest Template'!B955)&amp;CHAR(10)&amp;'Ingest Template'!V955)</f>
        <v>#N/A</v>
      </c>
      <c r="X955" s="41" t="str">
        <f>'Ingest Template'!W955</f>
        <v/>
      </c>
      <c r="Y955" s="21" t="str">
        <f>SUBSTITUTE(SUBSTITUTE(SUBSTITUTE('Ingest Template'!X955,"http:",""),"https:",""),"/","")</f>
        <v/>
      </c>
      <c r="Z955" s="21" t="str">
        <f t="array" ref="Z955">IF('Ingest Template'!A955="Standard",(IF(ISBLANK('Ingest Template'!AA955),"", 'Ingest Template'!AA955&amp;"|DAR")),(IF(ISBLANK('Ingest Template'!AA955),"", 'Ingest Template'!AA955&amp;"|Film Ops")))</f>
        <v/>
      </c>
      <c r="AA955" s="21"/>
      <c r="AB955" s="21" t="str">
        <f>'Ingest Template'!M955</f>
        <v/>
      </c>
      <c r="AC955" s="21" t="str">
        <f>'Ingest Template'!Y955</f>
        <v/>
      </c>
      <c r="AD955" s="21" t="str">
        <f>'Ingest Template'!C955</f>
        <v/>
      </c>
      <c r="AE955" s="21" t="str">
        <f>'Ingest Template'!Z955</f>
        <v/>
      </c>
      <c r="AF955" s="29"/>
      <c r="AG955" s="21" t="str">
        <f t="array" ref="AG955">IF('Ingest Template'!A955="Standard",(CONCATENATE(IF(ISBLANK('Ingest Template'!O955),"", 'Ingest Template'!O955&amp;"|DAR"),CHAR(10), IF(ISBLANK('Ingest Template'!P955),"", 'Ingest Template'!P955&amp;"|DAR"),CHAR(10), IF(ISBLANK('Ingest Template'!Q955),"", 'Ingest Template'!Q955&amp;"|DAR"))),(CONCATENATE(IF(ISBLANK('Ingest Template'!O955),"", 'Ingest Template'!O955&amp;"|Operations - Core Title"),CHAR(10), IF(ISBLANK('Ingest Template'!P955),"", 'Ingest Template'!P955&amp;"|Operations - Core Title"),CHAR(10), IF(ISBLANK('Ingest Template'!Q955),"", 'Ingest Template'!Q955&amp;"|Operations - Core Title"))))</f>
        <v>#|Operations - Core Title
#|Operations - Core Title
</v>
      </c>
      <c r="AH955" s="21"/>
      <c r="AI955" s="21"/>
      <c r="AJ955" s="53" t="str">
        <f>if('Ingest Template'!A955="Standard",'Ingest Template'!N955&amp; "|DAR|DAR|2021-01-01",'Ingest Template'!N955&amp; "|Operations - Core Title|Operations - Core Title")</f>
        <v>#N/A</v>
      </c>
      <c r="AK955" s="53" t="str">
        <f>if('Ingest Template'!A955="Standard",'Ingest Template'!R955&amp; "|2021-01-01",'Ingest Template'!R955)</f>
        <v>#N/A</v>
      </c>
      <c r="AL955" s="21"/>
      <c r="AM955" s="21"/>
    </row>
    <row r="956">
      <c r="A956" s="21"/>
      <c r="B956" s="21" t="str">
        <f>'Ingest Template'!B956&amp;IF('Ingest Template'!A956 = "Standard", " - DAR","")</f>
        <v/>
      </c>
      <c r="C956" s="26" t="s">
        <v>109</v>
      </c>
      <c r="D956" s="29" t="str">
        <f t="array" ref="D956">CONCATENATE(INDEX(DropDown!$H$2:$H$10,MATCH(1,COUNTIF('Ingest Template'!F956,"*"&amp;DropDown!$H$2:$H$10&amp;"*"),0)),CHAR(10),'Ingest Template'!G956)</f>
        <v>#N/A</v>
      </c>
      <c r="E956" s="21" t="str">
        <f>CONCATENATE('Ingest Template'!H956,CHAR(10),'Ingest Template'!I956,CHAR(10),'Ingest Template'!J956)</f>
        <v>
</v>
      </c>
      <c r="F956" s="26" t="str">
        <f>'Ingest Template'!H956</f>
        <v/>
      </c>
      <c r="G956" s="21"/>
      <c r="H956" s="29"/>
      <c r="I956" s="21"/>
      <c r="J956" s="29" t="str">
        <f t="array" ref="J956">iF('Ingest Template'!A956="Standard","Pristine Brand",INDEX(DropDown!$M$2:$M$392,MATCH('Ingest Template'!E956,DropDown!$J$2:$J$392,0)))</f>
        <v>#N/A</v>
      </c>
      <c r="K956" s="21" t="str">
        <f>iF('Ingest Template'!A956="Standard",'Ingest Template'!K956&amp;CHAR(10)&amp;'Ingest Template'!L956,"Competitive View")</f>
        <v>Competitive View</v>
      </c>
      <c r="L956" s="29" t="s">
        <v>146</v>
      </c>
      <c r="M956" s="37" t="str">
        <f>'Ingest Template'!D956</f>
        <v/>
      </c>
      <c r="N956" s="21"/>
      <c r="O956" s="21"/>
      <c r="P956" s="21"/>
      <c r="Q956" s="21"/>
      <c r="R956" s="21" t="str">
        <f>'Ingest Template'!E956</f>
        <v/>
      </c>
      <c r="S956" s="29" t="s">
        <v>153</v>
      </c>
      <c r="T956" s="21" t="str">
        <f>'Ingest Template'!T956</f>
        <v/>
      </c>
      <c r="U956" s="21" t="str">
        <f>'Ingest Template'!S956</f>
        <v/>
      </c>
      <c r="V956" s="21" t="str">
        <f>LOWER(SUBSTITUTE(SUBSTITUTE(SUBSTITUTE(SUBSTITUTE(SUBSTITUTE('Ingest Template'!U956,"https:",""),"www.",""),"/",""),"?hl=en",""),"instagram.com",""))</f>
        <v/>
      </c>
      <c r="W956" s="41" t="str">
        <f t="array" ref="W956">IF('Ingest Template'!V956="",(INDEX(DropDown!$L$2:$L$392,MATCH('Ingest Template'!E956,DropDown!$J$2:$J$392,0))&amp;"|"&amp;'Ingest Template'!B956),(INDEX(DropDown!$L$2:$L$392,MATCH('Ingest Template'!E956,DropDown!$J$2:$J$392,0))&amp;"|"&amp;'Ingest Template'!B956)&amp;CHAR(10)&amp;'Ingest Template'!V956)</f>
        <v>#N/A</v>
      </c>
      <c r="X956" s="41" t="str">
        <f>'Ingest Template'!W956</f>
        <v/>
      </c>
      <c r="Y956" s="21" t="str">
        <f>SUBSTITUTE(SUBSTITUTE(SUBSTITUTE('Ingest Template'!X956,"http:",""),"https:",""),"/","")</f>
        <v/>
      </c>
      <c r="Z956" s="21" t="str">
        <f t="array" ref="Z956">IF('Ingest Template'!A956="Standard",(IF(ISBLANK('Ingest Template'!AA956),"", 'Ingest Template'!AA956&amp;"|DAR")),(IF(ISBLANK('Ingest Template'!AA956),"", 'Ingest Template'!AA956&amp;"|Film Ops")))</f>
        <v/>
      </c>
      <c r="AA956" s="21"/>
      <c r="AB956" s="21" t="str">
        <f>'Ingest Template'!M956</f>
        <v/>
      </c>
      <c r="AC956" s="21" t="str">
        <f>'Ingest Template'!Y956</f>
        <v/>
      </c>
      <c r="AD956" s="21" t="str">
        <f>'Ingest Template'!C956</f>
        <v/>
      </c>
      <c r="AE956" s="21" t="str">
        <f>'Ingest Template'!Z956</f>
        <v/>
      </c>
      <c r="AF956" s="29"/>
      <c r="AG956" s="21" t="str">
        <f t="array" ref="AG956">IF('Ingest Template'!A956="Standard",(CONCATENATE(IF(ISBLANK('Ingest Template'!O956),"", 'Ingest Template'!O956&amp;"|DAR"),CHAR(10), IF(ISBLANK('Ingest Template'!P956),"", 'Ingest Template'!P956&amp;"|DAR"),CHAR(10), IF(ISBLANK('Ingest Template'!Q956),"", 'Ingest Template'!Q956&amp;"|DAR"))),(CONCATENATE(IF(ISBLANK('Ingest Template'!O956),"", 'Ingest Template'!O956&amp;"|Operations - Core Title"),CHAR(10), IF(ISBLANK('Ingest Template'!P956),"", 'Ingest Template'!P956&amp;"|Operations - Core Title"),CHAR(10), IF(ISBLANK('Ingest Template'!Q956),"", 'Ingest Template'!Q956&amp;"|Operations - Core Title"))))</f>
        <v>#|Operations - Core Title
#|Operations - Core Title
</v>
      </c>
      <c r="AH956" s="21"/>
      <c r="AI956" s="21"/>
      <c r="AJ956" s="53" t="str">
        <f>if('Ingest Template'!A956="Standard",'Ingest Template'!N956&amp; "|DAR|DAR|2021-01-01",'Ingest Template'!N956&amp; "|Operations - Core Title|Operations - Core Title")</f>
        <v>#N/A</v>
      </c>
      <c r="AK956" s="53" t="str">
        <f>if('Ingest Template'!A956="Standard",'Ingest Template'!R956&amp; "|2021-01-01",'Ingest Template'!R956)</f>
        <v>#N/A</v>
      </c>
      <c r="AL956" s="21"/>
      <c r="AM956" s="21"/>
    </row>
    <row r="957">
      <c r="A957" s="21"/>
      <c r="B957" s="21" t="str">
        <f>'Ingest Template'!B957&amp;IF('Ingest Template'!A957 = "Standard", " - DAR","")</f>
        <v/>
      </c>
      <c r="C957" s="26" t="s">
        <v>109</v>
      </c>
      <c r="D957" s="29" t="str">
        <f t="array" ref="D957">CONCATENATE(INDEX(DropDown!$H$2:$H$10,MATCH(1,COUNTIF('Ingest Template'!F957,"*"&amp;DropDown!$H$2:$H$10&amp;"*"),0)),CHAR(10),'Ingest Template'!G957)</f>
        <v>#N/A</v>
      </c>
      <c r="E957" s="21" t="str">
        <f>CONCATENATE('Ingest Template'!H957,CHAR(10),'Ingest Template'!I957,CHAR(10),'Ingest Template'!J957)</f>
        <v>
</v>
      </c>
      <c r="F957" s="26" t="str">
        <f>'Ingest Template'!H957</f>
        <v/>
      </c>
      <c r="G957" s="21"/>
      <c r="H957" s="29"/>
      <c r="I957" s="21"/>
      <c r="J957" s="29" t="str">
        <f t="array" ref="J957">iF('Ingest Template'!A957="Standard","Pristine Brand",INDEX(DropDown!$M$2:$M$392,MATCH('Ingest Template'!E957,DropDown!$J$2:$J$392,0)))</f>
        <v>#N/A</v>
      </c>
      <c r="K957" s="21" t="str">
        <f>iF('Ingest Template'!A957="Standard",'Ingest Template'!K957&amp;CHAR(10)&amp;'Ingest Template'!L957,"Competitive View")</f>
        <v>Competitive View</v>
      </c>
      <c r="L957" s="29" t="s">
        <v>146</v>
      </c>
      <c r="M957" s="37" t="str">
        <f>'Ingest Template'!D957</f>
        <v/>
      </c>
      <c r="N957" s="21"/>
      <c r="O957" s="21"/>
      <c r="P957" s="21"/>
      <c r="Q957" s="21"/>
      <c r="R957" s="21" t="str">
        <f>'Ingest Template'!E957</f>
        <v/>
      </c>
      <c r="S957" s="29" t="s">
        <v>153</v>
      </c>
      <c r="T957" s="21" t="str">
        <f>'Ingest Template'!T957</f>
        <v/>
      </c>
      <c r="U957" s="21" t="str">
        <f>'Ingest Template'!S957</f>
        <v/>
      </c>
      <c r="V957" s="21" t="str">
        <f>LOWER(SUBSTITUTE(SUBSTITUTE(SUBSTITUTE(SUBSTITUTE(SUBSTITUTE('Ingest Template'!U957,"https:",""),"www.",""),"/",""),"?hl=en",""),"instagram.com",""))</f>
        <v/>
      </c>
      <c r="W957" s="41" t="str">
        <f t="array" ref="W957">IF('Ingest Template'!V957="",(INDEX(DropDown!$L$2:$L$392,MATCH('Ingest Template'!E957,DropDown!$J$2:$J$392,0))&amp;"|"&amp;'Ingest Template'!B957),(INDEX(DropDown!$L$2:$L$392,MATCH('Ingest Template'!E957,DropDown!$J$2:$J$392,0))&amp;"|"&amp;'Ingest Template'!B957)&amp;CHAR(10)&amp;'Ingest Template'!V957)</f>
        <v>#N/A</v>
      </c>
      <c r="X957" s="41" t="str">
        <f>'Ingest Template'!W957</f>
        <v/>
      </c>
      <c r="Y957" s="21" t="str">
        <f>SUBSTITUTE(SUBSTITUTE(SUBSTITUTE('Ingest Template'!X957,"http:",""),"https:",""),"/","")</f>
        <v/>
      </c>
      <c r="Z957" s="21" t="str">
        <f t="array" ref="Z957">IF('Ingest Template'!A957="Standard",(IF(ISBLANK('Ingest Template'!AA957),"", 'Ingest Template'!AA957&amp;"|DAR")),(IF(ISBLANK('Ingest Template'!AA957),"", 'Ingest Template'!AA957&amp;"|Film Ops")))</f>
        <v/>
      </c>
      <c r="AA957" s="21"/>
      <c r="AB957" s="21" t="str">
        <f>'Ingest Template'!M957</f>
        <v/>
      </c>
      <c r="AC957" s="21" t="str">
        <f>'Ingest Template'!Y957</f>
        <v/>
      </c>
      <c r="AD957" s="21" t="str">
        <f>'Ingest Template'!C957</f>
        <v/>
      </c>
      <c r="AE957" s="21" t="str">
        <f>'Ingest Template'!Z957</f>
        <v/>
      </c>
      <c r="AF957" s="29"/>
      <c r="AG957" s="21" t="str">
        <f t="array" ref="AG957">IF('Ingest Template'!A957="Standard",(CONCATENATE(IF(ISBLANK('Ingest Template'!O957),"", 'Ingest Template'!O957&amp;"|DAR"),CHAR(10), IF(ISBLANK('Ingest Template'!P957),"", 'Ingest Template'!P957&amp;"|DAR"),CHAR(10), IF(ISBLANK('Ingest Template'!Q957),"", 'Ingest Template'!Q957&amp;"|DAR"))),(CONCATENATE(IF(ISBLANK('Ingest Template'!O957),"", 'Ingest Template'!O957&amp;"|Operations - Core Title"),CHAR(10), IF(ISBLANK('Ingest Template'!P957),"", 'Ingest Template'!P957&amp;"|Operations - Core Title"),CHAR(10), IF(ISBLANK('Ingest Template'!Q957),"", 'Ingest Template'!Q957&amp;"|Operations - Core Title"))))</f>
        <v>#|Operations - Core Title
#|Operations - Core Title
</v>
      </c>
      <c r="AH957" s="21"/>
      <c r="AI957" s="21"/>
      <c r="AJ957" s="53" t="str">
        <f>if('Ingest Template'!A957="Standard",'Ingest Template'!N957&amp; "|DAR|DAR|2021-01-01",'Ingest Template'!N957&amp; "|Operations - Core Title|Operations - Core Title")</f>
        <v>#N/A</v>
      </c>
      <c r="AK957" s="53" t="str">
        <f>if('Ingest Template'!A957="Standard",'Ingest Template'!R957&amp; "|2021-01-01",'Ingest Template'!R957)</f>
        <v>#N/A</v>
      </c>
      <c r="AL957" s="21"/>
      <c r="AM957" s="21"/>
    </row>
    <row r="958">
      <c r="A958" s="21"/>
      <c r="B958" s="21" t="str">
        <f>'Ingest Template'!B958&amp;IF('Ingest Template'!A958 = "Standard", " - DAR","")</f>
        <v/>
      </c>
      <c r="C958" s="26" t="s">
        <v>109</v>
      </c>
      <c r="D958" s="29" t="str">
        <f t="array" ref="D958">CONCATENATE(INDEX(DropDown!$H$2:$H$10,MATCH(1,COUNTIF('Ingest Template'!F958,"*"&amp;DropDown!$H$2:$H$10&amp;"*"),0)),CHAR(10),'Ingest Template'!G958)</f>
        <v>#N/A</v>
      </c>
      <c r="E958" s="21" t="str">
        <f>CONCATENATE('Ingest Template'!H958,CHAR(10),'Ingest Template'!I958,CHAR(10),'Ingest Template'!J958)</f>
        <v>
</v>
      </c>
      <c r="F958" s="26" t="str">
        <f>'Ingest Template'!H958</f>
        <v/>
      </c>
      <c r="G958" s="21"/>
      <c r="H958" s="29"/>
      <c r="I958" s="21"/>
      <c r="J958" s="29" t="str">
        <f t="array" ref="J958">iF('Ingest Template'!A958="Standard","Pristine Brand",INDEX(DropDown!$M$2:$M$392,MATCH('Ingest Template'!E958,DropDown!$J$2:$J$392,0)))</f>
        <v>#N/A</v>
      </c>
      <c r="K958" s="21" t="str">
        <f>iF('Ingest Template'!A958="Standard",'Ingest Template'!K958&amp;CHAR(10)&amp;'Ingest Template'!L958,"Competitive View")</f>
        <v>Competitive View</v>
      </c>
      <c r="L958" s="29" t="s">
        <v>146</v>
      </c>
      <c r="M958" s="37" t="str">
        <f>'Ingest Template'!D958</f>
        <v/>
      </c>
      <c r="N958" s="21"/>
      <c r="O958" s="21"/>
      <c r="P958" s="21"/>
      <c r="Q958" s="21"/>
      <c r="R958" s="21" t="str">
        <f>'Ingest Template'!E958</f>
        <v/>
      </c>
      <c r="S958" s="29" t="s">
        <v>153</v>
      </c>
      <c r="T958" s="21" t="str">
        <f>'Ingest Template'!T958</f>
        <v/>
      </c>
      <c r="U958" s="21" t="str">
        <f>'Ingest Template'!S958</f>
        <v/>
      </c>
      <c r="V958" s="21" t="str">
        <f>LOWER(SUBSTITUTE(SUBSTITUTE(SUBSTITUTE(SUBSTITUTE(SUBSTITUTE('Ingest Template'!U958,"https:",""),"www.",""),"/",""),"?hl=en",""),"instagram.com",""))</f>
        <v/>
      </c>
      <c r="W958" s="41" t="str">
        <f t="array" ref="W958">IF('Ingest Template'!V958="",(INDEX(DropDown!$L$2:$L$392,MATCH('Ingest Template'!E958,DropDown!$J$2:$J$392,0))&amp;"|"&amp;'Ingest Template'!B958),(INDEX(DropDown!$L$2:$L$392,MATCH('Ingest Template'!E958,DropDown!$J$2:$J$392,0))&amp;"|"&amp;'Ingest Template'!B958)&amp;CHAR(10)&amp;'Ingest Template'!V958)</f>
        <v>#N/A</v>
      </c>
      <c r="X958" s="41" t="str">
        <f>'Ingest Template'!W958</f>
        <v/>
      </c>
      <c r="Y958" s="21" t="str">
        <f>SUBSTITUTE(SUBSTITUTE(SUBSTITUTE('Ingest Template'!X958,"http:",""),"https:",""),"/","")</f>
        <v/>
      </c>
      <c r="Z958" s="21" t="str">
        <f t="array" ref="Z958">IF('Ingest Template'!A958="Standard",(IF(ISBLANK('Ingest Template'!AA958),"", 'Ingest Template'!AA958&amp;"|DAR")),(IF(ISBLANK('Ingest Template'!AA958),"", 'Ingest Template'!AA958&amp;"|Film Ops")))</f>
        <v/>
      </c>
      <c r="AA958" s="21"/>
      <c r="AB958" s="21" t="str">
        <f>'Ingest Template'!M958</f>
        <v/>
      </c>
      <c r="AC958" s="21" t="str">
        <f>'Ingest Template'!Y958</f>
        <v/>
      </c>
      <c r="AD958" s="21" t="str">
        <f>'Ingest Template'!C958</f>
        <v/>
      </c>
      <c r="AE958" s="21" t="str">
        <f>'Ingest Template'!Z958</f>
        <v/>
      </c>
      <c r="AF958" s="29"/>
      <c r="AG958" s="21" t="str">
        <f t="array" ref="AG958">IF('Ingest Template'!A958="Standard",(CONCATENATE(IF(ISBLANK('Ingest Template'!O958),"", 'Ingest Template'!O958&amp;"|DAR"),CHAR(10), IF(ISBLANK('Ingest Template'!P958),"", 'Ingest Template'!P958&amp;"|DAR"),CHAR(10), IF(ISBLANK('Ingest Template'!Q958),"", 'Ingest Template'!Q958&amp;"|DAR"))),(CONCATENATE(IF(ISBLANK('Ingest Template'!O958),"", 'Ingest Template'!O958&amp;"|Operations - Core Title"),CHAR(10), IF(ISBLANK('Ingest Template'!P958),"", 'Ingest Template'!P958&amp;"|Operations - Core Title"),CHAR(10), IF(ISBLANK('Ingest Template'!Q958),"", 'Ingest Template'!Q958&amp;"|Operations - Core Title"))))</f>
        <v>#|Operations - Core Title
#|Operations - Core Title
</v>
      </c>
      <c r="AH958" s="21"/>
      <c r="AI958" s="21"/>
      <c r="AJ958" s="53" t="str">
        <f>if('Ingest Template'!A958="Standard",'Ingest Template'!N958&amp; "|DAR|DAR|2021-01-01",'Ingest Template'!N958&amp; "|Operations - Core Title|Operations - Core Title")</f>
        <v>#N/A</v>
      </c>
      <c r="AK958" s="53" t="str">
        <f>if('Ingest Template'!A958="Standard",'Ingest Template'!R958&amp; "|2021-01-01",'Ingest Template'!R958)</f>
        <v>#N/A</v>
      </c>
      <c r="AL958" s="21"/>
      <c r="AM958" s="21"/>
    </row>
    <row r="959">
      <c r="A959" s="21"/>
      <c r="B959" s="21" t="str">
        <f>'Ingest Template'!B959&amp;IF('Ingest Template'!A959 = "Standard", " - DAR","")</f>
        <v/>
      </c>
      <c r="C959" s="26" t="s">
        <v>109</v>
      </c>
      <c r="D959" s="29" t="str">
        <f t="array" ref="D959">CONCATENATE(INDEX(DropDown!$H$2:$H$10,MATCH(1,COUNTIF('Ingest Template'!F959,"*"&amp;DropDown!$H$2:$H$10&amp;"*"),0)),CHAR(10),'Ingest Template'!G959)</f>
        <v>#N/A</v>
      </c>
      <c r="E959" s="21" t="str">
        <f>CONCATENATE('Ingest Template'!H959,CHAR(10),'Ingest Template'!I959,CHAR(10),'Ingest Template'!J959)</f>
        <v>
</v>
      </c>
      <c r="F959" s="26" t="str">
        <f>'Ingest Template'!H959</f>
        <v/>
      </c>
      <c r="G959" s="21"/>
      <c r="H959" s="29"/>
      <c r="I959" s="21"/>
      <c r="J959" s="29" t="str">
        <f t="array" ref="J959">iF('Ingest Template'!A959="Standard","Pristine Brand",INDEX(DropDown!$M$2:$M$392,MATCH('Ingest Template'!E959,DropDown!$J$2:$J$392,0)))</f>
        <v>#N/A</v>
      </c>
      <c r="K959" s="21" t="str">
        <f>iF('Ingest Template'!A959="Standard",'Ingest Template'!K959&amp;CHAR(10)&amp;'Ingest Template'!L959,"Competitive View")</f>
        <v>Competitive View</v>
      </c>
      <c r="L959" s="29" t="s">
        <v>146</v>
      </c>
      <c r="M959" s="37" t="str">
        <f>'Ingest Template'!D959</f>
        <v/>
      </c>
      <c r="N959" s="21"/>
      <c r="O959" s="21"/>
      <c r="P959" s="21"/>
      <c r="Q959" s="21"/>
      <c r="R959" s="21" t="str">
        <f>'Ingest Template'!E959</f>
        <v/>
      </c>
      <c r="S959" s="29" t="s">
        <v>153</v>
      </c>
      <c r="T959" s="21" t="str">
        <f>'Ingest Template'!T959</f>
        <v/>
      </c>
      <c r="U959" s="21" t="str">
        <f>'Ingest Template'!S959</f>
        <v/>
      </c>
      <c r="V959" s="21" t="str">
        <f>LOWER(SUBSTITUTE(SUBSTITUTE(SUBSTITUTE(SUBSTITUTE(SUBSTITUTE('Ingest Template'!U959,"https:",""),"www.",""),"/",""),"?hl=en",""),"instagram.com",""))</f>
        <v/>
      </c>
      <c r="W959" s="41" t="str">
        <f t="array" ref="W959">IF('Ingest Template'!V959="",(INDEX(DropDown!$L$2:$L$392,MATCH('Ingest Template'!E959,DropDown!$J$2:$J$392,0))&amp;"|"&amp;'Ingest Template'!B959),(INDEX(DropDown!$L$2:$L$392,MATCH('Ingest Template'!E959,DropDown!$J$2:$J$392,0))&amp;"|"&amp;'Ingest Template'!B959)&amp;CHAR(10)&amp;'Ingest Template'!V959)</f>
        <v>#N/A</v>
      </c>
      <c r="X959" s="41" t="str">
        <f>'Ingest Template'!W959</f>
        <v/>
      </c>
      <c r="Y959" s="21" t="str">
        <f>SUBSTITUTE(SUBSTITUTE(SUBSTITUTE('Ingest Template'!X959,"http:",""),"https:",""),"/","")</f>
        <v/>
      </c>
      <c r="Z959" s="21" t="str">
        <f t="array" ref="Z959">IF('Ingest Template'!A959="Standard",(IF(ISBLANK('Ingest Template'!AA959),"", 'Ingest Template'!AA959&amp;"|DAR")),(IF(ISBLANK('Ingest Template'!AA959),"", 'Ingest Template'!AA959&amp;"|Film Ops")))</f>
        <v/>
      </c>
      <c r="AA959" s="21"/>
      <c r="AB959" s="21" t="str">
        <f>'Ingest Template'!M959</f>
        <v/>
      </c>
      <c r="AC959" s="21" t="str">
        <f>'Ingest Template'!Y959</f>
        <v/>
      </c>
      <c r="AD959" s="21" t="str">
        <f>'Ingest Template'!C959</f>
        <v/>
      </c>
      <c r="AE959" s="21" t="str">
        <f>'Ingest Template'!Z959</f>
        <v/>
      </c>
      <c r="AF959" s="29"/>
      <c r="AG959" s="21" t="str">
        <f t="array" ref="AG959">IF('Ingest Template'!A959="Standard",(CONCATENATE(IF(ISBLANK('Ingest Template'!O959),"", 'Ingest Template'!O959&amp;"|DAR"),CHAR(10), IF(ISBLANK('Ingest Template'!P959),"", 'Ingest Template'!P959&amp;"|DAR"),CHAR(10), IF(ISBLANK('Ingest Template'!Q959),"", 'Ingest Template'!Q959&amp;"|DAR"))),(CONCATENATE(IF(ISBLANK('Ingest Template'!O959),"", 'Ingest Template'!O959&amp;"|Operations - Core Title"),CHAR(10), IF(ISBLANK('Ingest Template'!P959),"", 'Ingest Template'!P959&amp;"|Operations - Core Title"),CHAR(10), IF(ISBLANK('Ingest Template'!Q959),"", 'Ingest Template'!Q959&amp;"|Operations - Core Title"))))</f>
        <v>#|Operations - Core Title
#|Operations - Core Title
</v>
      </c>
      <c r="AH959" s="21"/>
      <c r="AI959" s="21"/>
      <c r="AJ959" s="53" t="str">
        <f>if('Ingest Template'!A959="Standard",'Ingest Template'!N959&amp; "|DAR|DAR|2021-01-01",'Ingest Template'!N959&amp; "|Operations - Core Title|Operations - Core Title")</f>
        <v>#N/A</v>
      </c>
      <c r="AK959" s="53" t="str">
        <f>if('Ingest Template'!A959="Standard",'Ingest Template'!R959&amp; "|2021-01-01",'Ingest Template'!R959)</f>
        <v>#N/A</v>
      </c>
      <c r="AL959" s="21"/>
      <c r="AM959" s="21"/>
    </row>
    <row r="960">
      <c r="A960" s="21"/>
      <c r="B960" s="21" t="str">
        <f>'Ingest Template'!B960&amp;IF('Ingest Template'!A960 = "Standard", " - DAR","")</f>
        <v/>
      </c>
      <c r="C960" s="26" t="s">
        <v>109</v>
      </c>
      <c r="D960" s="29" t="str">
        <f t="array" ref="D960">CONCATENATE(INDEX(DropDown!$H$2:$H$10,MATCH(1,COUNTIF('Ingest Template'!F960,"*"&amp;DropDown!$H$2:$H$10&amp;"*"),0)),CHAR(10),'Ingest Template'!G960)</f>
        <v>#N/A</v>
      </c>
      <c r="E960" s="21" t="str">
        <f>CONCATENATE('Ingest Template'!H960,CHAR(10),'Ingest Template'!I960,CHAR(10),'Ingest Template'!J960)</f>
        <v>
</v>
      </c>
      <c r="F960" s="26" t="str">
        <f>'Ingest Template'!H960</f>
        <v/>
      </c>
      <c r="G960" s="21"/>
      <c r="H960" s="29"/>
      <c r="I960" s="21"/>
      <c r="J960" s="29" t="str">
        <f t="array" ref="J960">iF('Ingest Template'!A960="Standard","Pristine Brand",INDEX(DropDown!$M$2:$M$392,MATCH('Ingest Template'!E960,DropDown!$J$2:$J$392,0)))</f>
        <v>#N/A</v>
      </c>
      <c r="K960" s="21" t="str">
        <f>iF('Ingest Template'!A960="Standard",'Ingest Template'!K960&amp;CHAR(10)&amp;'Ingest Template'!L960,"Competitive View")</f>
        <v>Competitive View</v>
      </c>
      <c r="L960" s="29" t="s">
        <v>146</v>
      </c>
      <c r="M960" s="37" t="str">
        <f>'Ingest Template'!D960</f>
        <v/>
      </c>
      <c r="N960" s="21"/>
      <c r="O960" s="21"/>
      <c r="P960" s="21"/>
      <c r="Q960" s="21"/>
      <c r="R960" s="21" t="str">
        <f>'Ingest Template'!E960</f>
        <v/>
      </c>
      <c r="S960" s="29" t="s">
        <v>153</v>
      </c>
      <c r="T960" s="21" t="str">
        <f>'Ingest Template'!T960</f>
        <v/>
      </c>
      <c r="U960" s="21" t="str">
        <f>'Ingest Template'!S960</f>
        <v/>
      </c>
      <c r="V960" s="21" t="str">
        <f>LOWER(SUBSTITUTE(SUBSTITUTE(SUBSTITUTE(SUBSTITUTE(SUBSTITUTE('Ingest Template'!U960,"https:",""),"www.",""),"/",""),"?hl=en",""),"instagram.com",""))</f>
        <v/>
      </c>
      <c r="W960" s="41" t="str">
        <f t="array" ref="W960">IF('Ingest Template'!V960="",(INDEX(DropDown!$L$2:$L$392,MATCH('Ingest Template'!E960,DropDown!$J$2:$J$392,0))&amp;"|"&amp;'Ingest Template'!B960),(INDEX(DropDown!$L$2:$L$392,MATCH('Ingest Template'!E960,DropDown!$J$2:$J$392,0))&amp;"|"&amp;'Ingest Template'!B960)&amp;CHAR(10)&amp;'Ingest Template'!V960)</f>
        <v>#N/A</v>
      </c>
      <c r="X960" s="41" t="str">
        <f>'Ingest Template'!W960</f>
        <v/>
      </c>
      <c r="Y960" s="21" t="str">
        <f>SUBSTITUTE(SUBSTITUTE(SUBSTITUTE('Ingest Template'!X960,"http:",""),"https:",""),"/","")</f>
        <v/>
      </c>
      <c r="Z960" s="21" t="str">
        <f t="array" ref="Z960">IF('Ingest Template'!A960="Standard",(IF(ISBLANK('Ingest Template'!AA960),"", 'Ingest Template'!AA960&amp;"|DAR")),(IF(ISBLANK('Ingest Template'!AA960),"", 'Ingest Template'!AA960&amp;"|Film Ops")))</f>
        <v/>
      </c>
      <c r="AA960" s="21"/>
      <c r="AB960" s="21" t="str">
        <f>'Ingest Template'!M960</f>
        <v/>
      </c>
      <c r="AC960" s="21" t="str">
        <f>'Ingest Template'!Y960</f>
        <v/>
      </c>
      <c r="AD960" s="21" t="str">
        <f>'Ingest Template'!C960</f>
        <v/>
      </c>
      <c r="AE960" s="21" t="str">
        <f>'Ingest Template'!Z960</f>
        <v/>
      </c>
      <c r="AF960" s="29"/>
      <c r="AG960" s="21" t="str">
        <f t="array" ref="AG960">IF('Ingest Template'!A960="Standard",(CONCATENATE(IF(ISBLANK('Ingest Template'!O960),"", 'Ingest Template'!O960&amp;"|DAR"),CHAR(10), IF(ISBLANK('Ingest Template'!P960),"", 'Ingest Template'!P960&amp;"|DAR"),CHAR(10), IF(ISBLANK('Ingest Template'!Q960),"", 'Ingest Template'!Q960&amp;"|DAR"))),(CONCATENATE(IF(ISBLANK('Ingest Template'!O960),"", 'Ingest Template'!O960&amp;"|Operations - Core Title"),CHAR(10), IF(ISBLANK('Ingest Template'!P960),"", 'Ingest Template'!P960&amp;"|Operations - Core Title"),CHAR(10), IF(ISBLANK('Ingest Template'!Q960),"", 'Ingest Template'!Q960&amp;"|Operations - Core Title"))))</f>
        <v>#|Operations - Core Title
#|Operations - Core Title
</v>
      </c>
      <c r="AH960" s="21"/>
      <c r="AI960" s="21"/>
      <c r="AJ960" s="53" t="str">
        <f>if('Ingest Template'!A960="Standard",'Ingest Template'!N960&amp; "|DAR|DAR|2021-01-01",'Ingest Template'!N960&amp; "|Operations - Core Title|Operations - Core Title")</f>
        <v>#N/A</v>
      </c>
      <c r="AK960" s="53" t="str">
        <f>if('Ingest Template'!A960="Standard",'Ingest Template'!R960&amp; "|2021-01-01",'Ingest Template'!R960)</f>
        <v>#N/A</v>
      </c>
      <c r="AL960" s="21"/>
      <c r="AM960" s="21"/>
    </row>
    <row r="961">
      <c r="A961" s="21"/>
      <c r="B961" s="21" t="str">
        <f>'Ingest Template'!B961&amp;IF('Ingest Template'!A961 = "Standard", " - DAR","")</f>
        <v/>
      </c>
      <c r="C961" s="26" t="s">
        <v>109</v>
      </c>
      <c r="D961" s="29" t="str">
        <f t="array" ref="D961">CONCATENATE(INDEX(DropDown!$H$2:$H$10,MATCH(1,COUNTIF('Ingest Template'!F961,"*"&amp;DropDown!$H$2:$H$10&amp;"*"),0)),CHAR(10),'Ingest Template'!G961)</f>
        <v>#N/A</v>
      </c>
      <c r="E961" s="21" t="str">
        <f>CONCATENATE('Ingest Template'!H961,CHAR(10),'Ingest Template'!I961,CHAR(10),'Ingest Template'!J961)</f>
        <v>
</v>
      </c>
      <c r="F961" s="26" t="str">
        <f>'Ingest Template'!H961</f>
        <v/>
      </c>
      <c r="G961" s="21"/>
      <c r="H961" s="29"/>
      <c r="I961" s="21"/>
      <c r="J961" s="29" t="str">
        <f t="array" ref="J961">iF('Ingest Template'!A961="Standard","Pristine Brand",INDEX(DropDown!$M$2:$M$392,MATCH('Ingest Template'!E961,DropDown!$J$2:$J$392,0)))</f>
        <v>#N/A</v>
      </c>
      <c r="K961" s="21" t="str">
        <f>iF('Ingest Template'!A961="Standard",'Ingest Template'!K961&amp;CHAR(10)&amp;'Ingest Template'!L961,"Competitive View")</f>
        <v>Competitive View</v>
      </c>
      <c r="L961" s="29" t="s">
        <v>146</v>
      </c>
      <c r="M961" s="37" t="str">
        <f>'Ingest Template'!D961</f>
        <v/>
      </c>
      <c r="N961" s="21"/>
      <c r="O961" s="21"/>
      <c r="P961" s="21"/>
      <c r="Q961" s="21"/>
      <c r="R961" s="21" t="str">
        <f>'Ingest Template'!E961</f>
        <v/>
      </c>
      <c r="S961" s="29" t="s">
        <v>153</v>
      </c>
      <c r="T961" s="21" t="str">
        <f>'Ingest Template'!T961</f>
        <v/>
      </c>
      <c r="U961" s="21" t="str">
        <f>'Ingest Template'!S961</f>
        <v/>
      </c>
      <c r="V961" s="21" t="str">
        <f>LOWER(SUBSTITUTE(SUBSTITUTE(SUBSTITUTE(SUBSTITUTE(SUBSTITUTE('Ingest Template'!U961,"https:",""),"www.",""),"/",""),"?hl=en",""),"instagram.com",""))</f>
        <v/>
      </c>
      <c r="W961" s="41" t="str">
        <f t="array" ref="W961">IF('Ingest Template'!V961="",(INDEX(DropDown!$L$2:$L$392,MATCH('Ingest Template'!E961,DropDown!$J$2:$J$392,0))&amp;"|"&amp;'Ingest Template'!B961),(INDEX(DropDown!$L$2:$L$392,MATCH('Ingest Template'!E961,DropDown!$J$2:$J$392,0))&amp;"|"&amp;'Ingest Template'!B961)&amp;CHAR(10)&amp;'Ingest Template'!V961)</f>
        <v>#N/A</v>
      </c>
      <c r="X961" s="41" t="str">
        <f>'Ingest Template'!W961</f>
        <v/>
      </c>
      <c r="Y961" s="21" t="str">
        <f>SUBSTITUTE(SUBSTITUTE(SUBSTITUTE('Ingest Template'!X961,"http:",""),"https:",""),"/","")</f>
        <v/>
      </c>
      <c r="Z961" s="21" t="str">
        <f t="array" ref="Z961">IF('Ingest Template'!A961="Standard",(IF(ISBLANK('Ingest Template'!AA961),"", 'Ingest Template'!AA961&amp;"|DAR")),(IF(ISBLANK('Ingest Template'!AA961),"", 'Ingest Template'!AA961&amp;"|Film Ops")))</f>
        <v/>
      </c>
      <c r="AA961" s="21"/>
      <c r="AB961" s="21" t="str">
        <f>'Ingest Template'!M961</f>
        <v/>
      </c>
      <c r="AC961" s="21" t="str">
        <f>'Ingest Template'!Y961</f>
        <v/>
      </c>
      <c r="AD961" s="21" t="str">
        <f>'Ingest Template'!C961</f>
        <v/>
      </c>
      <c r="AE961" s="21" t="str">
        <f>'Ingest Template'!Z961</f>
        <v/>
      </c>
      <c r="AF961" s="29"/>
      <c r="AG961" s="21" t="str">
        <f t="array" ref="AG961">IF('Ingest Template'!A961="Standard",(CONCATENATE(IF(ISBLANK('Ingest Template'!O961),"", 'Ingest Template'!O961&amp;"|DAR"),CHAR(10), IF(ISBLANK('Ingest Template'!P961),"", 'Ingest Template'!P961&amp;"|DAR"),CHAR(10), IF(ISBLANK('Ingest Template'!Q961),"", 'Ingest Template'!Q961&amp;"|DAR"))),(CONCATENATE(IF(ISBLANK('Ingest Template'!O961),"", 'Ingest Template'!O961&amp;"|Operations - Core Title"),CHAR(10), IF(ISBLANK('Ingest Template'!P961),"", 'Ingest Template'!P961&amp;"|Operations - Core Title"),CHAR(10), IF(ISBLANK('Ingest Template'!Q961),"", 'Ingest Template'!Q961&amp;"|Operations - Core Title"))))</f>
        <v>#|Operations - Core Title
#|Operations - Core Title
</v>
      </c>
      <c r="AH961" s="21"/>
      <c r="AI961" s="21"/>
      <c r="AJ961" s="53" t="str">
        <f>if('Ingest Template'!A961="Standard",'Ingest Template'!N961&amp; "|DAR|DAR|2021-01-01",'Ingest Template'!N961&amp; "|Operations - Core Title|Operations - Core Title")</f>
        <v>#N/A</v>
      </c>
      <c r="AK961" s="53" t="str">
        <f>if('Ingest Template'!A961="Standard",'Ingest Template'!R961&amp; "|2021-01-01",'Ingest Template'!R961)</f>
        <v>#N/A</v>
      </c>
      <c r="AL961" s="21"/>
      <c r="AM961" s="21"/>
    </row>
    <row r="962">
      <c r="A962" s="21"/>
      <c r="B962" s="21" t="str">
        <f>'Ingest Template'!B962&amp;IF('Ingest Template'!A962 = "Standard", " - DAR","")</f>
        <v/>
      </c>
      <c r="C962" s="26" t="s">
        <v>109</v>
      </c>
      <c r="D962" s="29" t="str">
        <f t="array" ref="D962">CONCATENATE(INDEX(DropDown!$H$2:$H$10,MATCH(1,COUNTIF('Ingest Template'!F962,"*"&amp;DropDown!$H$2:$H$10&amp;"*"),0)),CHAR(10),'Ingest Template'!G962)</f>
        <v>#N/A</v>
      </c>
      <c r="E962" s="21" t="str">
        <f>CONCATENATE('Ingest Template'!H962,CHAR(10),'Ingest Template'!I962,CHAR(10),'Ingest Template'!J962)</f>
        <v>
</v>
      </c>
      <c r="F962" s="26" t="str">
        <f>'Ingest Template'!H962</f>
        <v/>
      </c>
      <c r="G962" s="21"/>
      <c r="H962" s="29"/>
      <c r="I962" s="21"/>
      <c r="J962" s="29" t="str">
        <f t="array" ref="J962">iF('Ingest Template'!A962="Standard","Pristine Brand",INDEX(DropDown!$M$2:$M$392,MATCH('Ingest Template'!E962,DropDown!$J$2:$J$392,0)))</f>
        <v>#N/A</v>
      </c>
      <c r="K962" s="21" t="str">
        <f>iF('Ingest Template'!A962="Standard",'Ingest Template'!K962&amp;CHAR(10)&amp;'Ingest Template'!L962,"Competitive View")</f>
        <v>Competitive View</v>
      </c>
      <c r="L962" s="29" t="s">
        <v>146</v>
      </c>
      <c r="M962" s="37" t="str">
        <f>'Ingest Template'!D962</f>
        <v/>
      </c>
      <c r="N962" s="21"/>
      <c r="O962" s="21"/>
      <c r="P962" s="21"/>
      <c r="Q962" s="21"/>
      <c r="R962" s="21" t="str">
        <f>'Ingest Template'!E962</f>
        <v/>
      </c>
      <c r="S962" s="29" t="s">
        <v>153</v>
      </c>
      <c r="T962" s="21" t="str">
        <f>'Ingest Template'!T962</f>
        <v/>
      </c>
      <c r="U962" s="21" t="str">
        <f>'Ingest Template'!S962</f>
        <v/>
      </c>
      <c r="V962" s="21" t="str">
        <f>LOWER(SUBSTITUTE(SUBSTITUTE(SUBSTITUTE(SUBSTITUTE(SUBSTITUTE('Ingest Template'!U962,"https:",""),"www.",""),"/",""),"?hl=en",""),"instagram.com",""))</f>
        <v/>
      </c>
      <c r="W962" s="41" t="str">
        <f t="array" ref="W962">IF('Ingest Template'!V962="",(INDEX(DropDown!$L$2:$L$392,MATCH('Ingest Template'!E962,DropDown!$J$2:$J$392,0))&amp;"|"&amp;'Ingest Template'!B962),(INDEX(DropDown!$L$2:$L$392,MATCH('Ingest Template'!E962,DropDown!$J$2:$J$392,0))&amp;"|"&amp;'Ingest Template'!B962)&amp;CHAR(10)&amp;'Ingest Template'!V962)</f>
        <v>#N/A</v>
      </c>
      <c r="X962" s="41" t="str">
        <f>'Ingest Template'!W962</f>
        <v/>
      </c>
      <c r="Y962" s="21" t="str">
        <f>SUBSTITUTE(SUBSTITUTE(SUBSTITUTE('Ingest Template'!X962,"http:",""),"https:",""),"/","")</f>
        <v/>
      </c>
      <c r="Z962" s="21" t="str">
        <f t="array" ref="Z962">IF('Ingest Template'!A962="Standard",(IF(ISBLANK('Ingest Template'!AA962),"", 'Ingest Template'!AA962&amp;"|DAR")),(IF(ISBLANK('Ingest Template'!AA962),"", 'Ingest Template'!AA962&amp;"|Film Ops")))</f>
        <v/>
      </c>
      <c r="AA962" s="21"/>
      <c r="AB962" s="21" t="str">
        <f>'Ingest Template'!M962</f>
        <v/>
      </c>
      <c r="AC962" s="21" t="str">
        <f>'Ingest Template'!Y962</f>
        <v/>
      </c>
      <c r="AD962" s="21" t="str">
        <f>'Ingest Template'!C962</f>
        <v/>
      </c>
      <c r="AE962" s="21" t="str">
        <f>'Ingest Template'!Z962</f>
        <v/>
      </c>
      <c r="AF962" s="29"/>
      <c r="AG962" s="21" t="str">
        <f t="array" ref="AG962">IF('Ingest Template'!A962="Standard",(CONCATENATE(IF(ISBLANK('Ingest Template'!O962),"", 'Ingest Template'!O962&amp;"|DAR"),CHAR(10), IF(ISBLANK('Ingest Template'!P962),"", 'Ingest Template'!P962&amp;"|DAR"),CHAR(10), IF(ISBLANK('Ingest Template'!Q962),"", 'Ingest Template'!Q962&amp;"|DAR"))),(CONCATENATE(IF(ISBLANK('Ingest Template'!O962),"", 'Ingest Template'!O962&amp;"|Operations - Core Title"),CHAR(10), IF(ISBLANK('Ingest Template'!P962),"", 'Ingest Template'!P962&amp;"|Operations - Core Title"),CHAR(10), IF(ISBLANK('Ingest Template'!Q962),"", 'Ingest Template'!Q962&amp;"|Operations - Core Title"))))</f>
        <v>#|Operations - Core Title
#|Operations - Core Title
</v>
      </c>
      <c r="AH962" s="21"/>
      <c r="AI962" s="21"/>
      <c r="AJ962" s="53" t="str">
        <f>if('Ingest Template'!A962="Standard",'Ingest Template'!N962&amp; "|DAR|DAR|2021-01-01",'Ingest Template'!N962&amp; "|Operations - Core Title|Operations - Core Title")</f>
        <v>#N/A</v>
      </c>
      <c r="AK962" s="53" t="str">
        <f>if('Ingest Template'!A962="Standard",'Ingest Template'!R962&amp; "|2021-01-01",'Ingest Template'!R962)</f>
        <v>#N/A</v>
      </c>
      <c r="AL962" s="21"/>
      <c r="AM962" s="21"/>
    </row>
    <row r="963">
      <c r="A963" s="21"/>
      <c r="B963" s="21" t="str">
        <f>'Ingest Template'!B963&amp;IF('Ingest Template'!A963 = "Standard", " - DAR","")</f>
        <v/>
      </c>
      <c r="C963" s="26" t="s">
        <v>109</v>
      </c>
      <c r="D963" s="29" t="str">
        <f t="array" ref="D963">CONCATENATE(INDEX(DropDown!$H$2:$H$10,MATCH(1,COUNTIF('Ingest Template'!F963,"*"&amp;DropDown!$H$2:$H$10&amp;"*"),0)),CHAR(10),'Ingest Template'!G963)</f>
        <v>#N/A</v>
      </c>
      <c r="E963" s="21" t="str">
        <f>CONCATENATE('Ingest Template'!H963,CHAR(10),'Ingest Template'!I963,CHAR(10),'Ingest Template'!J963)</f>
        <v>
</v>
      </c>
      <c r="F963" s="26" t="str">
        <f>'Ingest Template'!H963</f>
        <v/>
      </c>
      <c r="G963" s="21"/>
      <c r="H963" s="29"/>
      <c r="I963" s="21"/>
      <c r="J963" s="29" t="str">
        <f t="array" ref="J963">iF('Ingest Template'!A963="Standard","Pristine Brand",INDEX(DropDown!$M$2:$M$392,MATCH('Ingest Template'!E963,DropDown!$J$2:$J$392,0)))</f>
        <v>#N/A</v>
      </c>
      <c r="K963" s="21" t="str">
        <f>iF('Ingest Template'!A963="Standard",'Ingest Template'!K963&amp;CHAR(10)&amp;'Ingest Template'!L963,"Competitive View")</f>
        <v>Competitive View</v>
      </c>
      <c r="L963" s="29" t="s">
        <v>146</v>
      </c>
      <c r="M963" s="37" t="str">
        <f>'Ingest Template'!D963</f>
        <v/>
      </c>
      <c r="N963" s="21"/>
      <c r="O963" s="21"/>
      <c r="P963" s="21"/>
      <c r="Q963" s="21"/>
      <c r="R963" s="21" t="str">
        <f>'Ingest Template'!E963</f>
        <v/>
      </c>
      <c r="S963" s="29" t="s">
        <v>153</v>
      </c>
      <c r="T963" s="21" t="str">
        <f>'Ingest Template'!T963</f>
        <v/>
      </c>
      <c r="U963" s="21" t="str">
        <f>'Ingest Template'!S963</f>
        <v/>
      </c>
      <c r="V963" s="21" t="str">
        <f>LOWER(SUBSTITUTE(SUBSTITUTE(SUBSTITUTE(SUBSTITUTE(SUBSTITUTE('Ingest Template'!U963,"https:",""),"www.",""),"/",""),"?hl=en",""),"instagram.com",""))</f>
        <v/>
      </c>
      <c r="W963" s="41" t="str">
        <f t="array" ref="W963">IF('Ingest Template'!V963="",(INDEX(DropDown!$L$2:$L$392,MATCH('Ingest Template'!E963,DropDown!$J$2:$J$392,0))&amp;"|"&amp;'Ingest Template'!B963),(INDEX(DropDown!$L$2:$L$392,MATCH('Ingest Template'!E963,DropDown!$J$2:$J$392,0))&amp;"|"&amp;'Ingest Template'!B963)&amp;CHAR(10)&amp;'Ingest Template'!V963)</f>
        <v>#N/A</v>
      </c>
      <c r="X963" s="41" t="str">
        <f>'Ingest Template'!W963</f>
        <v/>
      </c>
      <c r="Y963" s="21" t="str">
        <f>SUBSTITUTE(SUBSTITUTE(SUBSTITUTE('Ingest Template'!X963,"http:",""),"https:",""),"/","")</f>
        <v/>
      </c>
      <c r="Z963" s="21" t="str">
        <f t="array" ref="Z963">IF('Ingest Template'!A963="Standard",(IF(ISBLANK('Ingest Template'!AA963),"", 'Ingest Template'!AA963&amp;"|DAR")),(IF(ISBLANK('Ingest Template'!AA963),"", 'Ingest Template'!AA963&amp;"|Film Ops")))</f>
        <v/>
      </c>
      <c r="AA963" s="21"/>
      <c r="AB963" s="21" t="str">
        <f>'Ingest Template'!M963</f>
        <v/>
      </c>
      <c r="AC963" s="21" t="str">
        <f>'Ingest Template'!Y963</f>
        <v/>
      </c>
      <c r="AD963" s="21" t="str">
        <f>'Ingest Template'!C963</f>
        <v/>
      </c>
      <c r="AE963" s="21" t="str">
        <f>'Ingest Template'!Z963</f>
        <v/>
      </c>
      <c r="AF963" s="29"/>
      <c r="AG963" s="21" t="str">
        <f t="array" ref="AG963">IF('Ingest Template'!A963="Standard",(CONCATENATE(IF(ISBLANK('Ingest Template'!O963),"", 'Ingest Template'!O963&amp;"|DAR"),CHAR(10), IF(ISBLANK('Ingest Template'!P963),"", 'Ingest Template'!P963&amp;"|DAR"),CHAR(10), IF(ISBLANK('Ingest Template'!Q963),"", 'Ingest Template'!Q963&amp;"|DAR"))),(CONCATENATE(IF(ISBLANK('Ingest Template'!O963),"", 'Ingest Template'!O963&amp;"|Operations - Core Title"),CHAR(10), IF(ISBLANK('Ingest Template'!P963),"", 'Ingest Template'!P963&amp;"|Operations - Core Title"),CHAR(10), IF(ISBLANK('Ingest Template'!Q963),"", 'Ingest Template'!Q963&amp;"|Operations - Core Title"))))</f>
        <v>#|Operations - Core Title
#|Operations - Core Title
</v>
      </c>
      <c r="AH963" s="21"/>
      <c r="AI963" s="21"/>
      <c r="AJ963" s="53" t="str">
        <f>if('Ingest Template'!A963="Standard",'Ingest Template'!N963&amp; "|DAR|DAR|2021-01-01",'Ingest Template'!N963&amp; "|Operations - Core Title|Operations - Core Title")</f>
        <v>#N/A</v>
      </c>
      <c r="AK963" s="53" t="str">
        <f>if('Ingest Template'!A963="Standard",'Ingest Template'!R963&amp; "|2021-01-01",'Ingest Template'!R963)</f>
        <v>#N/A</v>
      </c>
      <c r="AL963" s="21"/>
      <c r="AM963" s="21"/>
    </row>
    <row r="964">
      <c r="A964" s="21"/>
      <c r="B964" s="21" t="str">
        <f>'Ingest Template'!B964&amp;IF('Ingest Template'!A964 = "Standard", " - DAR","")</f>
        <v/>
      </c>
      <c r="C964" s="26" t="s">
        <v>109</v>
      </c>
      <c r="D964" s="29" t="str">
        <f t="array" ref="D964">CONCATENATE(INDEX(DropDown!$H$2:$H$10,MATCH(1,COUNTIF('Ingest Template'!F964,"*"&amp;DropDown!$H$2:$H$10&amp;"*"),0)),CHAR(10),'Ingest Template'!G964)</f>
        <v>#N/A</v>
      </c>
      <c r="E964" s="21" t="str">
        <f>CONCATENATE('Ingest Template'!H964,CHAR(10),'Ingest Template'!I964,CHAR(10),'Ingest Template'!J964)</f>
        <v>
</v>
      </c>
      <c r="F964" s="26" t="str">
        <f>'Ingest Template'!H964</f>
        <v/>
      </c>
      <c r="G964" s="21"/>
      <c r="H964" s="29"/>
      <c r="I964" s="21"/>
      <c r="J964" s="29" t="str">
        <f t="array" ref="J964">iF('Ingest Template'!A964="Standard","Pristine Brand",INDEX(DropDown!$M$2:$M$392,MATCH('Ingest Template'!E964,DropDown!$J$2:$J$392,0)))</f>
        <v>#N/A</v>
      </c>
      <c r="K964" s="21" t="str">
        <f>iF('Ingest Template'!A964="Standard",'Ingest Template'!K964&amp;CHAR(10)&amp;'Ingest Template'!L964,"Competitive View")</f>
        <v>Competitive View</v>
      </c>
      <c r="L964" s="29" t="s">
        <v>146</v>
      </c>
      <c r="M964" s="37" t="str">
        <f>'Ingest Template'!D964</f>
        <v/>
      </c>
      <c r="N964" s="21"/>
      <c r="O964" s="21"/>
      <c r="P964" s="21"/>
      <c r="Q964" s="21"/>
      <c r="R964" s="21" t="str">
        <f>'Ingest Template'!E964</f>
        <v/>
      </c>
      <c r="S964" s="29" t="s">
        <v>153</v>
      </c>
      <c r="T964" s="21" t="str">
        <f>'Ingest Template'!T964</f>
        <v/>
      </c>
      <c r="U964" s="21" t="str">
        <f>'Ingest Template'!S964</f>
        <v/>
      </c>
      <c r="V964" s="21" t="str">
        <f>LOWER(SUBSTITUTE(SUBSTITUTE(SUBSTITUTE(SUBSTITUTE(SUBSTITUTE('Ingest Template'!U964,"https:",""),"www.",""),"/",""),"?hl=en",""),"instagram.com",""))</f>
        <v/>
      </c>
      <c r="W964" s="41" t="str">
        <f t="array" ref="W964">IF('Ingest Template'!V964="",(INDEX(DropDown!$L$2:$L$392,MATCH('Ingest Template'!E964,DropDown!$J$2:$J$392,0))&amp;"|"&amp;'Ingest Template'!B964),(INDEX(DropDown!$L$2:$L$392,MATCH('Ingest Template'!E964,DropDown!$J$2:$J$392,0))&amp;"|"&amp;'Ingest Template'!B964)&amp;CHAR(10)&amp;'Ingest Template'!V964)</f>
        <v>#N/A</v>
      </c>
      <c r="X964" s="41" t="str">
        <f>'Ingest Template'!W964</f>
        <v/>
      </c>
      <c r="Y964" s="21" t="str">
        <f>SUBSTITUTE(SUBSTITUTE(SUBSTITUTE('Ingest Template'!X964,"http:",""),"https:",""),"/","")</f>
        <v/>
      </c>
      <c r="Z964" s="21" t="str">
        <f t="array" ref="Z964">IF('Ingest Template'!A964="Standard",(IF(ISBLANK('Ingest Template'!AA964),"", 'Ingest Template'!AA964&amp;"|DAR")),(IF(ISBLANK('Ingest Template'!AA964),"", 'Ingest Template'!AA964&amp;"|Film Ops")))</f>
        <v/>
      </c>
      <c r="AA964" s="21"/>
      <c r="AB964" s="21" t="str">
        <f>'Ingest Template'!M964</f>
        <v/>
      </c>
      <c r="AC964" s="21" t="str">
        <f>'Ingest Template'!Y964</f>
        <v/>
      </c>
      <c r="AD964" s="21" t="str">
        <f>'Ingest Template'!C964</f>
        <v/>
      </c>
      <c r="AE964" s="21" t="str">
        <f>'Ingest Template'!Z964</f>
        <v/>
      </c>
      <c r="AF964" s="29"/>
      <c r="AG964" s="21" t="str">
        <f t="array" ref="AG964">IF('Ingest Template'!A964="Standard",(CONCATENATE(IF(ISBLANK('Ingest Template'!O964),"", 'Ingest Template'!O964&amp;"|DAR"),CHAR(10), IF(ISBLANK('Ingest Template'!P964),"", 'Ingest Template'!P964&amp;"|DAR"),CHAR(10), IF(ISBLANK('Ingest Template'!Q964),"", 'Ingest Template'!Q964&amp;"|DAR"))),(CONCATENATE(IF(ISBLANK('Ingest Template'!O964),"", 'Ingest Template'!O964&amp;"|Operations - Core Title"),CHAR(10), IF(ISBLANK('Ingest Template'!P964),"", 'Ingest Template'!P964&amp;"|Operations - Core Title"),CHAR(10), IF(ISBLANK('Ingest Template'!Q964),"", 'Ingest Template'!Q964&amp;"|Operations - Core Title"))))</f>
        <v>#|Operations - Core Title
#|Operations - Core Title
</v>
      </c>
      <c r="AH964" s="21"/>
      <c r="AI964" s="21"/>
      <c r="AJ964" s="53" t="str">
        <f>if('Ingest Template'!A964="Standard",'Ingest Template'!N964&amp; "|DAR|DAR|2021-01-01",'Ingest Template'!N964&amp; "|Operations - Core Title|Operations - Core Title")</f>
        <v>#N/A</v>
      </c>
      <c r="AK964" s="53" t="str">
        <f>if('Ingest Template'!A964="Standard",'Ingest Template'!R964&amp; "|2021-01-01",'Ingest Template'!R964)</f>
        <v>#N/A</v>
      </c>
      <c r="AL964" s="21"/>
      <c r="AM964" s="21"/>
    </row>
    <row r="965">
      <c r="A965" s="21"/>
      <c r="B965" s="21" t="str">
        <f>'Ingest Template'!B965&amp;IF('Ingest Template'!A965 = "Standard", " - DAR","")</f>
        <v/>
      </c>
      <c r="C965" s="26" t="s">
        <v>109</v>
      </c>
      <c r="D965" s="29" t="str">
        <f t="array" ref="D965">CONCATENATE(INDEX(DropDown!$H$2:$H$10,MATCH(1,COUNTIF('Ingest Template'!F965,"*"&amp;DropDown!$H$2:$H$10&amp;"*"),0)),CHAR(10),'Ingest Template'!G965)</f>
        <v>#N/A</v>
      </c>
      <c r="E965" s="21" t="str">
        <f>CONCATENATE('Ingest Template'!H965,CHAR(10),'Ingest Template'!I965,CHAR(10),'Ingest Template'!J965)</f>
        <v>
</v>
      </c>
      <c r="F965" s="26" t="str">
        <f>'Ingest Template'!H965</f>
        <v/>
      </c>
      <c r="G965" s="21"/>
      <c r="H965" s="29"/>
      <c r="I965" s="21"/>
      <c r="J965" s="29" t="str">
        <f t="array" ref="J965">iF('Ingest Template'!A965="Standard","Pristine Brand",INDEX(DropDown!$M$2:$M$392,MATCH('Ingest Template'!E965,DropDown!$J$2:$J$392,0)))</f>
        <v>#N/A</v>
      </c>
      <c r="K965" s="21" t="str">
        <f>iF('Ingest Template'!A965="Standard",'Ingest Template'!K965&amp;CHAR(10)&amp;'Ingest Template'!L965,"Competitive View")</f>
        <v>Competitive View</v>
      </c>
      <c r="L965" s="29" t="s">
        <v>146</v>
      </c>
      <c r="M965" s="37" t="str">
        <f>'Ingest Template'!D965</f>
        <v/>
      </c>
      <c r="N965" s="21"/>
      <c r="O965" s="21"/>
      <c r="P965" s="21"/>
      <c r="Q965" s="21"/>
      <c r="R965" s="21" t="str">
        <f>'Ingest Template'!E965</f>
        <v/>
      </c>
      <c r="S965" s="29" t="s">
        <v>153</v>
      </c>
      <c r="T965" s="21" t="str">
        <f>'Ingest Template'!T965</f>
        <v/>
      </c>
      <c r="U965" s="21" t="str">
        <f>'Ingest Template'!S965</f>
        <v/>
      </c>
      <c r="V965" s="21" t="str">
        <f>LOWER(SUBSTITUTE(SUBSTITUTE(SUBSTITUTE(SUBSTITUTE(SUBSTITUTE('Ingest Template'!U965,"https:",""),"www.",""),"/",""),"?hl=en",""),"instagram.com",""))</f>
        <v/>
      </c>
      <c r="W965" s="41" t="str">
        <f t="array" ref="W965">IF('Ingest Template'!V965="",(INDEX(DropDown!$L$2:$L$392,MATCH('Ingest Template'!E965,DropDown!$J$2:$J$392,0))&amp;"|"&amp;'Ingest Template'!B965),(INDEX(DropDown!$L$2:$L$392,MATCH('Ingest Template'!E965,DropDown!$J$2:$J$392,0))&amp;"|"&amp;'Ingest Template'!B965)&amp;CHAR(10)&amp;'Ingest Template'!V965)</f>
        <v>#N/A</v>
      </c>
      <c r="X965" s="41" t="str">
        <f>'Ingest Template'!W965</f>
        <v/>
      </c>
      <c r="Y965" s="21" t="str">
        <f>SUBSTITUTE(SUBSTITUTE(SUBSTITUTE('Ingest Template'!X965,"http:",""),"https:",""),"/","")</f>
        <v/>
      </c>
      <c r="Z965" s="21" t="str">
        <f t="array" ref="Z965">IF('Ingest Template'!A965="Standard",(IF(ISBLANK('Ingest Template'!AA965),"", 'Ingest Template'!AA965&amp;"|DAR")),(IF(ISBLANK('Ingest Template'!AA965),"", 'Ingest Template'!AA965&amp;"|Film Ops")))</f>
        <v/>
      </c>
      <c r="AA965" s="21"/>
      <c r="AB965" s="21" t="str">
        <f>'Ingest Template'!M965</f>
        <v/>
      </c>
      <c r="AC965" s="21" t="str">
        <f>'Ingest Template'!Y965</f>
        <v/>
      </c>
      <c r="AD965" s="21" t="str">
        <f>'Ingest Template'!C965</f>
        <v/>
      </c>
      <c r="AE965" s="21" t="str">
        <f>'Ingest Template'!Z965</f>
        <v/>
      </c>
      <c r="AF965" s="29"/>
      <c r="AG965" s="21" t="str">
        <f t="array" ref="AG965">IF('Ingest Template'!A965="Standard",(CONCATENATE(IF(ISBLANK('Ingest Template'!O965),"", 'Ingest Template'!O965&amp;"|DAR"),CHAR(10), IF(ISBLANK('Ingest Template'!P965),"", 'Ingest Template'!P965&amp;"|DAR"),CHAR(10), IF(ISBLANK('Ingest Template'!Q965),"", 'Ingest Template'!Q965&amp;"|DAR"))),(CONCATENATE(IF(ISBLANK('Ingest Template'!O965),"", 'Ingest Template'!O965&amp;"|Operations - Core Title"),CHAR(10), IF(ISBLANK('Ingest Template'!P965),"", 'Ingest Template'!P965&amp;"|Operations - Core Title"),CHAR(10), IF(ISBLANK('Ingest Template'!Q965),"", 'Ingest Template'!Q965&amp;"|Operations - Core Title"))))</f>
        <v>#|Operations - Core Title
#|Operations - Core Title
</v>
      </c>
      <c r="AH965" s="21"/>
      <c r="AI965" s="21"/>
      <c r="AJ965" s="53" t="str">
        <f>if('Ingest Template'!A965="Standard",'Ingest Template'!N965&amp; "|DAR|DAR|2021-01-01",'Ingest Template'!N965&amp; "|Operations - Core Title|Operations - Core Title")</f>
        <v>#N/A</v>
      </c>
      <c r="AK965" s="53" t="str">
        <f>if('Ingest Template'!A965="Standard",'Ingest Template'!R965&amp; "|2021-01-01",'Ingest Template'!R965)</f>
        <v>#N/A</v>
      </c>
      <c r="AL965" s="21"/>
      <c r="AM965" s="21"/>
    </row>
    <row r="966">
      <c r="A966" s="21"/>
      <c r="B966" s="21" t="str">
        <f>'Ingest Template'!B966&amp;IF('Ingest Template'!A966 = "Standard", " - DAR","")</f>
        <v/>
      </c>
      <c r="C966" s="26" t="s">
        <v>109</v>
      </c>
      <c r="D966" s="29" t="str">
        <f t="array" ref="D966">CONCATENATE(INDEX(DropDown!$H$2:$H$10,MATCH(1,COUNTIF('Ingest Template'!F966,"*"&amp;DropDown!$H$2:$H$10&amp;"*"),0)),CHAR(10),'Ingest Template'!G966)</f>
        <v>#N/A</v>
      </c>
      <c r="E966" s="21" t="str">
        <f>CONCATENATE('Ingest Template'!H966,CHAR(10),'Ingest Template'!I966,CHAR(10),'Ingest Template'!J966)</f>
        <v>
</v>
      </c>
      <c r="F966" s="26" t="str">
        <f>'Ingest Template'!H966</f>
        <v/>
      </c>
      <c r="G966" s="21"/>
      <c r="H966" s="29"/>
      <c r="I966" s="21"/>
      <c r="J966" s="29" t="str">
        <f t="array" ref="J966">iF('Ingest Template'!A966="Standard","Pristine Brand",INDEX(DropDown!$M$2:$M$392,MATCH('Ingest Template'!E966,DropDown!$J$2:$J$392,0)))</f>
        <v>#N/A</v>
      </c>
      <c r="K966" s="21" t="str">
        <f>iF('Ingest Template'!A966="Standard",'Ingest Template'!K966&amp;CHAR(10)&amp;'Ingest Template'!L966,"Competitive View")</f>
        <v>Competitive View</v>
      </c>
      <c r="L966" s="29" t="s">
        <v>146</v>
      </c>
      <c r="M966" s="37" t="str">
        <f>'Ingest Template'!D966</f>
        <v/>
      </c>
      <c r="N966" s="21"/>
      <c r="O966" s="21"/>
      <c r="P966" s="21"/>
      <c r="Q966" s="21"/>
      <c r="R966" s="21" t="str">
        <f>'Ingest Template'!E966</f>
        <v/>
      </c>
      <c r="S966" s="29" t="s">
        <v>153</v>
      </c>
      <c r="T966" s="21" t="str">
        <f>'Ingest Template'!T966</f>
        <v/>
      </c>
      <c r="U966" s="21" t="str">
        <f>'Ingest Template'!S966</f>
        <v/>
      </c>
      <c r="V966" s="21" t="str">
        <f>LOWER(SUBSTITUTE(SUBSTITUTE(SUBSTITUTE(SUBSTITUTE(SUBSTITUTE('Ingest Template'!U966,"https:",""),"www.",""),"/",""),"?hl=en",""),"instagram.com",""))</f>
        <v/>
      </c>
      <c r="W966" s="41" t="str">
        <f t="array" ref="W966">IF('Ingest Template'!V966="",(INDEX(DropDown!$L$2:$L$392,MATCH('Ingest Template'!E966,DropDown!$J$2:$J$392,0))&amp;"|"&amp;'Ingest Template'!B966),(INDEX(DropDown!$L$2:$L$392,MATCH('Ingest Template'!E966,DropDown!$J$2:$J$392,0))&amp;"|"&amp;'Ingest Template'!B966)&amp;CHAR(10)&amp;'Ingest Template'!V966)</f>
        <v>#N/A</v>
      </c>
      <c r="X966" s="41" t="str">
        <f>'Ingest Template'!W966</f>
        <v/>
      </c>
      <c r="Y966" s="21" t="str">
        <f>SUBSTITUTE(SUBSTITUTE(SUBSTITUTE('Ingest Template'!X966,"http:",""),"https:",""),"/","")</f>
        <v/>
      </c>
      <c r="Z966" s="21" t="str">
        <f t="array" ref="Z966">IF('Ingest Template'!A966="Standard",(IF(ISBLANK('Ingest Template'!AA966),"", 'Ingest Template'!AA966&amp;"|DAR")),(IF(ISBLANK('Ingest Template'!AA966),"", 'Ingest Template'!AA966&amp;"|Film Ops")))</f>
        <v/>
      </c>
      <c r="AA966" s="21"/>
      <c r="AB966" s="21" t="str">
        <f>'Ingest Template'!M966</f>
        <v/>
      </c>
      <c r="AC966" s="21" t="str">
        <f>'Ingest Template'!Y966</f>
        <v/>
      </c>
      <c r="AD966" s="21" t="str">
        <f>'Ingest Template'!C966</f>
        <v/>
      </c>
      <c r="AE966" s="21" t="str">
        <f>'Ingest Template'!Z966</f>
        <v/>
      </c>
      <c r="AF966" s="29"/>
      <c r="AG966" s="21" t="str">
        <f t="array" ref="AG966">IF('Ingest Template'!A966="Standard",(CONCATENATE(IF(ISBLANK('Ingest Template'!O966),"", 'Ingest Template'!O966&amp;"|DAR"),CHAR(10), IF(ISBLANK('Ingest Template'!P966),"", 'Ingest Template'!P966&amp;"|DAR"),CHAR(10), IF(ISBLANK('Ingest Template'!Q966),"", 'Ingest Template'!Q966&amp;"|DAR"))),(CONCATENATE(IF(ISBLANK('Ingest Template'!O966),"", 'Ingest Template'!O966&amp;"|Operations - Core Title"),CHAR(10), IF(ISBLANK('Ingest Template'!P966),"", 'Ingest Template'!P966&amp;"|Operations - Core Title"),CHAR(10), IF(ISBLANK('Ingest Template'!Q966),"", 'Ingest Template'!Q966&amp;"|Operations - Core Title"))))</f>
        <v>#|Operations - Core Title
#|Operations - Core Title
</v>
      </c>
      <c r="AH966" s="21"/>
      <c r="AI966" s="21"/>
      <c r="AJ966" s="53" t="str">
        <f>if('Ingest Template'!A966="Standard",'Ingest Template'!N966&amp; "|DAR|DAR|2021-01-01",'Ingest Template'!N966&amp; "|Operations - Core Title|Operations - Core Title")</f>
        <v>#N/A</v>
      </c>
      <c r="AK966" s="53" t="str">
        <f>if('Ingest Template'!A966="Standard",'Ingest Template'!R966&amp; "|2021-01-01",'Ingest Template'!R966)</f>
        <v>#N/A</v>
      </c>
      <c r="AL966" s="21"/>
      <c r="AM966" s="21"/>
    </row>
    <row r="967">
      <c r="A967" s="21"/>
      <c r="B967" s="21" t="str">
        <f>'Ingest Template'!B967&amp;IF('Ingest Template'!A967 = "Standard", " - DAR","")</f>
        <v/>
      </c>
      <c r="C967" s="26" t="s">
        <v>109</v>
      </c>
      <c r="D967" s="29" t="str">
        <f t="array" ref="D967">CONCATENATE(INDEX(DropDown!$H$2:$H$10,MATCH(1,COUNTIF('Ingest Template'!F967,"*"&amp;DropDown!$H$2:$H$10&amp;"*"),0)),CHAR(10),'Ingest Template'!G967)</f>
        <v>#N/A</v>
      </c>
      <c r="E967" s="21" t="str">
        <f>CONCATENATE('Ingest Template'!H967,CHAR(10),'Ingest Template'!I967,CHAR(10),'Ingest Template'!J967)</f>
        <v>
</v>
      </c>
      <c r="F967" s="26" t="str">
        <f>'Ingest Template'!H967</f>
        <v/>
      </c>
      <c r="G967" s="21"/>
      <c r="H967" s="29"/>
      <c r="I967" s="21"/>
      <c r="J967" s="29" t="str">
        <f t="array" ref="J967">iF('Ingest Template'!A967="Standard","Pristine Brand",INDEX(DropDown!$M$2:$M$392,MATCH('Ingest Template'!E967,DropDown!$J$2:$J$392,0)))</f>
        <v>#N/A</v>
      </c>
      <c r="K967" s="21" t="str">
        <f>iF('Ingest Template'!A967="Standard",'Ingest Template'!K967&amp;CHAR(10)&amp;'Ingest Template'!L967,"Competitive View")</f>
        <v>Competitive View</v>
      </c>
      <c r="L967" s="29" t="s">
        <v>146</v>
      </c>
      <c r="M967" s="37" t="str">
        <f>'Ingest Template'!D967</f>
        <v/>
      </c>
      <c r="N967" s="21"/>
      <c r="O967" s="21"/>
      <c r="P967" s="21"/>
      <c r="Q967" s="21"/>
      <c r="R967" s="21" t="str">
        <f>'Ingest Template'!E967</f>
        <v/>
      </c>
      <c r="S967" s="29" t="s">
        <v>153</v>
      </c>
      <c r="T967" s="21" t="str">
        <f>'Ingest Template'!T967</f>
        <v/>
      </c>
      <c r="U967" s="21" t="str">
        <f>'Ingest Template'!S967</f>
        <v/>
      </c>
      <c r="V967" s="21" t="str">
        <f>LOWER(SUBSTITUTE(SUBSTITUTE(SUBSTITUTE(SUBSTITUTE(SUBSTITUTE('Ingest Template'!U967,"https:",""),"www.",""),"/",""),"?hl=en",""),"instagram.com",""))</f>
        <v/>
      </c>
      <c r="W967" s="41" t="str">
        <f t="array" ref="W967">IF('Ingest Template'!V967="",(INDEX(DropDown!$L$2:$L$392,MATCH('Ingest Template'!E967,DropDown!$J$2:$J$392,0))&amp;"|"&amp;'Ingest Template'!B967),(INDEX(DropDown!$L$2:$L$392,MATCH('Ingest Template'!E967,DropDown!$J$2:$J$392,0))&amp;"|"&amp;'Ingest Template'!B967)&amp;CHAR(10)&amp;'Ingest Template'!V967)</f>
        <v>#N/A</v>
      </c>
      <c r="X967" s="41" t="str">
        <f>'Ingest Template'!W967</f>
        <v/>
      </c>
      <c r="Y967" s="21" t="str">
        <f>SUBSTITUTE(SUBSTITUTE(SUBSTITUTE('Ingest Template'!X967,"http:",""),"https:",""),"/","")</f>
        <v/>
      </c>
      <c r="Z967" s="21" t="str">
        <f t="array" ref="Z967">IF('Ingest Template'!A967="Standard",(IF(ISBLANK('Ingest Template'!AA967),"", 'Ingest Template'!AA967&amp;"|DAR")),(IF(ISBLANK('Ingest Template'!AA967),"", 'Ingest Template'!AA967&amp;"|Film Ops")))</f>
        <v/>
      </c>
      <c r="AA967" s="21"/>
      <c r="AB967" s="21" t="str">
        <f>'Ingest Template'!M967</f>
        <v/>
      </c>
      <c r="AC967" s="21" t="str">
        <f>'Ingest Template'!Y967</f>
        <v/>
      </c>
      <c r="AD967" s="21" t="str">
        <f>'Ingest Template'!C967</f>
        <v/>
      </c>
      <c r="AE967" s="21" t="str">
        <f>'Ingest Template'!Z967</f>
        <v/>
      </c>
      <c r="AF967" s="29"/>
      <c r="AG967" s="21" t="str">
        <f t="array" ref="AG967">IF('Ingest Template'!A967="Standard",(CONCATENATE(IF(ISBLANK('Ingest Template'!O967),"", 'Ingest Template'!O967&amp;"|DAR"),CHAR(10), IF(ISBLANK('Ingest Template'!P967),"", 'Ingest Template'!P967&amp;"|DAR"),CHAR(10), IF(ISBLANK('Ingest Template'!Q967),"", 'Ingest Template'!Q967&amp;"|DAR"))),(CONCATENATE(IF(ISBLANK('Ingest Template'!O967),"", 'Ingest Template'!O967&amp;"|Operations - Core Title"),CHAR(10), IF(ISBLANK('Ingest Template'!P967),"", 'Ingest Template'!P967&amp;"|Operations - Core Title"),CHAR(10), IF(ISBLANK('Ingest Template'!Q967),"", 'Ingest Template'!Q967&amp;"|Operations - Core Title"))))</f>
        <v>#|Operations - Core Title
#|Operations - Core Title
</v>
      </c>
      <c r="AH967" s="21"/>
      <c r="AI967" s="21"/>
      <c r="AJ967" s="53" t="str">
        <f>if('Ingest Template'!A967="Standard",'Ingest Template'!N967&amp; "|DAR|DAR|2021-01-01",'Ingest Template'!N967&amp; "|Operations - Core Title|Operations - Core Title")</f>
        <v>#N/A</v>
      </c>
      <c r="AK967" s="53" t="str">
        <f>if('Ingest Template'!A967="Standard",'Ingest Template'!R967&amp; "|2021-01-01",'Ingest Template'!R967)</f>
        <v>#N/A</v>
      </c>
      <c r="AL967" s="21"/>
      <c r="AM967" s="21"/>
    </row>
    <row r="968">
      <c r="A968" s="21"/>
      <c r="B968" s="21" t="str">
        <f>'Ingest Template'!B968&amp;IF('Ingest Template'!A968 = "Standard", " - DAR","")</f>
        <v/>
      </c>
      <c r="C968" s="26" t="s">
        <v>109</v>
      </c>
      <c r="D968" s="29" t="str">
        <f t="array" ref="D968">CONCATENATE(INDEX(DropDown!$H$2:$H$10,MATCH(1,COUNTIF('Ingest Template'!F968,"*"&amp;DropDown!$H$2:$H$10&amp;"*"),0)),CHAR(10),'Ingest Template'!G968)</f>
        <v>#N/A</v>
      </c>
      <c r="E968" s="21" t="str">
        <f>CONCATENATE('Ingest Template'!H968,CHAR(10),'Ingest Template'!I968,CHAR(10),'Ingest Template'!J968)</f>
        <v>
</v>
      </c>
      <c r="F968" s="26" t="str">
        <f>'Ingest Template'!H968</f>
        <v/>
      </c>
      <c r="G968" s="21"/>
      <c r="H968" s="29"/>
      <c r="I968" s="21"/>
      <c r="J968" s="29" t="str">
        <f t="array" ref="J968">iF('Ingest Template'!A968="Standard","Pristine Brand",INDEX(DropDown!$M$2:$M$392,MATCH('Ingest Template'!E968,DropDown!$J$2:$J$392,0)))</f>
        <v>#N/A</v>
      </c>
      <c r="K968" s="21" t="str">
        <f>iF('Ingest Template'!A968="Standard",'Ingest Template'!K968&amp;CHAR(10)&amp;'Ingest Template'!L968,"Competitive View")</f>
        <v>Competitive View</v>
      </c>
      <c r="L968" s="29" t="s">
        <v>146</v>
      </c>
      <c r="M968" s="37" t="str">
        <f>'Ingest Template'!D968</f>
        <v/>
      </c>
      <c r="N968" s="21"/>
      <c r="O968" s="21"/>
      <c r="P968" s="21"/>
      <c r="Q968" s="21"/>
      <c r="R968" s="21" t="str">
        <f>'Ingest Template'!E968</f>
        <v/>
      </c>
      <c r="S968" s="29" t="s">
        <v>153</v>
      </c>
      <c r="T968" s="21" t="str">
        <f>'Ingest Template'!T968</f>
        <v/>
      </c>
      <c r="U968" s="21" t="str">
        <f>'Ingest Template'!S968</f>
        <v/>
      </c>
      <c r="V968" s="21" t="str">
        <f>LOWER(SUBSTITUTE(SUBSTITUTE(SUBSTITUTE(SUBSTITUTE(SUBSTITUTE('Ingest Template'!U968,"https:",""),"www.",""),"/",""),"?hl=en",""),"instagram.com",""))</f>
        <v/>
      </c>
      <c r="W968" s="41" t="str">
        <f t="array" ref="W968">IF('Ingest Template'!V968="",(INDEX(DropDown!$L$2:$L$392,MATCH('Ingest Template'!E968,DropDown!$J$2:$J$392,0))&amp;"|"&amp;'Ingest Template'!B968),(INDEX(DropDown!$L$2:$L$392,MATCH('Ingest Template'!E968,DropDown!$J$2:$J$392,0))&amp;"|"&amp;'Ingest Template'!B968)&amp;CHAR(10)&amp;'Ingest Template'!V968)</f>
        <v>#N/A</v>
      </c>
      <c r="X968" s="41" t="str">
        <f>'Ingest Template'!W968</f>
        <v/>
      </c>
      <c r="Y968" s="21" t="str">
        <f>SUBSTITUTE(SUBSTITUTE(SUBSTITUTE('Ingest Template'!X968,"http:",""),"https:",""),"/","")</f>
        <v/>
      </c>
      <c r="Z968" s="21" t="str">
        <f t="array" ref="Z968">IF('Ingest Template'!A968="Standard",(IF(ISBLANK('Ingest Template'!AA968),"", 'Ingest Template'!AA968&amp;"|DAR")),(IF(ISBLANK('Ingest Template'!AA968),"", 'Ingest Template'!AA968&amp;"|Film Ops")))</f>
        <v/>
      </c>
      <c r="AA968" s="21"/>
      <c r="AB968" s="21" t="str">
        <f>'Ingest Template'!M968</f>
        <v/>
      </c>
      <c r="AC968" s="21" t="str">
        <f>'Ingest Template'!Y968</f>
        <v/>
      </c>
      <c r="AD968" s="21" t="str">
        <f>'Ingest Template'!C968</f>
        <v/>
      </c>
      <c r="AE968" s="21" t="str">
        <f>'Ingest Template'!Z968</f>
        <v/>
      </c>
      <c r="AF968" s="29"/>
      <c r="AG968" s="21" t="str">
        <f t="array" ref="AG968">IF('Ingest Template'!A968="Standard",(CONCATENATE(IF(ISBLANK('Ingest Template'!O968),"", 'Ingest Template'!O968&amp;"|DAR"),CHAR(10), IF(ISBLANK('Ingest Template'!P968),"", 'Ingest Template'!P968&amp;"|DAR"),CHAR(10), IF(ISBLANK('Ingest Template'!Q968),"", 'Ingest Template'!Q968&amp;"|DAR"))),(CONCATENATE(IF(ISBLANK('Ingest Template'!O968),"", 'Ingest Template'!O968&amp;"|Operations - Core Title"),CHAR(10), IF(ISBLANK('Ingest Template'!P968),"", 'Ingest Template'!P968&amp;"|Operations - Core Title"),CHAR(10), IF(ISBLANK('Ingest Template'!Q968),"", 'Ingest Template'!Q968&amp;"|Operations - Core Title"))))</f>
        <v>#|Operations - Core Title
#|Operations - Core Title
</v>
      </c>
      <c r="AH968" s="21"/>
      <c r="AI968" s="21"/>
      <c r="AJ968" s="53" t="str">
        <f>if('Ingest Template'!A968="Standard",'Ingest Template'!N968&amp; "|DAR|DAR|2021-01-01",'Ingest Template'!N968&amp; "|Operations - Core Title|Operations - Core Title")</f>
        <v>#N/A</v>
      </c>
      <c r="AK968" s="53" t="str">
        <f>if('Ingest Template'!A968="Standard",'Ingest Template'!R968&amp; "|2021-01-01",'Ingest Template'!R968)</f>
        <v>#N/A</v>
      </c>
      <c r="AL968" s="21"/>
      <c r="AM968" s="21"/>
    </row>
    <row r="969">
      <c r="A969" s="21"/>
      <c r="B969" s="21" t="str">
        <f>'Ingest Template'!B969&amp;IF('Ingest Template'!A969 = "Standard", " - DAR","")</f>
        <v/>
      </c>
      <c r="C969" s="26" t="s">
        <v>109</v>
      </c>
      <c r="D969" s="29" t="str">
        <f t="array" ref="D969">CONCATENATE(INDEX(DropDown!$H$2:$H$10,MATCH(1,COUNTIF('Ingest Template'!F969,"*"&amp;DropDown!$H$2:$H$10&amp;"*"),0)),CHAR(10),'Ingest Template'!G969)</f>
        <v>#N/A</v>
      </c>
      <c r="E969" s="21" t="str">
        <f>CONCATENATE('Ingest Template'!H969,CHAR(10),'Ingest Template'!I969,CHAR(10),'Ingest Template'!J969)</f>
        <v>
</v>
      </c>
      <c r="F969" s="26" t="str">
        <f>'Ingest Template'!H969</f>
        <v/>
      </c>
      <c r="G969" s="21"/>
      <c r="H969" s="29"/>
      <c r="I969" s="21"/>
      <c r="J969" s="29" t="str">
        <f t="array" ref="J969">iF('Ingest Template'!A969="Standard","Pristine Brand",INDEX(DropDown!$M$2:$M$392,MATCH('Ingest Template'!E969,DropDown!$J$2:$J$392,0)))</f>
        <v>#N/A</v>
      </c>
      <c r="K969" s="21" t="str">
        <f>iF('Ingest Template'!A969="Standard",'Ingest Template'!K969&amp;CHAR(10)&amp;'Ingest Template'!L969,"Competitive View")</f>
        <v>Competitive View</v>
      </c>
      <c r="L969" s="29" t="s">
        <v>146</v>
      </c>
      <c r="M969" s="37" t="str">
        <f>'Ingest Template'!D969</f>
        <v/>
      </c>
      <c r="N969" s="21"/>
      <c r="O969" s="21"/>
      <c r="P969" s="21"/>
      <c r="Q969" s="21"/>
      <c r="R969" s="21" t="str">
        <f>'Ingest Template'!E969</f>
        <v/>
      </c>
      <c r="S969" s="29" t="s">
        <v>153</v>
      </c>
      <c r="T969" s="21" t="str">
        <f>'Ingest Template'!T969</f>
        <v/>
      </c>
      <c r="U969" s="21" t="str">
        <f>'Ingest Template'!S969</f>
        <v/>
      </c>
      <c r="V969" s="21" t="str">
        <f>LOWER(SUBSTITUTE(SUBSTITUTE(SUBSTITUTE(SUBSTITUTE(SUBSTITUTE('Ingest Template'!U969,"https:",""),"www.",""),"/",""),"?hl=en",""),"instagram.com",""))</f>
        <v/>
      </c>
      <c r="W969" s="41" t="str">
        <f t="array" ref="W969">IF('Ingest Template'!V969="",(INDEX(DropDown!$L$2:$L$392,MATCH('Ingest Template'!E969,DropDown!$J$2:$J$392,0))&amp;"|"&amp;'Ingest Template'!B969),(INDEX(DropDown!$L$2:$L$392,MATCH('Ingest Template'!E969,DropDown!$J$2:$J$392,0))&amp;"|"&amp;'Ingest Template'!B969)&amp;CHAR(10)&amp;'Ingest Template'!V969)</f>
        <v>#N/A</v>
      </c>
      <c r="X969" s="41" t="str">
        <f>'Ingest Template'!W969</f>
        <v/>
      </c>
      <c r="Y969" s="21" t="str">
        <f>SUBSTITUTE(SUBSTITUTE(SUBSTITUTE('Ingest Template'!X969,"http:",""),"https:",""),"/","")</f>
        <v/>
      </c>
      <c r="Z969" s="21" t="str">
        <f t="array" ref="Z969">IF('Ingest Template'!A969="Standard",(IF(ISBLANK('Ingest Template'!AA969),"", 'Ingest Template'!AA969&amp;"|DAR")),(IF(ISBLANK('Ingest Template'!AA969),"", 'Ingest Template'!AA969&amp;"|Film Ops")))</f>
        <v/>
      </c>
      <c r="AA969" s="21"/>
      <c r="AB969" s="21" t="str">
        <f>'Ingest Template'!M969</f>
        <v/>
      </c>
      <c r="AC969" s="21" t="str">
        <f>'Ingest Template'!Y969</f>
        <v/>
      </c>
      <c r="AD969" s="21" t="str">
        <f>'Ingest Template'!C969</f>
        <v/>
      </c>
      <c r="AE969" s="21" t="str">
        <f>'Ingest Template'!Z969</f>
        <v/>
      </c>
      <c r="AF969" s="29"/>
      <c r="AG969" s="21" t="str">
        <f t="array" ref="AG969">IF('Ingest Template'!A969="Standard",(CONCATENATE(IF(ISBLANK('Ingest Template'!O969),"", 'Ingest Template'!O969&amp;"|DAR"),CHAR(10), IF(ISBLANK('Ingest Template'!P969),"", 'Ingest Template'!P969&amp;"|DAR"),CHAR(10), IF(ISBLANK('Ingest Template'!Q969),"", 'Ingest Template'!Q969&amp;"|DAR"))),(CONCATENATE(IF(ISBLANK('Ingest Template'!O969),"", 'Ingest Template'!O969&amp;"|Operations - Core Title"),CHAR(10), IF(ISBLANK('Ingest Template'!P969),"", 'Ingest Template'!P969&amp;"|Operations - Core Title"),CHAR(10), IF(ISBLANK('Ingest Template'!Q969),"", 'Ingest Template'!Q969&amp;"|Operations - Core Title"))))</f>
        <v>#|Operations - Core Title
#|Operations - Core Title
</v>
      </c>
      <c r="AH969" s="21"/>
      <c r="AI969" s="21"/>
      <c r="AJ969" s="53" t="str">
        <f>if('Ingest Template'!A969="Standard",'Ingest Template'!N969&amp; "|DAR|DAR|2021-01-01",'Ingest Template'!N969&amp; "|Operations - Core Title|Operations - Core Title")</f>
        <v>#N/A</v>
      </c>
      <c r="AK969" s="53" t="str">
        <f>if('Ingest Template'!A969="Standard",'Ingest Template'!R969&amp; "|2021-01-01",'Ingest Template'!R969)</f>
        <v>#N/A</v>
      </c>
      <c r="AL969" s="21"/>
      <c r="AM969" s="21"/>
    </row>
    <row r="970">
      <c r="A970" s="21"/>
      <c r="B970" s="21" t="str">
        <f>'Ingest Template'!B970&amp;IF('Ingest Template'!A970 = "Standard", " - DAR","")</f>
        <v/>
      </c>
      <c r="C970" s="26" t="s">
        <v>109</v>
      </c>
      <c r="D970" s="29" t="str">
        <f t="array" ref="D970">CONCATENATE(INDEX(DropDown!$H$2:$H$10,MATCH(1,COUNTIF('Ingest Template'!F970,"*"&amp;DropDown!$H$2:$H$10&amp;"*"),0)),CHAR(10),'Ingest Template'!G970)</f>
        <v>#N/A</v>
      </c>
      <c r="E970" s="21" t="str">
        <f>CONCATENATE('Ingest Template'!H970,CHAR(10),'Ingest Template'!I970,CHAR(10),'Ingest Template'!J970)</f>
        <v>
</v>
      </c>
      <c r="F970" s="26" t="str">
        <f>'Ingest Template'!H970</f>
        <v/>
      </c>
      <c r="G970" s="21"/>
      <c r="H970" s="29"/>
      <c r="I970" s="21"/>
      <c r="J970" s="29" t="str">
        <f t="array" ref="J970">iF('Ingest Template'!A970="Standard","Pristine Brand",INDEX(DropDown!$M$2:$M$392,MATCH('Ingest Template'!E970,DropDown!$J$2:$J$392,0)))</f>
        <v>#N/A</v>
      </c>
      <c r="K970" s="21" t="str">
        <f>iF('Ingest Template'!A970="Standard",'Ingest Template'!K970&amp;CHAR(10)&amp;'Ingest Template'!L970,"Competitive View")</f>
        <v>Competitive View</v>
      </c>
      <c r="L970" s="29" t="s">
        <v>146</v>
      </c>
      <c r="M970" s="37" t="str">
        <f>'Ingest Template'!D970</f>
        <v/>
      </c>
      <c r="N970" s="21"/>
      <c r="O970" s="21"/>
      <c r="P970" s="21"/>
      <c r="Q970" s="21"/>
      <c r="R970" s="21" t="str">
        <f>'Ingest Template'!E970</f>
        <v/>
      </c>
      <c r="S970" s="29" t="s">
        <v>153</v>
      </c>
      <c r="T970" s="21" t="str">
        <f>'Ingest Template'!T970</f>
        <v/>
      </c>
      <c r="U970" s="21" t="str">
        <f>'Ingest Template'!S970</f>
        <v/>
      </c>
      <c r="V970" s="21" t="str">
        <f>LOWER(SUBSTITUTE(SUBSTITUTE(SUBSTITUTE(SUBSTITUTE(SUBSTITUTE('Ingest Template'!U970,"https:",""),"www.",""),"/",""),"?hl=en",""),"instagram.com",""))</f>
        <v/>
      </c>
      <c r="W970" s="41" t="str">
        <f t="array" ref="W970">IF('Ingest Template'!V970="",(INDEX(DropDown!$L$2:$L$392,MATCH('Ingest Template'!E970,DropDown!$J$2:$J$392,0))&amp;"|"&amp;'Ingest Template'!B970),(INDEX(DropDown!$L$2:$L$392,MATCH('Ingest Template'!E970,DropDown!$J$2:$J$392,0))&amp;"|"&amp;'Ingest Template'!B970)&amp;CHAR(10)&amp;'Ingest Template'!V970)</f>
        <v>#N/A</v>
      </c>
      <c r="X970" s="41" t="str">
        <f>'Ingest Template'!W970</f>
        <v/>
      </c>
      <c r="Y970" s="21" t="str">
        <f>SUBSTITUTE(SUBSTITUTE(SUBSTITUTE('Ingest Template'!X970,"http:",""),"https:",""),"/","")</f>
        <v/>
      </c>
      <c r="Z970" s="21" t="str">
        <f t="array" ref="Z970">IF('Ingest Template'!A970="Standard",(IF(ISBLANK('Ingest Template'!AA970),"", 'Ingest Template'!AA970&amp;"|DAR")),(IF(ISBLANK('Ingest Template'!AA970),"", 'Ingest Template'!AA970&amp;"|Film Ops")))</f>
        <v/>
      </c>
      <c r="AA970" s="21"/>
      <c r="AB970" s="21" t="str">
        <f>'Ingest Template'!M970</f>
        <v/>
      </c>
      <c r="AC970" s="21" t="str">
        <f>'Ingest Template'!Y970</f>
        <v/>
      </c>
      <c r="AD970" s="21" t="str">
        <f>'Ingest Template'!C970</f>
        <v/>
      </c>
      <c r="AE970" s="21" t="str">
        <f>'Ingest Template'!Z970</f>
        <v/>
      </c>
      <c r="AF970" s="29"/>
      <c r="AG970" s="21" t="str">
        <f t="array" ref="AG970">IF('Ingest Template'!A970="Standard",(CONCATENATE(IF(ISBLANK('Ingest Template'!O970),"", 'Ingest Template'!O970&amp;"|DAR"),CHAR(10), IF(ISBLANK('Ingest Template'!P970),"", 'Ingest Template'!P970&amp;"|DAR"),CHAR(10), IF(ISBLANK('Ingest Template'!Q970),"", 'Ingest Template'!Q970&amp;"|DAR"))),(CONCATENATE(IF(ISBLANK('Ingest Template'!O970),"", 'Ingest Template'!O970&amp;"|Operations - Core Title"),CHAR(10), IF(ISBLANK('Ingest Template'!P970),"", 'Ingest Template'!P970&amp;"|Operations - Core Title"),CHAR(10), IF(ISBLANK('Ingest Template'!Q970),"", 'Ingest Template'!Q970&amp;"|Operations - Core Title"))))</f>
        <v>#|Operations - Core Title
#|Operations - Core Title
</v>
      </c>
      <c r="AH970" s="21"/>
      <c r="AI970" s="21"/>
      <c r="AJ970" s="53" t="str">
        <f>if('Ingest Template'!A970="Standard",'Ingest Template'!N970&amp; "|DAR|DAR|2021-01-01",'Ingest Template'!N970&amp; "|Operations - Core Title|Operations - Core Title")</f>
        <v>#N/A</v>
      </c>
      <c r="AK970" s="53" t="str">
        <f>if('Ingest Template'!A970="Standard",'Ingest Template'!R970&amp; "|2021-01-01",'Ingest Template'!R970)</f>
        <v>#N/A</v>
      </c>
      <c r="AL970" s="21"/>
      <c r="AM970" s="21"/>
    </row>
    <row r="971">
      <c r="A971" s="21"/>
      <c r="B971" s="21" t="str">
        <f>'Ingest Template'!B971&amp;IF('Ingest Template'!A971 = "Standard", " - DAR","")</f>
        <v/>
      </c>
      <c r="C971" s="26" t="s">
        <v>109</v>
      </c>
      <c r="D971" s="29" t="str">
        <f t="array" ref="D971">CONCATENATE(INDEX(DropDown!$H$2:$H$10,MATCH(1,COUNTIF('Ingest Template'!F971,"*"&amp;DropDown!$H$2:$H$10&amp;"*"),0)),CHAR(10),'Ingest Template'!G971)</f>
        <v>#N/A</v>
      </c>
      <c r="E971" s="21" t="str">
        <f>CONCATENATE('Ingest Template'!H971,CHAR(10),'Ingest Template'!I971,CHAR(10),'Ingest Template'!J971)</f>
        <v>
</v>
      </c>
      <c r="F971" s="26" t="str">
        <f>'Ingest Template'!H971</f>
        <v/>
      </c>
      <c r="G971" s="21"/>
      <c r="H971" s="29"/>
      <c r="I971" s="21"/>
      <c r="J971" s="29" t="str">
        <f t="array" ref="J971">iF('Ingest Template'!A971="Standard","Pristine Brand",INDEX(DropDown!$M$2:$M$392,MATCH('Ingest Template'!E971,DropDown!$J$2:$J$392,0)))</f>
        <v>#N/A</v>
      </c>
      <c r="K971" s="21" t="str">
        <f>iF('Ingest Template'!A971="Standard",'Ingest Template'!K971&amp;CHAR(10)&amp;'Ingest Template'!L971,"Competitive View")</f>
        <v>Competitive View</v>
      </c>
      <c r="L971" s="29" t="s">
        <v>146</v>
      </c>
      <c r="M971" s="37" t="str">
        <f>'Ingest Template'!D971</f>
        <v/>
      </c>
      <c r="N971" s="21"/>
      <c r="O971" s="21"/>
      <c r="P971" s="21"/>
      <c r="Q971" s="21"/>
      <c r="R971" s="21" t="str">
        <f>'Ingest Template'!E971</f>
        <v/>
      </c>
      <c r="S971" s="29" t="s">
        <v>153</v>
      </c>
      <c r="T971" s="21" t="str">
        <f>'Ingest Template'!T971</f>
        <v/>
      </c>
      <c r="U971" s="21" t="str">
        <f>'Ingest Template'!S971</f>
        <v/>
      </c>
      <c r="V971" s="21" t="str">
        <f>LOWER(SUBSTITUTE(SUBSTITUTE(SUBSTITUTE(SUBSTITUTE(SUBSTITUTE('Ingest Template'!U971,"https:",""),"www.",""),"/",""),"?hl=en",""),"instagram.com",""))</f>
        <v/>
      </c>
      <c r="W971" s="41" t="str">
        <f t="array" ref="W971">IF('Ingest Template'!V971="",(INDEX(DropDown!$L$2:$L$392,MATCH('Ingest Template'!E971,DropDown!$J$2:$J$392,0))&amp;"|"&amp;'Ingest Template'!B971),(INDEX(DropDown!$L$2:$L$392,MATCH('Ingest Template'!E971,DropDown!$J$2:$J$392,0))&amp;"|"&amp;'Ingest Template'!B971)&amp;CHAR(10)&amp;'Ingest Template'!V971)</f>
        <v>#N/A</v>
      </c>
      <c r="X971" s="41" t="str">
        <f>'Ingest Template'!W971</f>
        <v/>
      </c>
      <c r="Y971" s="21" t="str">
        <f>SUBSTITUTE(SUBSTITUTE(SUBSTITUTE('Ingest Template'!X971,"http:",""),"https:",""),"/","")</f>
        <v/>
      </c>
      <c r="Z971" s="21" t="str">
        <f t="array" ref="Z971">IF('Ingest Template'!A971="Standard",(IF(ISBLANK('Ingest Template'!AA971),"", 'Ingest Template'!AA971&amp;"|DAR")),(IF(ISBLANK('Ingest Template'!AA971),"", 'Ingest Template'!AA971&amp;"|Film Ops")))</f>
        <v/>
      </c>
      <c r="AA971" s="21"/>
      <c r="AB971" s="21" t="str">
        <f>'Ingest Template'!M971</f>
        <v/>
      </c>
      <c r="AC971" s="21" t="str">
        <f>'Ingest Template'!Y971</f>
        <v/>
      </c>
      <c r="AD971" s="21" t="str">
        <f>'Ingest Template'!C971</f>
        <v/>
      </c>
      <c r="AE971" s="21" t="str">
        <f>'Ingest Template'!Z971</f>
        <v/>
      </c>
      <c r="AF971" s="29"/>
      <c r="AG971" s="21" t="str">
        <f t="array" ref="AG971">IF('Ingest Template'!A971="Standard",(CONCATENATE(IF(ISBLANK('Ingest Template'!O971),"", 'Ingest Template'!O971&amp;"|DAR"),CHAR(10), IF(ISBLANK('Ingest Template'!P971),"", 'Ingest Template'!P971&amp;"|DAR"),CHAR(10), IF(ISBLANK('Ingest Template'!Q971),"", 'Ingest Template'!Q971&amp;"|DAR"))),(CONCATENATE(IF(ISBLANK('Ingest Template'!O971),"", 'Ingest Template'!O971&amp;"|Operations - Core Title"),CHAR(10), IF(ISBLANK('Ingest Template'!P971),"", 'Ingest Template'!P971&amp;"|Operations - Core Title"),CHAR(10), IF(ISBLANK('Ingest Template'!Q971),"", 'Ingest Template'!Q971&amp;"|Operations - Core Title"))))</f>
        <v>#|Operations - Core Title
#|Operations - Core Title
</v>
      </c>
      <c r="AH971" s="21"/>
      <c r="AI971" s="21"/>
      <c r="AJ971" s="53" t="str">
        <f>if('Ingest Template'!A971="Standard",'Ingest Template'!N971&amp; "|DAR|DAR|2021-01-01",'Ingest Template'!N971&amp; "|Operations - Core Title|Operations - Core Title")</f>
        <v>#N/A</v>
      </c>
      <c r="AK971" s="53" t="str">
        <f>if('Ingest Template'!A971="Standard",'Ingest Template'!R971&amp; "|2021-01-01",'Ingest Template'!R971)</f>
        <v>#N/A</v>
      </c>
      <c r="AL971" s="21"/>
      <c r="AM971" s="21"/>
    </row>
    <row r="972">
      <c r="A972" s="21"/>
      <c r="B972" s="21" t="str">
        <f>'Ingest Template'!B972&amp;IF('Ingest Template'!A972 = "Standard", " - DAR","")</f>
        <v/>
      </c>
      <c r="C972" s="26" t="s">
        <v>109</v>
      </c>
      <c r="D972" s="29" t="str">
        <f t="array" ref="D972">CONCATENATE(INDEX(DropDown!$H$2:$H$10,MATCH(1,COUNTIF('Ingest Template'!F972,"*"&amp;DropDown!$H$2:$H$10&amp;"*"),0)),CHAR(10),'Ingest Template'!G972)</f>
        <v>#N/A</v>
      </c>
      <c r="E972" s="21" t="str">
        <f>CONCATENATE('Ingest Template'!H972,CHAR(10),'Ingest Template'!I972,CHAR(10),'Ingest Template'!J972)</f>
        <v>
</v>
      </c>
      <c r="F972" s="26" t="str">
        <f>'Ingest Template'!H972</f>
        <v/>
      </c>
      <c r="G972" s="21"/>
      <c r="H972" s="29"/>
      <c r="I972" s="21"/>
      <c r="J972" s="29" t="str">
        <f t="array" ref="J972">iF('Ingest Template'!A972="Standard","Pristine Brand",INDEX(DropDown!$M$2:$M$392,MATCH('Ingest Template'!E972,DropDown!$J$2:$J$392,0)))</f>
        <v>#N/A</v>
      </c>
      <c r="K972" s="21" t="str">
        <f>iF('Ingest Template'!A972="Standard",'Ingest Template'!K972&amp;CHAR(10)&amp;'Ingest Template'!L972,"Competitive View")</f>
        <v>Competitive View</v>
      </c>
      <c r="L972" s="29" t="s">
        <v>146</v>
      </c>
      <c r="M972" s="37" t="str">
        <f>'Ingest Template'!D972</f>
        <v/>
      </c>
      <c r="N972" s="21"/>
      <c r="O972" s="21"/>
      <c r="P972" s="21"/>
      <c r="Q972" s="21"/>
      <c r="R972" s="21" t="str">
        <f>'Ingest Template'!E972</f>
        <v/>
      </c>
      <c r="S972" s="29" t="s">
        <v>153</v>
      </c>
      <c r="T972" s="21" t="str">
        <f>'Ingest Template'!T972</f>
        <v/>
      </c>
      <c r="U972" s="21" t="str">
        <f>'Ingest Template'!S972</f>
        <v/>
      </c>
      <c r="V972" s="21" t="str">
        <f>LOWER(SUBSTITUTE(SUBSTITUTE(SUBSTITUTE(SUBSTITUTE(SUBSTITUTE('Ingest Template'!U972,"https:",""),"www.",""),"/",""),"?hl=en",""),"instagram.com",""))</f>
        <v/>
      </c>
      <c r="W972" s="41" t="str">
        <f t="array" ref="W972">IF('Ingest Template'!V972="",(INDEX(DropDown!$L$2:$L$392,MATCH('Ingest Template'!E972,DropDown!$J$2:$J$392,0))&amp;"|"&amp;'Ingest Template'!B972),(INDEX(DropDown!$L$2:$L$392,MATCH('Ingest Template'!E972,DropDown!$J$2:$J$392,0))&amp;"|"&amp;'Ingest Template'!B972)&amp;CHAR(10)&amp;'Ingest Template'!V972)</f>
        <v>#N/A</v>
      </c>
      <c r="X972" s="41" t="str">
        <f>'Ingest Template'!W972</f>
        <v/>
      </c>
      <c r="Y972" s="21" t="str">
        <f>SUBSTITUTE(SUBSTITUTE(SUBSTITUTE('Ingest Template'!X972,"http:",""),"https:",""),"/","")</f>
        <v/>
      </c>
      <c r="Z972" s="21" t="str">
        <f t="array" ref="Z972">IF('Ingest Template'!A972="Standard",(IF(ISBLANK('Ingest Template'!AA972),"", 'Ingest Template'!AA972&amp;"|DAR")),(IF(ISBLANK('Ingest Template'!AA972),"", 'Ingest Template'!AA972&amp;"|Film Ops")))</f>
        <v/>
      </c>
      <c r="AA972" s="21"/>
      <c r="AB972" s="21" t="str">
        <f>'Ingest Template'!M972</f>
        <v/>
      </c>
      <c r="AC972" s="21" t="str">
        <f>'Ingest Template'!Y972</f>
        <v/>
      </c>
      <c r="AD972" s="21" t="str">
        <f>'Ingest Template'!C972</f>
        <v/>
      </c>
      <c r="AE972" s="21" t="str">
        <f>'Ingest Template'!Z972</f>
        <v/>
      </c>
      <c r="AF972" s="29"/>
      <c r="AG972" s="21" t="str">
        <f t="array" ref="AG972">IF('Ingest Template'!A972="Standard",(CONCATENATE(IF(ISBLANK('Ingest Template'!O972),"", 'Ingest Template'!O972&amp;"|DAR"),CHAR(10), IF(ISBLANK('Ingest Template'!P972),"", 'Ingest Template'!P972&amp;"|DAR"),CHAR(10), IF(ISBLANK('Ingest Template'!Q972),"", 'Ingest Template'!Q972&amp;"|DAR"))),(CONCATENATE(IF(ISBLANK('Ingest Template'!O972),"", 'Ingest Template'!O972&amp;"|Operations - Core Title"),CHAR(10), IF(ISBLANK('Ingest Template'!P972),"", 'Ingest Template'!P972&amp;"|Operations - Core Title"),CHAR(10), IF(ISBLANK('Ingest Template'!Q972),"", 'Ingest Template'!Q972&amp;"|Operations - Core Title"))))</f>
        <v>#|Operations - Core Title
#|Operations - Core Title
</v>
      </c>
      <c r="AH972" s="21"/>
      <c r="AI972" s="21"/>
      <c r="AJ972" s="53" t="str">
        <f>if('Ingest Template'!A972="Standard",'Ingest Template'!N972&amp; "|DAR|DAR|2021-01-01",'Ingest Template'!N972&amp; "|Operations - Core Title|Operations - Core Title")</f>
        <v>#N/A</v>
      </c>
      <c r="AK972" s="53" t="str">
        <f>if('Ingest Template'!A972="Standard",'Ingest Template'!R972&amp; "|2021-01-01",'Ingest Template'!R972)</f>
        <v>#N/A</v>
      </c>
      <c r="AL972" s="21"/>
      <c r="AM972" s="21"/>
    </row>
    <row r="973">
      <c r="A973" s="21"/>
      <c r="B973" s="21" t="str">
        <f>'Ingest Template'!B973&amp;IF('Ingest Template'!A973 = "Standard", " - DAR","")</f>
        <v/>
      </c>
      <c r="C973" s="26" t="s">
        <v>109</v>
      </c>
      <c r="D973" s="29" t="str">
        <f t="array" ref="D973">CONCATENATE(INDEX(DropDown!$H$2:$H$10,MATCH(1,COUNTIF('Ingest Template'!F973,"*"&amp;DropDown!$H$2:$H$10&amp;"*"),0)),CHAR(10),'Ingest Template'!G973)</f>
        <v>#N/A</v>
      </c>
      <c r="E973" s="21" t="str">
        <f>CONCATENATE('Ingest Template'!H973,CHAR(10),'Ingest Template'!I973,CHAR(10),'Ingest Template'!J973)</f>
        <v>
</v>
      </c>
      <c r="F973" s="26" t="str">
        <f>'Ingest Template'!H973</f>
        <v/>
      </c>
      <c r="G973" s="21"/>
      <c r="H973" s="29"/>
      <c r="I973" s="21"/>
      <c r="J973" s="29" t="str">
        <f t="array" ref="J973">iF('Ingest Template'!A973="Standard","Pristine Brand",INDEX(DropDown!$M$2:$M$392,MATCH('Ingest Template'!E973,DropDown!$J$2:$J$392,0)))</f>
        <v>#N/A</v>
      </c>
      <c r="K973" s="21" t="str">
        <f>iF('Ingest Template'!A973="Standard",'Ingest Template'!K973&amp;CHAR(10)&amp;'Ingest Template'!L973,"Competitive View")</f>
        <v>Competitive View</v>
      </c>
      <c r="L973" s="29" t="s">
        <v>146</v>
      </c>
      <c r="M973" s="37" t="str">
        <f>'Ingest Template'!D973</f>
        <v/>
      </c>
      <c r="N973" s="21"/>
      <c r="O973" s="21"/>
      <c r="P973" s="21"/>
      <c r="Q973" s="21"/>
      <c r="R973" s="21" t="str">
        <f>'Ingest Template'!E973</f>
        <v/>
      </c>
      <c r="S973" s="29" t="s">
        <v>153</v>
      </c>
      <c r="T973" s="21" t="str">
        <f>'Ingest Template'!T973</f>
        <v/>
      </c>
      <c r="U973" s="21" t="str">
        <f>'Ingest Template'!S973</f>
        <v/>
      </c>
      <c r="V973" s="21" t="str">
        <f>LOWER(SUBSTITUTE(SUBSTITUTE(SUBSTITUTE(SUBSTITUTE(SUBSTITUTE('Ingest Template'!U973,"https:",""),"www.",""),"/",""),"?hl=en",""),"instagram.com",""))</f>
        <v/>
      </c>
      <c r="W973" s="41" t="str">
        <f t="array" ref="W973">IF('Ingest Template'!V973="",(INDEX(DropDown!$L$2:$L$392,MATCH('Ingest Template'!E973,DropDown!$J$2:$J$392,0))&amp;"|"&amp;'Ingest Template'!B973),(INDEX(DropDown!$L$2:$L$392,MATCH('Ingest Template'!E973,DropDown!$J$2:$J$392,0))&amp;"|"&amp;'Ingest Template'!B973)&amp;CHAR(10)&amp;'Ingest Template'!V973)</f>
        <v>#N/A</v>
      </c>
      <c r="X973" s="41" t="str">
        <f>'Ingest Template'!W973</f>
        <v/>
      </c>
      <c r="Y973" s="21" t="str">
        <f>SUBSTITUTE(SUBSTITUTE(SUBSTITUTE('Ingest Template'!X973,"http:",""),"https:",""),"/","")</f>
        <v/>
      </c>
      <c r="Z973" s="21" t="str">
        <f t="array" ref="Z973">IF('Ingest Template'!A973="Standard",(IF(ISBLANK('Ingest Template'!AA973),"", 'Ingest Template'!AA973&amp;"|DAR")),(IF(ISBLANK('Ingest Template'!AA973),"", 'Ingest Template'!AA973&amp;"|Film Ops")))</f>
        <v/>
      </c>
      <c r="AA973" s="21"/>
      <c r="AB973" s="21" t="str">
        <f>'Ingest Template'!M973</f>
        <v/>
      </c>
      <c r="AC973" s="21" t="str">
        <f>'Ingest Template'!Y973</f>
        <v/>
      </c>
      <c r="AD973" s="21" t="str">
        <f>'Ingest Template'!C973</f>
        <v/>
      </c>
      <c r="AE973" s="21" t="str">
        <f>'Ingest Template'!Z973</f>
        <v/>
      </c>
      <c r="AF973" s="29"/>
      <c r="AG973" s="21" t="str">
        <f t="array" ref="AG973">IF('Ingest Template'!A973="Standard",(CONCATENATE(IF(ISBLANK('Ingest Template'!O973),"", 'Ingest Template'!O973&amp;"|DAR"),CHAR(10), IF(ISBLANK('Ingest Template'!P973),"", 'Ingest Template'!P973&amp;"|DAR"),CHAR(10), IF(ISBLANK('Ingest Template'!Q973),"", 'Ingest Template'!Q973&amp;"|DAR"))),(CONCATENATE(IF(ISBLANK('Ingest Template'!O973),"", 'Ingest Template'!O973&amp;"|Operations - Core Title"),CHAR(10), IF(ISBLANK('Ingest Template'!P973),"", 'Ingest Template'!P973&amp;"|Operations - Core Title"),CHAR(10), IF(ISBLANK('Ingest Template'!Q973),"", 'Ingest Template'!Q973&amp;"|Operations - Core Title"))))</f>
        <v>#|Operations - Core Title
#|Operations - Core Title
</v>
      </c>
      <c r="AH973" s="21"/>
      <c r="AI973" s="21"/>
      <c r="AJ973" s="53" t="str">
        <f>if('Ingest Template'!A973="Standard",'Ingest Template'!N973&amp; "|DAR|DAR|2021-01-01",'Ingest Template'!N973&amp; "|Operations - Core Title|Operations - Core Title")</f>
        <v>#N/A</v>
      </c>
      <c r="AK973" s="53" t="str">
        <f>if('Ingest Template'!A973="Standard",'Ingest Template'!R973&amp; "|2021-01-01",'Ingest Template'!R973)</f>
        <v>#N/A</v>
      </c>
      <c r="AL973" s="21"/>
      <c r="AM973" s="21"/>
    </row>
    <row r="974">
      <c r="A974" s="21"/>
      <c r="B974" s="21" t="str">
        <f>'Ingest Template'!B974&amp;IF('Ingest Template'!A974 = "Standard", " - DAR","")</f>
        <v/>
      </c>
      <c r="C974" s="26" t="s">
        <v>109</v>
      </c>
      <c r="D974" s="29" t="str">
        <f t="array" ref="D974">CONCATENATE(INDEX(DropDown!$H$2:$H$10,MATCH(1,COUNTIF('Ingest Template'!F974,"*"&amp;DropDown!$H$2:$H$10&amp;"*"),0)),CHAR(10),'Ingest Template'!G974)</f>
        <v>#N/A</v>
      </c>
      <c r="E974" s="21" t="str">
        <f>CONCATENATE('Ingest Template'!H974,CHAR(10),'Ingest Template'!I974,CHAR(10),'Ingest Template'!J974)</f>
        <v>
</v>
      </c>
      <c r="F974" s="26" t="str">
        <f>'Ingest Template'!H974</f>
        <v/>
      </c>
      <c r="G974" s="21"/>
      <c r="H974" s="29"/>
      <c r="I974" s="21"/>
      <c r="J974" s="29" t="str">
        <f t="array" ref="J974">iF('Ingest Template'!A974="Standard","Pristine Brand",INDEX(DropDown!$M$2:$M$392,MATCH('Ingest Template'!E974,DropDown!$J$2:$J$392,0)))</f>
        <v>#N/A</v>
      </c>
      <c r="K974" s="21" t="str">
        <f>iF('Ingest Template'!A974="Standard",'Ingest Template'!K974&amp;CHAR(10)&amp;'Ingest Template'!L974,"Competitive View")</f>
        <v>Competitive View</v>
      </c>
      <c r="L974" s="29" t="s">
        <v>146</v>
      </c>
      <c r="M974" s="37" t="str">
        <f>'Ingest Template'!D974</f>
        <v/>
      </c>
      <c r="N974" s="21"/>
      <c r="O974" s="21"/>
      <c r="P974" s="21"/>
      <c r="Q974" s="21"/>
      <c r="R974" s="21" t="str">
        <f>'Ingest Template'!E974</f>
        <v/>
      </c>
      <c r="S974" s="29" t="s">
        <v>153</v>
      </c>
      <c r="T974" s="21" t="str">
        <f>'Ingest Template'!T974</f>
        <v/>
      </c>
      <c r="U974" s="21" t="str">
        <f>'Ingest Template'!S974</f>
        <v/>
      </c>
      <c r="V974" s="21" t="str">
        <f>LOWER(SUBSTITUTE(SUBSTITUTE(SUBSTITUTE(SUBSTITUTE(SUBSTITUTE('Ingest Template'!U974,"https:",""),"www.",""),"/",""),"?hl=en",""),"instagram.com",""))</f>
        <v/>
      </c>
      <c r="W974" s="41" t="str">
        <f t="array" ref="W974">IF('Ingest Template'!V974="",(INDEX(DropDown!$L$2:$L$392,MATCH('Ingest Template'!E974,DropDown!$J$2:$J$392,0))&amp;"|"&amp;'Ingest Template'!B974),(INDEX(DropDown!$L$2:$L$392,MATCH('Ingest Template'!E974,DropDown!$J$2:$J$392,0))&amp;"|"&amp;'Ingest Template'!B974)&amp;CHAR(10)&amp;'Ingest Template'!V974)</f>
        <v>#N/A</v>
      </c>
      <c r="X974" s="41" t="str">
        <f>'Ingest Template'!W974</f>
        <v/>
      </c>
      <c r="Y974" s="21" t="str">
        <f>SUBSTITUTE(SUBSTITUTE(SUBSTITUTE('Ingest Template'!X974,"http:",""),"https:",""),"/","")</f>
        <v/>
      </c>
      <c r="Z974" s="21" t="str">
        <f t="array" ref="Z974">IF('Ingest Template'!A974="Standard",(IF(ISBLANK('Ingest Template'!AA974),"", 'Ingest Template'!AA974&amp;"|DAR")),(IF(ISBLANK('Ingest Template'!AA974),"", 'Ingest Template'!AA974&amp;"|Film Ops")))</f>
        <v/>
      </c>
      <c r="AA974" s="21"/>
      <c r="AB974" s="21" t="str">
        <f>'Ingest Template'!M974</f>
        <v/>
      </c>
      <c r="AC974" s="21" t="str">
        <f>'Ingest Template'!Y974</f>
        <v/>
      </c>
      <c r="AD974" s="21" t="str">
        <f>'Ingest Template'!C974</f>
        <v/>
      </c>
      <c r="AE974" s="21" t="str">
        <f>'Ingest Template'!Z974</f>
        <v/>
      </c>
      <c r="AF974" s="29"/>
      <c r="AG974" s="21" t="str">
        <f t="array" ref="AG974">IF('Ingest Template'!A974="Standard",(CONCATENATE(IF(ISBLANK('Ingest Template'!O974),"", 'Ingest Template'!O974&amp;"|DAR"),CHAR(10), IF(ISBLANK('Ingest Template'!P974),"", 'Ingest Template'!P974&amp;"|DAR"),CHAR(10), IF(ISBLANK('Ingest Template'!Q974),"", 'Ingest Template'!Q974&amp;"|DAR"))),(CONCATENATE(IF(ISBLANK('Ingest Template'!O974),"", 'Ingest Template'!O974&amp;"|Operations - Core Title"),CHAR(10), IF(ISBLANK('Ingest Template'!P974),"", 'Ingest Template'!P974&amp;"|Operations - Core Title"),CHAR(10), IF(ISBLANK('Ingest Template'!Q974),"", 'Ingest Template'!Q974&amp;"|Operations - Core Title"))))</f>
        <v>#|Operations - Core Title
#|Operations - Core Title
</v>
      </c>
      <c r="AH974" s="21"/>
      <c r="AI974" s="21"/>
      <c r="AJ974" s="53" t="str">
        <f>if('Ingest Template'!A974="Standard",'Ingest Template'!N974&amp; "|DAR|DAR|2021-01-01",'Ingest Template'!N974&amp; "|Operations - Core Title|Operations - Core Title")</f>
        <v>#N/A</v>
      </c>
      <c r="AK974" s="53" t="str">
        <f>if('Ingest Template'!A974="Standard",'Ingest Template'!R974&amp; "|2021-01-01",'Ingest Template'!R974)</f>
        <v>#N/A</v>
      </c>
      <c r="AL974" s="21"/>
      <c r="AM974" s="21"/>
    </row>
    <row r="975">
      <c r="A975" s="21"/>
      <c r="B975" s="21" t="str">
        <f>'Ingest Template'!B975&amp;IF('Ingest Template'!A975 = "Standard", " - DAR","")</f>
        <v/>
      </c>
      <c r="C975" s="26" t="s">
        <v>109</v>
      </c>
      <c r="D975" s="29" t="str">
        <f t="array" ref="D975">CONCATENATE(INDEX(DropDown!$H$2:$H$10,MATCH(1,COUNTIF('Ingest Template'!F975,"*"&amp;DropDown!$H$2:$H$10&amp;"*"),0)),CHAR(10),'Ingest Template'!G975)</f>
        <v>#N/A</v>
      </c>
      <c r="E975" s="21" t="str">
        <f>CONCATENATE('Ingest Template'!H975,CHAR(10),'Ingest Template'!I975,CHAR(10),'Ingest Template'!J975)</f>
        <v>
</v>
      </c>
      <c r="F975" s="26" t="str">
        <f>'Ingest Template'!H975</f>
        <v/>
      </c>
      <c r="G975" s="21"/>
      <c r="H975" s="29"/>
      <c r="I975" s="21"/>
      <c r="J975" s="29" t="str">
        <f t="array" ref="J975">iF('Ingest Template'!A975="Standard","Pristine Brand",INDEX(DropDown!$M$2:$M$392,MATCH('Ingest Template'!E975,DropDown!$J$2:$J$392,0)))</f>
        <v>#N/A</v>
      </c>
      <c r="K975" s="21" t="str">
        <f>iF('Ingest Template'!A975="Standard",'Ingest Template'!K975&amp;CHAR(10)&amp;'Ingest Template'!L975,"Competitive View")</f>
        <v>Competitive View</v>
      </c>
      <c r="L975" s="29" t="s">
        <v>146</v>
      </c>
      <c r="M975" s="37" t="str">
        <f>'Ingest Template'!D975</f>
        <v/>
      </c>
      <c r="N975" s="21"/>
      <c r="O975" s="21"/>
      <c r="P975" s="21"/>
      <c r="Q975" s="21"/>
      <c r="R975" s="21" t="str">
        <f>'Ingest Template'!E975</f>
        <v/>
      </c>
      <c r="S975" s="29" t="s">
        <v>153</v>
      </c>
      <c r="T975" s="21" t="str">
        <f>'Ingest Template'!T975</f>
        <v/>
      </c>
      <c r="U975" s="21" t="str">
        <f>'Ingest Template'!S975</f>
        <v/>
      </c>
      <c r="V975" s="21" t="str">
        <f>LOWER(SUBSTITUTE(SUBSTITUTE(SUBSTITUTE(SUBSTITUTE(SUBSTITUTE('Ingest Template'!U975,"https:",""),"www.",""),"/",""),"?hl=en",""),"instagram.com",""))</f>
        <v/>
      </c>
      <c r="W975" s="41" t="str">
        <f t="array" ref="W975">IF('Ingest Template'!V975="",(INDEX(DropDown!$L$2:$L$392,MATCH('Ingest Template'!E975,DropDown!$J$2:$J$392,0))&amp;"|"&amp;'Ingest Template'!B975),(INDEX(DropDown!$L$2:$L$392,MATCH('Ingest Template'!E975,DropDown!$J$2:$J$392,0))&amp;"|"&amp;'Ingest Template'!B975)&amp;CHAR(10)&amp;'Ingest Template'!V975)</f>
        <v>#N/A</v>
      </c>
      <c r="X975" s="41" t="str">
        <f>'Ingest Template'!W975</f>
        <v/>
      </c>
      <c r="Y975" s="21" t="str">
        <f>SUBSTITUTE(SUBSTITUTE(SUBSTITUTE('Ingest Template'!X975,"http:",""),"https:",""),"/","")</f>
        <v/>
      </c>
      <c r="Z975" s="21" t="str">
        <f t="array" ref="Z975">IF('Ingest Template'!A975="Standard",(IF(ISBLANK('Ingest Template'!AA975),"", 'Ingest Template'!AA975&amp;"|DAR")),(IF(ISBLANK('Ingest Template'!AA975),"", 'Ingest Template'!AA975&amp;"|Film Ops")))</f>
        <v/>
      </c>
      <c r="AA975" s="21"/>
      <c r="AB975" s="21" t="str">
        <f>'Ingest Template'!M975</f>
        <v/>
      </c>
      <c r="AC975" s="21" t="str">
        <f>'Ingest Template'!Y975</f>
        <v/>
      </c>
      <c r="AD975" s="21" t="str">
        <f>'Ingest Template'!C975</f>
        <v/>
      </c>
      <c r="AE975" s="21" t="str">
        <f>'Ingest Template'!Z975</f>
        <v/>
      </c>
      <c r="AF975" s="29"/>
      <c r="AG975" s="21" t="str">
        <f t="array" ref="AG975">IF('Ingest Template'!A975="Standard",(CONCATENATE(IF(ISBLANK('Ingest Template'!O975),"", 'Ingest Template'!O975&amp;"|DAR"),CHAR(10), IF(ISBLANK('Ingest Template'!P975),"", 'Ingest Template'!P975&amp;"|DAR"),CHAR(10), IF(ISBLANK('Ingest Template'!Q975),"", 'Ingest Template'!Q975&amp;"|DAR"))),(CONCATENATE(IF(ISBLANK('Ingest Template'!O975),"", 'Ingest Template'!O975&amp;"|Operations - Core Title"),CHAR(10), IF(ISBLANK('Ingest Template'!P975),"", 'Ingest Template'!P975&amp;"|Operations - Core Title"),CHAR(10), IF(ISBLANK('Ingest Template'!Q975),"", 'Ingest Template'!Q975&amp;"|Operations - Core Title"))))</f>
        <v>#|Operations - Core Title
#|Operations - Core Title
</v>
      </c>
      <c r="AH975" s="21"/>
      <c r="AI975" s="21"/>
      <c r="AJ975" s="53" t="str">
        <f>if('Ingest Template'!A975="Standard",'Ingest Template'!N975&amp; "|DAR|DAR|2021-01-01",'Ingest Template'!N975&amp; "|Operations - Core Title|Operations - Core Title")</f>
        <v>#N/A</v>
      </c>
      <c r="AK975" s="53" t="str">
        <f>if('Ingest Template'!A975="Standard",'Ingest Template'!R975&amp; "|2021-01-01",'Ingest Template'!R975)</f>
        <v>#N/A</v>
      </c>
      <c r="AL975" s="21"/>
      <c r="AM975" s="21"/>
    </row>
    <row r="976">
      <c r="A976" s="21"/>
      <c r="B976" s="21" t="str">
        <f>'Ingest Template'!B976&amp;IF('Ingest Template'!A976 = "Standard", " - DAR","")</f>
        <v/>
      </c>
      <c r="C976" s="26" t="s">
        <v>109</v>
      </c>
      <c r="D976" s="29" t="str">
        <f t="array" ref="D976">CONCATENATE(INDEX(DropDown!$H$2:$H$10,MATCH(1,COUNTIF('Ingest Template'!F976,"*"&amp;DropDown!$H$2:$H$10&amp;"*"),0)),CHAR(10),'Ingest Template'!G976)</f>
        <v>#N/A</v>
      </c>
      <c r="E976" s="21" t="str">
        <f>CONCATENATE('Ingest Template'!H976,CHAR(10),'Ingest Template'!I976,CHAR(10),'Ingest Template'!J976)</f>
        <v>
</v>
      </c>
      <c r="F976" s="26" t="str">
        <f>'Ingest Template'!H976</f>
        <v/>
      </c>
      <c r="G976" s="21"/>
      <c r="H976" s="29"/>
      <c r="I976" s="21"/>
      <c r="J976" s="29" t="str">
        <f t="array" ref="J976">iF('Ingest Template'!A976="Standard","Pristine Brand",INDEX(DropDown!$M$2:$M$392,MATCH('Ingest Template'!E976,DropDown!$J$2:$J$392,0)))</f>
        <v>#N/A</v>
      </c>
      <c r="K976" s="21" t="str">
        <f>iF('Ingest Template'!A976="Standard",'Ingest Template'!K976&amp;CHAR(10)&amp;'Ingest Template'!L976,"Competitive View")</f>
        <v>Competitive View</v>
      </c>
      <c r="L976" s="29" t="s">
        <v>146</v>
      </c>
      <c r="M976" s="37" t="str">
        <f>'Ingest Template'!D976</f>
        <v/>
      </c>
      <c r="N976" s="21"/>
      <c r="O976" s="21"/>
      <c r="P976" s="21"/>
      <c r="Q976" s="21"/>
      <c r="R976" s="21" t="str">
        <f>'Ingest Template'!E976</f>
        <v/>
      </c>
      <c r="S976" s="29" t="s">
        <v>153</v>
      </c>
      <c r="T976" s="21" t="str">
        <f>'Ingest Template'!T976</f>
        <v/>
      </c>
      <c r="U976" s="21" t="str">
        <f>'Ingest Template'!S976</f>
        <v/>
      </c>
      <c r="V976" s="21" t="str">
        <f>LOWER(SUBSTITUTE(SUBSTITUTE(SUBSTITUTE(SUBSTITUTE(SUBSTITUTE('Ingest Template'!U976,"https:",""),"www.",""),"/",""),"?hl=en",""),"instagram.com",""))</f>
        <v/>
      </c>
      <c r="W976" s="41" t="str">
        <f t="array" ref="W976">IF('Ingest Template'!V976="",(INDEX(DropDown!$L$2:$L$392,MATCH('Ingest Template'!E976,DropDown!$J$2:$J$392,0))&amp;"|"&amp;'Ingest Template'!B976),(INDEX(DropDown!$L$2:$L$392,MATCH('Ingest Template'!E976,DropDown!$J$2:$J$392,0))&amp;"|"&amp;'Ingest Template'!B976)&amp;CHAR(10)&amp;'Ingest Template'!V976)</f>
        <v>#N/A</v>
      </c>
      <c r="X976" s="41" t="str">
        <f>'Ingest Template'!W976</f>
        <v/>
      </c>
      <c r="Y976" s="21" t="str">
        <f>SUBSTITUTE(SUBSTITUTE(SUBSTITUTE('Ingest Template'!X976,"http:",""),"https:",""),"/","")</f>
        <v/>
      </c>
      <c r="Z976" s="21" t="str">
        <f t="array" ref="Z976">IF('Ingest Template'!A976="Standard",(IF(ISBLANK('Ingest Template'!AA976),"", 'Ingest Template'!AA976&amp;"|DAR")),(IF(ISBLANK('Ingest Template'!AA976),"", 'Ingest Template'!AA976&amp;"|Film Ops")))</f>
        <v/>
      </c>
      <c r="AA976" s="21"/>
      <c r="AB976" s="21" t="str">
        <f>'Ingest Template'!M976</f>
        <v/>
      </c>
      <c r="AC976" s="21" t="str">
        <f>'Ingest Template'!Y976</f>
        <v/>
      </c>
      <c r="AD976" s="21" t="str">
        <f>'Ingest Template'!C976</f>
        <v/>
      </c>
      <c r="AE976" s="21" t="str">
        <f>'Ingest Template'!Z976</f>
        <v/>
      </c>
      <c r="AF976" s="29"/>
      <c r="AG976" s="21" t="str">
        <f t="array" ref="AG976">IF('Ingest Template'!A976="Standard",(CONCATENATE(IF(ISBLANK('Ingest Template'!O976),"", 'Ingest Template'!O976&amp;"|DAR"),CHAR(10), IF(ISBLANK('Ingest Template'!P976),"", 'Ingest Template'!P976&amp;"|DAR"),CHAR(10), IF(ISBLANK('Ingest Template'!Q976),"", 'Ingest Template'!Q976&amp;"|DAR"))),(CONCATENATE(IF(ISBLANK('Ingest Template'!O976),"", 'Ingest Template'!O976&amp;"|Operations - Core Title"),CHAR(10), IF(ISBLANK('Ingest Template'!P976),"", 'Ingest Template'!P976&amp;"|Operations - Core Title"),CHAR(10), IF(ISBLANK('Ingest Template'!Q976),"", 'Ingest Template'!Q976&amp;"|Operations - Core Title"))))</f>
        <v>#|Operations - Core Title
#|Operations - Core Title
</v>
      </c>
      <c r="AH976" s="21"/>
      <c r="AI976" s="21"/>
      <c r="AJ976" s="53" t="str">
        <f>if('Ingest Template'!A976="Standard",'Ingest Template'!N976&amp; "|DAR|DAR|2021-01-01",'Ingest Template'!N976&amp; "|Operations - Core Title|Operations - Core Title")</f>
        <v>#N/A</v>
      </c>
      <c r="AK976" s="53" t="str">
        <f>if('Ingest Template'!A976="Standard",'Ingest Template'!R976&amp; "|2021-01-01",'Ingest Template'!R976)</f>
        <v>#N/A</v>
      </c>
      <c r="AL976" s="21"/>
      <c r="AM976" s="21"/>
    </row>
    <row r="977">
      <c r="A977" s="21"/>
      <c r="B977" s="21" t="str">
        <f>'Ingest Template'!B977&amp;IF('Ingest Template'!A977 = "Standard", " - DAR","")</f>
        <v/>
      </c>
      <c r="C977" s="26" t="s">
        <v>109</v>
      </c>
      <c r="D977" s="29" t="str">
        <f t="array" ref="D977">CONCATENATE(INDEX(DropDown!$H$2:$H$10,MATCH(1,COUNTIF('Ingest Template'!F977,"*"&amp;DropDown!$H$2:$H$10&amp;"*"),0)),CHAR(10),'Ingest Template'!G977)</f>
        <v>#N/A</v>
      </c>
      <c r="E977" s="21" t="str">
        <f>CONCATENATE('Ingest Template'!H977,CHAR(10),'Ingest Template'!I977,CHAR(10),'Ingest Template'!J977)</f>
        <v>
</v>
      </c>
      <c r="F977" s="26" t="str">
        <f>'Ingest Template'!H977</f>
        <v/>
      </c>
      <c r="G977" s="21"/>
      <c r="H977" s="29"/>
      <c r="I977" s="21"/>
      <c r="J977" s="29" t="str">
        <f t="array" ref="J977">iF('Ingest Template'!A977="Standard","Pristine Brand",INDEX(DropDown!$M$2:$M$392,MATCH('Ingest Template'!E977,DropDown!$J$2:$J$392,0)))</f>
        <v>#N/A</v>
      </c>
      <c r="K977" s="21" t="str">
        <f>iF('Ingest Template'!A977="Standard",'Ingest Template'!K977&amp;CHAR(10)&amp;'Ingest Template'!L977,"Competitive View")</f>
        <v>Competitive View</v>
      </c>
      <c r="L977" s="29" t="s">
        <v>146</v>
      </c>
      <c r="M977" s="37" t="str">
        <f>'Ingest Template'!D977</f>
        <v/>
      </c>
      <c r="N977" s="21"/>
      <c r="O977" s="21"/>
      <c r="P977" s="21"/>
      <c r="Q977" s="21"/>
      <c r="R977" s="21" t="str">
        <f>'Ingest Template'!E977</f>
        <v/>
      </c>
      <c r="S977" s="29" t="s">
        <v>153</v>
      </c>
      <c r="T977" s="21" t="str">
        <f>'Ingest Template'!T977</f>
        <v/>
      </c>
      <c r="U977" s="21" t="str">
        <f>'Ingest Template'!S977</f>
        <v/>
      </c>
      <c r="V977" s="21" t="str">
        <f>LOWER(SUBSTITUTE(SUBSTITUTE(SUBSTITUTE(SUBSTITUTE(SUBSTITUTE('Ingest Template'!U977,"https:",""),"www.",""),"/",""),"?hl=en",""),"instagram.com",""))</f>
        <v/>
      </c>
      <c r="W977" s="41" t="str">
        <f t="array" ref="W977">IF('Ingest Template'!V977="",(INDEX(DropDown!$L$2:$L$392,MATCH('Ingest Template'!E977,DropDown!$J$2:$J$392,0))&amp;"|"&amp;'Ingest Template'!B977),(INDEX(DropDown!$L$2:$L$392,MATCH('Ingest Template'!E977,DropDown!$J$2:$J$392,0))&amp;"|"&amp;'Ingest Template'!B977)&amp;CHAR(10)&amp;'Ingest Template'!V977)</f>
        <v>#N/A</v>
      </c>
      <c r="X977" s="41" t="str">
        <f>'Ingest Template'!W977</f>
        <v/>
      </c>
      <c r="Y977" s="21" t="str">
        <f>SUBSTITUTE(SUBSTITUTE(SUBSTITUTE('Ingest Template'!X977,"http:",""),"https:",""),"/","")</f>
        <v/>
      </c>
      <c r="Z977" s="21" t="str">
        <f t="array" ref="Z977">IF('Ingest Template'!A977="Standard",(IF(ISBLANK('Ingest Template'!AA977),"", 'Ingest Template'!AA977&amp;"|DAR")),(IF(ISBLANK('Ingest Template'!AA977),"", 'Ingest Template'!AA977&amp;"|Film Ops")))</f>
        <v/>
      </c>
      <c r="AA977" s="21"/>
      <c r="AB977" s="21" t="str">
        <f>'Ingest Template'!M977</f>
        <v/>
      </c>
      <c r="AC977" s="21" t="str">
        <f>'Ingest Template'!Y977</f>
        <v/>
      </c>
      <c r="AD977" s="21" t="str">
        <f>'Ingest Template'!C977</f>
        <v/>
      </c>
      <c r="AE977" s="21" t="str">
        <f>'Ingest Template'!Z977</f>
        <v/>
      </c>
      <c r="AF977" s="29"/>
      <c r="AG977" s="21" t="str">
        <f t="array" ref="AG977">IF('Ingest Template'!A977="Standard",(CONCATENATE(IF(ISBLANK('Ingest Template'!O977),"", 'Ingest Template'!O977&amp;"|DAR"),CHAR(10), IF(ISBLANK('Ingest Template'!P977),"", 'Ingest Template'!P977&amp;"|DAR"),CHAR(10), IF(ISBLANK('Ingest Template'!Q977),"", 'Ingest Template'!Q977&amp;"|DAR"))),(CONCATENATE(IF(ISBLANK('Ingest Template'!O977),"", 'Ingest Template'!O977&amp;"|Operations - Core Title"),CHAR(10), IF(ISBLANK('Ingest Template'!P977),"", 'Ingest Template'!P977&amp;"|Operations - Core Title"),CHAR(10), IF(ISBLANK('Ingest Template'!Q977),"", 'Ingest Template'!Q977&amp;"|Operations - Core Title"))))</f>
        <v>#|Operations - Core Title
#|Operations - Core Title
</v>
      </c>
      <c r="AH977" s="21"/>
      <c r="AI977" s="21"/>
      <c r="AJ977" s="53" t="str">
        <f>if('Ingest Template'!A977="Standard",'Ingest Template'!N977&amp; "|DAR|DAR|2021-01-01",'Ingest Template'!N977&amp; "|Operations - Core Title|Operations - Core Title")</f>
        <v>#N/A</v>
      </c>
      <c r="AK977" s="53" t="str">
        <f>if('Ingest Template'!A977="Standard",'Ingest Template'!R977&amp; "|2021-01-01",'Ingest Template'!R977)</f>
        <v>#N/A</v>
      </c>
      <c r="AL977" s="21"/>
      <c r="AM977" s="21"/>
    </row>
    <row r="978">
      <c r="A978" s="21"/>
      <c r="B978" s="21" t="str">
        <f>'Ingest Template'!B978&amp;IF('Ingest Template'!A978 = "Standard", " - DAR","")</f>
        <v/>
      </c>
      <c r="C978" s="26" t="s">
        <v>109</v>
      </c>
      <c r="D978" s="29" t="str">
        <f t="array" ref="D978">CONCATENATE(INDEX(DropDown!$H$2:$H$10,MATCH(1,COUNTIF('Ingest Template'!F978,"*"&amp;DropDown!$H$2:$H$10&amp;"*"),0)),CHAR(10),'Ingest Template'!G978)</f>
        <v>#N/A</v>
      </c>
      <c r="E978" s="21" t="str">
        <f>CONCATENATE('Ingest Template'!H978,CHAR(10),'Ingest Template'!I978,CHAR(10),'Ingest Template'!J978)</f>
        <v>
</v>
      </c>
      <c r="F978" s="26" t="str">
        <f>'Ingest Template'!H978</f>
        <v/>
      </c>
      <c r="G978" s="21"/>
      <c r="H978" s="29"/>
      <c r="I978" s="21"/>
      <c r="J978" s="29" t="str">
        <f t="array" ref="J978">iF('Ingest Template'!A978="Standard","Pristine Brand",INDEX(DropDown!$M$2:$M$392,MATCH('Ingest Template'!E978,DropDown!$J$2:$J$392,0)))</f>
        <v>#N/A</v>
      </c>
      <c r="K978" s="21" t="str">
        <f>iF('Ingest Template'!A978="Standard",'Ingest Template'!K978&amp;CHAR(10)&amp;'Ingest Template'!L978,"Competitive View")</f>
        <v>Competitive View</v>
      </c>
      <c r="L978" s="29" t="s">
        <v>146</v>
      </c>
      <c r="M978" s="37" t="str">
        <f>'Ingest Template'!D978</f>
        <v/>
      </c>
      <c r="N978" s="21"/>
      <c r="O978" s="21"/>
      <c r="P978" s="21"/>
      <c r="Q978" s="21"/>
      <c r="R978" s="21" t="str">
        <f>'Ingest Template'!E978</f>
        <v/>
      </c>
      <c r="S978" s="29" t="s">
        <v>153</v>
      </c>
      <c r="T978" s="21" t="str">
        <f>'Ingest Template'!T978</f>
        <v/>
      </c>
      <c r="U978" s="21" t="str">
        <f>'Ingest Template'!S978</f>
        <v/>
      </c>
      <c r="V978" s="21" t="str">
        <f>LOWER(SUBSTITUTE(SUBSTITUTE(SUBSTITUTE(SUBSTITUTE(SUBSTITUTE('Ingest Template'!U978,"https:",""),"www.",""),"/",""),"?hl=en",""),"instagram.com",""))</f>
        <v/>
      </c>
      <c r="W978" s="41" t="str">
        <f t="array" ref="W978">IF('Ingest Template'!V978="",(INDEX(DropDown!$L$2:$L$392,MATCH('Ingest Template'!E978,DropDown!$J$2:$J$392,0))&amp;"|"&amp;'Ingest Template'!B978),(INDEX(DropDown!$L$2:$L$392,MATCH('Ingest Template'!E978,DropDown!$J$2:$J$392,0))&amp;"|"&amp;'Ingest Template'!B978)&amp;CHAR(10)&amp;'Ingest Template'!V978)</f>
        <v>#N/A</v>
      </c>
      <c r="X978" s="41" t="str">
        <f>'Ingest Template'!W978</f>
        <v/>
      </c>
      <c r="Y978" s="21" t="str">
        <f>SUBSTITUTE(SUBSTITUTE(SUBSTITUTE('Ingest Template'!X978,"http:",""),"https:",""),"/","")</f>
        <v/>
      </c>
      <c r="Z978" s="21" t="str">
        <f t="array" ref="Z978">IF('Ingest Template'!A978="Standard",(IF(ISBLANK('Ingest Template'!AA978),"", 'Ingest Template'!AA978&amp;"|DAR")),(IF(ISBLANK('Ingest Template'!AA978),"", 'Ingest Template'!AA978&amp;"|Film Ops")))</f>
        <v/>
      </c>
      <c r="AA978" s="21"/>
      <c r="AB978" s="21" t="str">
        <f>'Ingest Template'!M978</f>
        <v/>
      </c>
      <c r="AC978" s="21" t="str">
        <f>'Ingest Template'!Y978</f>
        <v/>
      </c>
      <c r="AD978" s="21" t="str">
        <f>'Ingest Template'!C978</f>
        <v/>
      </c>
      <c r="AE978" s="21" t="str">
        <f>'Ingest Template'!Z978</f>
        <v/>
      </c>
      <c r="AF978" s="29"/>
      <c r="AG978" s="21" t="str">
        <f t="array" ref="AG978">IF('Ingest Template'!A978="Standard",(CONCATENATE(IF(ISBLANK('Ingest Template'!O978),"", 'Ingest Template'!O978&amp;"|DAR"),CHAR(10), IF(ISBLANK('Ingest Template'!P978),"", 'Ingest Template'!P978&amp;"|DAR"),CHAR(10), IF(ISBLANK('Ingest Template'!Q978),"", 'Ingest Template'!Q978&amp;"|DAR"))),(CONCATENATE(IF(ISBLANK('Ingest Template'!O978),"", 'Ingest Template'!O978&amp;"|Operations - Core Title"),CHAR(10), IF(ISBLANK('Ingest Template'!P978),"", 'Ingest Template'!P978&amp;"|Operations - Core Title"),CHAR(10), IF(ISBLANK('Ingest Template'!Q978),"", 'Ingest Template'!Q978&amp;"|Operations - Core Title"))))</f>
        <v>#|Operations - Core Title
#|Operations - Core Title
</v>
      </c>
      <c r="AH978" s="21"/>
      <c r="AI978" s="21"/>
      <c r="AJ978" s="53" t="str">
        <f>if('Ingest Template'!A978="Standard",'Ingest Template'!N978&amp; "|DAR|DAR|2021-01-01",'Ingest Template'!N978&amp; "|Operations - Core Title|Operations - Core Title")</f>
        <v>#N/A</v>
      </c>
      <c r="AK978" s="53" t="str">
        <f>if('Ingest Template'!A978="Standard",'Ingest Template'!R978&amp; "|2021-01-01",'Ingest Template'!R978)</f>
        <v>#N/A</v>
      </c>
      <c r="AL978" s="21"/>
      <c r="AM978" s="21"/>
    </row>
    <row r="979">
      <c r="A979" s="21"/>
      <c r="B979" s="21" t="str">
        <f>'Ingest Template'!B979&amp;IF('Ingest Template'!A979 = "Standard", " - DAR","")</f>
        <v/>
      </c>
      <c r="C979" s="26" t="s">
        <v>109</v>
      </c>
      <c r="D979" s="29" t="str">
        <f t="array" ref="D979">CONCATENATE(INDEX(DropDown!$H$2:$H$10,MATCH(1,COUNTIF('Ingest Template'!F979,"*"&amp;DropDown!$H$2:$H$10&amp;"*"),0)),CHAR(10),'Ingest Template'!G979)</f>
        <v>#N/A</v>
      </c>
      <c r="E979" s="21" t="str">
        <f>CONCATENATE('Ingest Template'!H979,CHAR(10),'Ingest Template'!I979,CHAR(10),'Ingest Template'!J979)</f>
        <v>
</v>
      </c>
      <c r="F979" s="26" t="str">
        <f>'Ingest Template'!H979</f>
        <v/>
      </c>
      <c r="G979" s="21"/>
      <c r="H979" s="29"/>
      <c r="I979" s="21"/>
      <c r="J979" s="29" t="str">
        <f t="array" ref="J979">iF('Ingest Template'!A979="Standard","Pristine Brand",INDEX(DropDown!$M$2:$M$392,MATCH('Ingest Template'!E979,DropDown!$J$2:$J$392,0)))</f>
        <v>#N/A</v>
      </c>
      <c r="K979" s="21" t="str">
        <f>iF('Ingest Template'!A979="Standard",'Ingest Template'!K979&amp;CHAR(10)&amp;'Ingest Template'!L979,"Competitive View")</f>
        <v>Competitive View</v>
      </c>
      <c r="L979" s="29" t="s">
        <v>146</v>
      </c>
      <c r="M979" s="37" t="str">
        <f>'Ingest Template'!D979</f>
        <v/>
      </c>
      <c r="N979" s="21"/>
      <c r="O979" s="21"/>
      <c r="P979" s="21"/>
      <c r="Q979" s="21"/>
      <c r="R979" s="21" t="str">
        <f>'Ingest Template'!E979</f>
        <v/>
      </c>
      <c r="S979" s="29" t="s">
        <v>153</v>
      </c>
      <c r="T979" s="21" t="str">
        <f>'Ingest Template'!T979</f>
        <v/>
      </c>
      <c r="U979" s="21" t="str">
        <f>'Ingest Template'!S979</f>
        <v/>
      </c>
      <c r="V979" s="21" t="str">
        <f>LOWER(SUBSTITUTE(SUBSTITUTE(SUBSTITUTE(SUBSTITUTE(SUBSTITUTE('Ingest Template'!U979,"https:",""),"www.",""),"/",""),"?hl=en",""),"instagram.com",""))</f>
        <v/>
      </c>
      <c r="W979" s="41" t="str">
        <f t="array" ref="W979">IF('Ingest Template'!V979="",(INDEX(DropDown!$L$2:$L$392,MATCH('Ingest Template'!E979,DropDown!$J$2:$J$392,0))&amp;"|"&amp;'Ingest Template'!B979),(INDEX(DropDown!$L$2:$L$392,MATCH('Ingest Template'!E979,DropDown!$J$2:$J$392,0))&amp;"|"&amp;'Ingest Template'!B979)&amp;CHAR(10)&amp;'Ingest Template'!V979)</f>
        <v>#N/A</v>
      </c>
      <c r="X979" s="41" t="str">
        <f>'Ingest Template'!W979</f>
        <v/>
      </c>
      <c r="Y979" s="21" t="str">
        <f>SUBSTITUTE(SUBSTITUTE(SUBSTITUTE('Ingest Template'!X979,"http:",""),"https:",""),"/","")</f>
        <v/>
      </c>
      <c r="Z979" s="21" t="str">
        <f t="array" ref="Z979">IF('Ingest Template'!A979="Standard",(IF(ISBLANK('Ingest Template'!AA979),"", 'Ingest Template'!AA979&amp;"|DAR")),(IF(ISBLANK('Ingest Template'!AA979),"", 'Ingest Template'!AA979&amp;"|Film Ops")))</f>
        <v/>
      </c>
      <c r="AA979" s="21"/>
      <c r="AB979" s="21" t="str">
        <f>'Ingest Template'!M979</f>
        <v/>
      </c>
      <c r="AC979" s="21" t="str">
        <f>'Ingest Template'!Y979</f>
        <v/>
      </c>
      <c r="AD979" s="21" t="str">
        <f>'Ingest Template'!C979</f>
        <v/>
      </c>
      <c r="AE979" s="21" t="str">
        <f>'Ingest Template'!Z979</f>
        <v/>
      </c>
      <c r="AF979" s="29"/>
      <c r="AG979" s="21" t="str">
        <f t="array" ref="AG979">IF('Ingest Template'!A979="Standard",(CONCATENATE(IF(ISBLANK('Ingest Template'!O979),"", 'Ingest Template'!O979&amp;"|DAR"),CHAR(10), IF(ISBLANK('Ingest Template'!P979),"", 'Ingest Template'!P979&amp;"|DAR"),CHAR(10), IF(ISBLANK('Ingest Template'!Q979),"", 'Ingest Template'!Q979&amp;"|DAR"))),(CONCATENATE(IF(ISBLANK('Ingest Template'!O979),"", 'Ingest Template'!O979&amp;"|Operations - Core Title"),CHAR(10), IF(ISBLANK('Ingest Template'!P979),"", 'Ingest Template'!P979&amp;"|Operations - Core Title"),CHAR(10), IF(ISBLANK('Ingest Template'!Q979),"", 'Ingest Template'!Q979&amp;"|Operations - Core Title"))))</f>
        <v>#|Operations - Core Title
#|Operations - Core Title
</v>
      </c>
      <c r="AH979" s="21"/>
      <c r="AI979" s="21"/>
      <c r="AJ979" s="53" t="str">
        <f>if('Ingest Template'!A979="Standard",'Ingest Template'!N979&amp; "|DAR|DAR|2021-01-01",'Ingest Template'!N979&amp; "|Operations - Core Title|Operations - Core Title")</f>
        <v>#N/A</v>
      </c>
      <c r="AK979" s="53" t="str">
        <f>if('Ingest Template'!A979="Standard",'Ingest Template'!R979&amp; "|2021-01-01",'Ingest Template'!R979)</f>
        <v>#N/A</v>
      </c>
      <c r="AL979" s="21"/>
      <c r="AM979" s="21"/>
    </row>
    <row r="980">
      <c r="A980" s="21"/>
      <c r="B980" s="21" t="str">
        <f>'Ingest Template'!B980&amp;IF('Ingest Template'!A980 = "Standard", " - DAR","")</f>
        <v/>
      </c>
      <c r="C980" s="26" t="s">
        <v>109</v>
      </c>
      <c r="D980" s="29" t="str">
        <f t="array" ref="D980">CONCATENATE(INDEX(DropDown!$H$2:$H$10,MATCH(1,COUNTIF('Ingest Template'!F980,"*"&amp;DropDown!$H$2:$H$10&amp;"*"),0)),CHAR(10),'Ingest Template'!G980)</f>
        <v>#N/A</v>
      </c>
      <c r="E980" s="21" t="str">
        <f>CONCATENATE('Ingest Template'!H980,CHAR(10),'Ingest Template'!I980,CHAR(10),'Ingest Template'!J980)</f>
        <v>
</v>
      </c>
      <c r="F980" s="26" t="str">
        <f>'Ingest Template'!H980</f>
        <v/>
      </c>
      <c r="G980" s="21"/>
      <c r="H980" s="29"/>
      <c r="I980" s="21"/>
      <c r="J980" s="29" t="str">
        <f t="array" ref="J980">iF('Ingest Template'!A980="Standard","Pristine Brand",INDEX(DropDown!$M$2:$M$392,MATCH('Ingest Template'!E980,DropDown!$J$2:$J$392,0)))</f>
        <v>#N/A</v>
      </c>
      <c r="K980" s="21" t="str">
        <f>iF('Ingest Template'!A980="Standard",'Ingest Template'!K980&amp;CHAR(10)&amp;'Ingest Template'!L980,"Competitive View")</f>
        <v>Competitive View</v>
      </c>
      <c r="L980" s="29" t="s">
        <v>146</v>
      </c>
      <c r="M980" s="37" t="str">
        <f>'Ingest Template'!D980</f>
        <v/>
      </c>
      <c r="N980" s="21"/>
      <c r="O980" s="21"/>
      <c r="P980" s="21"/>
      <c r="Q980" s="21"/>
      <c r="R980" s="21" t="str">
        <f>'Ingest Template'!E980</f>
        <v/>
      </c>
      <c r="S980" s="29" t="s">
        <v>153</v>
      </c>
      <c r="T980" s="21" t="str">
        <f>'Ingest Template'!T980</f>
        <v/>
      </c>
      <c r="U980" s="21" t="str">
        <f>'Ingest Template'!S980</f>
        <v/>
      </c>
      <c r="V980" s="21" t="str">
        <f>LOWER(SUBSTITUTE(SUBSTITUTE(SUBSTITUTE(SUBSTITUTE(SUBSTITUTE('Ingest Template'!U980,"https:",""),"www.",""),"/",""),"?hl=en",""),"instagram.com",""))</f>
        <v/>
      </c>
      <c r="W980" s="41" t="str">
        <f t="array" ref="W980">IF('Ingest Template'!V980="",(INDEX(DropDown!$L$2:$L$392,MATCH('Ingest Template'!E980,DropDown!$J$2:$J$392,0))&amp;"|"&amp;'Ingest Template'!B980),(INDEX(DropDown!$L$2:$L$392,MATCH('Ingest Template'!E980,DropDown!$J$2:$J$392,0))&amp;"|"&amp;'Ingest Template'!B980)&amp;CHAR(10)&amp;'Ingest Template'!V980)</f>
        <v>#N/A</v>
      </c>
      <c r="X980" s="41" t="str">
        <f>'Ingest Template'!W980</f>
        <v/>
      </c>
      <c r="Y980" s="21" t="str">
        <f>SUBSTITUTE(SUBSTITUTE(SUBSTITUTE('Ingest Template'!X980,"http:",""),"https:",""),"/","")</f>
        <v/>
      </c>
      <c r="Z980" s="21" t="str">
        <f t="array" ref="Z980">IF('Ingest Template'!A980="Standard",(IF(ISBLANK('Ingest Template'!AA980),"", 'Ingest Template'!AA980&amp;"|DAR")),(IF(ISBLANK('Ingest Template'!AA980),"", 'Ingest Template'!AA980&amp;"|Film Ops")))</f>
        <v/>
      </c>
      <c r="AA980" s="21"/>
      <c r="AB980" s="21" t="str">
        <f>'Ingest Template'!M980</f>
        <v/>
      </c>
      <c r="AC980" s="21" t="str">
        <f>'Ingest Template'!Y980</f>
        <v/>
      </c>
      <c r="AD980" s="21" t="str">
        <f>'Ingest Template'!C980</f>
        <v/>
      </c>
      <c r="AE980" s="21" t="str">
        <f>'Ingest Template'!Z980</f>
        <v/>
      </c>
      <c r="AF980" s="29"/>
      <c r="AG980" s="21" t="str">
        <f t="array" ref="AG980">IF('Ingest Template'!A980="Standard",(CONCATENATE(IF(ISBLANK('Ingest Template'!O980),"", 'Ingest Template'!O980&amp;"|DAR"),CHAR(10), IF(ISBLANK('Ingest Template'!P980),"", 'Ingest Template'!P980&amp;"|DAR"),CHAR(10), IF(ISBLANK('Ingest Template'!Q980),"", 'Ingest Template'!Q980&amp;"|DAR"))),(CONCATENATE(IF(ISBLANK('Ingest Template'!O980),"", 'Ingest Template'!O980&amp;"|Operations - Core Title"),CHAR(10), IF(ISBLANK('Ingest Template'!P980),"", 'Ingest Template'!P980&amp;"|Operations - Core Title"),CHAR(10), IF(ISBLANK('Ingest Template'!Q980),"", 'Ingest Template'!Q980&amp;"|Operations - Core Title"))))</f>
        <v>#|Operations - Core Title
#|Operations - Core Title
</v>
      </c>
      <c r="AH980" s="21"/>
      <c r="AI980" s="21"/>
      <c r="AJ980" s="53" t="str">
        <f>if('Ingest Template'!A980="Standard",'Ingest Template'!N980&amp; "|DAR|DAR|2021-01-01",'Ingest Template'!N980&amp; "|Operations - Core Title|Operations - Core Title")</f>
        <v>#N/A</v>
      </c>
      <c r="AK980" s="53" t="str">
        <f>if('Ingest Template'!A980="Standard",'Ingest Template'!R980&amp; "|2021-01-01",'Ingest Template'!R980)</f>
        <v>#N/A</v>
      </c>
      <c r="AL980" s="21"/>
      <c r="AM980" s="21"/>
    </row>
    <row r="981">
      <c r="A981" s="21"/>
      <c r="B981" s="21" t="str">
        <f>'Ingest Template'!B981&amp;IF('Ingest Template'!A981 = "Standard", " - DAR","")</f>
        <v/>
      </c>
      <c r="C981" s="26" t="s">
        <v>109</v>
      </c>
      <c r="D981" s="29" t="str">
        <f t="array" ref="D981">CONCATENATE(INDEX(DropDown!$H$2:$H$10,MATCH(1,COUNTIF('Ingest Template'!F981,"*"&amp;DropDown!$H$2:$H$10&amp;"*"),0)),CHAR(10),'Ingest Template'!G981)</f>
        <v>#N/A</v>
      </c>
      <c r="E981" s="21" t="str">
        <f>CONCATENATE('Ingest Template'!H981,CHAR(10),'Ingest Template'!I981,CHAR(10),'Ingest Template'!J981)</f>
        <v>
</v>
      </c>
      <c r="F981" s="26" t="str">
        <f>'Ingest Template'!H981</f>
        <v/>
      </c>
      <c r="G981" s="21"/>
      <c r="H981" s="29"/>
      <c r="I981" s="21"/>
      <c r="J981" s="29" t="str">
        <f t="array" ref="J981">iF('Ingest Template'!A981="Standard","Pristine Brand",INDEX(DropDown!$M$2:$M$392,MATCH('Ingest Template'!E981,DropDown!$J$2:$J$392,0)))</f>
        <v>#N/A</v>
      </c>
      <c r="K981" s="21" t="str">
        <f>iF('Ingest Template'!A981="Standard",'Ingest Template'!K981&amp;CHAR(10)&amp;'Ingest Template'!L981,"Competitive View")</f>
        <v>Competitive View</v>
      </c>
      <c r="L981" s="29" t="s">
        <v>146</v>
      </c>
      <c r="M981" s="37" t="str">
        <f>'Ingest Template'!D981</f>
        <v/>
      </c>
      <c r="N981" s="21"/>
      <c r="O981" s="21"/>
      <c r="P981" s="21"/>
      <c r="Q981" s="21"/>
      <c r="R981" s="21" t="str">
        <f>'Ingest Template'!E981</f>
        <v/>
      </c>
      <c r="S981" s="29" t="s">
        <v>153</v>
      </c>
      <c r="T981" s="21" t="str">
        <f>'Ingest Template'!T981</f>
        <v/>
      </c>
      <c r="U981" s="21" t="str">
        <f>'Ingest Template'!S981</f>
        <v/>
      </c>
      <c r="V981" s="21" t="str">
        <f>LOWER(SUBSTITUTE(SUBSTITUTE(SUBSTITUTE(SUBSTITUTE(SUBSTITUTE('Ingest Template'!U981,"https:",""),"www.",""),"/",""),"?hl=en",""),"instagram.com",""))</f>
        <v/>
      </c>
      <c r="W981" s="41" t="str">
        <f t="array" ref="W981">IF('Ingest Template'!V981="",(INDEX(DropDown!$L$2:$L$392,MATCH('Ingest Template'!E981,DropDown!$J$2:$J$392,0))&amp;"|"&amp;'Ingest Template'!B981),(INDEX(DropDown!$L$2:$L$392,MATCH('Ingest Template'!E981,DropDown!$J$2:$J$392,0))&amp;"|"&amp;'Ingest Template'!B981)&amp;CHAR(10)&amp;'Ingest Template'!V981)</f>
        <v>#N/A</v>
      </c>
      <c r="X981" s="41" t="str">
        <f>'Ingest Template'!W981</f>
        <v/>
      </c>
      <c r="Y981" s="21" t="str">
        <f>SUBSTITUTE(SUBSTITUTE(SUBSTITUTE('Ingest Template'!X981,"http:",""),"https:",""),"/","")</f>
        <v/>
      </c>
      <c r="Z981" s="21" t="str">
        <f t="array" ref="Z981">IF('Ingest Template'!A981="Standard",(IF(ISBLANK('Ingest Template'!AA981),"", 'Ingest Template'!AA981&amp;"|DAR")),(IF(ISBLANK('Ingest Template'!AA981),"", 'Ingest Template'!AA981&amp;"|Film Ops")))</f>
        <v/>
      </c>
      <c r="AA981" s="21"/>
      <c r="AB981" s="21" t="str">
        <f>'Ingest Template'!M981</f>
        <v/>
      </c>
      <c r="AC981" s="21" t="str">
        <f>'Ingest Template'!Y981</f>
        <v/>
      </c>
      <c r="AD981" s="21" t="str">
        <f>'Ingest Template'!C981</f>
        <v/>
      </c>
      <c r="AE981" s="21" t="str">
        <f>'Ingest Template'!Z981</f>
        <v/>
      </c>
      <c r="AF981" s="29"/>
      <c r="AG981" s="21" t="str">
        <f t="array" ref="AG981">IF('Ingest Template'!A981="Standard",(CONCATENATE(IF(ISBLANK('Ingest Template'!O981),"", 'Ingest Template'!O981&amp;"|DAR"),CHAR(10), IF(ISBLANK('Ingest Template'!P981),"", 'Ingest Template'!P981&amp;"|DAR"),CHAR(10), IF(ISBLANK('Ingest Template'!Q981),"", 'Ingest Template'!Q981&amp;"|DAR"))),(CONCATENATE(IF(ISBLANK('Ingest Template'!O981),"", 'Ingest Template'!O981&amp;"|Operations - Core Title"),CHAR(10), IF(ISBLANK('Ingest Template'!P981),"", 'Ingest Template'!P981&amp;"|Operations - Core Title"),CHAR(10), IF(ISBLANK('Ingest Template'!Q981),"", 'Ingest Template'!Q981&amp;"|Operations - Core Title"))))</f>
        <v>#|Operations - Core Title
#|Operations - Core Title
</v>
      </c>
      <c r="AH981" s="21"/>
      <c r="AI981" s="21"/>
      <c r="AJ981" s="53" t="str">
        <f>if('Ingest Template'!A981="Standard",'Ingest Template'!N981&amp; "|DAR|DAR|2021-01-01",'Ingest Template'!N981&amp; "|Operations - Core Title|Operations - Core Title")</f>
        <v>#N/A</v>
      </c>
      <c r="AK981" s="53" t="str">
        <f>if('Ingest Template'!A981="Standard",'Ingest Template'!R981&amp; "|2021-01-01",'Ingest Template'!R981)</f>
        <v>#N/A</v>
      </c>
      <c r="AL981" s="21"/>
      <c r="AM981" s="21"/>
    </row>
    <row r="982">
      <c r="A982" s="21"/>
      <c r="B982" s="21" t="str">
        <f>'Ingest Template'!B982&amp;IF('Ingest Template'!A982 = "Standard", " - DAR","")</f>
        <v/>
      </c>
      <c r="C982" s="26" t="s">
        <v>109</v>
      </c>
      <c r="D982" s="29" t="str">
        <f t="array" ref="D982">CONCATENATE(INDEX(DropDown!$H$2:$H$10,MATCH(1,COUNTIF('Ingest Template'!F982,"*"&amp;DropDown!$H$2:$H$10&amp;"*"),0)),CHAR(10),'Ingest Template'!G982)</f>
        <v>#N/A</v>
      </c>
      <c r="E982" s="21" t="str">
        <f>CONCATENATE('Ingest Template'!H982,CHAR(10),'Ingest Template'!I982,CHAR(10),'Ingest Template'!J982)</f>
        <v>
</v>
      </c>
      <c r="F982" s="26" t="str">
        <f>'Ingest Template'!H982</f>
        <v/>
      </c>
      <c r="G982" s="21"/>
      <c r="H982" s="29"/>
      <c r="I982" s="21"/>
      <c r="J982" s="29" t="str">
        <f t="array" ref="J982">iF('Ingest Template'!A982="Standard","Pristine Brand",INDEX(DropDown!$M$2:$M$392,MATCH('Ingest Template'!E982,DropDown!$J$2:$J$392,0)))</f>
        <v>#N/A</v>
      </c>
      <c r="K982" s="21" t="str">
        <f>iF('Ingest Template'!A982="Standard",'Ingest Template'!K982&amp;CHAR(10)&amp;'Ingest Template'!L982,"Competitive View")</f>
        <v>Competitive View</v>
      </c>
      <c r="L982" s="29" t="s">
        <v>146</v>
      </c>
      <c r="M982" s="37" t="str">
        <f>'Ingest Template'!D982</f>
        <v/>
      </c>
      <c r="N982" s="21"/>
      <c r="O982" s="21"/>
      <c r="P982" s="21"/>
      <c r="Q982" s="21"/>
      <c r="R982" s="21" t="str">
        <f>'Ingest Template'!E982</f>
        <v/>
      </c>
      <c r="S982" s="29" t="s">
        <v>153</v>
      </c>
      <c r="T982" s="21" t="str">
        <f>'Ingest Template'!T982</f>
        <v/>
      </c>
      <c r="U982" s="21" t="str">
        <f>'Ingest Template'!S982</f>
        <v/>
      </c>
      <c r="V982" s="21" t="str">
        <f>LOWER(SUBSTITUTE(SUBSTITUTE(SUBSTITUTE(SUBSTITUTE(SUBSTITUTE('Ingest Template'!U982,"https:",""),"www.",""),"/",""),"?hl=en",""),"instagram.com",""))</f>
        <v/>
      </c>
      <c r="W982" s="41" t="str">
        <f t="array" ref="W982">IF('Ingest Template'!V982="",(INDEX(DropDown!$L$2:$L$392,MATCH('Ingest Template'!E982,DropDown!$J$2:$J$392,0))&amp;"|"&amp;'Ingest Template'!B982),(INDEX(DropDown!$L$2:$L$392,MATCH('Ingest Template'!E982,DropDown!$J$2:$J$392,0))&amp;"|"&amp;'Ingest Template'!B982)&amp;CHAR(10)&amp;'Ingest Template'!V982)</f>
        <v>#N/A</v>
      </c>
      <c r="X982" s="41" t="str">
        <f>'Ingest Template'!W982</f>
        <v/>
      </c>
      <c r="Y982" s="21" t="str">
        <f>SUBSTITUTE(SUBSTITUTE(SUBSTITUTE('Ingest Template'!X982,"http:",""),"https:",""),"/","")</f>
        <v/>
      </c>
      <c r="Z982" s="21" t="str">
        <f t="array" ref="Z982">IF('Ingest Template'!A982="Standard",(IF(ISBLANK('Ingest Template'!AA982),"", 'Ingest Template'!AA982&amp;"|DAR")),(IF(ISBLANK('Ingest Template'!AA982),"", 'Ingest Template'!AA982&amp;"|Film Ops")))</f>
        <v/>
      </c>
      <c r="AA982" s="21"/>
      <c r="AB982" s="21" t="str">
        <f>'Ingest Template'!M982</f>
        <v/>
      </c>
      <c r="AC982" s="21" t="str">
        <f>'Ingest Template'!Y982</f>
        <v/>
      </c>
      <c r="AD982" s="21" t="str">
        <f>'Ingest Template'!C982</f>
        <v/>
      </c>
      <c r="AE982" s="21" t="str">
        <f>'Ingest Template'!Z982</f>
        <v/>
      </c>
      <c r="AF982" s="29"/>
      <c r="AG982" s="21" t="str">
        <f t="array" ref="AG982">IF('Ingest Template'!A982="Standard",(CONCATENATE(IF(ISBLANK('Ingest Template'!O982),"", 'Ingest Template'!O982&amp;"|DAR"),CHAR(10), IF(ISBLANK('Ingest Template'!P982),"", 'Ingest Template'!P982&amp;"|DAR"),CHAR(10), IF(ISBLANK('Ingest Template'!Q982),"", 'Ingest Template'!Q982&amp;"|DAR"))),(CONCATENATE(IF(ISBLANK('Ingest Template'!O982),"", 'Ingest Template'!O982&amp;"|Operations - Core Title"),CHAR(10), IF(ISBLANK('Ingest Template'!P982),"", 'Ingest Template'!P982&amp;"|Operations - Core Title"),CHAR(10), IF(ISBLANK('Ingest Template'!Q982),"", 'Ingest Template'!Q982&amp;"|Operations - Core Title"))))</f>
        <v>#|Operations - Core Title
#|Operations - Core Title
</v>
      </c>
      <c r="AH982" s="21"/>
      <c r="AI982" s="21"/>
      <c r="AJ982" s="53" t="str">
        <f>if('Ingest Template'!A982="Standard",'Ingest Template'!N982&amp; "|DAR|DAR|2021-01-01",'Ingest Template'!N982&amp; "|Operations - Core Title|Operations - Core Title")</f>
        <v>#N/A</v>
      </c>
      <c r="AK982" s="53" t="str">
        <f>if('Ingest Template'!A982="Standard",'Ingest Template'!R982&amp; "|2021-01-01",'Ingest Template'!R982)</f>
        <v>#N/A</v>
      </c>
      <c r="AL982" s="21"/>
      <c r="AM982" s="21"/>
    </row>
    <row r="983">
      <c r="A983" s="21"/>
      <c r="B983" s="21" t="str">
        <f>'Ingest Template'!B983&amp;IF('Ingest Template'!A983 = "Standard", " - DAR","")</f>
        <v/>
      </c>
      <c r="C983" s="26" t="s">
        <v>109</v>
      </c>
      <c r="D983" s="29" t="str">
        <f t="array" ref="D983">CONCATENATE(INDEX(DropDown!$H$2:$H$10,MATCH(1,COUNTIF('Ingest Template'!F983,"*"&amp;DropDown!$H$2:$H$10&amp;"*"),0)),CHAR(10),'Ingest Template'!G983)</f>
        <v>#N/A</v>
      </c>
      <c r="E983" s="21" t="str">
        <f>CONCATENATE('Ingest Template'!H983,CHAR(10),'Ingest Template'!I983,CHAR(10),'Ingest Template'!J983)</f>
        <v>
</v>
      </c>
      <c r="F983" s="26" t="str">
        <f>'Ingest Template'!H983</f>
        <v/>
      </c>
      <c r="G983" s="21"/>
      <c r="H983" s="29"/>
      <c r="I983" s="21"/>
      <c r="J983" s="29" t="str">
        <f t="array" ref="J983">iF('Ingest Template'!A983="Standard","Pristine Brand",INDEX(DropDown!$M$2:$M$392,MATCH('Ingest Template'!E983,DropDown!$J$2:$J$392,0)))</f>
        <v>#N/A</v>
      </c>
      <c r="K983" s="21" t="str">
        <f>iF('Ingest Template'!A983="Standard",'Ingest Template'!K983&amp;CHAR(10)&amp;'Ingest Template'!L983,"Competitive View")</f>
        <v>Competitive View</v>
      </c>
      <c r="L983" s="29" t="s">
        <v>146</v>
      </c>
      <c r="M983" s="37" t="str">
        <f>'Ingest Template'!D983</f>
        <v/>
      </c>
      <c r="N983" s="21"/>
      <c r="O983" s="21"/>
      <c r="P983" s="21"/>
      <c r="Q983" s="21"/>
      <c r="R983" s="21" t="str">
        <f>'Ingest Template'!E983</f>
        <v/>
      </c>
      <c r="S983" s="29" t="s">
        <v>153</v>
      </c>
      <c r="T983" s="21" t="str">
        <f>'Ingest Template'!T983</f>
        <v/>
      </c>
      <c r="U983" s="21" t="str">
        <f>'Ingest Template'!S983</f>
        <v/>
      </c>
      <c r="V983" s="21" t="str">
        <f>LOWER(SUBSTITUTE(SUBSTITUTE(SUBSTITUTE(SUBSTITUTE(SUBSTITUTE('Ingest Template'!U983,"https:",""),"www.",""),"/",""),"?hl=en",""),"instagram.com",""))</f>
        <v/>
      </c>
      <c r="W983" s="41" t="str">
        <f t="array" ref="W983">IF('Ingest Template'!V983="",(INDEX(DropDown!$L$2:$L$392,MATCH('Ingest Template'!E983,DropDown!$J$2:$J$392,0))&amp;"|"&amp;'Ingest Template'!B983),(INDEX(DropDown!$L$2:$L$392,MATCH('Ingest Template'!E983,DropDown!$J$2:$J$392,0))&amp;"|"&amp;'Ingest Template'!B983)&amp;CHAR(10)&amp;'Ingest Template'!V983)</f>
        <v>#N/A</v>
      </c>
      <c r="X983" s="41" t="str">
        <f>'Ingest Template'!W983</f>
        <v/>
      </c>
      <c r="Y983" s="21" t="str">
        <f>SUBSTITUTE(SUBSTITUTE(SUBSTITUTE('Ingest Template'!X983,"http:",""),"https:",""),"/","")</f>
        <v/>
      </c>
      <c r="Z983" s="21" t="str">
        <f t="array" ref="Z983">IF('Ingest Template'!A983="Standard",(IF(ISBLANK('Ingest Template'!AA983),"", 'Ingest Template'!AA983&amp;"|DAR")),(IF(ISBLANK('Ingest Template'!AA983),"", 'Ingest Template'!AA983&amp;"|Film Ops")))</f>
        <v/>
      </c>
      <c r="AA983" s="21"/>
      <c r="AB983" s="21" t="str">
        <f>'Ingest Template'!M983</f>
        <v/>
      </c>
      <c r="AC983" s="21" t="str">
        <f>'Ingest Template'!Y983</f>
        <v/>
      </c>
      <c r="AD983" s="21" t="str">
        <f>'Ingest Template'!C983</f>
        <v/>
      </c>
      <c r="AE983" s="21" t="str">
        <f>'Ingest Template'!Z983</f>
        <v/>
      </c>
      <c r="AF983" s="29"/>
      <c r="AG983" s="21" t="str">
        <f t="array" ref="AG983">IF('Ingest Template'!A983="Standard",(CONCATENATE(IF(ISBLANK('Ingest Template'!O983),"", 'Ingest Template'!O983&amp;"|DAR"),CHAR(10), IF(ISBLANK('Ingest Template'!P983),"", 'Ingest Template'!P983&amp;"|DAR"),CHAR(10), IF(ISBLANK('Ingest Template'!Q983),"", 'Ingest Template'!Q983&amp;"|DAR"))),(CONCATENATE(IF(ISBLANK('Ingest Template'!O983),"", 'Ingest Template'!O983&amp;"|Operations - Core Title"),CHAR(10), IF(ISBLANK('Ingest Template'!P983),"", 'Ingest Template'!P983&amp;"|Operations - Core Title"),CHAR(10), IF(ISBLANK('Ingest Template'!Q983),"", 'Ingest Template'!Q983&amp;"|Operations - Core Title"))))</f>
        <v>#|Operations - Core Title
#|Operations - Core Title
</v>
      </c>
      <c r="AH983" s="21"/>
      <c r="AI983" s="21"/>
      <c r="AJ983" s="53" t="str">
        <f>if('Ingest Template'!A983="Standard",'Ingest Template'!N983&amp; "|DAR|DAR|2021-01-01",'Ingest Template'!N983&amp; "|Operations - Core Title|Operations - Core Title")</f>
        <v>#N/A</v>
      </c>
      <c r="AK983" s="53" t="str">
        <f>if('Ingest Template'!A983="Standard",'Ingest Template'!R983&amp; "|2021-01-01",'Ingest Template'!R983)</f>
        <v>#N/A</v>
      </c>
      <c r="AL983" s="21"/>
      <c r="AM983" s="21"/>
    </row>
    <row r="984">
      <c r="A984" s="21"/>
      <c r="B984" s="21" t="str">
        <f>'Ingest Template'!B984&amp;IF('Ingest Template'!A984 = "Standard", " - DAR","")</f>
        <v/>
      </c>
      <c r="C984" s="26" t="s">
        <v>109</v>
      </c>
      <c r="D984" s="29" t="str">
        <f t="array" ref="D984">CONCATENATE(INDEX(DropDown!$H$2:$H$10,MATCH(1,COUNTIF('Ingest Template'!F984,"*"&amp;DropDown!$H$2:$H$10&amp;"*"),0)),CHAR(10),'Ingest Template'!G984)</f>
        <v>#N/A</v>
      </c>
      <c r="E984" s="21" t="str">
        <f>CONCATENATE('Ingest Template'!H984,CHAR(10),'Ingest Template'!I984,CHAR(10),'Ingest Template'!J984)</f>
        <v>
</v>
      </c>
      <c r="F984" s="26" t="str">
        <f>'Ingest Template'!H984</f>
        <v/>
      </c>
      <c r="G984" s="21"/>
      <c r="H984" s="29"/>
      <c r="I984" s="21"/>
      <c r="J984" s="29" t="str">
        <f t="array" ref="J984">iF('Ingest Template'!A984="Standard","Pristine Brand",INDEX(DropDown!$M$2:$M$392,MATCH('Ingest Template'!E984,DropDown!$J$2:$J$392,0)))</f>
        <v>#N/A</v>
      </c>
      <c r="K984" s="21" t="str">
        <f>iF('Ingest Template'!A984="Standard",'Ingest Template'!K984&amp;CHAR(10)&amp;'Ingest Template'!L984,"Competitive View")</f>
        <v>Competitive View</v>
      </c>
      <c r="L984" s="29" t="s">
        <v>146</v>
      </c>
      <c r="M984" s="37" t="str">
        <f>'Ingest Template'!D984</f>
        <v/>
      </c>
      <c r="N984" s="21"/>
      <c r="O984" s="21"/>
      <c r="P984" s="21"/>
      <c r="Q984" s="21"/>
      <c r="R984" s="21" t="str">
        <f>'Ingest Template'!E984</f>
        <v/>
      </c>
      <c r="S984" s="29" t="s">
        <v>153</v>
      </c>
      <c r="T984" s="21" t="str">
        <f>'Ingest Template'!T984</f>
        <v/>
      </c>
      <c r="U984" s="21" t="str">
        <f>'Ingest Template'!S984</f>
        <v/>
      </c>
      <c r="V984" s="21" t="str">
        <f>LOWER(SUBSTITUTE(SUBSTITUTE(SUBSTITUTE(SUBSTITUTE(SUBSTITUTE('Ingest Template'!U984,"https:",""),"www.",""),"/",""),"?hl=en",""),"instagram.com",""))</f>
        <v/>
      </c>
      <c r="W984" s="41" t="str">
        <f t="array" ref="W984">IF('Ingest Template'!V984="",(INDEX(DropDown!$L$2:$L$392,MATCH('Ingest Template'!E984,DropDown!$J$2:$J$392,0))&amp;"|"&amp;'Ingest Template'!B984),(INDEX(DropDown!$L$2:$L$392,MATCH('Ingest Template'!E984,DropDown!$J$2:$J$392,0))&amp;"|"&amp;'Ingest Template'!B984)&amp;CHAR(10)&amp;'Ingest Template'!V984)</f>
        <v>#N/A</v>
      </c>
      <c r="X984" s="41" t="str">
        <f>'Ingest Template'!W984</f>
        <v/>
      </c>
      <c r="Y984" s="21" t="str">
        <f>SUBSTITUTE(SUBSTITUTE(SUBSTITUTE('Ingest Template'!X984,"http:",""),"https:",""),"/","")</f>
        <v/>
      </c>
      <c r="Z984" s="21" t="str">
        <f t="array" ref="Z984">IF('Ingest Template'!A984="Standard",(IF(ISBLANK('Ingest Template'!AA984),"", 'Ingest Template'!AA984&amp;"|DAR")),(IF(ISBLANK('Ingest Template'!AA984),"", 'Ingest Template'!AA984&amp;"|Film Ops")))</f>
        <v/>
      </c>
      <c r="AA984" s="21"/>
      <c r="AB984" s="21" t="str">
        <f>'Ingest Template'!M984</f>
        <v/>
      </c>
      <c r="AC984" s="21" t="str">
        <f>'Ingest Template'!Y984</f>
        <v/>
      </c>
      <c r="AD984" s="21" t="str">
        <f>'Ingest Template'!C984</f>
        <v/>
      </c>
      <c r="AE984" s="21" t="str">
        <f>'Ingest Template'!Z984</f>
        <v/>
      </c>
      <c r="AF984" s="29"/>
      <c r="AG984" s="21" t="str">
        <f t="array" ref="AG984">IF('Ingest Template'!A984="Standard",(CONCATENATE(IF(ISBLANK('Ingest Template'!O984),"", 'Ingest Template'!O984&amp;"|DAR"),CHAR(10), IF(ISBLANK('Ingest Template'!P984),"", 'Ingest Template'!P984&amp;"|DAR"),CHAR(10), IF(ISBLANK('Ingest Template'!Q984),"", 'Ingest Template'!Q984&amp;"|DAR"))),(CONCATENATE(IF(ISBLANK('Ingest Template'!O984),"", 'Ingest Template'!O984&amp;"|Operations - Core Title"),CHAR(10), IF(ISBLANK('Ingest Template'!P984),"", 'Ingest Template'!P984&amp;"|Operations - Core Title"),CHAR(10), IF(ISBLANK('Ingest Template'!Q984),"", 'Ingest Template'!Q984&amp;"|Operations - Core Title"))))</f>
        <v>#|Operations - Core Title
#|Operations - Core Title
</v>
      </c>
      <c r="AH984" s="21"/>
      <c r="AI984" s="21"/>
      <c r="AJ984" s="53" t="str">
        <f>if('Ingest Template'!A984="Standard",'Ingest Template'!N984&amp; "|DAR|DAR|2021-01-01",'Ingest Template'!N984&amp; "|Operations - Core Title|Operations - Core Title")</f>
        <v>#N/A</v>
      </c>
      <c r="AK984" s="53" t="str">
        <f>if('Ingest Template'!A984="Standard",'Ingest Template'!R984&amp; "|2021-01-01",'Ingest Template'!R984)</f>
        <v>#N/A</v>
      </c>
      <c r="AL984" s="21"/>
      <c r="AM984" s="21"/>
    </row>
    <row r="985">
      <c r="A985" s="21"/>
      <c r="B985" s="21" t="str">
        <f>'Ingest Template'!B985&amp;IF('Ingest Template'!A985 = "Standard", " - DAR","")</f>
        <v/>
      </c>
      <c r="C985" s="26" t="s">
        <v>109</v>
      </c>
      <c r="D985" s="29" t="str">
        <f t="array" ref="D985">CONCATENATE(INDEX(DropDown!$H$2:$H$10,MATCH(1,COUNTIF('Ingest Template'!F985,"*"&amp;DropDown!$H$2:$H$10&amp;"*"),0)),CHAR(10),'Ingest Template'!G985)</f>
        <v>#N/A</v>
      </c>
      <c r="E985" s="21" t="str">
        <f>CONCATENATE('Ingest Template'!H985,CHAR(10),'Ingest Template'!I985,CHAR(10),'Ingest Template'!J985)</f>
        <v>
</v>
      </c>
      <c r="F985" s="26" t="str">
        <f>'Ingest Template'!H985</f>
        <v/>
      </c>
      <c r="G985" s="21"/>
      <c r="H985" s="29"/>
      <c r="I985" s="21"/>
      <c r="J985" s="29" t="str">
        <f t="array" ref="J985">iF('Ingest Template'!A985="Standard","Pristine Brand",INDEX(DropDown!$M$2:$M$392,MATCH('Ingest Template'!E985,DropDown!$J$2:$J$392,0)))</f>
        <v>#N/A</v>
      </c>
      <c r="K985" s="21" t="str">
        <f>iF('Ingest Template'!A985="Standard",'Ingest Template'!K985&amp;CHAR(10)&amp;'Ingest Template'!L985,"Competitive View")</f>
        <v>Competitive View</v>
      </c>
      <c r="L985" s="29" t="s">
        <v>146</v>
      </c>
      <c r="M985" s="37" t="str">
        <f>'Ingest Template'!D985</f>
        <v/>
      </c>
      <c r="N985" s="21"/>
      <c r="O985" s="21"/>
      <c r="P985" s="21"/>
      <c r="Q985" s="21"/>
      <c r="R985" s="21" t="str">
        <f>'Ingest Template'!E985</f>
        <v/>
      </c>
      <c r="S985" s="29" t="s">
        <v>153</v>
      </c>
      <c r="T985" s="21" t="str">
        <f>'Ingest Template'!T985</f>
        <v/>
      </c>
      <c r="U985" s="21" t="str">
        <f>'Ingest Template'!S985</f>
        <v/>
      </c>
      <c r="V985" s="21" t="str">
        <f>LOWER(SUBSTITUTE(SUBSTITUTE(SUBSTITUTE(SUBSTITUTE(SUBSTITUTE('Ingest Template'!U985,"https:",""),"www.",""),"/",""),"?hl=en",""),"instagram.com",""))</f>
        <v/>
      </c>
      <c r="W985" s="41" t="str">
        <f t="array" ref="W985">IF('Ingest Template'!V985="",(INDEX(DropDown!$L$2:$L$392,MATCH('Ingest Template'!E985,DropDown!$J$2:$J$392,0))&amp;"|"&amp;'Ingest Template'!B985),(INDEX(DropDown!$L$2:$L$392,MATCH('Ingest Template'!E985,DropDown!$J$2:$J$392,0))&amp;"|"&amp;'Ingest Template'!B985)&amp;CHAR(10)&amp;'Ingest Template'!V985)</f>
        <v>#N/A</v>
      </c>
      <c r="X985" s="41" t="str">
        <f>'Ingest Template'!W985</f>
        <v/>
      </c>
      <c r="Y985" s="21" t="str">
        <f>SUBSTITUTE(SUBSTITUTE(SUBSTITUTE('Ingest Template'!X985,"http:",""),"https:",""),"/","")</f>
        <v/>
      </c>
      <c r="Z985" s="21" t="str">
        <f t="array" ref="Z985">IF('Ingest Template'!A985="Standard",(IF(ISBLANK('Ingest Template'!AA985),"", 'Ingest Template'!AA985&amp;"|DAR")),(IF(ISBLANK('Ingest Template'!AA985),"", 'Ingest Template'!AA985&amp;"|Film Ops")))</f>
        <v/>
      </c>
      <c r="AA985" s="21"/>
      <c r="AB985" s="21" t="str">
        <f>'Ingest Template'!M985</f>
        <v/>
      </c>
      <c r="AC985" s="21" t="str">
        <f>'Ingest Template'!Y985</f>
        <v/>
      </c>
      <c r="AD985" s="21" t="str">
        <f>'Ingest Template'!C985</f>
        <v/>
      </c>
      <c r="AE985" s="21" t="str">
        <f>'Ingest Template'!Z985</f>
        <v/>
      </c>
      <c r="AF985" s="29"/>
      <c r="AG985" s="21" t="str">
        <f t="array" ref="AG985">IF('Ingest Template'!A985="Standard",(CONCATENATE(IF(ISBLANK('Ingest Template'!O985),"", 'Ingest Template'!O985&amp;"|DAR"),CHAR(10), IF(ISBLANK('Ingest Template'!P985),"", 'Ingest Template'!P985&amp;"|DAR"),CHAR(10), IF(ISBLANK('Ingest Template'!Q985),"", 'Ingest Template'!Q985&amp;"|DAR"))),(CONCATENATE(IF(ISBLANK('Ingest Template'!O985),"", 'Ingest Template'!O985&amp;"|Operations - Core Title"),CHAR(10), IF(ISBLANK('Ingest Template'!P985),"", 'Ingest Template'!P985&amp;"|Operations - Core Title"),CHAR(10), IF(ISBLANK('Ingest Template'!Q985),"", 'Ingest Template'!Q985&amp;"|Operations - Core Title"))))</f>
        <v>#|Operations - Core Title
#|Operations - Core Title
</v>
      </c>
      <c r="AH985" s="21"/>
      <c r="AI985" s="21"/>
      <c r="AJ985" s="53" t="str">
        <f>if('Ingest Template'!A985="Standard",'Ingest Template'!N985&amp; "|DAR|DAR|2021-01-01",'Ingest Template'!N985&amp; "|Operations - Core Title|Operations - Core Title")</f>
        <v>#N/A</v>
      </c>
      <c r="AK985" s="53" t="str">
        <f>if('Ingest Template'!A985="Standard",'Ingest Template'!R985&amp; "|2021-01-01",'Ingest Template'!R985)</f>
        <v>#N/A</v>
      </c>
      <c r="AL985" s="21"/>
      <c r="AM985" s="21"/>
    </row>
    <row r="986">
      <c r="A986" s="21"/>
      <c r="B986" s="21" t="str">
        <f>'Ingest Template'!B986&amp;IF('Ingest Template'!A986 = "Standard", " - DAR","")</f>
        <v/>
      </c>
      <c r="C986" s="26" t="s">
        <v>109</v>
      </c>
      <c r="D986" s="29" t="str">
        <f t="array" ref="D986">CONCATENATE(INDEX(DropDown!$H$2:$H$10,MATCH(1,COUNTIF('Ingest Template'!F986,"*"&amp;DropDown!$H$2:$H$10&amp;"*"),0)),CHAR(10),'Ingest Template'!G986)</f>
        <v>#N/A</v>
      </c>
      <c r="E986" s="21" t="str">
        <f>CONCATENATE('Ingest Template'!H986,CHAR(10),'Ingest Template'!I986,CHAR(10),'Ingest Template'!J986)</f>
        <v>
</v>
      </c>
      <c r="F986" s="26" t="str">
        <f>'Ingest Template'!H986</f>
        <v/>
      </c>
      <c r="G986" s="21"/>
      <c r="H986" s="29"/>
      <c r="I986" s="21"/>
      <c r="J986" s="29" t="str">
        <f t="array" ref="J986">iF('Ingest Template'!A986="Standard","Pristine Brand",INDEX(DropDown!$M$2:$M$392,MATCH('Ingest Template'!E986,DropDown!$J$2:$J$392,0)))</f>
        <v>#N/A</v>
      </c>
      <c r="K986" s="21" t="str">
        <f>iF('Ingest Template'!A986="Standard",'Ingest Template'!K986&amp;CHAR(10)&amp;'Ingest Template'!L986,"Competitive View")</f>
        <v>Competitive View</v>
      </c>
      <c r="L986" s="29" t="s">
        <v>146</v>
      </c>
      <c r="M986" s="37" t="str">
        <f>'Ingest Template'!D986</f>
        <v/>
      </c>
      <c r="N986" s="21"/>
      <c r="O986" s="21"/>
      <c r="P986" s="21"/>
      <c r="Q986" s="21"/>
      <c r="R986" s="21" t="str">
        <f>'Ingest Template'!E986</f>
        <v/>
      </c>
      <c r="S986" s="29" t="s">
        <v>153</v>
      </c>
      <c r="T986" s="21" t="str">
        <f>'Ingest Template'!T986</f>
        <v/>
      </c>
      <c r="U986" s="21" t="str">
        <f>'Ingest Template'!S986</f>
        <v/>
      </c>
      <c r="V986" s="21" t="str">
        <f>LOWER(SUBSTITUTE(SUBSTITUTE(SUBSTITUTE(SUBSTITUTE(SUBSTITUTE('Ingest Template'!U986,"https:",""),"www.",""),"/",""),"?hl=en",""),"instagram.com",""))</f>
        <v/>
      </c>
      <c r="W986" s="41" t="str">
        <f t="array" ref="W986">IF('Ingest Template'!V986="",(INDEX(DropDown!$L$2:$L$392,MATCH('Ingest Template'!E986,DropDown!$J$2:$J$392,0))&amp;"|"&amp;'Ingest Template'!B986),(INDEX(DropDown!$L$2:$L$392,MATCH('Ingest Template'!E986,DropDown!$J$2:$J$392,0))&amp;"|"&amp;'Ingest Template'!B986)&amp;CHAR(10)&amp;'Ingest Template'!V986)</f>
        <v>#N/A</v>
      </c>
      <c r="X986" s="41" t="str">
        <f>'Ingest Template'!W986</f>
        <v/>
      </c>
      <c r="Y986" s="21" t="str">
        <f>SUBSTITUTE(SUBSTITUTE(SUBSTITUTE('Ingest Template'!X986,"http:",""),"https:",""),"/","")</f>
        <v/>
      </c>
      <c r="Z986" s="21" t="str">
        <f t="array" ref="Z986">IF('Ingest Template'!A986="Standard",(IF(ISBLANK('Ingest Template'!AA986),"", 'Ingest Template'!AA986&amp;"|DAR")),(IF(ISBLANK('Ingest Template'!AA986),"", 'Ingest Template'!AA986&amp;"|Film Ops")))</f>
        <v/>
      </c>
      <c r="AA986" s="21"/>
      <c r="AB986" s="21" t="str">
        <f>'Ingest Template'!M986</f>
        <v/>
      </c>
      <c r="AC986" s="21" t="str">
        <f>'Ingest Template'!Y986</f>
        <v/>
      </c>
      <c r="AD986" s="21" t="str">
        <f>'Ingest Template'!C986</f>
        <v/>
      </c>
      <c r="AE986" s="21" t="str">
        <f>'Ingest Template'!Z986</f>
        <v/>
      </c>
      <c r="AF986" s="29"/>
      <c r="AG986" s="21" t="str">
        <f t="array" ref="AG986">IF('Ingest Template'!A986="Standard",(CONCATENATE(IF(ISBLANK('Ingest Template'!O986),"", 'Ingest Template'!O986&amp;"|DAR"),CHAR(10), IF(ISBLANK('Ingest Template'!P986),"", 'Ingest Template'!P986&amp;"|DAR"),CHAR(10), IF(ISBLANK('Ingest Template'!Q986),"", 'Ingest Template'!Q986&amp;"|DAR"))),(CONCATENATE(IF(ISBLANK('Ingest Template'!O986),"", 'Ingest Template'!O986&amp;"|Operations - Core Title"),CHAR(10), IF(ISBLANK('Ingest Template'!P986),"", 'Ingest Template'!P986&amp;"|Operations - Core Title"),CHAR(10), IF(ISBLANK('Ingest Template'!Q986),"", 'Ingest Template'!Q986&amp;"|Operations - Core Title"))))</f>
        <v>#|Operations - Core Title
#|Operations - Core Title
</v>
      </c>
      <c r="AH986" s="21"/>
      <c r="AI986" s="21"/>
      <c r="AJ986" s="53" t="str">
        <f>if('Ingest Template'!A986="Standard",'Ingest Template'!N986&amp; "|DAR|DAR|2021-01-01",'Ingest Template'!N986&amp; "|Operations - Core Title|Operations - Core Title")</f>
        <v>#N/A</v>
      </c>
      <c r="AK986" s="53" t="str">
        <f>if('Ingest Template'!A986="Standard",'Ingest Template'!R986&amp; "|2021-01-01",'Ingest Template'!R986)</f>
        <v>#N/A</v>
      </c>
      <c r="AL986" s="21"/>
      <c r="AM986" s="21"/>
    </row>
    <row r="987">
      <c r="A987" s="21"/>
      <c r="B987" s="21" t="str">
        <f>'Ingest Template'!B987&amp;IF('Ingest Template'!A987 = "Standard", " - DAR","")</f>
        <v/>
      </c>
      <c r="C987" s="26" t="s">
        <v>109</v>
      </c>
      <c r="D987" s="29" t="str">
        <f t="array" ref="D987">CONCATENATE(INDEX(DropDown!$H$2:$H$10,MATCH(1,COUNTIF('Ingest Template'!F987,"*"&amp;DropDown!$H$2:$H$10&amp;"*"),0)),CHAR(10),'Ingest Template'!G987)</f>
        <v>#N/A</v>
      </c>
      <c r="E987" s="21" t="str">
        <f>CONCATENATE('Ingest Template'!H987,CHAR(10),'Ingest Template'!I987,CHAR(10),'Ingest Template'!J987)</f>
        <v>
</v>
      </c>
      <c r="F987" s="26" t="str">
        <f>'Ingest Template'!H987</f>
        <v/>
      </c>
      <c r="G987" s="21"/>
      <c r="H987" s="29"/>
      <c r="I987" s="21"/>
      <c r="J987" s="29" t="str">
        <f t="array" ref="J987">iF('Ingest Template'!A987="Standard","Pristine Brand",INDEX(DropDown!$M$2:$M$392,MATCH('Ingest Template'!E987,DropDown!$J$2:$J$392,0)))</f>
        <v>#N/A</v>
      </c>
      <c r="K987" s="21" t="str">
        <f>iF('Ingest Template'!A987="Standard",'Ingest Template'!K987&amp;CHAR(10)&amp;'Ingest Template'!L987,"Competitive View")</f>
        <v>Competitive View</v>
      </c>
      <c r="L987" s="29" t="s">
        <v>146</v>
      </c>
      <c r="M987" s="37" t="str">
        <f>'Ingest Template'!D987</f>
        <v/>
      </c>
      <c r="N987" s="21"/>
      <c r="O987" s="21"/>
      <c r="P987" s="21"/>
      <c r="Q987" s="21"/>
      <c r="R987" s="21" t="str">
        <f>'Ingest Template'!E987</f>
        <v/>
      </c>
      <c r="S987" s="29" t="s">
        <v>153</v>
      </c>
      <c r="T987" s="21" t="str">
        <f>'Ingest Template'!T987</f>
        <v/>
      </c>
      <c r="U987" s="21" t="str">
        <f>'Ingest Template'!S987</f>
        <v/>
      </c>
      <c r="V987" s="21" t="str">
        <f>LOWER(SUBSTITUTE(SUBSTITUTE(SUBSTITUTE(SUBSTITUTE(SUBSTITUTE('Ingest Template'!U987,"https:",""),"www.",""),"/",""),"?hl=en",""),"instagram.com",""))</f>
        <v/>
      </c>
      <c r="W987" s="41" t="str">
        <f t="array" ref="W987">IF('Ingest Template'!V987="",(INDEX(DropDown!$L$2:$L$392,MATCH('Ingest Template'!E987,DropDown!$J$2:$J$392,0))&amp;"|"&amp;'Ingest Template'!B987),(INDEX(DropDown!$L$2:$L$392,MATCH('Ingest Template'!E987,DropDown!$J$2:$J$392,0))&amp;"|"&amp;'Ingest Template'!B987)&amp;CHAR(10)&amp;'Ingest Template'!V987)</f>
        <v>#N/A</v>
      </c>
      <c r="X987" s="41" t="str">
        <f>'Ingest Template'!W987</f>
        <v/>
      </c>
      <c r="Y987" s="21" t="str">
        <f>SUBSTITUTE(SUBSTITUTE(SUBSTITUTE('Ingest Template'!X987,"http:",""),"https:",""),"/","")</f>
        <v/>
      </c>
      <c r="Z987" s="21" t="str">
        <f t="array" ref="Z987">IF('Ingest Template'!A987="Standard",(IF(ISBLANK('Ingest Template'!AA987),"", 'Ingest Template'!AA987&amp;"|DAR")),(IF(ISBLANK('Ingest Template'!AA987),"", 'Ingest Template'!AA987&amp;"|Film Ops")))</f>
        <v/>
      </c>
      <c r="AA987" s="21"/>
      <c r="AB987" s="21" t="str">
        <f>'Ingest Template'!M987</f>
        <v/>
      </c>
      <c r="AC987" s="21" t="str">
        <f>'Ingest Template'!Y987</f>
        <v/>
      </c>
      <c r="AD987" s="21" t="str">
        <f>'Ingest Template'!C987</f>
        <v/>
      </c>
      <c r="AE987" s="21" t="str">
        <f>'Ingest Template'!Z987</f>
        <v/>
      </c>
      <c r="AF987" s="29"/>
      <c r="AG987" s="21" t="str">
        <f t="array" ref="AG987">IF('Ingest Template'!A987="Standard",(CONCATENATE(IF(ISBLANK('Ingest Template'!O987),"", 'Ingest Template'!O987&amp;"|DAR"),CHAR(10), IF(ISBLANK('Ingest Template'!P987),"", 'Ingest Template'!P987&amp;"|DAR"),CHAR(10), IF(ISBLANK('Ingest Template'!Q987),"", 'Ingest Template'!Q987&amp;"|DAR"))),(CONCATENATE(IF(ISBLANK('Ingest Template'!O987),"", 'Ingest Template'!O987&amp;"|Operations - Core Title"),CHAR(10), IF(ISBLANK('Ingest Template'!P987),"", 'Ingest Template'!P987&amp;"|Operations - Core Title"),CHAR(10), IF(ISBLANK('Ingest Template'!Q987),"", 'Ingest Template'!Q987&amp;"|Operations - Core Title"))))</f>
        <v>#|Operations - Core Title
#|Operations - Core Title
</v>
      </c>
      <c r="AH987" s="21"/>
      <c r="AI987" s="21"/>
      <c r="AJ987" s="53" t="str">
        <f>if('Ingest Template'!A987="Standard",'Ingest Template'!N987&amp; "|DAR|DAR|2021-01-01",'Ingest Template'!N987&amp; "|Operations - Core Title|Operations - Core Title")</f>
        <v>#N/A</v>
      </c>
      <c r="AK987" s="53" t="str">
        <f>if('Ingest Template'!A987="Standard",'Ingest Template'!R987&amp; "|2021-01-01",'Ingest Template'!R987)</f>
        <v>#N/A</v>
      </c>
      <c r="AL987" s="21"/>
      <c r="AM987" s="21"/>
    </row>
    <row r="988">
      <c r="A988" s="21"/>
      <c r="B988" s="21" t="str">
        <f>'Ingest Template'!B988&amp;IF('Ingest Template'!A988 = "Standard", " - DAR","")</f>
        <v/>
      </c>
      <c r="C988" s="26" t="s">
        <v>109</v>
      </c>
      <c r="D988" s="29" t="str">
        <f t="array" ref="D988">CONCATENATE(INDEX(DropDown!$H$2:$H$10,MATCH(1,COUNTIF('Ingest Template'!F988,"*"&amp;DropDown!$H$2:$H$10&amp;"*"),0)),CHAR(10),'Ingest Template'!G988)</f>
        <v>#N/A</v>
      </c>
      <c r="E988" s="21" t="str">
        <f>CONCATENATE('Ingest Template'!H988,CHAR(10),'Ingest Template'!I988,CHAR(10),'Ingest Template'!J988)</f>
        <v>
</v>
      </c>
      <c r="F988" s="26" t="str">
        <f>'Ingest Template'!H988</f>
        <v/>
      </c>
      <c r="G988" s="21"/>
      <c r="H988" s="29"/>
      <c r="I988" s="21"/>
      <c r="J988" s="29" t="str">
        <f t="array" ref="J988">iF('Ingest Template'!A988="Standard","Pristine Brand",INDEX(DropDown!$M$2:$M$392,MATCH('Ingest Template'!E988,DropDown!$J$2:$J$392,0)))</f>
        <v>#N/A</v>
      </c>
      <c r="K988" s="21" t="str">
        <f>iF('Ingest Template'!A988="Standard",'Ingest Template'!K988&amp;CHAR(10)&amp;'Ingest Template'!L988,"Competitive View")</f>
        <v>Competitive View</v>
      </c>
      <c r="L988" s="29" t="s">
        <v>146</v>
      </c>
      <c r="M988" s="37" t="str">
        <f>'Ingest Template'!D988</f>
        <v/>
      </c>
      <c r="N988" s="21"/>
      <c r="O988" s="21"/>
      <c r="P988" s="21"/>
      <c r="Q988" s="21"/>
      <c r="R988" s="21" t="str">
        <f>'Ingest Template'!E988</f>
        <v/>
      </c>
      <c r="S988" s="29" t="s">
        <v>153</v>
      </c>
      <c r="T988" s="21" t="str">
        <f>'Ingest Template'!T988</f>
        <v/>
      </c>
      <c r="U988" s="21" t="str">
        <f>'Ingest Template'!S988</f>
        <v/>
      </c>
      <c r="V988" s="21" t="str">
        <f>LOWER(SUBSTITUTE(SUBSTITUTE(SUBSTITUTE(SUBSTITUTE(SUBSTITUTE('Ingest Template'!U988,"https:",""),"www.",""),"/",""),"?hl=en",""),"instagram.com",""))</f>
        <v/>
      </c>
      <c r="W988" s="41" t="str">
        <f t="array" ref="W988">IF('Ingest Template'!V988="",(INDEX(DropDown!$L$2:$L$392,MATCH('Ingest Template'!E988,DropDown!$J$2:$J$392,0))&amp;"|"&amp;'Ingest Template'!B988),(INDEX(DropDown!$L$2:$L$392,MATCH('Ingest Template'!E988,DropDown!$J$2:$J$392,0))&amp;"|"&amp;'Ingest Template'!B988)&amp;CHAR(10)&amp;'Ingest Template'!V988)</f>
        <v>#N/A</v>
      </c>
      <c r="X988" s="41" t="str">
        <f>'Ingest Template'!W988</f>
        <v/>
      </c>
      <c r="Y988" s="21" t="str">
        <f>SUBSTITUTE(SUBSTITUTE(SUBSTITUTE('Ingest Template'!X988,"http:",""),"https:",""),"/","")</f>
        <v/>
      </c>
      <c r="Z988" s="21" t="str">
        <f t="array" ref="Z988">IF('Ingest Template'!A988="Standard",(IF(ISBLANK('Ingest Template'!AA988),"", 'Ingest Template'!AA988&amp;"|DAR")),(IF(ISBLANK('Ingest Template'!AA988),"", 'Ingest Template'!AA988&amp;"|Film Ops")))</f>
        <v/>
      </c>
      <c r="AA988" s="21"/>
      <c r="AB988" s="21" t="str">
        <f>'Ingest Template'!M988</f>
        <v/>
      </c>
      <c r="AC988" s="21" t="str">
        <f>'Ingest Template'!Y988</f>
        <v/>
      </c>
      <c r="AD988" s="21" t="str">
        <f>'Ingest Template'!C988</f>
        <v/>
      </c>
      <c r="AE988" s="21" t="str">
        <f>'Ingest Template'!Z988</f>
        <v/>
      </c>
      <c r="AF988" s="29"/>
      <c r="AG988" s="21" t="str">
        <f t="array" ref="AG988">IF('Ingest Template'!A988="Standard",(CONCATENATE(IF(ISBLANK('Ingest Template'!O988),"", 'Ingest Template'!O988&amp;"|DAR"),CHAR(10), IF(ISBLANK('Ingest Template'!P988),"", 'Ingest Template'!P988&amp;"|DAR"),CHAR(10), IF(ISBLANK('Ingest Template'!Q988),"", 'Ingest Template'!Q988&amp;"|DAR"))),(CONCATENATE(IF(ISBLANK('Ingest Template'!O988),"", 'Ingest Template'!O988&amp;"|Operations - Core Title"),CHAR(10), IF(ISBLANK('Ingest Template'!P988),"", 'Ingest Template'!P988&amp;"|Operations - Core Title"),CHAR(10), IF(ISBLANK('Ingest Template'!Q988),"", 'Ingest Template'!Q988&amp;"|Operations - Core Title"))))</f>
        <v>#|Operations - Core Title
#|Operations - Core Title
</v>
      </c>
      <c r="AH988" s="21"/>
      <c r="AI988" s="21"/>
      <c r="AJ988" s="53" t="str">
        <f>if('Ingest Template'!A988="Standard",'Ingest Template'!N988&amp; "|DAR|DAR|2021-01-01",'Ingest Template'!N988&amp; "|Operations - Core Title|Operations - Core Title")</f>
        <v>#N/A</v>
      </c>
      <c r="AK988" s="53" t="str">
        <f>if('Ingest Template'!A988="Standard",'Ingest Template'!R988&amp; "|2021-01-01",'Ingest Template'!R988)</f>
        <v>#N/A</v>
      </c>
      <c r="AL988" s="21"/>
      <c r="AM988" s="21"/>
    </row>
    <row r="989">
      <c r="A989" s="21"/>
      <c r="B989" s="21" t="str">
        <f>'Ingest Template'!B989&amp;IF('Ingest Template'!A989 = "Standard", " - DAR","")</f>
        <v/>
      </c>
      <c r="C989" s="26" t="s">
        <v>109</v>
      </c>
      <c r="D989" s="29" t="str">
        <f t="array" ref="D989">CONCATENATE(INDEX(DropDown!$H$2:$H$10,MATCH(1,COUNTIF('Ingest Template'!F989,"*"&amp;DropDown!$H$2:$H$10&amp;"*"),0)),CHAR(10),'Ingest Template'!G989)</f>
        <v>#N/A</v>
      </c>
      <c r="E989" s="21" t="str">
        <f>CONCATENATE('Ingest Template'!H989,CHAR(10),'Ingest Template'!I989,CHAR(10),'Ingest Template'!J989)</f>
        <v>
</v>
      </c>
      <c r="F989" s="26" t="str">
        <f>'Ingest Template'!H989</f>
        <v/>
      </c>
      <c r="G989" s="21"/>
      <c r="H989" s="29"/>
      <c r="I989" s="21"/>
      <c r="J989" s="29" t="str">
        <f t="array" ref="J989">iF('Ingest Template'!A989="Standard","Pristine Brand",INDEX(DropDown!$M$2:$M$392,MATCH('Ingest Template'!E989,DropDown!$J$2:$J$392,0)))</f>
        <v>#N/A</v>
      </c>
      <c r="K989" s="21" t="str">
        <f>iF('Ingest Template'!A989="Standard",'Ingest Template'!K989&amp;CHAR(10)&amp;'Ingest Template'!L989,"Competitive View")</f>
        <v>Competitive View</v>
      </c>
      <c r="L989" s="29" t="s">
        <v>146</v>
      </c>
      <c r="M989" s="37" t="str">
        <f>'Ingest Template'!D989</f>
        <v/>
      </c>
      <c r="N989" s="21"/>
      <c r="O989" s="21"/>
      <c r="P989" s="21"/>
      <c r="Q989" s="21"/>
      <c r="R989" s="21" t="str">
        <f>'Ingest Template'!E989</f>
        <v/>
      </c>
      <c r="S989" s="29" t="s">
        <v>153</v>
      </c>
      <c r="T989" s="21" t="str">
        <f>'Ingest Template'!T989</f>
        <v/>
      </c>
      <c r="U989" s="21" t="str">
        <f>'Ingest Template'!S989</f>
        <v/>
      </c>
      <c r="V989" s="21" t="str">
        <f>LOWER(SUBSTITUTE(SUBSTITUTE(SUBSTITUTE(SUBSTITUTE(SUBSTITUTE('Ingest Template'!U989,"https:",""),"www.",""),"/",""),"?hl=en",""),"instagram.com",""))</f>
        <v/>
      </c>
      <c r="W989" s="41" t="str">
        <f t="array" ref="W989">IF('Ingest Template'!V989="",(INDEX(DropDown!$L$2:$L$392,MATCH('Ingest Template'!E989,DropDown!$J$2:$J$392,0))&amp;"|"&amp;'Ingest Template'!B989),(INDEX(DropDown!$L$2:$L$392,MATCH('Ingest Template'!E989,DropDown!$J$2:$J$392,0))&amp;"|"&amp;'Ingest Template'!B989)&amp;CHAR(10)&amp;'Ingest Template'!V989)</f>
        <v>#N/A</v>
      </c>
      <c r="X989" s="41" t="str">
        <f>'Ingest Template'!W989</f>
        <v/>
      </c>
      <c r="Y989" s="21" t="str">
        <f>SUBSTITUTE(SUBSTITUTE(SUBSTITUTE('Ingest Template'!X989,"http:",""),"https:",""),"/","")</f>
        <v/>
      </c>
      <c r="Z989" s="21" t="str">
        <f t="array" ref="Z989">IF('Ingest Template'!A989="Standard",(IF(ISBLANK('Ingest Template'!AA989),"", 'Ingest Template'!AA989&amp;"|DAR")),(IF(ISBLANK('Ingest Template'!AA989),"", 'Ingest Template'!AA989&amp;"|Film Ops")))</f>
        <v/>
      </c>
      <c r="AA989" s="21"/>
      <c r="AB989" s="21" t="str">
        <f>'Ingest Template'!M989</f>
        <v/>
      </c>
      <c r="AC989" s="21" t="str">
        <f>'Ingest Template'!Y989</f>
        <v/>
      </c>
      <c r="AD989" s="21" t="str">
        <f>'Ingest Template'!C989</f>
        <v/>
      </c>
      <c r="AE989" s="21" t="str">
        <f>'Ingest Template'!Z989</f>
        <v/>
      </c>
      <c r="AF989" s="29"/>
      <c r="AG989" s="21" t="str">
        <f t="array" ref="AG989">IF('Ingest Template'!A989="Standard",(CONCATENATE(IF(ISBLANK('Ingest Template'!O989),"", 'Ingest Template'!O989&amp;"|DAR"),CHAR(10), IF(ISBLANK('Ingest Template'!P989),"", 'Ingest Template'!P989&amp;"|DAR"),CHAR(10), IF(ISBLANK('Ingest Template'!Q989),"", 'Ingest Template'!Q989&amp;"|DAR"))),(CONCATENATE(IF(ISBLANK('Ingest Template'!O989),"", 'Ingest Template'!O989&amp;"|Operations - Core Title"),CHAR(10), IF(ISBLANK('Ingest Template'!P989),"", 'Ingest Template'!P989&amp;"|Operations - Core Title"),CHAR(10), IF(ISBLANK('Ingest Template'!Q989),"", 'Ingest Template'!Q989&amp;"|Operations - Core Title"))))</f>
        <v>#|Operations - Core Title
#|Operations - Core Title
</v>
      </c>
      <c r="AH989" s="21"/>
      <c r="AI989" s="21"/>
      <c r="AJ989" s="53" t="str">
        <f>if('Ingest Template'!A989="Standard",'Ingest Template'!N989&amp; "|DAR|DAR|2021-01-01",'Ingest Template'!N989&amp; "|Operations - Core Title|Operations - Core Title")</f>
        <v>#N/A</v>
      </c>
      <c r="AK989" s="53" t="str">
        <f>if('Ingest Template'!A989="Standard",'Ingest Template'!R989&amp; "|2021-01-01",'Ingest Template'!R989)</f>
        <v>#N/A</v>
      </c>
      <c r="AL989" s="21"/>
      <c r="AM989" s="21"/>
    </row>
    <row r="990">
      <c r="A990" s="21"/>
      <c r="B990" s="21" t="str">
        <f>'Ingest Template'!B990&amp;IF('Ingest Template'!A990 = "Standard", " - DAR","")</f>
        <v/>
      </c>
      <c r="C990" s="26" t="s">
        <v>109</v>
      </c>
      <c r="D990" s="29" t="str">
        <f t="array" ref="D990">CONCATENATE(INDEX(DropDown!$H$2:$H$10,MATCH(1,COUNTIF('Ingest Template'!F990,"*"&amp;DropDown!$H$2:$H$10&amp;"*"),0)),CHAR(10),'Ingest Template'!G990)</f>
        <v>#N/A</v>
      </c>
      <c r="E990" s="21" t="str">
        <f>CONCATENATE('Ingest Template'!H990,CHAR(10),'Ingest Template'!I990,CHAR(10),'Ingest Template'!J990)</f>
        <v>
</v>
      </c>
      <c r="F990" s="26" t="str">
        <f>'Ingest Template'!H990</f>
        <v/>
      </c>
      <c r="G990" s="21"/>
      <c r="H990" s="29"/>
      <c r="I990" s="21"/>
      <c r="J990" s="29" t="str">
        <f t="array" ref="J990">iF('Ingest Template'!A990="Standard","Pristine Brand",INDEX(DropDown!$M$2:$M$392,MATCH('Ingest Template'!E990,DropDown!$J$2:$J$392,0)))</f>
        <v>#N/A</v>
      </c>
      <c r="K990" s="21" t="str">
        <f>iF('Ingest Template'!A990="Standard",'Ingest Template'!K990&amp;CHAR(10)&amp;'Ingest Template'!L990,"Competitive View")</f>
        <v>Competitive View</v>
      </c>
      <c r="L990" s="29" t="s">
        <v>146</v>
      </c>
      <c r="M990" s="37" t="str">
        <f>'Ingest Template'!D990</f>
        <v/>
      </c>
      <c r="N990" s="21"/>
      <c r="O990" s="21"/>
      <c r="P990" s="21"/>
      <c r="Q990" s="21"/>
      <c r="R990" s="21" t="str">
        <f>'Ingest Template'!E990</f>
        <v/>
      </c>
      <c r="S990" s="29" t="s">
        <v>153</v>
      </c>
      <c r="T990" s="21" t="str">
        <f>'Ingest Template'!T990</f>
        <v/>
      </c>
      <c r="U990" s="21" t="str">
        <f>'Ingest Template'!S990</f>
        <v/>
      </c>
      <c r="V990" s="21" t="str">
        <f>LOWER(SUBSTITUTE(SUBSTITUTE(SUBSTITUTE(SUBSTITUTE(SUBSTITUTE('Ingest Template'!U990,"https:",""),"www.",""),"/",""),"?hl=en",""),"instagram.com",""))</f>
        <v/>
      </c>
      <c r="W990" s="41" t="str">
        <f t="array" ref="W990">IF('Ingest Template'!V990="",(INDEX(DropDown!$L$2:$L$392,MATCH('Ingest Template'!E990,DropDown!$J$2:$J$392,0))&amp;"|"&amp;'Ingest Template'!B990),(INDEX(DropDown!$L$2:$L$392,MATCH('Ingest Template'!E990,DropDown!$J$2:$J$392,0))&amp;"|"&amp;'Ingest Template'!B990)&amp;CHAR(10)&amp;'Ingest Template'!V990)</f>
        <v>#N/A</v>
      </c>
      <c r="X990" s="41" t="str">
        <f>'Ingest Template'!W990</f>
        <v/>
      </c>
      <c r="Y990" s="21" t="str">
        <f>SUBSTITUTE(SUBSTITUTE(SUBSTITUTE('Ingest Template'!X990,"http:",""),"https:",""),"/","")</f>
        <v/>
      </c>
      <c r="Z990" s="21" t="str">
        <f t="array" ref="Z990">IF('Ingest Template'!A990="Standard",(IF(ISBLANK('Ingest Template'!AA990),"", 'Ingest Template'!AA990&amp;"|DAR")),(IF(ISBLANK('Ingest Template'!AA990),"", 'Ingest Template'!AA990&amp;"|Film Ops")))</f>
        <v/>
      </c>
      <c r="AA990" s="21"/>
      <c r="AB990" s="21" t="str">
        <f>'Ingest Template'!M990</f>
        <v/>
      </c>
      <c r="AC990" s="21" t="str">
        <f>'Ingest Template'!Y990</f>
        <v/>
      </c>
      <c r="AD990" s="21" t="str">
        <f>'Ingest Template'!C990</f>
        <v/>
      </c>
      <c r="AE990" s="21" t="str">
        <f>'Ingest Template'!Z990</f>
        <v/>
      </c>
      <c r="AF990" s="29"/>
      <c r="AG990" s="21" t="str">
        <f t="array" ref="AG990">IF('Ingest Template'!A990="Standard",(CONCATENATE(IF(ISBLANK('Ingest Template'!O990),"", 'Ingest Template'!O990&amp;"|DAR"),CHAR(10), IF(ISBLANK('Ingest Template'!P990),"", 'Ingest Template'!P990&amp;"|DAR"),CHAR(10), IF(ISBLANK('Ingest Template'!Q990),"", 'Ingest Template'!Q990&amp;"|DAR"))),(CONCATENATE(IF(ISBLANK('Ingest Template'!O990),"", 'Ingest Template'!O990&amp;"|Operations - Core Title"),CHAR(10), IF(ISBLANK('Ingest Template'!P990),"", 'Ingest Template'!P990&amp;"|Operations - Core Title"),CHAR(10), IF(ISBLANK('Ingest Template'!Q990),"", 'Ingest Template'!Q990&amp;"|Operations - Core Title"))))</f>
        <v>#|Operations - Core Title
#|Operations - Core Title
</v>
      </c>
      <c r="AH990" s="21"/>
      <c r="AI990" s="21"/>
      <c r="AJ990" s="53" t="str">
        <f>if('Ingest Template'!A990="Standard",'Ingest Template'!N990&amp; "|DAR|DAR|2021-01-01",'Ingest Template'!N990&amp; "|Operations - Core Title|Operations - Core Title")</f>
        <v>#N/A</v>
      </c>
      <c r="AK990" s="53" t="str">
        <f>if('Ingest Template'!A990="Standard",'Ingest Template'!R990&amp; "|2021-01-01",'Ingest Template'!R990)</f>
        <v>#N/A</v>
      </c>
      <c r="AL990" s="21"/>
      <c r="AM990" s="21"/>
    </row>
    <row r="991">
      <c r="A991" s="21"/>
      <c r="B991" s="21" t="str">
        <f>'Ingest Template'!B991&amp;IF('Ingest Template'!A991 = "Standard", " - DAR","")</f>
        <v/>
      </c>
      <c r="C991" s="26" t="s">
        <v>109</v>
      </c>
      <c r="D991" s="29" t="str">
        <f t="array" ref="D991">CONCATENATE(INDEX(DropDown!$H$2:$H$10,MATCH(1,COUNTIF('Ingest Template'!F991,"*"&amp;DropDown!$H$2:$H$10&amp;"*"),0)),CHAR(10),'Ingest Template'!G991)</f>
        <v>#N/A</v>
      </c>
      <c r="E991" s="21" t="str">
        <f>CONCATENATE('Ingest Template'!H991,CHAR(10),'Ingest Template'!I991,CHAR(10),'Ingest Template'!J991)</f>
        <v>
</v>
      </c>
      <c r="F991" s="26" t="str">
        <f>'Ingest Template'!H991</f>
        <v/>
      </c>
      <c r="G991" s="21"/>
      <c r="H991" s="29"/>
      <c r="I991" s="21"/>
      <c r="J991" s="29" t="str">
        <f t="array" ref="J991">iF('Ingest Template'!A991="Standard","Pristine Brand",INDEX(DropDown!$M$2:$M$392,MATCH('Ingest Template'!E991,DropDown!$J$2:$J$392,0)))</f>
        <v>#N/A</v>
      </c>
      <c r="K991" s="21" t="str">
        <f>iF('Ingest Template'!A991="Standard",'Ingest Template'!K991&amp;CHAR(10)&amp;'Ingest Template'!L991,"Competitive View")</f>
        <v>Competitive View</v>
      </c>
      <c r="L991" s="29" t="s">
        <v>146</v>
      </c>
      <c r="M991" s="37" t="str">
        <f>'Ingest Template'!D991</f>
        <v/>
      </c>
      <c r="N991" s="21"/>
      <c r="O991" s="21"/>
      <c r="P991" s="21"/>
      <c r="Q991" s="21"/>
      <c r="R991" s="21" t="str">
        <f>'Ingest Template'!E991</f>
        <v/>
      </c>
      <c r="S991" s="29" t="s">
        <v>153</v>
      </c>
      <c r="T991" s="21" t="str">
        <f>'Ingest Template'!T991</f>
        <v/>
      </c>
      <c r="U991" s="21" t="str">
        <f>'Ingest Template'!S991</f>
        <v/>
      </c>
      <c r="V991" s="21" t="str">
        <f>LOWER(SUBSTITUTE(SUBSTITUTE(SUBSTITUTE(SUBSTITUTE(SUBSTITUTE('Ingest Template'!U991,"https:",""),"www.",""),"/",""),"?hl=en",""),"instagram.com",""))</f>
        <v/>
      </c>
      <c r="W991" s="41" t="str">
        <f t="array" ref="W991">IF('Ingest Template'!V991="",(INDEX(DropDown!$L$2:$L$392,MATCH('Ingest Template'!E991,DropDown!$J$2:$J$392,0))&amp;"|"&amp;'Ingest Template'!B991),(INDEX(DropDown!$L$2:$L$392,MATCH('Ingest Template'!E991,DropDown!$J$2:$J$392,0))&amp;"|"&amp;'Ingest Template'!B991)&amp;CHAR(10)&amp;'Ingest Template'!V991)</f>
        <v>#N/A</v>
      </c>
      <c r="X991" s="41" t="str">
        <f>'Ingest Template'!W991</f>
        <v/>
      </c>
      <c r="Y991" s="21" t="str">
        <f>SUBSTITUTE(SUBSTITUTE(SUBSTITUTE('Ingest Template'!X991,"http:",""),"https:",""),"/","")</f>
        <v/>
      </c>
      <c r="Z991" s="21" t="str">
        <f t="array" ref="Z991">IF('Ingest Template'!A991="Standard",(IF(ISBLANK('Ingest Template'!AA991),"", 'Ingest Template'!AA991&amp;"|DAR")),(IF(ISBLANK('Ingest Template'!AA991),"", 'Ingest Template'!AA991&amp;"|Film Ops")))</f>
        <v/>
      </c>
      <c r="AA991" s="21"/>
      <c r="AB991" s="21" t="str">
        <f>'Ingest Template'!M991</f>
        <v/>
      </c>
      <c r="AC991" s="21" t="str">
        <f>'Ingest Template'!Y991</f>
        <v/>
      </c>
      <c r="AD991" s="21" t="str">
        <f>'Ingest Template'!C991</f>
        <v/>
      </c>
      <c r="AE991" s="21" t="str">
        <f>'Ingest Template'!Z991</f>
        <v/>
      </c>
      <c r="AF991" s="29"/>
      <c r="AG991" s="21" t="str">
        <f t="array" ref="AG991">IF('Ingest Template'!A991="Standard",(CONCATENATE(IF(ISBLANK('Ingest Template'!O991),"", 'Ingest Template'!O991&amp;"|DAR"),CHAR(10), IF(ISBLANK('Ingest Template'!P991),"", 'Ingest Template'!P991&amp;"|DAR"),CHAR(10), IF(ISBLANK('Ingest Template'!Q991),"", 'Ingest Template'!Q991&amp;"|DAR"))),(CONCATENATE(IF(ISBLANK('Ingest Template'!O991),"", 'Ingest Template'!O991&amp;"|Operations - Core Title"),CHAR(10), IF(ISBLANK('Ingest Template'!P991),"", 'Ingest Template'!P991&amp;"|Operations - Core Title"),CHAR(10), IF(ISBLANK('Ingest Template'!Q991),"", 'Ingest Template'!Q991&amp;"|Operations - Core Title"))))</f>
        <v>#|Operations - Core Title
#|Operations - Core Title
</v>
      </c>
      <c r="AH991" s="21"/>
      <c r="AI991" s="21"/>
      <c r="AJ991" s="53" t="str">
        <f>if('Ingest Template'!A991="Standard",'Ingest Template'!N991&amp; "|DAR|DAR|2021-01-01",'Ingest Template'!N991&amp; "|Operations - Core Title|Operations - Core Title")</f>
        <v>#N/A</v>
      </c>
      <c r="AK991" s="53" t="str">
        <f>if('Ingest Template'!A991="Standard",'Ingest Template'!R991&amp; "|2021-01-01",'Ingest Template'!R991)</f>
        <v>#N/A</v>
      </c>
      <c r="AL991" s="21"/>
      <c r="AM991" s="21"/>
    </row>
    <row r="992">
      <c r="A992" s="21"/>
      <c r="B992" s="21" t="str">
        <f>'Ingest Template'!B992&amp;IF('Ingest Template'!A992 = "Standard", " - DAR","")</f>
        <v/>
      </c>
      <c r="C992" s="26" t="s">
        <v>109</v>
      </c>
      <c r="D992" s="29" t="str">
        <f t="array" ref="D992">CONCATENATE(INDEX(DropDown!$H$2:$H$10,MATCH(1,COUNTIF('Ingest Template'!F992,"*"&amp;DropDown!$H$2:$H$10&amp;"*"),0)),CHAR(10),'Ingest Template'!G992)</f>
        <v>#N/A</v>
      </c>
      <c r="E992" s="21" t="str">
        <f>CONCATENATE('Ingest Template'!H992,CHAR(10),'Ingest Template'!I992,CHAR(10),'Ingest Template'!J992)</f>
        <v>
</v>
      </c>
      <c r="F992" s="26" t="str">
        <f>'Ingest Template'!H992</f>
        <v/>
      </c>
      <c r="G992" s="21"/>
      <c r="H992" s="29"/>
      <c r="I992" s="21"/>
      <c r="J992" s="29" t="str">
        <f t="array" ref="J992">iF('Ingest Template'!A992="Standard","Pristine Brand",INDEX(DropDown!$M$2:$M$392,MATCH('Ingest Template'!E992,DropDown!$J$2:$J$392,0)))</f>
        <v>#N/A</v>
      </c>
      <c r="K992" s="21" t="str">
        <f>iF('Ingest Template'!A992="Standard",'Ingest Template'!K992&amp;CHAR(10)&amp;'Ingest Template'!L992,"Competitive View")</f>
        <v>Competitive View</v>
      </c>
      <c r="L992" s="29" t="s">
        <v>146</v>
      </c>
      <c r="M992" s="37" t="str">
        <f>'Ingest Template'!D992</f>
        <v/>
      </c>
      <c r="N992" s="21"/>
      <c r="O992" s="21"/>
      <c r="P992" s="21"/>
      <c r="Q992" s="21"/>
      <c r="R992" s="21" t="str">
        <f>'Ingest Template'!E992</f>
        <v/>
      </c>
      <c r="S992" s="29" t="s">
        <v>153</v>
      </c>
      <c r="T992" s="21" t="str">
        <f>'Ingest Template'!T992</f>
        <v/>
      </c>
      <c r="U992" s="21" t="str">
        <f>'Ingest Template'!S992</f>
        <v/>
      </c>
      <c r="V992" s="21" t="str">
        <f>LOWER(SUBSTITUTE(SUBSTITUTE(SUBSTITUTE(SUBSTITUTE(SUBSTITUTE('Ingest Template'!U992,"https:",""),"www.",""),"/",""),"?hl=en",""),"instagram.com",""))</f>
        <v/>
      </c>
      <c r="W992" s="41" t="str">
        <f t="array" ref="W992">IF('Ingest Template'!V992="",(INDEX(DropDown!$L$2:$L$392,MATCH('Ingest Template'!E992,DropDown!$J$2:$J$392,0))&amp;"|"&amp;'Ingest Template'!B992),(INDEX(DropDown!$L$2:$L$392,MATCH('Ingest Template'!E992,DropDown!$J$2:$J$392,0))&amp;"|"&amp;'Ingest Template'!B992)&amp;CHAR(10)&amp;'Ingest Template'!V992)</f>
        <v>#N/A</v>
      </c>
      <c r="X992" s="41" t="str">
        <f>'Ingest Template'!W992</f>
        <v/>
      </c>
      <c r="Y992" s="21" t="str">
        <f>SUBSTITUTE(SUBSTITUTE(SUBSTITUTE('Ingest Template'!X992,"http:",""),"https:",""),"/","")</f>
        <v/>
      </c>
      <c r="Z992" s="21" t="str">
        <f t="array" ref="Z992">IF('Ingest Template'!A992="Standard",(IF(ISBLANK('Ingest Template'!AA992),"", 'Ingest Template'!AA992&amp;"|DAR")),(IF(ISBLANK('Ingest Template'!AA992),"", 'Ingest Template'!AA992&amp;"|Film Ops")))</f>
        <v/>
      </c>
      <c r="AA992" s="21"/>
      <c r="AB992" s="21" t="str">
        <f>'Ingest Template'!M992</f>
        <v/>
      </c>
      <c r="AC992" s="21" t="str">
        <f>'Ingest Template'!Y992</f>
        <v/>
      </c>
      <c r="AD992" s="21" t="str">
        <f>'Ingest Template'!C992</f>
        <v/>
      </c>
      <c r="AE992" s="21" t="str">
        <f>'Ingest Template'!Z992</f>
        <v/>
      </c>
      <c r="AF992" s="29"/>
      <c r="AG992" s="21" t="str">
        <f t="array" ref="AG992">IF('Ingest Template'!A992="Standard",(CONCATENATE(IF(ISBLANK('Ingest Template'!O992),"", 'Ingest Template'!O992&amp;"|DAR"),CHAR(10), IF(ISBLANK('Ingest Template'!P992),"", 'Ingest Template'!P992&amp;"|DAR"),CHAR(10), IF(ISBLANK('Ingest Template'!Q992),"", 'Ingest Template'!Q992&amp;"|DAR"))),(CONCATENATE(IF(ISBLANK('Ingest Template'!O992),"", 'Ingest Template'!O992&amp;"|Operations - Core Title"),CHAR(10), IF(ISBLANK('Ingest Template'!P992),"", 'Ingest Template'!P992&amp;"|Operations - Core Title"),CHAR(10), IF(ISBLANK('Ingest Template'!Q992),"", 'Ingest Template'!Q992&amp;"|Operations - Core Title"))))</f>
        <v>#|Operations - Core Title
#|Operations - Core Title
</v>
      </c>
      <c r="AH992" s="21"/>
      <c r="AI992" s="21"/>
      <c r="AJ992" s="53" t="str">
        <f>if('Ingest Template'!A992="Standard",'Ingest Template'!N992&amp; "|DAR|DAR|2021-01-01",'Ingest Template'!N992&amp; "|Operations - Core Title|Operations - Core Title")</f>
        <v>#N/A</v>
      </c>
      <c r="AK992" s="53" t="str">
        <f>if('Ingest Template'!A992="Standard",'Ingest Template'!R992&amp; "|2021-01-01",'Ingest Template'!R992)</f>
        <v>#N/A</v>
      </c>
      <c r="AL992" s="21"/>
      <c r="AM992" s="21"/>
    </row>
    <row r="993">
      <c r="A993" s="21"/>
      <c r="B993" s="21" t="str">
        <f>'Ingest Template'!B993&amp;IF('Ingest Template'!A993 = "Standard", " - DAR","")</f>
        <v/>
      </c>
      <c r="C993" s="26" t="s">
        <v>109</v>
      </c>
      <c r="D993" s="29" t="str">
        <f t="array" ref="D993">CONCATENATE(INDEX(DropDown!$H$2:$H$10,MATCH(1,COUNTIF('Ingest Template'!F993,"*"&amp;DropDown!$H$2:$H$10&amp;"*"),0)),CHAR(10),'Ingest Template'!G993)</f>
        <v>#N/A</v>
      </c>
      <c r="E993" s="21" t="str">
        <f>CONCATENATE('Ingest Template'!H993,CHAR(10),'Ingest Template'!I993,CHAR(10),'Ingest Template'!J993)</f>
        <v>
</v>
      </c>
      <c r="F993" s="26" t="str">
        <f>'Ingest Template'!H993</f>
        <v/>
      </c>
      <c r="G993" s="21"/>
      <c r="H993" s="29"/>
      <c r="I993" s="21"/>
      <c r="J993" s="29" t="str">
        <f t="array" ref="J993">iF('Ingest Template'!A993="Standard","Pristine Brand",INDEX(DropDown!$M$2:$M$392,MATCH('Ingest Template'!E993,DropDown!$J$2:$J$392,0)))</f>
        <v>#N/A</v>
      </c>
      <c r="K993" s="21" t="str">
        <f>iF('Ingest Template'!A993="Standard",'Ingest Template'!K993&amp;CHAR(10)&amp;'Ingest Template'!L993,"Competitive View")</f>
        <v>Competitive View</v>
      </c>
      <c r="L993" s="29" t="s">
        <v>146</v>
      </c>
      <c r="M993" s="37" t="str">
        <f>'Ingest Template'!D993</f>
        <v/>
      </c>
      <c r="N993" s="21"/>
      <c r="O993" s="21"/>
      <c r="P993" s="21"/>
      <c r="Q993" s="21"/>
      <c r="R993" s="21" t="str">
        <f>'Ingest Template'!E993</f>
        <v/>
      </c>
      <c r="S993" s="29" t="s">
        <v>153</v>
      </c>
      <c r="T993" s="21" t="str">
        <f>'Ingest Template'!T993</f>
        <v/>
      </c>
      <c r="U993" s="21" t="str">
        <f>'Ingest Template'!S993</f>
        <v/>
      </c>
      <c r="V993" s="21" t="str">
        <f>LOWER(SUBSTITUTE(SUBSTITUTE(SUBSTITUTE(SUBSTITUTE(SUBSTITUTE('Ingest Template'!U993,"https:",""),"www.",""),"/",""),"?hl=en",""),"instagram.com",""))</f>
        <v/>
      </c>
      <c r="W993" s="41" t="str">
        <f t="array" ref="W993">IF('Ingest Template'!V993="",(INDEX(DropDown!$L$2:$L$392,MATCH('Ingest Template'!E993,DropDown!$J$2:$J$392,0))&amp;"|"&amp;'Ingest Template'!B993),(INDEX(DropDown!$L$2:$L$392,MATCH('Ingest Template'!E993,DropDown!$J$2:$J$392,0))&amp;"|"&amp;'Ingest Template'!B993)&amp;CHAR(10)&amp;'Ingest Template'!V993)</f>
        <v>#N/A</v>
      </c>
      <c r="X993" s="41" t="str">
        <f>'Ingest Template'!W993</f>
        <v/>
      </c>
      <c r="Y993" s="21" t="str">
        <f>SUBSTITUTE(SUBSTITUTE(SUBSTITUTE('Ingest Template'!X993,"http:",""),"https:",""),"/","")</f>
        <v/>
      </c>
      <c r="Z993" s="21" t="str">
        <f t="array" ref="Z993">IF('Ingest Template'!A993="Standard",(IF(ISBLANK('Ingest Template'!AA993),"", 'Ingest Template'!AA993&amp;"|DAR")),(IF(ISBLANK('Ingest Template'!AA993),"", 'Ingest Template'!AA993&amp;"|Film Ops")))</f>
        <v/>
      </c>
      <c r="AA993" s="21"/>
      <c r="AB993" s="21" t="str">
        <f>'Ingest Template'!M993</f>
        <v/>
      </c>
      <c r="AC993" s="21" t="str">
        <f>'Ingest Template'!Y993</f>
        <v/>
      </c>
      <c r="AD993" s="21" t="str">
        <f>'Ingest Template'!C993</f>
        <v/>
      </c>
      <c r="AE993" s="21" t="str">
        <f>'Ingest Template'!Z993</f>
        <v/>
      </c>
      <c r="AF993" s="29"/>
      <c r="AG993" s="21" t="str">
        <f t="array" ref="AG993">IF('Ingest Template'!A993="Standard",(CONCATENATE(IF(ISBLANK('Ingest Template'!O993),"", 'Ingest Template'!O993&amp;"|DAR"),CHAR(10), IF(ISBLANK('Ingest Template'!P993),"", 'Ingest Template'!P993&amp;"|DAR"),CHAR(10), IF(ISBLANK('Ingest Template'!Q993),"", 'Ingest Template'!Q993&amp;"|DAR"))),(CONCATENATE(IF(ISBLANK('Ingest Template'!O993),"", 'Ingest Template'!O993&amp;"|Operations - Core Title"),CHAR(10), IF(ISBLANK('Ingest Template'!P993),"", 'Ingest Template'!P993&amp;"|Operations - Core Title"),CHAR(10), IF(ISBLANK('Ingest Template'!Q993),"", 'Ingest Template'!Q993&amp;"|Operations - Core Title"))))</f>
        <v>#|Operations - Core Title
#|Operations - Core Title
</v>
      </c>
      <c r="AH993" s="21"/>
      <c r="AI993" s="21"/>
      <c r="AJ993" s="53" t="str">
        <f>if('Ingest Template'!A993="Standard",'Ingest Template'!N993&amp; "|DAR|DAR|2021-01-01",'Ingest Template'!N993&amp; "|Operations - Core Title|Operations - Core Title")</f>
        <v>#N/A</v>
      </c>
      <c r="AK993" s="53" t="str">
        <f>if('Ingest Template'!A993="Standard",'Ingest Template'!R993&amp; "|2021-01-01",'Ingest Template'!R993)</f>
        <v>#N/A</v>
      </c>
      <c r="AL993" s="21"/>
      <c r="AM993" s="21"/>
    </row>
    <row r="994">
      <c r="A994" s="21"/>
      <c r="B994" s="21" t="str">
        <f>'Ingest Template'!B994&amp;IF('Ingest Template'!A994 = "Standard", " - DAR","")</f>
        <v/>
      </c>
      <c r="C994" s="26" t="s">
        <v>109</v>
      </c>
      <c r="D994" s="29" t="str">
        <f t="array" ref="D994">CONCATENATE(INDEX(DropDown!$H$2:$H$10,MATCH(1,COUNTIF('Ingest Template'!F994,"*"&amp;DropDown!$H$2:$H$10&amp;"*"),0)),CHAR(10),'Ingest Template'!G994)</f>
        <v>#N/A</v>
      </c>
      <c r="E994" s="21" t="str">
        <f>CONCATENATE('Ingest Template'!H994,CHAR(10),'Ingest Template'!I994,CHAR(10),'Ingest Template'!J994)</f>
        <v>
</v>
      </c>
      <c r="F994" s="26" t="str">
        <f>'Ingest Template'!H994</f>
        <v/>
      </c>
      <c r="G994" s="21"/>
      <c r="H994" s="29"/>
      <c r="I994" s="21"/>
      <c r="J994" s="29" t="str">
        <f t="array" ref="J994">iF('Ingest Template'!A994="Standard","Pristine Brand",INDEX(DropDown!$M$2:$M$392,MATCH('Ingest Template'!E994,DropDown!$J$2:$J$392,0)))</f>
        <v>#N/A</v>
      </c>
      <c r="K994" s="21" t="str">
        <f>iF('Ingest Template'!A994="Standard",'Ingest Template'!K994&amp;CHAR(10)&amp;'Ingest Template'!L994,"Competitive View")</f>
        <v>Competitive View</v>
      </c>
      <c r="L994" s="29" t="s">
        <v>146</v>
      </c>
      <c r="M994" s="37" t="str">
        <f>'Ingest Template'!D994</f>
        <v/>
      </c>
      <c r="N994" s="21"/>
      <c r="O994" s="21"/>
      <c r="P994" s="21"/>
      <c r="Q994" s="21"/>
      <c r="R994" s="21" t="str">
        <f>'Ingest Template'!E994</f>
        <v/>
      </c>
      <c r="S994" s="29" t="s">
        <v>153</v>
      </c>
      <c r="T994" s="21" t="str">
        <f>'Ingest Template'!T994</f>
        <v/>
      </c>
      <c r="U994" s="21" t="str">
        <f>'Ingest Template'!S994</f>
        <v/>
      </c>
      <c r="V994" s="21" t="str">
        <f>LOWER(SUBSTITUTE(SUBSTITUTE(SUBSTITUTE(SUBSTITUTE(SUBSTITUTE('Ingest Template'!U994,"https:",""),"www.",""),"/",""),"?hl=en",""),"instagram.com",""))</f>
        <v/>
      </c>
      <c r="W994" s="41" t="str">
        <f t="array" ref="W994">IF('Ingest Template'!V994="",(INDEX(DropDown!$L$2:$L$392,MATCH('Ingest Template'!E994,DropDown!$J$2:$J$392,0))&amp;"|"&amp;'Ingest Template'!B994),(INDEX(DropDown!$L$2:$L$392,MATCH('Ingest Template'!E994,DropDown!$J$2:$J$392,0))&amp;"|"&amp;'Ingest Template'!B994)&amp;CHAR(10)&amp;'Ingest Template'!V994)</f>
        <v>#N/A</v>
      </c>
      <c r="X994" s="41" t="str">
        <f>'Ingest Template'!W994</f>
        <v/>
      </c>
      <c r="Y994" s="21" t="str">
        <f>SUBSTITUTE(SUBSTITUTE(SUBSTITUTE('Ingest Template'!X994,"http:",""),"https:",""),"/","")</f>
        <v/>
      </c>
      <c r="Z994" s="21" t="str">
        <f t="array" ref="Z994">IF('Ingest Template'!A994="Standard",(IF(ISBLANK('Ingest Template'!AA994),"", 'Ingest Template'!AA994&amp;"|DAR")),(IF(ISBLANK('Ingest Template'!AA994),"", 'Ingest Template'!AA994&amp;"|Film Ops")))</f>
        <v/>
      </c>
      <c r="AA994" s="21"/>
      <c r="AB994" s="21" t="str">
        <f>'Ingest Template'!M994</f>
        <v/>
      </c>
      <c r="AC994" s="21" t="str">
        <f>'Ingest Template'!Y994</f>
        <v/>
      </c>
      <c r="AD994" s="21" t="str">
        <f>'Ingest Template'!C994</f>
        <v/>
      </c>
      <c r="AE994" s="21" t="str">
        <f>'Ingest Template'!Z994</f>
        <v/>
      </c>
      <c r="AF994" s="29"/>
      <c r="AG994" s="21" t="str">
        <f t="array" ref="AG994">IF('Ingest Template'!A994="Standard",(CONCATENATE(IF(ISBLANK('Ingest Template'!O994),"", 'Ingest Template'!O994&amp;"|DAR"),CHAR(10), IF(ISBLANK('Ingest Template'!P994),"", 'Ingest Template'!P994&amp;"|DAR"),CHAR(10), IF(ISBLANK('Ingest Template'!Q994),"", 'Ingest Template'!Q994&amp;"|DAR"))),(CONCATENATE(IF(ISBLANK('Ingest Template'!O994),"", 'Ingest Template'!O994&amp;"|Operations - Core Title"),CHAR(10), IF(ISBLANK('Ingest Template'!P994),"", 'Ingest Template'!P994&amp;"|Operations - Core Title"),CHAR(10), IF(ISBLANK('Ingest Template'!Q994),"", 'Ingest Template'!Q994&amp;"|Operations - Core Title"))))</f>
        <v>#|Operations - Core Title
#|Operations - Core Title
</v>
      </c>
      <c r="AH994" s="21"/>
      <c r="AI994" s="21"/>
      <c r="AJ994" s="53" t="str">
        <f>if('Ingest Template'!A994="Standard",'Ingest Template'!N994&amp; "|DAR|DAR|2021-01-01",'Ingest Template'!N994&amp; "|Operations - Core Title|Operations - Core Title")</f>
        <v>#N/A</v>
      </c>
      <c r="AK994" s="53" t="str">
        <f>if('Ingest Template'!A994="Standard",'Ingest Template'!R994&amp; "|2021-01-01",'Ingest Template'!R994)</f>
        <v>#N/A</v>
      </c>
      <c r="AL994" s="21"/>
      <c r="AM994" s="21"/>
    </row>
    <row r="995">
      <c r="A995" s="21"/>
      <c r="B995" s="21" t="str">
        <f>'Ingest Template'!B995&amp;IF('Ingest Template'!A995 = "Standard", " - DAR","")</f>
        <v/>
      </c>
      <c r="C995" s="26" t="s">
        <v>109</v>
      </c>
      <c r="D995" s="29" t="str">
        <f t="array" ref="D995">CONCATENATE(INDEX(DropDown!$H$2:$H$10,MATCH(1,COUNTIF('Ingest Template'!F995,"*"&amp;DropDown!$H$2:$H$10&amp;"*"),0)),CHAR(10),'Ingest Template'!G995)</f>
        <v>#N/A</v>
      </c>
      <c r="E995" s="21" t="str">
        <f>CONCATENATE('Ingest Template'!H995,CHAR(10),'Ingest Template'!I995,CHAR(10),'Ingest Template'!J995)</f>
        <v>
</v>
      </c>
      <c r="F995" s="26" t="str">
        <f>'Ingest Template'!H995</f>
        <v/>
      </c>
      <c r="G995" s="21"/>
      <c r="H995" s="29"/>
      <c r="I995" s="21"/>
      <c r="J995" s="29" t="str">
        <f t="array" ref="J995">iF('Ingest Template'!A995="Standard","Pristine Brand",INDEX(DropDown!$M$2:$M$392,MATCH('Ingest Template'!E995,DropDown!$J$2:$J$392,0)))</f>
        <v>#N/A</v>
      </c>
      <c r="K995" s="21" t="str">
        <f>iF('Ingest Template'!A995="Standard",'Ingest Template'!K995&amp;CHAR(10)&amp;'Ingest Template'!L995,"Competitive View")</f>
        <v>Competitive View</v>
      </c>
      <c r="L995" s="29" t="s">
        <v>146</v>
      </c>
      <c r="M995" s="37" t="str">
        <f>'Ingest Template'!D995</f>
        <v/>
      </c>
      <c r="N995" s="21"/>
      <c r="O995" s="21"/>
      <c r="P995" s="21"/>
      <c r="Q995" s="21"/>
      <c r="R995" s="21" t="str">
        <f>'Ingest Template'!E995</f>
        <v/>
      </c>
      <c r="S995" s="29" t="s">
        <v>153</v>
      </c>
      <c r="T995" s="21" t="str">
        <f>'Ingest Template'!T995</f>
        <v/>
      </c>
      <c r="U995" s="21" t="str">
        <f>'Ingest Template'!S995</f>
        <v/>
      </c>
      <c r="V995" s="21" t="str">
        <f>LOWER(SUBSTITUTE(SUBSTITUTE(SUBSTITUTE(SUBSTITUTE(SUBSTITUTE('Ingest Template'!U995,"https:",""),"www.",""),"/",""),"?hl=en",""),"instagram.com",""))</f>
        <v/>
      </c>
      <c r="W995" s="41" t="str">
        <f t="array" ref="W995">IF('Ingest Template'!V995="",(INDEX(DropDown!$L$2:$L$392,MATCH('Ingest Template'!E995,DropDown!$J$2:$J$392,0))&amp;"|"&amp;'Ingest Template'!B995),(INDEX(DropDown!$L$2:$L$392,MATCH('Ingest Template'!E995,DropDown!$J$2:$J$392,0))&amp;"|"&amp;'Ingest Template'!B995)&amp;CHAR(10)&amp;'Ingest Template'!V995)</f>
        <v>#N/A</v>
      </c>
      <c r="X995" s="41" t="str">
        <f>'Ingest Template'!W995</f>
        <v/>
      </c>
      <c r="Y995" s="21" t="str">
        <f>SUBSTITUTE(SUBSTITUTE(SUBSTITUTE('Ingest Template'!X995,"http:",""),"https:",""),"/","")</f>
        <v/>
      </c>
      <c r="Z995" s="21" t="str">
        <f t="array" ref="Z995">IF('Ingest Template'!A995="Standard",(IF(ISBLANK('Ingest Template'!AA995),"", 'Ingest Template'!AA995&amp;"|DAR")),(IF(ISBLANK('Ingest Template'!AA995),"", 'Ingest Template'!AA995&amp;"|Film Ops")))</f>
        <v/>
      </c>
      <c r="AA995" s="21"/>
      <c r="AB995" s="21" t="str">
        <f>'Ingest Template'!M995</f>
        <v/>
      </c>
      <c r="AC995" s="21" t="str">
        <f>'Ingest Template'!Y995</f>
        <v/>
      </c>
      <c r="AD995" s="21" t="str">
        <f>'Ingest Template'!C995</f>
        <v/>
      </c>
      <c r="AE995" s="21" t="str">
        <f>'Ingest Template'!Z995</f>
        <v/>
      </c>
      <c r="AF995" s="29"/>
      <c r="AG995" s="21" t="str">
        <f t="array" ref="AG995">IF('Ingest Template'!A995="Standard",(CONCATENATE(IF(ISBLANK('Ingest Template'!O995),"", 'Ingest Template'!O995&amp;"|DAR"),CHAR(10), IF(ISBLANK('Ingest Template'!P995),"", 'Ingest Template'!P995&amp;"|DAR"),CHAR(10), IF(ISBLANK('Ingest Template'!Q995),"", 'Ingest Template'!Q995&amp;"|DAR"))),(CONCATENATE(IF(ISBLANK('Ingest Template'!O995),"", 'Ingest Template'!O995&amp;"|Operations - Core Title"),CHAR(10), IF(ISBLANK('Ingest Template'!P995),"", 'Ingest Template'!P995&amp;"|Operations - Core Title"),CHAR(10), IF(ISBLANK('Ingest Template'!Q995),"", 'Ingest Template'!Q995&amp;"|Operations - Core Title"))))</f>
        <v>#|Operations - Core Title
#|Operations - Core Title
</v>
      </c>
      <c r="AH995" s="21"/>
      <c r="AI995" s="21"/>
      <c r="AJ995" s="53" t="str">
        <f>if('Ingest Template'!A995="Standard",'Ingest Template'!N995&amp; "|DAR|DAR|2021-01-01",'Ingest Template'!N995&amp; "|Operations - Core Title|Operations - Core Title")</f>
        <v>#N/A</v>
      </c>
      <c r="AK995" s="53" t="str">
        <f>if('Ingest Template'!A995="Standard",'Ingest Template'!R995&amp; "|2021-01-01",'Ingest Template'!R995)</f>
        <v>#N/A</v>
      </c>
      <c r="AL995" s="21"/>
      <c r="AM995" s="21"/>
    </row>
    <row r="996">
      <c r="A996" s="21"/>
      <c r="B996" s="21" t="str">
        <f>'Ingest Template'!B996&amp;IF('Ingest Template'!A996 = "Standard", " - DAR","")</f>
        <v/>
      </c>
      <c r="C996" s="26" t="s">
        <v>109</v>
      </c>
      <c r="D996" s="29" t="str">
        <f t="array" ref="D996">CONCATENATE(INDEX(DropDown!$H$2:$H$10,MATCH(1,COUNTIF('Ingest Template'!F996,"*"&amp;DropDown!$H$2:$H$10&amp;"*"),0)),CHAR(10),'Ingest Template'!G996)</f>
        <v>#N/A</v>
      </c>
      <c r="E996" s="21" t="str">
        <f>CONCATENATE('Ingest Template'!H996,CHAR(10),'Ingest Template'!I996,CHAR(10),'Ingest Template'!J996)</f>
        <v>
</v>
      </c>
      <c r="F996" s="26" t="str">
        <f>'Ingest Template'!H996</f>
        <v/>
      </c>
      <c r="G996" s="21"/>
      <c r="H996" s="29"/>
      <c r="I996" s="21"/>
      <c r="J996" s="29" t="str">
        <f t="array" ref="J996">iF('Ingest Template'!A996="Standard","Pristine Brand",INDEX(DropDown!$M$2:$M$392,MATCH('Ingest Template'!E996,DropDown!$J$2:$J$392,0)))</f>
        <v>#N/A</v>
      </c>
      <c r="K996" s="21" t="str">
        <f>iF('Ingest Template'!A996="Standard",'Ingest Template'!K996&amp;CHAR(10)&amp;'Ingest Template'!L996,"Competitive View")</f>
        <v>Competitive View</v>
      </c>
      <c r="L996" s="29" t="s">
        <v>146</v>
      </c>
      <c r="M996" s="37" t="str">
        <f>'Ingest Template'!D996</f>
        <v/>
      </c>
      <c r="N996" s="21"/>
      <c r="O996" s="21"/>
      <c r="P996" s="21"/>
      <c r="Q996" s="21"/>
      <c r="R996" s="21" t="str">
        <f>'Ingest Template'!E996</f>
        <v/>
      </c>
      <c r="S996" s="29" t="s">
        <v>153</v>
      </c>
      <c r="T996" s="21" t="str">
        <f>'Ingest Template'!T996</f>
        <v/>
      </c>
      <c r="U996" s="21" t="str">
        <f>'Ingest Template'!S996</f>
        <v/>
      </c>
      <c r="V996" s="21" t="str">
        <f>LOWER(SUBSTITUTE(SUBSTITUTE(SUBSTITUTE(SUBSTITUTE(SUBSTITUTE('Ingest Template'!U996,"https:",""),"www.",""),"/",""),"?hl=en",""),"instagram.com",""))</f>
        <v/>
      </c>
      <c r="W996" s="41" t="str">
        <f t="array" ref="W996">IF('Ingest Template'!V996="",(INDEX(DropDown!$L$2:$L$392,MATCH('Ingest Template'!E996,DropDown!$J$2:$J$392,0))&amp;"|"&amp;'Ingest Template'!B996),(INDEX(DropDown!$L$2:$L$392,MATCH('Ingest Template'!E996,DropDown!$J$2:$J$392,0))&amp;"|"&amp;'Ingest Template'!B996)&amp;CHAR(10)&amp;'Ingest Template'!V996)</f>
        <v>#N/A</v>
      </c>
      <c r="X996" s="41" t="str">
        <f>'Ingest Template'!W996</f>
        <v/>
      </c>
      <c r="Y996" s="21" t="str">
        <f>SUBSTITUTE(SUBSTITUTE(SUBSTITUTE('Ingest Template'!X996,"http:",""),"https:",""),"/","")</f>
        <v/>
      </c>
      <c r="Z996" s="21" t="str">
        <f t="array" ref="Z996">IF('Ingest Template'!A996="Standard",(IF(ISBLANK('Ingest Template'!AA996),"", 'Ingest Template'!AA996&amp;"|DAR")),(IF(ISBLANK('Ingest Template'!AA996),"", 'Ingest Template'!AA996&amp;"|Film Ops")))</f>
        <v/>
      </c>
      <c r="AA996" s="21"/>
      <c r="AB996" s="21" t="str">
        <f>'Ingest Template'!M996</f>
        <v/>
      </c>
      <c r="AC996" s="21" t="str">
        <f>'Ingest Template'!Y996</f>
        <v/>
      </c>
      <c r="AD996" s="21" t="str">
        <f>'Ingest Template'!C996</f>
        <v/>
      </c>
      <c r="AE996" s="21" t="str">
        <f>'Ingest Template'!Z996</f>
        <v/>
      </c>
      <c r="AF996" s="29"/>
      <c r="AG996" s="21" t="str">
        <f t="array" ref="AG996">IF('Ingest Template'!A996="Standard",(CONCATENATE(IF(ISBLANK('Ingest Template'!O996),"", 'Ingest Template'!O996&amp;"|DAR"),CHAR(10), IF(ISBLANK('Ingest Template'!P996),"", 'Ingest Template'!P996&amp;"|DAR"),CHAR(10), IF(ISBLANK('Ingest Template'!Q996),"", 'Ingest Template'!Q996&amp;"|DAR"))),(CONCATENATE(IF(ISBLANK('Ingest Template'!O996),"", 'Ingest Template'!O996&amp;"|Operations - Core Title"),CHAR(10), IF(ISBLANK('Ingest Template'!P996),"", 'Ingest Template'!P996&amp;"|Operations - Core Title"),CHAR(10), IF(ISBLANK('Ingest Template'!Q996),"", 'Ingest Template'!Q996&amp;"|Operations - Core Title"))))</f>
        <v>#|Operations - Core Title
#|Operations - Core Title
</v>
      </c>
      <c r="AH996" s="21"/>
      <c r="AI996" s="21"/>
      <c r="AJ996" s="53" t="str">
        <f>if('Ingest Template'!A996="Standard",'Ingest Template'!N996&amp; "|DAR|DAR|2021-01-01",'Ingest Template'!N996&amp; "|Operations - Core Title|Operations - Core Title")</f>
        <v>#N/A</v>
      </c>
      <c r="AK996" s="53" t="str">
        <f>if('Ingest Template'!A996="Standard",'Ingest Template'!R996&amp; "|2021-01-01",'Ingest Template'!R996)</f>
        <v>#N/A</v>
      </c>
      <c r="AL996" s="21"/>
      <c r="AM996" s="21"/>
    </row>
    <row r="997">
      <c r="A997" s="21"/>
      <c r="B997" s="21" t="str">
        <f>'Ingest Template'!B997&amp;IF('Ingest Template'!A997 = "Standard", " - DAR","")</f>
        <v/>
      </c>
      <c r="C997" s="26" t="s">
        <v>109</v>
      </c>
      <c r="D997" s="29" t="str">
        <f t="array" ref="D997">CONCATENATE(INDEX(DropDown!$H$2:$H$10,MATCH(1,COUNTIF('Ingest Template'!F997,"*"&amp;DropDown!$H$2:$H$10&amp;"*"),0)),CHAR(10),'Ingest Template'!G997)</f>
        <v>#N/A</v>
      </c>
      <c r="E997" s="21" t="str">
        <f>CONCATENATE('Ingest Template'!H997,CHAR(10),'Ingest Template'!I997,CHAR(10),'Ingest Template'!J997)</f>
        <v>
</v>
      </c>
      <c r="F997" s="26" t="str">
        <f>'Ingest Template'!H997</f>
        <v/>
      </c>
      <c r="G997" s="21"/>
      <c r="H997" s="29"/>
      <c r="I997" s="21"/>
      <c r="J997" s="29" t="str">
        <f t="array" ref="J997">iF('Ingest Template'!A997="Standard","Pristine Brand",INDEX(DropDown!$M$2:$M$392,MATCH('Ingest Template'!E997,DropDown!$J$2:$J$392,0)))</f>
        <v>#N/A</v>
      </c>
      <c r="K997" s="21" t="str">
        <f>iF('Ingest Template'!A997="Standard",'Ingest Template'!K997&amp;CHAR(10)&amp;'Ingest Template'!L997,"Competitive View")</f>
        <v>Competitive View</v>
      </c>
      <c r="L997" s="29" t="s">
        <v>146</v>
      </c>
      <c r="M997" s="37" t="str">
        <f>'Ingest Template'!D997</f>
        <v/>
      </c>
      <c r="N997" s="21"/>
      <c r="O997" s="21"/>
      <c r="P997" s="21"/>
      <c r="Q997" s="21"/>
      <c r="R997" s="21" t="str">
        <f>'Ingest Template'!E997</f>
        <v/>
      </c>
      <c r="S997" s="29" t="s">
        <v>153</v>
      </c>
      <c r="T997" s="21" t="str">
        <f>'Ingest Template'!T997</f>
        <v/>
      </c>
      <c r="U997" s="21" t="str">
        <f>'Ingest Template'!S997</f>
        <v/>
      </c>
      <c r="V997" s="21" t="str">
        <f>LOWER(SUBSTITUTE(SUBSTITUTE(SUBSTITUTE(SUBSTITUTE(SUBSTITUTE('Ingest Template'!U997,"https:",""),"www.",""),"/",""),"?hl=en",""),"instagram.com",""))</f>
        <v/>
      </c>
      <c r="W997" s="41" t="str">
        <f t="array" ref="W997">IF('Ingest Template'!V997="",(INDEX(DropDown!$L$2:$L$392,MATCH('Ingest Template'!E997,DropDown!$J$2:$J$392,0))&amp;"|"&amp;'Ingest Template'!B997),(INDEX(DropDown!$L$2:$L$392,MATCH('Ingest Template'!E997,DropDown!$J$2:$J$392,0))&amp;"|"&amp;'Ingest Template'!B997)&amp;CHAR(10)&amp;'Ingest Template'!V997)</f>
        <v>#N/A</v>
      </c>
      <c r="X997" s="41" t="str">
        <f>'Ingest Template'!W997</f>
        <v/>
      </c>
      <c r="Y997" s="21" t="str">
        <f>SUBSTITUTE(SUBSTITUTE(SUBSTITUTE('Ingest Template'!X997,"http:",""),"https:",""),"/","")</f>
        <v/>
      </c>
      <c r="Z997" s="21" t="str">
        <f t="array" ref="Z997">IF('Ingest Template'!A997="Standard",(IF(ISBLANK('Ingest Template'!AA997),"", 'Ingest Template'!AA997&amp;"|DAR")),(IF(ISBLANK('Ingest Template'!AA997),"", 'Ingest Template'!AA997&amp;"|Film Ops")))</f>
        <v/>
      </c>
      <c r="AA997" s="21"/>
      <c r="AB997" s="21" t="str">
        <f>'Ingest Template'!M997</f>
        <v/>
      </c>
      <c r="AC997" s="21" t="str">
        <f>'Ingest Template'!Y997</f>
        <v/>
      </c>
      <c r="AD997" s="21" t="str">
        <f>'Ingest Template'!C997</f>
        <v/>
      </c>
      <c r="AE997" s="21" t="str">
        <f>'Ingest Template'!Z997</f>
        <v/>
      </c>
      <c r="AF997" s="29"/>
      <c r="AG997" s="21" t="str">
        <f t="array" ref="AG997">IF('Ingest Template'!A997="Standard",(CONCATENATE(IF(ISBLANK('Ingest Template'!O997),"", 'Ingest Template'!O997&amp;"|DAR"),CHAR(10), IF(ISBLANK('Ingest Template'!P997),"", 'Ingest Template'!P997&amp;"|DAR"),CHAR(10), IF(ISBLANK('Ingest Template'!Q997),"", 'Ingest Template'!Q997&amp;"|DAR"))),(CONCATENATE(IF(ISBLANK('Ingest Template'!O997),"", 'Ingest Template'!O997&amp;"|Operations - Core Title"),CHAR(10), IF(ISBLANK('Ingest Template'!P997),"", 'Ingest Template'!P997&amp;"|Operations - Core Title"),CHAR(10), IF(ISBLANK('Ingest Template'!Q997),"", 'Ingest Template'!Q997&amp;"|Operations - Core Title"))))</f>
        <v>#|Operations - Core Title
#|Operations - Core Title
</v>
      </c>
      <c r="AH997" s="21"/>
      <c r="AI997" s="21"/>
      <c r="AJ997" s="53" t="str">
        <f>if('Ingest Template'!A997="Standard",'Ingest Template'!N997&amp; "|DAR|DAR|2021-01-01",'Ingest Template'!N997&amp; "|Operations - Core Title|Operations - Core Title")</f>
        <v>#N/A</v>
      </c>
      <c r="AK997" s="53" t="str">
        <f>if('Ingest Template'!A997="Standard",'Ingest Template'!R997&amp; "|2021-01-01",'Ingest Template'!R997)</f>
        <v>#N/A</v>
      </c>
      <c r="AL997" s="21"/>
      <c r="AM997" s="21"/>
    </row>
    <row r="998">
      <c r="A998" s="21"/>
      <c r="B998" s="21" t="str">
        <f>'Ingest Template'!B998&amp;IF('Ingest Template'!A998 = "Standard", " - DAR","")</f>
        <v/>
      </c>
      <c r="C998" s="26" t="s">
        <v>109</v>
      </c>
      <c r="D998" s="29" t="str">
        <f t="array" ref="D998">CONCATENATE(INDEX(DropDown!$H$2:$H$10,MATCH(1,COUNTIF('Ingest Template'!F998,"*"&amp;DropDown!$H$2:$H$10&amp;"*"),0)),CHAR(10),'Ingest Template'!G998)</f>
        <v>#N/A</v>
      </c>
      <c r="E998" s="21" t="str">
        <f>CONCATENATE('Ingest Template'!H998,CHAR(10),'Ingest Template'!I998,CHAR(10),'Ingest Template'!J998)</f>
        <v>
</v>
      </c>
      <c r="F998" s="26" t="str">
        <f>'Ingest Template'!H998</f>
        <v/>
      </c>
      <c r="G998" s="21"/>
      <c r="H998" s="29"/>
      <c r="I998" s="21"/>
      <c r="J998" s="29" t="str">
        <f t="array" ref="J998">iF('Ingest Template'!A998="Standard","Pristine Brand",INDEX(DropDown!$M$2:$M$392,MATCH('Ingest Template'!E998,DropDown!$J$2:$J$392,0)))</f>
        <v>#N/A</v>
      </c>
      <c r="K998" s="21" t="str">
        <f>iF('Ingest Template'!A998="Standard",'Ingest Template'!K998&amp;CHAR(10)&amp;'Ingest Template'!L998,"Competitive View")</f>
        <v>Competitive View</v>
      </c>
      <c r="L998" s="29" t="s">
        <v>146</v>
      </c>
      <c r="M998" s="37" t="str">
        <f>'Ingest Template'!D998</f>
        <v/>
      </c>
      <c r="N998" s="21"/>
      <c r="O998" s="21"/>
      <c r="P998" s="21"/>
      <c r="Q998" s="21"/>
      <c r="R998" s="21" t="str">
        <f>'Ingest Template'!E998</f>
        <v/>
      </c>
      <c r="S998" s="29" t="s">
        <v>153</v>
      </c>
      <c r="T998" s="21" t="str">
        <f>'Ingest Template'!T998</f>
        <v/>
      </c>
      <c r="U998" s="21" t="str">
        <f>'Ingest Template'!S998</f>
        <v/>
      </c>
      <c r="V998" s="21" t="str">
        <f>LOWER(SUBSTITUTE(SUBSTITUTE(SUBSTITUTE(SUBSTITUTE(SUBSTITUTE('Ingest Template'!U998,"https:",""),"www.",""),"/",""),"?hl=en",""),"instagram.com",""))</f>
        <v/>
      </c>
      <c r="W998" s="41" t="str">
        <f t="array" ref="W998">IF('Ingest Template'!V998="",(INDEX(DropDown!$L$2:$L$392,MATCH('Ingest Template'!E998,DropDown!$J$2:$J$392,0))&amp;"|"&amp;'Ingest Template'!B998),(INDEX(DropDown!$L$2:$L$392,MATCH('Ingest Template'!E998,DropDown!$J$2:$J$392,0))&amp;"|"&amp;'Ingest Template'!B998)&amp;CHAR(10)&amp;'Ingest Template'!V998)</f>
        <v>#N/A</v>
      </c>
      <c r="X998" s="41" t="str">
        <f>'Ingest Template'!W998</f>
        <v/>
      </c>
      <c r="Y998" s="21" t="str">
        <f>SUBSTITUTE(SUBSTITUTE(SUBSTITUTE('Ingest Template'!X998,"http:",""),"https:",""),"/","")</f>
        <v/>
      </c>
      <c r="Z998" s="21" t="str">
        <f t="array" ref="Z998">IF('Ingest Template'!A998="Standard",(IF(ISBLANK('Ingest Template'!AA998),"", 'Ingest Template'!AA998&amp;"|DAR")),(IF(ISBLANK('Ingest Template'!AA998),"", 'Ingest Template'!AA998&amp;"|Film Ops")))</f>
        <v/>
      </c>
      <c r="AA998" s="21"/>
      <c r="AB998" s="21" t="str">
        <f>'Ingest Template'!M998</f>
        <v/>
      </c>
      <c r="AC998" s="21" t="str">
        <f>'Ingest Template'!Y998</f>
        <v/>
      </c>
      <c r="AD998" s="21" t="str">
        <f>'Ingest Template'!C998</f>
        <v/>
      </c>
      <c r="AE998" s="21" t="str">
        <f>'Ingest Template'!Z998</f>
        <v/>
      </c>
      <c r="AF998" s="29"/>
      <c r="AG998" s="21" t="str">
        <f t="array" ref="AG998">IF('Ingest Template'!A998="Standard",(CONCATENATE(IF(ISBLANK('Ingest Template'!O998),"", 'Ingest Template'!O998&amp;"|DAR"),CHAR(10), IF(ISBLANK('Ingest Template'!P998),"", 'Ingest Template'!P998&amp;"|DAR"),CHAR(10), IF(ISBLANK('Ingest Template'!Q998),"", 'Ingest Template'!Q998&amp;"|DAR"))),(CONCATENATE(IF(ISBLANK('Ingest Template'!O998),"", 'Ingest Template'!O998&amp;"|Operations - Core Title"),CHAR(10), IF(ISBLANK('Ingest Template'!P998),"", 'Ingest Template'!P998&amp;"|Operations - Core Title"),CHAR(10), IF(ISBLANK('Ingest Template'!Q998),"", 'Ingest Template'!Q998&amp;"|Operations - Core Title"))))</f>
        <v>#|Operations - Core Title
#|Operations - Core Title
</v>
      </c>
      <c r="AH998" s="21"/>
      <c r="AI998" s="21"/>
      <c r="AJ998" s="53" t="str">
        <f>if('Ingest Template'!A998="Standard",'Ingest Template'!N998&amp; "|DAR|DAR|2021-01-01",'Ingest Template'!N998&amp; "|Operations - Core Title|Operations - Core Title")</f>
        <v>#N/A</v>
      </c>
      <c r="AK998" s="53" t="str">
        <f>if('Ingest Template'!A998="Standard",'Ingest Template'!R998&amp; "|2021-01-01",'Ingest Template'!R998)</f>
        <v>#N/A</v>
      </c>
      <c r="AL998" s="21"/>
      <c r="AM998" s="21"/>
    </row>
    <row r="999">
      <c r="A999" s="21"/>
      <c r="B999" s="21" t="str">
        <f>'Ingest Template'!B999&amp;IF('Ingest Template'!A999 = "Standard", " - DAR","")</f>
        <v/>
      </c>
      <c r="C999" s="26" t="s">
        <v>109</v>
      </c>
      <c r="D999" s="29" t="str">
        <f t="array" ref="D999">CONCATENATE(INDEX(DropDown!$H$2:$H$10,MATCH(1,COUNTIF('Ingest Template'!F999,"*"&amp;DropDown!$H$2:$H$10&amp;"*"),0)),CHAR(10),'Ingest Template'!G999)</f>
        <v>#N/A</v>
      </c>
      <c r="E999" s="21" t="str">
        <f>CONCATENATE('Ingest Template'!H999,CHAR(10),'Ingest Template'!I999,CHAR(10),'Ingest Template'!J999)</f>
        <v>
</v>
      </c>
      <c r="F999" s="26" t="str">
        <f>'Ingest Template'!H999</f>
        <v/>
      </c>
      <c r="G999" s="21"/>
      <c r="H999" s="29"/>
      <c r="I999" s="21"/>
      <c r="J999" s="29" t="str">
        <f t="array" ref="J999">iF('Ingest Template'!A999="Standard","Pristine Brand",INDEX(DropDown!$M$2:$M$392,MATCH('Ingest Template'!E999,DropDown!$J$2:$J$392,0)))</f>
        <v>#N/A</v>
      </c>
      <c r="K999" s="21" t="str">
        <f>iF('Ingest Template'!A999="Standard",'Ingest Template'!K999&amp;CHAR(10)&amp;'Ingest Template'!L999,"Competitive View")</f>
        <v>Competitive View</v>
      </c>
      <c r="L999" s="29" t="s">
        <v>146</v>
      </c>
      <c r="M999" s="37" t="str">
        <f>'Ingest Template'!D999</f>
        <v/>
      </c>
      <c r="N999" s="21"/>
      <c r="O999" s="21"/>
      <c r="P999" s="21"/>
      <c r="Q999" s="21"/>
      <c r="R999" s="21" t="str">
        <f>'Ingest Template'!E999</f>
        <v/>
      </c>
      <c r="S999" s="29" t="s">
        <v>153</v>
      </c>
      <c r="T999" s="21" t="str">
        <f>'Ingest Template'!T999</f>
        <v/>
      </c>
      <c r="U999" s="21" t="str">
        <f>'Ingest Template'!S999</f>
        <v/>
      </c>
      <c r="V999" s="21" t="str">
        <f>LOWER(SUBSTITUTE(SUBSTITUTE(SUBSTITUTE(SUBSTITUTE(SUBSTITUTE('Ingest Template'!U999,"https:",""),"www.",""),"/",""),"?hl=en",""),"instagram.com",""))</f>
        <v/>
      </c>
      <c r="W999" s="41" t="str">
        <f t="array" ref="W999">IF('Ingest Template'!V999="",(INDEX(DropDown!$L$2:$L$392,MATCH('Ingest Template'!E999,DropDown!$J$2:$J$392,0))&amp;"|"&amp;'Ingest Template'!B999),(INDEX(DropDown!$L$2:$L$392,MATCH('Ingest Template'!E999,DropDown!$J$2:$J$392,0))&amp;"|"&amp;'Ingest Template'!B999)&amp;CHAR(10)&amp;'Ingest Template'!V999)</f>
        <v>#N/A</v>
      </c>
      <c r="X999" s="41" t="str">
        <f>'Ingest Template'!W999</f>
        <v/>
      </c>
      <c r="Y999" s="21" t="str">
        <f>SUBSTITUTE(SUBSTITUTE(SUBSTITUTE('Ingest Template'!X999,"http:",""),"https:",""),"/","")</f>
        <v/>
      </c>
      <c r="Z999" s="21" t="str">
        <f t="array" ref="Z999">IF('Ingest Template'!A999="Standard",(IF(ISBLANK('Ingest Template'!AA999),"", 'Ingest Template'!AA999&amp;"|DAR")),(IF(ISBLANK('Ingest Template'!AA999),"", 'Ingest Template'!AA999&amp;"|Film Ops")))</f>
        <v/>
      </c>
      <c r="AA999" s="21"/>
      <c r="AB999" s="21" t="str">
        <f>'Ingest Template'!M999</f>
        <v/>
      </c>
      <c r="AC999" s="21" t="str">
        <f>'Ingest Template'!Y999</f>
        <v/>
      </c>
      <c r="AD999" s="21" t="str">
        <f>'Ingest Template'!C999</f>
        <v/>
      </c>
      <c r="AE999" s="21" t="str">
        <f>'Ingest Template'!Z999</f>
        <v/>
      </c>
      <c r="AF999" s="29"/>
      <c r="AG999" s="21" t="str">
        <f t="array" ref="AG999">IF('Ingest Template'!A999="Standard",(CONCATENATE(IF(ISBLANK('Ingest Template'!O999),"", 'Ingest Template'!O999&amp;"|DAR"),CHAR(10), IF(ISBLANK('Ingest Template'!P999),"", 'Ingest Template'!P999&amp;"|DAR"),CHAR(10), IF(ISBLANK('Ingest Template'!Q999),"", 'Ingest Template'!Q999&amp;"|DAR"))),(CONCATENATE(IF(ISBLANK('Ingest Template'!O999),"", 'Ingest Template'!O999&amp;"|Operations - Core Title"),CHAR(10), IF(ISBLANK('Ingest Template'!P999),"", 'Ingest Template'!P999&amp;"|Operations - Core Title"),CHAR(10), IF(ISBLANK('Ingest Template'!Q999),"", 'Ingest Template'!Q999&amp;"|Operations - Core Title"))))</f>
        <v>#|Operations - Core Title
#|Operations - Core Title
</v>
      </c>
      <c r="AH999" s="21"/>
      <c r="AI999" s="21"/>
      <c r="AJ999" s="53" t="str">
        <f>if('Ingest Template'!A999="Standard",'Ingest Template'!N999&amp; "|DAR|DAR|2021-01-01",'Ingest Template'!N999&amp; "|Operations - Core Title|Operations - Core Title")</f>
        <v>#N/A</v>
      </c>
      <c r="AK999" s="53" t="str">
        <f>if('Ingest Template'!A999="Standard",'Ingest Template'!R999&amp; "|2021-01-01",'Ingest Template'!R999)</f>
        <v>#N/A</v>
      </c>
      <c r="AL999" s="21"/>
      <c r="AM999" s="21"/>
    </row>
    <row r="1000">
      <c r="A1000" s="21"/>
      <c r="B1000" s="21" t="str">
        <f>'Ingest Template'!B1000&amp;IF('Ingest Template'!A1000 = "Standard", " - DAR","")</f>
        <v/>
      </c>
      <c r="C1000" s="26" t="s">
        <v>109</v>
      </c>
      <c r="D1000" s="29" t="str">
        <f t="array" ref="D1000">CONCATENATE(INDEX(DropDown!$H$2:$H$10,MATCH(1,COUNTIF('Ingest Template'!F1000,"*"&amp;DropDown!$H$2:$H$10&amp;"*"),0)),CHAR(10),'Ingest Template'!G1000)</f>
        <v>#N/A</v>
      </c>
      <c r="E1000" s="21" t="str">
        <f>CONCATENATE('Ingest Template'!H1000,CHAR(10),'Ingest Template'!I1000,CHAR(10),'Ingest Template'!J1000)</f>
        <v>
</v>
      </c>
      <c r="F1000" s="26" t="str">
        <f>'Ingest Template'!H1000</f>
        <v/>
      </c>
      <c r="G1000" s="21"/>
      <c r="H1000" s="29"/>
      <c r="I1000" s="21"/>
      <c r="J1000" s="29" t="str">
        <f t="array" ref="J1000">iF('Ingest Template'!A1000="Standard","Pristine Brand",INDEX(DropDown!$M$2:$M$392,MATCH('Ingest Template'!E1000,DropDown!$J$2:$J$392,0)))</f>
        <v>#N/A</v>
      </c>
      <c r="K1000" s="21" t="str">
        <f>iF('Ingest Template'!A1000="Standard",'Ingest Template'!K1000&amp;CHAR(10)&amp;'Ingest Template'!L1000,"Competitive View")</f>
        <v>Competitive View</v>
      </c>
      <c r="L1000" s="29" t="s">
        <v>146</v>
      </c>
      <c r="M1000" s="37" t="str">
        <f>'Ingest Template'!D1000</f>
        <v/>
      </c>
      <c r="N1000" s="21"/>
      <c r="O1000" s="21"/>
      <c r="P1000" s="21"/>
      <c r="Q1000" s="21"/>
      <c r="R1000" s="21" t="str">
        <f>'Ingest Template'!E1000</f>
        <v/>
      </c>
      <c r="S1000" s="29" t="s">
        <v>153</v>
      </c>
      <c r="T1000" s="21" t="str">
        <f>'Ingest Template'!T1000</f>
        <v/>
      </c>
      <c r="U1000" s="21" t="str">
        <f>'Ingest Template'!S1000</f>
        <v/>
      </c>
      <c r="V1000" s="21" t="str">
        <f>LOWER(SUBSTITUTE(SUBSTITUTE(SUBSTITUTE(SUBSTITUTE(SUBSTITUTE('Ingest Template'!U1000,"https:",""),"www.",""),"/",""),"?hl=en",""),"instagram.com",""))</f>
        <v/>
      </c>
      <c r="W1000" s="41" t="str">
        <f t="array" ref="W1000">IF('Ingest Template'!V1000="",(INDEX(DropDown!$L$2:$L$392,MATCH('Ingest Template'!E1000,DropDown!$J$2:$J$392,0))&amp;"|"&amp;'Ingest Template'!B1000),(INDEX(DropDown!$L$2:$L$392,MATCH('Ingest Template'!E1000,DropDown!$J$2:$J$392,0))&amp;"|"&amp;'Ingest Template'!B1000)&amp;CHAR(10)&amp;'Ingest Template'!V1000)</f>
        <v>#N/A</v>
      </c>
      <c r="X1000" s="41" t="str">
        <f>'Ingest Template'!W1000</f>
        <v/>
      </c>
      <c r="Y1000" s="21" t="str">
        <f>SUBSTITUTE(SUBSTITUTE(SUBSTITUTE('Ingest Template'!X1000,"http:",""),"https:",""),"/","")</f>
        <v/>
      </c>
      <c r="Z1000" s="21" t="str">
        <f t="array" ref="Z1000">IF('Ingest Template'!A1000="Standard",(IF(ISBLANK('Ingest Template'!AA1000),"", 'Ingest Template'!AA1000&amp;"|DAR")),(IF(ISBLANK('Ingest Template'!AA1000),"", 'Ingest Template'!AA1000&amp;"|Film Ops")))</f>
        <v/>
      </c>
      <c r="AA1000" s="21"/>
      <c r="AB1000" s="21" t="str">
        <f>'Ingest Template'!M1000</f>
        <v/>
      </c>
      <c r="AC1000" s="21" t="str">
        <f>'Ingest Template'!Y1000</f>
        <v/>
      </c>
      <c r="AD1000" s="21" t="str">
        <f>'Ingest Template'!C1000</f>
        <v/>
      </c>
      <c r="AE1000" s="21" t="str">
        <f>'Ingest Template'!Z1000</f>
        <v/>
      </c>
      <c r="AF1000" s="29"/>
      <c r="AG1000" s="21" t="str">
        <f t="array" ref="AG1000">IF('Ingest Template'!A1000="Standard",(CONCATENATE(IF(ISBLANK('Ingest Template'!O1000),"", 'Ingest Template'!O1000&amp;"|DAR"),CHAR(10), IF(ISBLANK('Ingest Template'!P1000),"", 'Ingest Template'!P1000&amp;"|DAR"),CHAR(10), IF(ISBLANK('Ingest Template'!Q1000),"", 'Ingest Template'!Q1000&amp;"|DAR"))),(CONCATENATE(IF(ISBLANK('Ingest Template'!O1000),"", 'Ingest Template'!O1000&amp;"|Operations - Core Title"),CHAR(10), IF(ISBLANK('Ingest Template'!P1000),"", 'Ingest Template'!P1000&amp;"|Operations - Core Title"),CHAR(10), IF(ISBLANK('Ingest Template'!Q1000),"", 'Ingest Template'!Q1000&amp;"|Operations - Core Title"))))</f>
        <v>#|Operations - Core Title
#|Operations - Core Title
</v>
      </c>
      <c r="AH1000" s="21"/>
      <c r="AI1000" s="21"/>
      <c r="AJ1000" s="53" t="str">
        <f>if('Ingest Template'!A1000="Standard",'Ingest Template'!N1000&amp; "|DAR|DAR|2021-01-01",'Ingest Template'!N1000&amp; "|Operations - Core Title|Operations - Core Title")</f>
        <v>#N/A</v>
      </c>
      <c r="AK1000" s="53" t="str">
        <f>if('Ingest Template'!A1000="Standard",'Ingest Template'!R1000&amp; "|2021-01-01",'Ingest Template'!R1000)</f>
        <v>#N/A</v>
      </c>
      <c r="AL1000" s="21"/>
      <c r="AM1000" s="21"/>
    </row>
  </sheetData>
  <conditionalFormatting sqref="D1:D1000">
    <cfRule type="notContainsBlanks" dxfId="0" priority="1">
      <formula>LEN(TRIM(D1))&gt;0</formula>
    </cfRule>
  </conditionalFormatting>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3.0"/>
    <col customWidth="1" min="3" max="3" width="29.25"/>
    <col customWidth="1" min="5" max="5" width="22.5"/>
    <col customWidth="1" min="11" max="11" width="26.38"/>
    <col customWidth="1" min="12" max="12" width="26.63"/>
    <col customWidth="1" min="14" max="14" width="32.13"/>
    <col customWidth="1" min="15" max="15" width="14.75"/>
    <col customWidth="1" min="16" max="16" width="11.75"/>
    <col customWidth="1" min="17" max="17" width="10.5"/>
    <col customWidth="1" hidden="1" min="18" max="18" width="26.13"/>
    <col customWidth="1" min="19" max="19" width="15.75"/>
    <col customWidth="1" min="20" max="20" width="18.25"/>
    <col customWidth="1" min="21" max="21" width="21.13"/>
    <col customWidth="1" min="22" max="22" width="14.25"/>
    <col customWidth="1" min="23" max="23" width="6.25"/>
    <col customWidth="1" hidden="1" min="24" max="24" width="6.5"/>
    <col customWidth="1" min="25" max="25" width="14.5"/>
    <col customWidth="1" min="26" max="26" width="8.75"/>
    <col customWidth="1" hidden="1" min="27" max="27" width="16.63"/>
  </cols>
  <sheetData>
    <row r="1">
      <c r="A1" s="3" t="s">
        <v>0</v>
      </c>
      <c r="B1" s="3" t="s">
        <v>6</v>
      </c>
      <c r="C1" s="3" t="s">
        <v>8</v>
      </c>
      <c r="D1" s="3" t="s">
        <v>10</v>
      </c>
      <c r="E1" s="3" t="s">
        <v>11</v>
      </c>
      <c r="F1" s="3" t="s">
        <v>13</v>
      </c>
      <c r="G1" s="3" t="s">
        <v>15</v>
      </c>
      <c r="H1" s="3" t="s">
        <v>16</v>
      </c>
      <c r="I1" s="3" t="s">
        <v>17</v>
      </c>
      <c r="J1" s="3" t="s">
        <v>19</v>
      </c>
      <c r="K1" s="3" t="s">
        <v>21</v>
      </c>
      <c r="L1" s="3" t="s">
        <v>23</v>
      </c>
      <c r="M1" s="3" t="s">
        <v>25</v>
      </c>
      <c r="N1" s="11" t="s">
        <v>27</v>
      </c>
      <c r="O1" s="13" t="s">
        <v>36</v>
      </c>
      <c r="P1" s="13" t="s">
        <v>50</v>
      </c>
      <c r="Q1" s="13" t="s">
        <v>57</v>
      </c>
      <c r="R1" s="14" t="s">
        <v>60</v>
      </c>
      <c r="S1" s="13" t="s">
        <v>68</v>
      </c>
      <c r="T1" s="13" t="s">
        <v>72</v>
      </c>
      <c r="U1" s="13" t="s">
        <v>77</v>
      </c>
      <c r="V1" s="13" t="s">
        <v>80</v>
      </c>
      <c r="W1" s="11" t="s">
        <v>82</v>
      </c>
      <c r="X1" s="3" t="s">
        <v>85</v>
      </c>
      <c r="Y1" s="3" t="s">
        <v>88</v>
      </c>
      <c r="Z1" s="3" t="s">
        <v>90</v>
      </c>
      <c r="AA1" s="3" t="s">
        <v>92</v>
      </c>
    </row>
    <row r="2">
      <c r="A2" s="20"/>
      <c r="B2" s="22" t="s">
        <v>2</v>
      </c>
      <c r="C2" s="23"/>
      <c r="D2" s="24"/>
      <c r="F2" s="25"/>
      <c r="G2" s="27" t="str">
        <f>VLOOKUP(E2,DropDown!J:K,2,FALSE)</f>
        <v>#N/A</v>
      </c>
      <c r="H2" s="27"/>
      <c r="I2" s="27"/>
      <c r="J2" s="27"/>
      <c r="K2" s="25" t="s">
        <v>116</v>
      </c>
      <c r="L2" s="25"/>
      <c r="M2" s="23"/>
      <c r="N2" s="25" t="str">
        <f>"("""&amp;B2&amp;""") ("&amp;Vlookup(E2,DropDown!J:N,5,FALSE)&amp;" OR """ &amp;YEAR(D2) &amp; """ OR ""All New"" OR Episode OR Watch OR tv OR Show OR Series OR season OR binge OR Stream OR Film OR Movie OR Premiere OR Screening OR Feature OR Trailer OR Teaser OR theater OR release)"</f>
        <v>#N/A</v>
      </c>
      <c r="O2" s="23" t="str">
        <f t="shared" ref="O2:O1000" si="1">Substitute(Substitute(Substitute(Substitute(Substitute(Substitute(Substitute(Substitute(Substitute(Substitute(Substitute(Substitute("#" &amp; B2, " ", ""), ":", ""), "," ,""), "-", ""), "!", ""), "'", ""), ".", ""), "&amp;", "and"), "+", "plus"), "\", ""), "(", ""), ")", "")</f>
        <v>#</v>
      </c>
      <c r="P2" s="23" t="str">
        <f t="shared" ref="P2:P1000" si="2">Substitute(Substitute(Substitute(Substitute(Substitute(Substitute(Substitute(Substitute(Substitute(Substitute(Substitute(Substitute(Substitute("#" &amp; B2 &amp;E2, " ", ""), ":", ""), ",", ""), "/" ,""), "-", ""), "!", ""), "'", ""), ".", ""), "&amp;", "and"), "+", "plus"), "\", ""), "(", ""), ")", "")</f>
        <v>#</v>
      </c>
      <c r="Q2" s="23"/>
      <c r="R2" s="23" t="str">
        <f>"("""&amp;B2&amp;""") ("&amp;Vlookup(E2,DropDown!R:V,5,FALSE)&amp;IF(ISBLANK(D2)," | "," "&amp;"OR """&amp;YEAR(D2)&amp;""" | ") &amp; """All New"" | Episode | Watch | tv | Show | Series | season | binge | Stream | Film | Movie | Premiere | Screening | Feature | Trailer | Teaser | theater | release)"</f>
        <v>#N/A</v>
      </c>
      <c r="S2" s="23"/>
      <c r="T2" s="23"/>
      <c r="U2" s="23"/>
      <c r="V2" s="23"/>
      <c r="W2" s="23"/>
      <c r="X2" s="38"/>
      <c r="Y2" s="38"/>
      <c r="Z2" s="38"/>
      <c r="AA2" s="38"/>
    </row>
    <row r="3">
      <c r="A3" s="20"/>
      <c r="B3" s="22"/>
      <c r="C3" s="23"/>
      <c r="D3" s="39"/>
      <c r="E3" s="40"/>
      <c r="F3" s="25"/>
      <c r="G3" s="27" t="str">
        <f>VLOOKUP(E3,DropDown!J:K,2,FALSE)</f>
        <v>#N/A</v>
      </c>
      <c r="H3" s="27"/>
      <c r="I3" s="27"/>
      <c r="J3" s="27"/>
      <c r="K3" s="25" t="s">
        <v>116</v>
      </c>
      <c r="L3" s="23"/>
      <c r="M3" s="23"/>
      <c r="N3" s="25" t="str">
        <f>"("""&amp;B3&amp;""") ("&amp;Vlookup(E3,DropDown!J:N,5,FALSE)&amp;" OR """ &amp;YEAR(D3) &amp; """ OR ""All New"" OR Episode OR Watch OR tv OR Show OR Series OR season OR binge OR Stream OR Film OR Movie OR Premiere OR Screening OR Feature OR Trailer OR Teaser OR theater OR release)"</f>
        <v>#N/A</v>
      </c>
      <c r="O3" s="23" t="str">
        <f t="shared" si="1"/>
        <v>#</v>
      </c>
      <c r="P3" s="23" t="str">
        <f t="shared" si="2"/>
        <v>#</v>
      </c>
      <c r="Q3" s="23"/>
      <c r="R3" s="23" t="str">
        <f>"("""&amp;B3&amp;""") ("&amp;Vlookup(E3,DropDown!R:V,5,FALSE)&amp;IF(ISBLANK(D3)," | "," "&amp;"OR """&amp;YEAR(D3)&amp;""" | ") &amp; """All New"" | Episode | Watch | tv | Show | Series | season | binge | Stream | Film | Movie | Premiere | Screening | Feature | Trailer | Teaser | theater | release)"</f>
        <v>#N/A</v>
      </c>
      <c r="S3" s="23"/>
      <c r="T3" s="23"/>
      <c r="U3" s="23"/>
      <c r="V3" s="23"/>
      <c r="W3" s="23"/>
      <c r="X3" s="38"/>
      <c r="Y3" s="38"/>
      <c r="Z3" s="38"/>
      <c r="AA3" s="38"/>
    </row>
    <row r="4">
      <c r="A4" s="20"/>
      <c r="B4" s="42"/>
      <c r="C4" s="23"/>
      <c r="D4" s="43"/>
      <c r="E4" s="44"/>
      <c r="F4" s="23"/>
      <c r="G4" s="27" t="str">
        <f>VLOOKUP(E4,DropDown!J:K,2,FALSE)</f>
        <v>#N/A</v>
      </c>
      <c r="H4" s="27"/>
      <c r="I4" s="27"/>
      <c r="J4" s="27"/>
      <c r="K4" s="25" t="s">
        <v>116</v>
      </c>
      <c r="L4" s="23"/>
      <c r="M4" s="23"/>
      <c r="N4" s="25" t="str">
        <f>"("""&amp;B4&amp;""") ("&amp;Vlookup(E4,DropDown!J:N,5,FALSE)&amp;" OR """ &amp;YEAR(D4) &amp; """ OR ""All New"" OR Episode OR Watch OR tv OR Show OR Series OR season OR binge OR Stream OR Film OR Movie OR Premiere OR Screening OR Feature OR Trailer OR Teaser OR theater OR release)"</f>
        <v>#N/A</v>
      </c>
      <c r="O4" s="23" t="str">
        <f t="shared" si="1"/>
        <v>#</v>
      </c>
      <c r="P4" s="23" t="str">
        <f t="shared" si="2"/>
        <v>#</v>
      </c>
      <c r="Q4" s="23"/>
      <c r="R4" s="23" t="str">
        <f>"("""&amp;B4&amp;""") ("&amp;Vlookup(E4,DropDown!R:V,5,FALSE)&amp;IF(ISBLANK(D4)," | "," "&amp;"OR """&amp;YEAR(D4)&amp;""" | ") &amp; """All New"" | Episode | Watch | tv | Show | Series | season | binge | Stream | Film | Movie | Premiere | Screening | Feature | Trailer | Teaser | theater | release)"</f>
        <v>#N/A</v>
      </c>
      <c r="S4" s="23"/>
      <c r="T4" s="23"/>
      <c r="U4" s="23"/>
      <c r="V4" s="23"/>
      <c r="W4" s="23"/>
      <c r="X4" s="38"/>
      <c r="Y4" s="38"/>
      <c r="Z4" s="38"/>
      <c r="AA4" s="38"/>
    </row>
    <row r="5">
      <c r="A5" s="45"/>
      <c r="B5" s="46"/>
      <c r="C5" s="47"/>
      <c r="D5" s="48"/>
      <c r="E5" s="49"/>
      <c r="F5" s="23"/>
      <c r="G5" s="27" t="str">
        <f>VLOOKUP(E5,DropDown!J:K,2,FALSE)</f>
        <v>#N/A</v>
      </c>
      <c r="H5" s="50"/>
      <c r="I5" s="50"/>
      <c r="J5" s="50"/>
      <c r="K5" s="25" t="s">
        <v>116</v>
      </c>
      <c r="L5" s="23"/>
      <c r="M5" s="23"/>
      <c r="N5" s="25" t="str">
        <f>"("""&amp;B5&amp;""") ("&amp;Vlookup(E5,DropDown!J:N,5,FALSE)&amp;" OR """ &amp;YEAR(D5) &amp; """ OR ""All New"" OR Episode OR Watch OR tv OR Show OR Series OR season OR binge OR Stream OR Film OR Movie OR Premiere OR Screening OR Feature OR Trailer OR Teaser OR theater OR release)"</f>
        <v>#N/A</v>
      </c>
      <c r="O5" s="23" t="str">
        <f t="shared" si="1"/>
        <v>#</v>
      </c>
      <c r="P5" s="23" t="str">
        <f t="shared" si="2"/>
        <v>#</v>
      </c>
      <c r="Q5" s="23"/>
      <c r="R5" s="23" t="str">
        <f>"("""&amp;B5&amp;""") ("&amp;Vlookup(E5,DropDown!R:V,5,FALSE)&amp;IF(ISBLANK(D5)," | "," "&amp;"OR """&amp;YEAR(D5)&amp;""" | ") &amp; """All New"" | Episode | Watch | tv | Show | Series | season | binge | Stream | Film | Movie | Premiere | Screening | Feature | Trailer | Teaser | theater | release)"</f>
        <v>#N/A</v>
      </c>
      <c r="S5" s="23"/>
      <c r="T5" s="23"/>
      <c r="U5" s="23"/>
      <c r="V5" s="23"/>
      <c r="W5" s="23"/>
      <c r="X5" s="38"/>
      <c r="Y5" s="38"/>
      <c r="Z5" s="38"/>
      <c r="AA5" s="38"/>
    </row>
    <row r="6">
      <c r="A6" s="45"/>
      <c r="B6" s="45"/>
      <c r="C6" s="30"/>
      <c r="D6" s="48"/>
      <c r="E6" s="49"/>
      <c r="F6" s="23"/>
      <c r="G6" s="27" t="str">
        <f>VLOOKUP(E6,DropDown!J:K,2,FALSE)</f>
        <v>#N/A</v>
      </c>
      <c r="H6" s="50"/>
      <c r="I6" s="50"/>
      <c r="J6" s="50"/>
      <c r="K6" s="25" t="s">
        <v>116</v>
      </c>
      <c r="L6" s="23"/>
      <c r="M6" s="23"/>
      <c r="N6" s="25" t="str">
        <f>"("""&amp;B6&amp;""") ("&amp;Vlookup(E6,DropDown!J:N,5,FALSE)&amp;" OR """ &amp;YEAR(D6) &amp; """ OR ""All New"" OR Episode OR Watch OR tv OR Show OR Series OR season OR binge OR Stream OR Film OR Movie OR Premiere OR Screening OR Feature OR Trailer OR Teaser OR theater OR release)"</f>
        <v>#N/A</v>
      </c>
      <c r="O6" s="23" t="str">
        <f t="shared" si="1"/>
        <v>#</v>
      </c>
      <c r="P6" s="23" t="str">
        <f t="shared" si="2"/>
        <v>#</v>
      </c>
      <c r="Q6" s="23"/>
      <c r="R6" s="23" t="str">
        <f>"("""&amp;B6&amp;""") ("&amp;Vlookup(E6,DropDown!R:V,5,FALSE)&amp;IF(ISBLANK(D6)," | "," "&amp;"OR """&amp;YEAR(D6)&amp;""" | ") &amp; """All New"" | Episode | Watch | tv | Show | Series | season | binge | Stream | Film | Movie | Premiere | Screening | Feature | Trailer | Teaser | theater | release)"</f>
        <v>#N/A</v>
      </c>
      <c r="S6" s="23"/>
      <c r="T6" s="23"/>
      <c r="U6" s="23"/>
      <c r="V6" s="23"/>
      <c r="W6" s="23"/>
      <c r="X6" s="38"/>
      <c r="Y6" s="38"/>
      <c r="Z6" s="38"/>
      <c r="AA6" s="38"/>
    </row>
    <row r="7">
      <c r="A7" s="45"/>
      <c r="B7" s="45"/>
      <c r="C7" s="30"/>
      <c r="D7" s="48"/>
      <c r="E7" s="51"/>
      <c r="F7" s="23"/>
      <c r="G7" s="27" t="str">
        <f>VLOOKUP(E7,DropDown!J:K,2,FALSE)</f>
        <v>#N/A</v>
      </c>
      <c r="H7" s="50"/>
      <c r="I7" s="50"/>
      <c r="J7" s="50"/>
      <c r="K7" s="25" t="s">
        <v>116</v>
      </c>
      <c r="L7" s="23"/>
      <c r="M7" s="23"/>
      <c r="N7" s="25" t="str">
        <f>"("""&amp;B7&amp;""") ("&amp;Vlookup(E7,DropDown!J:N,5,FALSE)&amp;" OR """ &amp;YEAR(D7) &amp; """ OR ""All New"" OR Episode OR Watch OR tv OR Show OR Series OR season OR binge OR Stream OR Film OR Movie OR Premiere OR Screening OR Feature OR Trailer OR Teaser OR theater OR release)"</f>
        <v>#N/A</v>
      </c>
      <c r="O7" s="23" t="str">
        <f t="shared" si="1"/>
        <v>#</v>
      </c>
      <c r="P7" s="23" t="str">
        <f t="shared" si="2"/>
        <v>#</v>
      </c>
      <c r="Q7" s="23"/>
      <c r="R7" s="23" t="str">
        <f>"("""&amp;B7&amp;""") ("&amp;Vlookup(E7,DropDown!R:V,5,FALSE)&amp;IF(ISBLANK(D7)," | "," "&amp;"OR """&amp;YEAR(D7)&amp;""" | ") &amp; """All New"" | Episode | Watch | tv | Show | Series | season | binge | Stream | Film | Movie | Premiere | Screening | Feature | Trailer | Teaser | theater | release)"</f>
        <v>#N/A</v>
      </c>
      <c r="S7" s="23"/>
      <c r="T7" s="23"/>
      <c r="U7" s="23"/>
      <c r="V7" s="23"/>
      <c r="W7" s="23"/>
      <c r="X7" s="38"/>
      <c r="Y7" s="38"/>
      <c r="Z7" s="38"/>
      <c r="AA7" s="38"/>
    </row>
    <row r="8">
      <c r="A8" s="45"/>
      <c r="B8" s="45"/>
      <c r="C8" s="30"/>
      <c r="D8" s="48"/>
      <c r="E8" s="49"/>
      <c r="F8" s="23"/>
      <c r="G8" s="27" t="str">
        <f>VLOOKUP(E8,DropDown!J:K,2,FALSE)</f>
        <v>#N/A</v>
      </c>
      <c r="H8" s="50"/>
      <c r="I8" s="50"/>
      <c r="J8" s="50"/>
      <c r="K8" s="25" t="s">
        <v>116</v>
      </c>
      <c r="L8" s="23"/>
      <c r="M8" s="23"/>
      <c r="N8" s="25" t="str">
        <f>"("""&amp;B8&amp;""") ("&amp;Vlookup(E8,DropDown!J:N,5,FALSE)&amp;" OR """ &amp;YEAR(D8) &amp; """ OR ""All New"" OR Episode OR Watch OR tv OR Show OR Series OR season OR binge OR Stream OR Film OR Movie OR Premiere OR Screening OR Feature OR Trailer OR Teaser OR theater OR release)"</f>
        <v>#N/A</v>
      </c>
      <c r="O8" s="23" t="str">
        <f t="shared" si="1"/>
        <v>#</v>
      </c>
      <c r="P8" s="23" t="str">
        <f t="shared" si="2"/>
        <v>#</v>
      </c>
      <c r="Q8" s="23"/>
      <c r="R8" s="23" t="str">
        <f>"("""&amp;B8&amp;""") ("&amp;Vlookup(E8,DropDown!R:V,5,FALSE)&amp;IF(ISBLANK(D8)," | "," "&amp;"OR """&amp;YEAR(D8)&amp;""" | ") &amp; """All New"" | Episode | Watch | tv | Show | Series | season | binge | Stream | Film | Movie | Premiere | Screening | Feature | Trailer | Teaser | theater | release)"</f>
        <v>#N/A</v>
      </c>
      <c r="S8" s="23"/>
      <c r="T8" s="23"/>
      <c r="U8" s="23"/>
      <c r="V8" s="23"/>
      <c r="W8" s="23"/>
      <c r="X8" s="38"/>
      <c r="Y8" s="38"/>
      <c r="Z8" s="38"/>
      <c r="AA8" s="38"/>
    </row>
    <row r="9">
      <c r="A9" s="45"/>
      <c r="B9" s="45"/>
      <c r="C9" s="30"/>
      <c r="D9" s="48"/>
      <c r="E9" s="49"/>
      <c r="F9" s="23"/>
      <c r="G9" s="27" t="str">
        <f>VLOOKUP(E9,DropDown!J:K,2,FALSE)</f>
        <v>#N/A</v>
      </c>
      <c r="H9" s="50"/>
      <c r="I9" s="50"/>
      <c r="J9" s="50"/>
      <c r="K9" s="25" t="s">
        <v>116</v>
      </c>
      <c r="L9" s="23"/>
      <c r="M9" s="23"/>
      <c r="N9" s="25" t="str">
        <f>"("""&amp;B9&amp;""") ("&amp;Vlookup(E9,DropDown!J:N,5,FALSE)&amp;" OR """ &amp;YEAR(D9) &amp; """ OR ""All New"" OR Episode OR Watch OR tv OR Show OR Series OR season OR binge OR Stream OR Film OR Movie OR Premiere OR Screening OR Feature OR Trailer OR Teaser OR theater OR release)"</f>
        <v>#N/A</v>
      </c>
      <c r="O9" s="23" t="str">
        <f t="shared" si="1"/>
        <v>#</v>
      </c>
      <c r="P9" s="23" t="str">
        <f t="shared" si="2"/>
        <v>#</v>
      </c>
      <c r="Q9" s="23"/>
      <c r="R9" s="23" t="str">
        <f>"("""&amp;B9&amp;""") ("&amp;Vlookup(E9,DropDown!R:V,5,FALSE)&amp;IF(ISBLANK(D9)," | "," "&amp;"OR """&amp;YEAR(D9)&amp;""" | ") &amp; """All New"" | Episode | Watch | tv | Show | Series | season | binge | Stream | Film | Movie | Premiere | Screening | Feature | Trailer | Teaser | theater | release)"</f>
        <v>#N/A</v>
      </c>
      <c r="S9" s="23"/>
      <c r="T9" s="23"/>
      <c r="U9" s="23"/>
      <c r="V9" s="23"/>
      <c r="W9" s="23"/>
      <c r="X9" s="38"/>
      <c r="Y9" s="38"/>
      <c r="Z9" s="38"/>
      <c r="AA9" s="38"/>
    </row>
    <row r="10">
      <c r="A10" s="45"/>
      <c r="B10" s="45"/>
      <c r="C10" s="30"/>
      <c r="D10" s="48"/>
      <c r="E10" s="49"/>
      <c r="F10" s="23"/>
      <c r="G10" s="27" t="str">
        <f>VLOOKUP(E10,DropDown!J:K,2,FALSE)</f>
        <v>#N/A</v>
      </c>
      <c r="H10" s="50"/>
      <c r="I10" s="50"/>
      <c r="J10" s="50"/>
      <c r="K10" s="25" t="s">
        <v>116</v>
      </c>
      <c r="L10" s="23"/>
      <c r="M10" s="23"/>
      <c r="N10" s="25" t="str">
        <f>"("""&amp;B10&amp;""") ("&amp;Vlookup(E10,DropDown!J:N,5,FALSE)&amp;" OR """ &amp;YEAR(D10) &amp; """ OR ""All New"" OR Episode OR Watch OR tv OR Show OR Series OR season OR binge OR Stream OR Film OR Movie OR Premiere OR Screening OR Feature OR Trailer OR Teaser OR theater OR release)"</f>
        <v>#N/A</v>
      </c>
      <c r="O10" s="23" t="str">
        <f t="shared" si="1"/>
        <v>#</v>
      </c>
      <c r="P10" s="23" t="str">
        <f t="shared" si="2"/>
        <v>#</v>
      </c>
      <c r="Q10" s="23"/>
      <c r="R10" s="23" t="str">
        <f>"("""&amp;B10&amp;""") ("&amp;Vlookup(E10,DropDown!R:V,5,FALSE)&amp;IF(ISBLANK(D10)," | "," "&amp;"OR """&amp;YEAR(D10)&amp;""" | ") &amp; """All New"" | Episode | Watch | tv | Show | Series | season | binge | Stream | Film | Movie | Premiere | Screening | Feature | Trailer | Teaser | theater | release)"</f>
        <v>#N/A</v>
      </c>
      <c r="S10" s="23"/>
      <c r="T10" s="23"/>
      <c r="U10" s="23"/>
      <c r="V10" s="23"/>
      <c r="W10" s="23"/>
      <c r="X10" s="38"/>
      <c r="Y10" s="38"/>
      <c r="Z10" s="38"/>
      <c r="AA10" s="38"/>
    </row>
    <row r="11">
      <c r="A11" s="45"/>
      <c r="B11" s="45"/>
      <c r="C11" s="30"/>
      <c r="D11" s="48"/>
      <c r="E11" s="49"/>
      <c r="F11" s="23"/>
      <c r="G11" s="27" t="str">
        <f>VLOOKUP(E11,DropDown!J:K,2,FALSE)</f>
        <v>#N/A</v>
      </c>
      <c r="H11" s="50"/>
      <c r="I11" s="50"/>
      <c r="J11" s="50"/>
      <c r="K11" s="25" t="s">
        <v>116</v>
      </c>
      <c r="L11" s="23"/>
      <c r="M11" s="23"/>
      <c r="N11" s="25" t="str">
        <f>"("""&amp;B11&amp;""") ("&amp;Vlookup(E11,DropDown!J:N,5,FALSE)&amp;" OR """ &amp;YEAR(D11) &amp; """ OR ""All New"" OR Episode OR Watch OR tv OR Show OR Series OR season OR binge OR Stream OR Film OR Movie OR Premiere OR Screening OR Feature OR Trailer OR Teaser OR theater OR release)"</f>
        <v>#N/A</v>
      </c>
      <c r="O11" s="23" t="str">
        <f t="shared" si="1"/>
        <v>#</v>
      </c>
      <c r="P11" s="23" t="str">
        <f t="shared" si="2"/>
        <v>#</v>
      </c>
      <c r="Q11" s="23"/>
      <c r="R11" s="23" t="str">
        <f>"("""&amp;B11&amp;""") ("&amp;Vlookup(E11,DropDown!R:V,5,FALSE)&amp;IF(ISBLANK(D11)," | "," "&amp;"OR """&amp;YEAR(D11)&amp;""" | ") &amp; """All New"" | Episode | Watch | tv | Show | Series | season | binge | Stream | Film | Movie | Premiere | Screening | Feature | Trailer | Teaser | theater | release)"</f>
        <v>#N/A</v>
      </c>
      <c r="S11" s="23"/>
      <c r="T11" s="23"/>
      <c r="U11" s="23"/>
      <c r="V11" s="23"/>
      <c r="W11" s="23"/>
      <c r="X11" s="38"/>
      <c r="Y11" s="38"/>
      <c r="Z11" s="38"/>
      <c r="AA11" s="38"/>
    </row>
    <row r="12">
      <c r="A12" s="45"/>
      <c r="B12" s="45"/>
      <c r="C12" s="23"/>
      <c r="D12" s="48"/>
      <c r="E12" s="49"/>
      <c r="F12" s="23"/>
      <c r="G12" s="27" t="str">
        <f>VLOOKUP(E12,DropDown!J:K,2,FALSE)</f>
        <v>#N/A</v>
      </c>
      <c r="H12" s="55"/>
      <c r="I12" s="27"/>
      <c r="J12" s="27"/>
      <c r="K12" s="25" t="s">
        <v>116</v>
      </c>
      <c r="L12" s="23"/>
      <c r="M12" s="56"/>
      <c r="N12" s="25" t="str">
        <f>"("""&amp;B12&amp;""") ("&amp;Vlookup(E12,DropDown!J:N,5,FALSE)&amp;IF(ISBLANK(D12)," OR "," "&amp;"OR """&amp;YEAR(D12)&amp;""" OR ") &amp; """All New"" OR Episode OR Watch OR tv OR Show OR Series OR season OR binge OR Stream OR Film OR Movie OR Premiere OR Screening OR Feature OR Trailer OR Teaser OR theater OR release)"</f>
        <v>#N/A</v>
      </c>
      <c r="O12" s="23" t="str">
        <f t="shared" si="1"/>
        <v>#</v>
      </c>
      <c r="P12" s="23" t="str">
        <f t="shared" si="2"/>
        <v>#</v>
      </c>
      <c r="Q12" s="23"/>
      <c r="R12" s="23" t="str">
        <f>"("""&amp;B12&amp;""") ("&amp;Vlookup(E12,DropDown!R:V,5,FALSE)&amp;IF(ISBLANK(D12)," | "," "&amp;"OR """&amp;YEAR(D12)&amp;""" | ") &amp; """All New"" | Episode | Watch | tv | Show | Series | season | binge | Stream | Film | Movie | Premiere | Screening | Feature | Trailer | Teaser | theater | release)"</f>
        <v>#N/A</v>
      </c>
      <c r="S12" s="23"/>
      <c r="T12" s="56"/>
      <c r="U12" s="23"/>
      <c r="V12" s="25"/>
      <c r="W12" s="23"/>
      <c r="X12" s="38"/>
      <c r="Y12" s="58"/>
      <c r="Z12" s="58"/>
      <c r="AA12" s="38"/>
    </row>
    <row r="13">
      <c r="A13" s="45"/>
      <c r="B13" s="45"/>
      <c r="C13" s="30"/>
      <c r="D13" s="59"/>
      <c r="E13" s="50"/>
      <c r="F13" s="23"/>
      <c r="G13" s="27" t="str">
        <f>VLOOKUP(E13,DropDown!J:K,2,FALSE)</f>
        <v>#N/A</v>
      </c>
      <c r="H13" s="50"/>
      <c r="I13" s="50"/>
      <c r="J13" s="50"/>
      <c r="K13" s="25" t="s">
        <v>116</v>
      </c>
      <c r="L13" s="23"/>
      <c r="M13" s="23"/>
      <c r="N13" s="25" t="str">
        <f>"("""&amp;B13&amp;""") ("&amp;Vlookup(E13,DropDown!J:N,5,FALSE)&amp;" OR """ &amp;YEAR(D13) &amp; """ OR ""All New"" OR Episode OR Watch OR tv OR Show OR Series OR season OR binge OR Stream OR Film OR Movie OR Premiere OR Screening OR Feature OR Trailer OR Teaser OR theater OR release)"</f>
        <v>#N/A</v>
      </c>
      <c r="O13" s="23" t="str">
        <f t="shared" si="1"/>
        <v>#</v>
      </c>
      <c r="P13" s="23" t="str">
        <f t="shared" si="2"/>
        <v>#</v>
      </c>
      <c r="Q13" s="23"/>
      <c r="R13" s="23" t="str">
        <f>"("""&amp;B13&amp;""") ("&amp;Vlookup(E13,DropDown!R:V,5,FALSE)&amp;IF(ISBLANK(D13)," | "," "&amp;"OR """&amp;YEAR(D13)&amp;""" | ") &amp; """All New"" | Episode | Watch | tv | Show | Series | season | binge | Stream | Film | Movie | Premiere | Screening | Feature | Trailer | Teaser | theater | release)"</f>
        <v>#N/A</v>
      </c>
      <c r="S13" s="23"/>
      <c r="T13" s="23"/>
      <c r="U13" s="23"/>
      <c r="V13" s="23"/>
      <c r="W13" s="23"/>
      <c r="X13" s="38"/>
      <c r="Y13" s="38"/>
      <c r="Z13" s="38"/>
      <c r="AA13" s="38"/>
    </row>
    <row r="14">
      <c r="A14" s="45"/>
      <c r="B14" s="46"/>
      <c r="C14" s="23"/>
      <c r="D14" s="43"/>
      <c r="E14" s="44"/>
      <c r="F14" s="23"/>
      <c r="G14" s="27" t="str">
        <f>VLOOKUP(E14,DropDown!J:K,2,FALSE)</f>
        <v>#N/A</v>
      </c>
      <c r="H14" s="50"/>
      <c r="I14" s="50"/>
      <c r="J14" s="50"/>
      <c r="K14" s="25" t="s">
        <v>116</v>
      </c>
      <c r="L14" s="23"/>
      <c r="M14" s="23"/>
      <c r="N14" s="25" t="str">
        <f>"("""&amp;B14&amp;""") ("&amp;Vlookup(E14,DropDown!J:N,5,FALSE)&amp;" OR """ &amp;YEAR(D14) &amp; """ OR ""All New"" OR Episode OR Watch OR tv OR Show OR Series OR season OR binge OR Stream OR Film OR Movie OR Premiere OR Screening OR Feature OR Trailer OR Teaser OR theater OR release)"</f>
        <v>#N/A</v>
      </c>
      <c r="O14" s="23" t="str">
        <f t="shared" si="1"/>
        <v>#</v>
      </c>
      <c r="P14" s="23" t="str">
        <f t="shared" si="2"/>
        <v>#</v>
      </c>
      <c r="Q14" s="23"/>
      <c r="R14" s="23" t="str">
        <f>"("""&amp;B14&amp;""") ("&amp;Vlookup(E14,DropDown!R:V,5,FALSE)&amp;IF(ISBLANK(D14)," | "," "&amp;"OR """&amp;YEAR(D14)&amp;""" | ") &amp; """All New"" | Episode | Watch | tv | Show | Series | season | binge | Stream | Film | Movie | Premiere | Screening | Feature | Trailer | Teaser | theater | release)"</f>
        <v>#N/A</v>
      </c>
      <c r="S14" s="23"/>
      <c r="T14" s="23"/>
      <c r="U14" s="23"/>
      <c r="V14" s="23"/>
      <c r="W14" s="23"/>
      <c r="X14" s="38"/>
      <c r="Y14" s="38"/>
      <c r="Z14" s="38"/>
      <c r="AA14" s="38"/>
    </row>
    <row r="15">
      <c r="A15" s="45"/>
      <c r="B15" s="46"/>
      <c r="C15" s="23"/>
      <c r="D15" s="43"/>
      <c r="E15" s="49"/>
      <c r="F15" s="23"/>
      <c r="G15" s="27" t="str">
        <f>VLOOKUP(E15,DropDown!J:K,2,FALSE)</f>
        <v>#N/A</v>
      </c>
      <c r="H15" s="50"/>
      <c r="I15" s="50"/>
      <c r="J15" s="50"/>
      <c r="K15" s="25" t="s">
        <v>116</v>
      </c>
      <c r="L15" s="23"/>
      <c r="M15" s="23"/>
      <c r="N15" s="25" t="str">
        <f>"("""&amp;B15&amp;""") ("&amp;Vlookup(E15,DropDown!J:N,5,FALSE)&amp;" OR """ &amp;YEAR(D15) &amp; """ OR ""All New"" OR Episode OR Watch OR tv OR Show OR Series OR season OR binge OR Stream OR Film OR Movie OR Premiere OR Screening OR Feature OR Trailer OR Teaser OR theater OR release)"</f>
        <v>#N/A</v>
      </c>
      <c r="O15" s="23" t="str">
        <f t="shared" si="1"/>
        <v>#</v>
      </c>
      <c r="P15" s="23" t="str">
        <f t="shared" si="2"/>
        <v>#</v>
      </c>
      <c r="Q15" s="23"/>
      <c r="R15" s="23" t="str">
        <f>"("""&amp;B15&amp;""") ("&amp;Vlookup(E15,DropDown!R:V,5,FALSE)&amp;IF(ISBLANK(D15)," | "," "&amp;"OR """&amp;YEAR(D15)&amp;""" | ") &amp; """All New"" | Episode | Watch | tv | Show | Series | season | binge | Stream | Film | Movie | Premiere | Screening | Feature | Trailer | Teaser | theater | release)"</f>
        <v>#N/A</v>
      </c>
      <c r="S15" s="23"/>
      <c r="T15" s="23"/>
      <c r="U15" s="23"/>
      <c r="V15" s="23"/>
      <c r="W15" s="23"/>
      <c r="X15" s="38"/>
      <c r="Y15" s="38"/>
      <c r="Z15" s="38"/>
      <c r="AA15" s="38"/>
    </row>
    <row r="16">
      <c r="A16" s="45"/>
      <c r="B16" s="46"/>
      <c r="C16" s="23"/>
      <c r="D16" s="43"/>
      <c r="E16" s="44"/>
      <c r="F16" s="23"/>
      <c r="G16" s="27" t="str">
        <f>VLOOKUP(E16,DropDown!J:K,2,FALSE)</f>
        <v>#N/A</v>
      </c>
      <c r="H16" s="50"/>
      <c r="I16" s="50"/>
      <c r="J16" s="50"/>
      <c r="K16" s="25" t="s">
        <v>116</v>
      </c>
      <c r="L16" s="23"/>
      <c r="M16" s="23"/>
      <c r="N16" s="25" t="str">
        <f>"("""&amp;B16&amp;""") ("&amp;Vlookup(E16,DropDown!J:N,5,FALSE)&amp;" OR """ &amp;YEAR(D16) &amp; """ OR ""All New"" OR Episode OR Watch OR tv OR Show OR Series OR season OR binge OR Stream OR Film OR Movie OR Premiere OR Screening OR Feature OR Trailer OR Teaser OR theater OR release)"</f>
        <v>#N/A</v>
      </c>
      <c r="O16" s="23" t="str">
        <f t="shared" si="1"/>
        <v>#</v>
      </c>
      <c r="P16" s="23" t="str">
        <f t="shared" si="2"/>
        <v>#</v>
      </c>
      <c r="Q16" s="23"/>
      <c r="R16" s="23" t="str">
        <f>"("""&amp;B16&amp;""") ("&amp;Vlookup(E16,DropDown!R:V,5,FALSE)&amp;IF(ISBLANK(D16)," | "," "&amp;"OR """&amp;YEAR(D16)&amp;""" | ") &amp; """All New"" | Episode | Watch | tv | Show | Series | season | binge | Stream | Film | Movie | Premiere | Screening | Feature | Trailer | Teaser | theater | release)"</f>
        <v>#N/A</v>
      </c>
      <c r="S16" s="23"/>
      <c r="T16" s="23"/>
      <c r="U16" s="23"/>
      <c r="V16" s="23"/>
      <c r="W16" s="23"/>
      <c r="X16" s="38"/>
      <c r="Y16" s="38"/>
      <c r="Z16" s="38"/>
      <c r="AA16" s="38"/>
    </row>
    <row r="17">
      <c r="A17" s="45"/>
      <c r="B17" s="46"/>
      <c r="C17" s="47"/>
      <c r="D17" s="48"/>
      <c r="E17" s="49"/>
      <c r="F17" s="23"/>
      <c r="G17" s="27" t="str">
        <f>VLOOKUP(E17,DropDown!J:K,2,FALSE)</f>
        <v>#N/A</v>
      </c>
      <c r="H17" s="50"/>
      <c r="I17" s="50"/>
      <c r="J17" s="50"/>
      <c r="K17" s="25" t="s">
        <v>116</v>
      </c>
      <c r="L17" s="23"/>
      <c r="M17" s="23"/>
      <c r="N17" s="25" t="str">
        <f>"("""&amp;B17&amp;""") ("&amp;Vlookup(E17,DropDown!J:N,5,FALSE)&amp;" OR """ &amp;YEAR(D17) &amp; """ OR ""All New"" OR Episode OR Watch OR tv OR Show OR Series OR season OR binge OR Stream OR Film OR Movie OR Premiere OR Screening OR Feature OR Trailer OR Teaser OR theater OR release)"</f>
        <v>#N/A</v>
      </c>
      <c r="O17" s="23" t="str">
        <f t="shared" si="1"/>
        <v>#</v>
      </c>
      <c r="P17" s="23" t="str">
        <f t="shared" si="2"/>
        <v>#</v>
      </c>
      <c r="Q17" s="23"/>
      <c r="R17" s="23" t="str">
        <f>"("""&amp;B17&amp;""") ("&amp;Vlookup(E17,DropDown!R:V,5,FALSE)&amp;IF(ISBLANK(D17)," | "," "&amp;"OR """&amp;YEAR(D17)&amp;""" | ") &amp; """All New"" | Episode | Watch | tv | Show | Series | season | binge | Stream | Film | Movie | Premiere | Screening | Feature | Trailer | Teaser | theater | release)"</f>
        <v>#N/A</v>
      </c>
      <c r="S17" s="23"/>
      <c r="T17" s="23"/>
      <c r="U17" s="23"/>
      <c r="V17" s="23"/>
      <c r="W17" s="23"/>
      <c r="X17" s="38"/>
      <c r="Y17" s="38"/>
      <c r="Z17" s="38"/>
      <c r="AA17" s="38"/>
    </row>
    <row r="18">
      <c r="A18" s="45"/>
      <c r="B18" s="45"/>
      <c r="C18" s="30"/>
      <c r="D18" s="48"/>
      <c r="E18" s="49"/>
      <c r="F18" s="23"/>
      <c r="G18" s="27" t="str">
        <f>VLOOKUP(E18,DropDown!J:K,2,FALSE)</f>
        <v>#N/A</v>
      </c>
      <c r="H18" s="50"/>
      <c r="I18" s="50"/>
      <c r="J18" s="50"/>
      <c r="K18" s="25" t="s">
        <v>116</v>
      </c>
      <c r="L18" s="23"/>
      <c r="M18" s="23"/>
      <c r="N18" s="25" t="str">
        <f>"("""&amp;B18&amp;""") ("&amp;Vlookup(E18,DropDown!J:N,5,FALSE)&amp;" OR """ &amp;YEAR(D18) &amp; """ OR ""All New"" OR Episode OR Watch OR tv OR Show OR Series OR season OR binge OR Stream OR Film OR Movie OR Premiere OR Screening OR Feature OR Trailer OR Teaser OR theater OR release)"</f>
        <v>#N/A</v>
      </c>
      <c r="O18" s="23" t="str">
        <f t="shared" si="1"/>
        <v>#</v>
      </c>
      <c r="P18" s="23" t="str">
        <f t="shared" si="2"/>
        <v>#</v>
      </c>
      <c r="Q18" s="23"/>
      <c r="R18" s="23" t="str">
        <f>"("""&amp;B18&amp;""") ("&amp;Vlookup(E18,DropDown!R:V,5,FALSE)&amp;IF(ISBLANK(D18)," | "," "&amp;"OR """&amp;YEAR(D18)&amp;""" | ") &amp; """All New"" | Episode | Watch | tv | Show | Series | season | binge | Stream | Film | Movie | Premiere | Screening | Feature | Trailer | Teaser | theater | release)"</f>
        <v>#N/A</v>
      </c>
      <c r="S18" s="23"/>
      <c r="T18" s="23"/>
      <c r="U18" s="23"/>
      <c r="V18" s="23"/>
      <c r="W18" s="23"/>
      <c r="X18" s="38"/>
      <c r="Y18" s="38"/>
      <c r="Z18" s="38"/>
      <c r="AA18" s="38"/>
    </row>
    <row r="19">
      <c r="A19" s="45"/>
      <c r="B19" s="45"/>
      <c r="C19" s="30"/>
      <c r="D19" s="48"/>
      <c r="E19" s="49"/>
      <c r="F19" s="23"/>
      <c r="G19" s="27" t="str">
        <f>VLOOKUP(E19,DropDown!J:K,2,FALSE)</f>
        <v>#N/A</v>
      </c>
      <c r="H19" s="50"/>
      <c r="I19" s="50"/>
      <c r="J19" s="50"/>
      <c r="K19" s="25" t="s">
        <v>116</v>
      </c>
      <c r="L19" s="23"/>
      <c r="M19" s="23"/>
      <c r="N19" s="25" t="str">
        <f>"("""&amp;B19&amp;""") ("&amp;Vlookup(E19,DropDown!J:N,5,FALSE)&amp;" OR """ &amp;YEAR(D19) &amp; """ OR ""All New"" OR Episode OR Watch OR tv OR Show OR Series OR season OR binge OR Stream OR Film OR Movie OR Premiere OR Screening OR Feature OR Trailer OR Teaser OR theater OR release)"</f>
        <v>#N/A</v>
      </c>
      <c r="O19" s="23" t="str">
        <f t="shared" si="1"/>
        <v>#</v>
      </c>
      <c r="P19" s="23" t="str">
        <f t="shared" si="2"/>
        <v>#</v>
      </c>
      <c r="Q19" s="23"/>
      <c r="R19" s="23" t="str">
        <f>"("""&amp;B19&amp;""") ("&amp;Vlookup(E19,DropDown!R:V,5,FALSE)&amp;IF(ISBLANK(D19)," | "," "&amp;"OR """&amp;YEAR(D19)&amp;""" | ") &amp; """All New"" | Episode | Watch | tv | Show | Series | season | binge | Stream | Film | Movie | Premiere | Screening | Feature | Trailer | Teaser | theater | release)"</f>
        <v>#N/A</v>
      </c>
      <c r="S19" s="23"/>
      <c r="T19" s="23"/>
      <c r="U19" s="23"/>
      <c r="V19" s="23"/>
      <c r="W19" s="23"/>
      <c r="X19" s="38"/>
      <c r="Y19" s="38"/>
      <c r="Z19" s="38"/>
      <c r="AA19" s="38"/>
    </row>
    <row r="20">
      <c r="A20" s="45"/>
      <c r="B20" s="45"/>
      <c r="C20" s="30"/>
      <c r="D20" s="48"/>
      <c r="E20" s="49"/>
      <c r="F20" s="23"/>
      <c r="G20" s="27" t="str">
        <f>VLOOKUP(E20,DropDown!J:K,2,FALSE)</f>
        <v>#N/A</v>
      </c>
      <c r="H20" s="60"/>
      <c r="I20" s="27"/>
      <c r="J20" s="27"/>
      <c r="K20" s="25" t="s">
        <v>116</v>
      </c>
      <c r="L20" s="23"/>
      <c r="M20" s="56"/>
      <c r="N20" s="25" t="str">
        <f>"("""&amp;B20&amp;""") ("&amp;Vlookup(E20,DropDown!J:N,5,FALSE)&amp;IF(ISBLANK(D20)," OR "," "&amp;"OR """&amp;YEAR(D20)&amp;""" OR ") &amp; """All New"" OR Episode OR Watch OR tv OR Show OR Series OR season OR binge OR Stream OR Film OR Movie OR Premiere OR Screening OR Feature OR Trailer OR Teaser OR theater OR release)"</f>
        <v>#N/A</v>
      </c>
      <c r="O20" s="23" t="str">
        <f t="shared" si="1"/>
        <v>#</v>
      </c>
      <c r="P20" s="23" t="str">
        <f t="shared" si="2"/>
        <v>#</v>
      </c>
      <c r="Q20" s="23"/>
      <c r="R20" s="23" t="str">
        <f>"("""&amp;B20&amp;""") ("&amp;Vlookup(E20,DropDown!R:V,5,FALSE)&amp;IF(ISBLANK(D20)," | "," "&amp;"OR """&amp;YEAR(D20)&amp;""" | ") &amp; """All New"" | Episode | Watch | tv | Show | Series | season | binge | Stream | Film | Movie | Premiere | Screening | Feature | Trailer | Teaser | theater | release)"</f>
        <v>#N/A</v>
      </c>
      <c r="S20" s="23"/>
      <c r="T20" s="56"/>
      <c r="U20" s="23"/>
      <c r="V20" s="25"/>
      <c r="W20" s="23"/>
      <c r="X20" s="38"/>
      <c r="Y20" s="58"/>
      <c r="Z20" s="58"/>
      <c r="AA20" s="38"/>
    </row>
    <row r="21">
      <c r="A21" s="45"/>
      <c r="B21" s="45"/>
      <c r="C21" s="30"/>
      <c r="D21" s="48"/>
      <c r="E21" s="49"/>
      <c r="F21" s="23"/>
      <c r="G21" s="27" t="str">
        <f>VLOOKUP(E21,DropDown!J:K,2,FALSE)</f>
        <v>#N/A</v>
      </c>
      <c r="H21" s="50"/>
      <c r="I21" s="50"/>
      <c r="J21" s="50"/>
      <c r="K21" s="25" t="s">
        <v>116</v>
      </c>
      <c r="L21" s="23"/>
      <c r="M21" s="23"/>
      <c r="N21" s="25" t="str">
        <f>"("""&amp;B21&amp;""") ("&amp;Vlookup(E21,DropDown!J:N,5,FALSE)&amp;" OR """ &amp;YEAR(D21) &amp; """ OR ""All New"" OR Episode OR Watch OR tv OR Show OR Series OR season OR binge OR Stream OR Film OR Movie OR Premiere OR Screening OR Feature OR Trailer OR Teaser OR theater OR release)"</f>
        <v>#N/A</v>
      </c>
      <c r="O21" s="23" t="str">
        <f t="shared" si="1"/>
        <v>#</v>
      </c>
      <c r="P21" s="23" t="str">
        <f t="shared" si="2"/>
        <v>#</v>
      </c>
      <c r="Q21" s="23"/>
      <c r="R21" s="23" t="str">
        <f>"("""&amp;B21&amp;""") ("&amp;Vlookup(E21,DropDown!R:V,5,FALSE)&amp;IF(ISBLANK(D21)," | "," "&amp;"OR """&amp;YEAR(D21)&amp;""" | ") &amp; """All New"" | Episode | Watch | tv | Show | Series | season | binge | Stream | Film | Movie | Premiere | Screening | Feature | Trailer | Teaser | theater | release)"</f>
        <v>#N/A</v>
      </c>
      <c r="S21" s="23"/>
      <c r="T21" s="23"/>
      <c r="U21" s="23"/>
      <c r="V21" s="23"/>
      <c r="W21" s="23"/>
      <c r="X21" s="38"/>
      <c r="Y21" s="38"/>
      <c r="Z21" s="38"/>
      <c r="AA21" s="38"/>
    </row>
    <row r="22">
      <c r="A22" s="45"/>
      <c r="B22" s="45"/>
      <c r="C22" s="30"/>
      <c r="D22" s="48"/>
      <c r="E22" s="49"/>
      <c r="F22" s="23"/>
      <c r="G22" s="27" t="str">
        <f>VLOOKUP(E22,DropDown!J:K,2,FALSE)</f>
        <v>#N/A</v>
      </c>
      <c r="H22" s="60"/>
      <c r="I22" s="27"/>
      <c r="J22" s="27"/>
      <c r="K22" s="25" t="s">
        <v>116</v>
      </c>
      <c r="L22" s="23"/>
      <c r="M22" s="23"/>
      <c r="N22" s="25" t="str">
        <f>"("""&amp;B22&amp;""") ("&amp;Vlookup(E22,DropDown!J:N,5,FALSE)&amp;" OR """ &amp;YEAR(D22) &amp; """ OR ""All New"" OR Episode OR Watch OR tv OR Show OR Series OR season OR binge OR Stream OR Film OR Movie OR Premiere OR Screening OR Feature OR Trailer OR Teaser OR theater OR release)"</f>
        <v>#N/A</v>
      </c>
      <c r="O22" s="23" t="str">
        <f t="shared" si="1"/>
        <v>#</v>
      </c>
      <c r="P22" s="23" t="str">
        <f t="shared" si="2"/>
        <v>#</v>
      </c>
      <c r="Q22" s="23"/>
      <c r="R22" s="23" t="str">
        <f>"("""&amp;B22&amp;""") ("&amp;Vlookup(E22,DropDown!R:V,5,FALSE)&amp;IF(ISBLANK(D22)," | "," "&amp;"OR """&amp;YEAR(D22)&amp;""" | ") &amp; """All New"" | Episode | Watch | tv | Show | Series | season | binge | Stream | Film | Movie | Premiere | Screening | Feature | Trailer | Teaser | theater | release)"</f>
        <v>#N/A</v>
      </c>
      <c r="S22" s="23"/>
      <c r="T22" s="23"/>
      <c r="U22" s="23"/>
      <c r="V22" s="23"/>
      <c r="W22" s="23"/>
      <c r="X22" s="38"/>
      <c r="Y22" s="38"/>
      <c r="Z22" s="38"/>
      <c r="AA22" s="38"/>
    </row>
    <row r="23">
      <c r="A23" s="45"/>
      <c r="B23" s="45"/>
      <c r="C23" s="30"/>
      <c r="D23" s="48"/>
      <c r="E23" s="49"/>
      <c r="F23" s="23"/>
      <c r="G23" s="27" t="str">
        <f>VLOOKUP(E23,DropDown!J:K,2,FALSE)</f>
        <v>#N/A</v>
      </c>
      <c r="H23" s="50"/>
      <c r="I23" s="50"/>
      <c r="J23" s="50"/>
      <c r="K23" s="25" t="s">
        <v>116</v>
      </c>
      <c r="L23" s="23"/>
      <c r="M23" s="23"/>
      <c r="N23" s="25" t="str">
        <f>"("""&amp;B23&amp;""") ("&amp;Vlookup(E23,DropDown!J:N,5,FALSE)&amp;" OR """ &amp;YEAR(D23) &amp; """ OR ""All New"" OR Episode OR Watch OR tv OR Show OR Series OR season OR binge OR Stream OR Film OR Movie OR Premiere OR Screening OR Feature OR Trailer OR Teaser OR theater OR release)"</f>
        <v>#N/A</v>
      </c>
      <c r="O23" s="23" t="str">
        <f t="shared" si="1"/>
        <v>#</v>
      </c>
      <c r="P23" s="23" t="str">
        <f t="shared" si="2"/>
        <v>#</v>
      </c>
      <c r="Q23" s="23"/>
      <c r="R23" s="23" t="str">
        <f>"("""&amp;B23&amp;""") ("&amp;Vlookup(E23,DropDown!R:V,5,FALSE)&amp;IF(ISBLANK(D23)," | "," "&amp;"OR """&amp;YEAR(D23)&amp;""" | ") &amp; """All New"" | Episode | Watch | tv | Show | Series | season | binge | Stream | Film | Movie | Premiere | Screening | Feature | Trailer | Teaser | theater | release)"</f>
        <v>#N/A</v>
      </c>
      <c r="S23" s="23"/>
      <c r="T23" s="23"/>
      <c r="U23" s="23"/>
      <c r="V23" s="23"/>
      <c r="W23" s="23"/>
      <c r="X23" s="38"/>
      <c r="Y23" s="38"/>
      <c r="Z23" s="38"/>
      <c r="AA23" s="38"/>
    </row>
    <row r="24">
      <c r="A24" s="45"/>
      <c r="B24" s="45"/>
      <c r="C24" s="23"/>
      <c r="D24" s="48"/>
      <c r="E24" s="49"/>
      <c r="F24" s="23"/>
      <c r="G24" s="27" t="str">
        <f>VLOOKUP(E24,DropDown!J:K,2,FALSE)</f>
        <v>#N/A</v>
      </c>
      <c r="H24" s="50"/>
      <c r="I24" s="50"/>
      <c r="J24" s="50"/>
      <c r="K24" s="25" t="s">
        <v>116</v>
      </c>
      <c r="L24" s="23"/>
      <c r="M24" s="23"/>
      <c r="N24" s="25" t="str">
        <f>"("""&amp;B24&amp;""") ("&amp;Vlookup(E24,DropDown!J:N,5,FALSE)&amp;" OR """ &amp;YEAR(D24) &amp; """ OR ""All New"" OR Episode OR Watch OR tv OR Show OR Series OR season OR binge OR Stream OR Film OR Movie OR Premiere OR Screening OR Feature OR Trailer OR Teaser OR theater OR release)"</f>
        <v>#N/A</v>
      </c>
      <c r="O24" s="23" t="str">
        <f t="shared" si="1"/>
        <v>#</v>
      </c>
      <c r="P24" s="23" t="str">
        <f t="shared" si="2"/>
        <v>#</v>
      </c>
      <c r="Q24" s="23"/>
      <c r="R24" s="23" t="str">
        <f>"("""&amp;B24&amp;""") ("&amp;Vlookup(E24,DropDown!R:V,5,FALSE)&amp;IF(ISBLANK(D24)," | "," "&amp;"OR """&amp;YEAR(D24)&amp;""" | ") &amp; """All New"" | Episode | Watch | tv | Show | Series | season | binge | Stream | Film | Movie | Premiere | Screening | Feature | Trailer | Teaser | theater | release)"</f>
        <v>#N/A</v>
      </c>
      <c r="S24" s="23"/>
      <c r="T24" s="23"/>
      <c r="U24" s="23"/>
      <c r="V24" s="23"/>
      <c r="W24" s="23"/>
      <c r="X24" s="38"/>
      <c r="Y24" s="38"/>
      <c r="Z24" s="38"/>
      <c r="AA24" s="38"/>
    </row>
    <row r="25">
      <c r="A25" s="31"/>
      <c r="B25" s="61"/>
      <c r="C25" s="38"/>
      <c r="D25" s="62"/>
      <c r="E25" s="27"/>
      <c r="F25" s="50"/>
      <c r="G25" s="27" t="str">
        <f>VLOOKUP(E25,DropDown!J:K,2,FALSE)</f>
        <v>#N/A</v>
      </c>
      <c r="H25" s="50"/>
      <c r="I25" s="50"/>
      <c r="J25" s="50"/>
      <c r="K25" s="25" t="s">
        <v>116</v>
      </c>
      <c r="L25" s="23"/>
      <c r="M25" s="23"/>
      <c r="N25" s="25" t="str">
        <f>"("""&amp;B25&amp;""") ("&amp;Vlookup(E25,DropDown!J:N,5,FALSE)&amp;" OR """ &amp;YEAR(D25) &amp; """ OR ""All New"" OR Episode OR Watch OR tv OR Show OR Series OR season OR binge OR Stream OR Film OR Movie OR Premiere OR Screening OR Feature OR Trailer OR Teaser OR theater OR release)"</f>
        <v>#N/A</v>
      </c>
      <c r="O25" s="23" t="str">
        <f t="shared" si="1"/>
        <v>#</v>
      </c>
      <c r="P25" s="23" t="str">
        <f t="shared" si="2"/>
        <v>#</v>
      </c>
      <c r="Q25" s="23"/>
      <c r="R25" s="23" t="str">
        <f>"("""&amp;B25&amp;""") ("&amp;Vlookup(E25,DropDown!R:V,5,FALSE)&amp;IF(ISBLANK(D25)," | "," "&amp;"OR """&amp;YEAR(D25)&amp;""" | ") &amp; """All New"" | Episode | Watch | tv | Show | Series | season | binge | Stream | Film | Movie | Premiere | Screening | Feature | Trailer | Teaser | theater | release)"</f>
        <v>#N/A</v>
      </c>
      <c r="S25" s="23"/>
      <c r="T25" s="23"/>
      <c r="U25" s="23"/>
      <c r="V25" s="23"/>
      <c r="W25" s="23"/>
      <c r="X25" s="38"/>
      <c r="Y25" s="38"/>
      <c r="Z25" s="38"/>
      <c r="AA25" s="38"/>
    </row>
    <row r="26">
      <c r="A26" s="31"/>
      <c r="B26" s="38"/>
      <c r="C26" s="38"/>
      <c r="D26" s="50"/>
      <c r="E26" s="50"/>
      <c r="F26" s="50"/>
      <c r="G26" s="27" t="str">
        <f>VLOOKUP(E26,DropDown!J:K,2,FALSE)</f>
        <v>#N/A</v>
      </c>
      <c r="H26" s="50"/>
      <c r="I26" s="50"/>
      <c r="J26" s="50"/>
      <c r="K26" s="25" t="s">
        <v>116</v>
      </c>
      <c r="L26" s="23"/>
      <c r="M26" s="23"/>
      <c r="N26" s="25" t="str">
        <f>"("""&amp;B26&amp;""") ("&amp;Vlookup(E26,DropDown!J:N,5,FALSE)&amp;" OR """ &amp;YEAR(D26) &amp; """ OR ""All New"" OR Episode OR Watch OR tv OR Show OR Series OR season OR binge OR Stream OR Film OR Movie OR Premiere OR Screening OR Feature OR Trailer OR Teaser OR theater OR release)"</f>
        <v>#N/A</v>
      </c>
      <c r="O26" s="23" t="str">
        <f t="shared" si="1"/>
        <v>#</v>
      </c>
      <c r="P26" s="23" t="str">
        <f t="shared" si="2"/>
        <v>#</v>
      </c>
      <c r="Q26" s="23"/>
      <c r="R26" s="23" t="str">
        <f>"("""&amp;B26&amp;""") ("&amp;Vlookup(E26,DropDown!R:V,5,FALSE)&amp;IF(ISBLANK(D26)," | "," "&amp;"OR """&amp;YEAR(D26)&amp;""" | ") &amp; """All New"" | Episode | Watch | tv | Show | Series | season | binge | Stream | Film | Movie | Premiere | Screening | Feature | Trailer | Teaser | theater | release)"</f>
        <v>#N/A</v>
      </c>
      <c r="S26" s="23"/>
      <c r="T26" s="23"/>
      <c r="U26" s="23"/>
      <c r="V26" s="23"/>
      <c r="W26" s="23"/>
      <c r="X26" s="38"/>
      <c r="Y26" s="38"/>
      <c r="Z26" s="38"/>
      <c r="AA26" s="38"/>
    </row>
    <row r="27">
      <c r="A27" s="31"/>
      <c r="B27" s="38"/>
      <c r="C27" s="38"/>
      <c r="D27" s="50"/>
      <c r="E27" s="50"/>
      <c r="F27" s="50"/>
      <c r="G27" s="27" t="str">
        <f>VLOOKUP(E27,DropDown!J:K,2,FALSE)</f>
        <v>#N/A</v>
      </c>
      <c r="H27" s="50"/>
      <c r="I27" s="50"/>
      <c r="J27" s="50"/>
      <c r="K27" s="25" t="s">
        <v>116</v>
      </c>
      <c r="L27" s="23"/>
      <c r="M27" s="23"/>
      <c r="N27" s="25" t="str">
        <f>"("""&amp;B27&amp;""") ("&amp;Vlookup(E27,DropDown!J:N,5,FALSE)&amp;" OR """ &amp;YEAR(D27) &amp; """ OR ""All New"" OR Episode OR Watch OR tv OR Show OR Series OR season OR binge OR Stream OR Film OR Movie OR Premiere OR Screening OR Feature OR Trailer OR Teaser OR theater OR release)"</f>
        <v>#N/A</v>
      </c>
      <c r="O27" s="23" t="str">
        <f t="shared" si="1"/>
        <v>#</v>
      </c>
      <c r="P27" s="23" t="str">
        <f t="shared" si="2"/>
        <v>#</v>
      </c>
      <c r="Q27" s="23"/>
      <c r="R27" s="23" t="str">
        <f>"("""&amp;B27&amp;""") ("&amp;Vlookup(E27,DropDown!R:V,5,FALSE)&amp;IF(ISBLANK(D27)," | "," "&amp;"OR """&amp;YEAR(D27)&amp;""" | ") &amp; """All New"" | Episode | Watch | tv | Show | Series | season | binge | Stream | Film | Movie | Premiere | Screening | Feature | Trailer | Teaser | theater | release)"</f>
        <v>#N/A</v>
      </c>
      <c r="S27" s="23"/>
      <c r="T27" s="23"/>
      <c r="U27" s="23"/>
      <c r="V27" s="23"/>
      <c r="W27" s="23"/>
      <c r="X27" s="38"/>
      <c r="Y27" s="38"/>
      <c r="Z27" s="38"/>
      <c r="AA27" s="38"/>
    </row>
    <row r="28">
      <c r="A28" s="31"/>
      <c r="B28" s="38"/>
      <c r="C28" s="38"/>
      <c r="D28" s="50"/>
      <c r="E28" s="50"/>
      <c r="F28" s="50"/>
      <c r="G28" s="27" t="str">
        <f>VLOOKUP(E28,DropDown!J:K,2,FALSE)</f>
        <v>#N/A</v>
      </c>
      <c r="H28" s="50"/>
      <c r="I28" s="50"/>
      <c r="J28" s="50"/>
      <c r="K28" s="25" t="s">
        <v>116</v>
      </c>
      <c r="L28" s="23"/>
      <c r="M28" s="23"/>
      <c r="N28" s="25" t="str">
        <f>"("""&amp;B28&amp;""") ("&amp;Vlookup(E28,DropDown!J:N,5,FALSE)&amp;" OR """ &amp;YEAR(D28) &amp; """ OR ""All New"" OR Episode OR Watch OR tv OR Show OR Series OR season OR binge OR Stream OR Film OR Movie OR Premiere OR Screening OR Feature OR Trailer OR Teaser OR theater OR release)"</f>
        <v>#N/A</v>
      </c>
      <c r="O28" s="23" t="str">
        <f t="shared" si="1"/>
        <v>#</v>
      </c>
      <c r="P28" s="23" t="str">
        <f t="shared" si="2"/>
        <v>#</v>
      </c>
      <c r="Q28" s="23"/>
      <c r="R28" s="23" t="str">
        <f>"("""&amp;B28&amp;""") ("&amp;Vlookup(E28,DropDown!R:V,5,FALSE)&amp;IF(ISBLANK(D28)," | "," "&amp;"OR """&amp;YEAR(D28)&amp;""" | ") &amp; """All New"" | Episode | Watch | tv | Show | Series | season | binge | Stream | Film | Movie | Premiere | Screening | Feature | Trailer | Teaser | theater | release)"</f>
        <v>#N/A</v>
      </c>
      <c r="S28" s="23"/>
      <c r="T28" s="23"/>
      <c r="U28" s="23"/>
      <c r="V28" s="23"/>
      <c r="W28" s="23"/>
      <c r="X28" s="38"/>
      <c r="Y28" s="38"/>
      <c r="Z28" s="38"/>
      <c r="AA28" s="38"/>
    </row>
    <row r="29">
      <c r="A29" s="31"/>
      <c r="B29" s="38"/>
      <c r="C29" s="38"/>
      <c r="D29" s="50"/>
      <c r="E29" s="50"/>
      <c r="F29" s="50"/>
      <c r="G29" s="27" t="str">
        <f>VLOOKUP(E29,DropDown!J:K,2,FALSE)</f>
        <v>#N/A</v>
      </c>
      <c r="H29" s="50"/>
      <c r="I29" s="50"/>
      <c r="J29" s="50"/>
      <c r="K29" s="25" t="s">
        <v>116</v>
      </c>
      <c r="L29" s="23"/>
      <c r="M29" s="23"/>
      <c r="N29" s="25" t="str">
        <f>"("""&amp;B29&amp;""") ("&amp;Vlookup(E29,DropDown!J:N,5,FALSE)&amp;" OR """ &amp;YEAR(D29) &amp; """ OR ""All New"" OR Episode OR Watch OR tv OR Show OR Series OR season OR binge OR Stream OR Film OR Movie OR Premiere OR Screening OR Feature OR Trailer OR Teaser OR theater OR release)"</f>
        <v>#N/A</v>
      </c>
      <c r="O29" s="23" t="str">
        <f t="shared" si="1"/>
        <v>#</v>
      </c>
      <c r="P29" s="23" t="str">
        <f t="shared" si="2"/>
        <v>#</v>
      </c>
      <c r="Q29" s="23"/>
      <c r="R29" s="23" t="str">
        <f>"("""&amp;B29&amp;""") ("&amp;Vlookup(E29,DropDown!R:V,5,FALSE)&amp;IF(ISBLANK(D29)," | "," "&amp;"OR """&amp;YEAR(D29)&amp;""" | ") &amp; """All New"" | Episode | Watch | tv | Show | Series | season | binge | Stream | Film | Movie | Premiere | Screening | Feature | Trailer | Teaser | theater | release)"</f>
        <v>#N/A</v>
      </c>
      <c r="S29" s="23"/>
      <c r="T29" s="23"/>
      <c r="U29" s="23"/>
      <c r="V29" s="23"/>
      <c r="W29" s="23"/>
      <c r="X29" s="38"/>
      <c r="Y29" s="38"/>
      <c r="Z29" s="38"/>
      <c r="AA29" s="38"/>
    </row>
    <row r="30">
      <c r="A30" s="31"/>
      <c r="B30" s="38"/>
      <c r="C30" s="38"/>
      <c r="D30" s="50"/>
      <c r="E30" s="50"/>
      <c r="F30" s="50"/>
      <c r="G30" s="27" t="str">
        <f>VLOOKUP(E30,DropDown!J:K,2,FALSE)</f>
        <v>#N/A</v>
      </c>
      <c r="H30" s="50"/>
      <c r="I30" s="50"/>
      <c r="J30" s="50"/>
      <c r="K30" s="25" t="s">
        <v>116</v>
      </c>
      <c r="L30" s="23"/>
      <c r="M30" s="23"/>
      <c r="N30" s="25" t="str">
        <f>"("""&amp;B30&amp;""") ("&amp;Vlookup(E30,DropDown!J:N,5,FALSE)&amp;" OR """ &amp;YEAR(D30) &amp; """ OR ""All New"" OR Episode OR Watch OR tv OR Show OR Series OR season OR binge OR Stream OR Film OR Movie OR Premiere OR Screening OR Feature OR Trailer OR Teaser OR theater OR release)"</f>
        <v>#N/A</v>
      </c>
      <c r="O30" s="23" t="str">
        <f t="shared" si="1"/>
        <v>#</v>
      </c>
      <c r="P30" s="23" t="str">
        <f t="shared" si="2"/>
        <v>#</v>
      </c>
      <c r="Q30" s="23"/>
      <c r="R30" s="23" t="str">
        <f>"("""&amp;B30&amp;""") ("&amp;Vlookup(E30,DropDown!R:V,5,FALSE)&amp;IF(ISBLANK(D30)," | "," "&amp;"OR """&amp;YEAR(D30)&amp;""" | ") &amp; """All New"" | Episode | Watch | tv | Show | Series | season | binge | Stream | Film | Movie | Premiere | Screening | Feature | Trailer | Teaser | theater | release)"</f>
        <v>#N/A</v>
      </c>
      <c r="S30" s="23"/>
      <c r="T30" s="23"/>
      <c r="U30" s="23"/>
      <c r="V30" s="23"/>
      <c r="W30" s="23"/>
      <c r="X30" s="38"/>
      <c r="Y30" s="38"/>
      <c r="Z30" s="38"/>
      <c r="AA30" s="38"/>
    </row>
    <row r="31">
      <c r="A31" s="31"/>
      <c r="B31" s="38"/>
      <c r="C31" s="38"/>
      <c r="D31" s="50"/>
      <c r="E31" s="50"/>
      <c r="F31" s="50"/>
      <c r="G31" s="27" t="str">
        <f>VLOOKUP(E31,DropDown!J:K,2,FALSE)</f>
        <v>#N/A</v>
      </c>
      <c r="H31" s="50"/>
      <c r="I31" s="50"/>
      <c r="J31" s="50"/>
      <c r="K31" s="25" t="s">
        <v>116</v>
      </c>
      <c r="L31" s="23"/>
      <c r="M31" s="23"/>
      <c r="N31" s="25" t="str">
        <f>"("""&amp;B31&amp;""") ("&amp;Vlookup(E31,DropDown!J:N,5,FALSE)&amp;" OR """ &amp;YEAR(D31) &amp; """ OR ""All New"" OR Episode OR Watch OR tv OR Show OR Series OR season OR binge OR Stream OR Film OR Movie OR Premiere OR Screening OR Feature OR Trailer OR Teaser OR theater OR release)"</f>
        <v>#N/A</v>
      </c>
      <c r="O31" s="23" t="str">
        <f t="shared" si="1"/>
        <v>#</v>
      </c>
      <c r="P31" s="23" t="str">
        <f t="shared" si="2"/>
        <v>#</v>
      </c>
      <c r="Q31" s="23"/>
      <c r="R31" s="23" t="str">
        <f>"("""&amp;B31&amp;""") ("&amp;Vlookup(E31,DropDown!R:V,5,FALSE)&amp;IF(ISBLANK(D31)," | "," "&amp;"OR """&amp;YEAR(D31)&amp;""" | ") &amp; """All New"" | Episode | Watch | tv | Show | Series | season | binge | Stream | Film | Movie | Premiere | Screening | Feature | Trailer | Teaser | theater | release)"</f>
        <v>#N/A</v>
      </c>
      <c r="S31" s="23"/>
      <c r="T31" s="23"/>
      <c r="U31" s="23"/>
      <c r="V31" s="23"/>
      <c r="W31" s="23"/>
      <c r="X31" s="38"/>
      <c r="Y31" s="38"/>
      <c r="Z31" s="38"/>
      <c r="AA31" s="38"/>
    </row>
    <row r="32">
      <c r="A32" s="31"/>
      <c r="B32" s="38"/>
      <c r="C32" s="38"/>
      <c r="D32" s="50"/>
      <c r="E32" s="50"/>
      <c r="F32" s="50"/>
      <c r="G32" s="27" t="str">
        <f>VLOOKUP(E32,DropDown!J:K,2,FALSE)</f>
        <v>#N/A</v>
      </c>
      <c r="H32" s="50"/>
      <c r="I32" s="50"/>
      <c r="J32" s="50"/>
      <c r="K32" s="25" t="s">
        <v>116</v>
      </c>
      <c r="L32" s="23"/>
      <c r="M32" s="23"/>
      <c r="N32" s="25" t="str">
        <f>"("""&amp;B32&amp;""") ("&amp;Vlookup(E32,DropDown!J:N,5,FALSE)&amp;" OR """ &amp;YEAR(D32) &amp; """ OR ""All New"" OR Episode OR Watch OR tv OR Show OR Series OR season OR binge OR Stream OR Film OR Movie OR Premiere OR Screening OR Feature OR Trailer OR Teaser OR theater OR release)"</f>
        <v>#N/A</v>
      </c>
      <c r="O32" s="23" t="str">
        <f t="shared" si="1"/>
        <v>#</v>
      </c>
      <c r="P32" s="23" t="str">
        <f t="shared" si="2"/>
        <v>#</v>
      </c>
      <c r="Q32" s="23"/>
      <c r="R32" s="23" t="str">
        <f>"("""&amp;B32&amp;""") ("&amp;Vlookup(E32,DropDown!R:V,5,FALSE)&amp;IF(ISBLANK(D32)," | "," "&amp;"OR """&amp;YEAR(D32)&amp;""" | ") &amp; """All New"" | Episode | Watch | tv | Show | Series | season | binge | Stream | Film | Movie | Premiere | Screening | Feature | Trailer | Teaser | theater | release)"</f>
        <v>#N/A</v>
      </c>
      <c r="S32" s="23"/>
      <c r="T32" s="23"/>
      <c r="U32" s="23"/>
      <c r="V32" s="23"/>
      <c r="W32" s="23"/>
      <c r="X32" s="38"/>
      <c r="Y32" s="38"/>
      <c r="Z32" s="38"/>
      <c r="AA32" s="38"/>
    </row>
    <row r="33">
      <c r="A33" s="31"/>
      <c r="B33" s="38"/>
      <c r="C33" s="38"/>
      <c r="D33" s="50"/>
      <c r="E33" s="50"/>
      <c r="F33" s="50"/>
      <c r="G33" s="27" t="str">
        <f>VLOOKUP(E33,DropDown!J:K,2,FALSE)</f>
        <v>#N/A</v>
      </c>
      <c r="H33" s="50"/>
      <c r="I33" s="50"/>
      <c r="J33" s="50"/>
      <c r="K33" s="25" t="s">
        <v>116</v>
      </c>
      <c r="L33" s="23"/>
      <c r="M33" s="23"/>
      <c r="N33" s="25" t="str">
        <f>"("""&amp;B33&amp;""") ("&amp;Vlookup(E33,DropDown!J:N,5,FALSE)&amp;" OR """ &amp;YEAR(D33) &amp; """ OR ""All New"" OR Episode OR Watch OR tv OR Show OR Series OR season OR binge OR Stream OR Film OR Movie OR Premiere OR Screening OR Feature OR Trailer OR Teaser OR theater OR release)"</f>
        <v>#N/A</v>
      </c>
      <c r="O33" s="23" t="str">
        <f t="shared" si="1"/>
        <v>#</v>
      </c>
      <c r="P33" s="23" t="str">
        <f t="shared" si="2"/>
        <v>#</v>
      </c>
      <c r="Q33" s="23"/>
      <c r="R33" s="23" t="str">
        <f>"("""&amp;B33&amp;""") ("&amp;Vlookup(E33,DropDown!R:V,5,FALSE)&amp;IF(ISBLANK(D33)," | "," "&amp;"OR """&amp;YEAR(D33)&amp;""" | ") &amp; """All New"" | Episode | Watch | tv | Show | Series | season | binge | Stream | Film | Movie | Premiere | Screening | Feature | Trailer | Teaser | theater | release)"</f>
        <v>#N/A</v>
      </c>
      <c r="S33" s="23"/>
      <c r="T33" s="23"/>
      <c r="U33" s="23"/>
      <c r="V33" s="23"/>
      <c r="W33" s="23"/>
      <c r="X33" s="38"/>
      <c r="Y33" s="38"/>
      <c r="Z33" s="38"/>
      <c r="AA33" s="38"/>
    </row>
    <row r="34">
      <c r="A34" s="31"/>
      <c r="B34" s="38"/>
      <c r="C34" s="38"/>
      <c r="D34" s="50"/>
      <c r="E34" s="50"/>
      <c r="F34" s="50"/>
      <c r="G34" s="27" t="str">
        <f>VLOOKUP(E34,DropDown!J:K,2,FALSE)</f>
        <v>#N/A</v>
      </c>
      <c r="H34" s="50"/>
      <c r="I34" s="50"/>
      <c r="J34" s="50"/>
      <c r="K34" s="25" t="s">
        <v>116</v>
      </c>
      <c r="L34" s="23"/>
      <c r="M34" s="23"/>
      <c r="N34" s="25" t="str">
        <f>"("""&amp;B34&amp;""") ("&amp;Vlookup(E34,DropDown!J:N,5,FALSE)&amp;" OR """ &amp;YEAR(D34) &amp; """ OR ""All New"" OR Episode OR Watch OR tv OR Show OR Series OR season OR binge OR Stream OR Film OR Movie OR Premiere OR Screening OR Feature OR Trailer OR Teaser OR theater OR release)"</f>
        <v>#N/A</v>
      </c>
      <c r="O34" s="23" t="str">
        <f t="shared" si="1"/>
        <v>#</v>
      </c>
      <c r="P34" s="23" t="str">
        <f t="shared" si="2"/>
        <v>#</v>
      </c>
      <c r="Q34" s="23"/>
      <c r="R34" s="23" t="str">
        <f>"("""&amp;B34&amp;""") ("&amp;Vlookup(E34,DropDown!R:V,5,FALSE)&amp;IF(ISBLANK(D34)," | "," "&amp;"OR """&amp;YEAR(D34)&amp;""" | ") &amp; """All New"" | Episode | Watch | tv | Show | Series | season | binge | Stream | Film | Movie | Premiere | Screening | Feature | Trailer | Teaser | theater | release)"</f>
        <v>#N/A</v>
      </c>
      <c r="S34" s="23"/>
      <c r="T34" s="23"/>
      <c r="U34" s="23"/>
      <c r="V34" s="23"/>
      <c r="W34" s="23"/>
      <c r="X34" s="38"/>
      <c r="Y34" s="38"/>
      <c r="Z34" s="38"/>
      <c r="AA34" s="38"/>
    </row>
    <row r="35">
      <c r="A35" s="31"/>
      <c r="B35" s="38"/>
      <c r="C35" s="38"/>
      <c r="D35" s="50"/>
      <c r="E35" s="50"/>
      <c r="F35" s="50"/>
      <c r="G35" s="27" t="str">
        <f>VLOOKUP(E35,DropDown!J:K,2,FALSE)</f>
        <v>#N/A</v>
      </c>
      <c r="H35" s="50"/>
      <c r="I35" s="50"/>
      <c r="J35" s="50"/>
      <c r="K35" s="25" t="s">
        <v>116</v>
      </c>
      <c r="L35" s="23"/>
      <c r="M35" s="23"/>
      <c r="N35" s="25" t="str">
        <f>"("""&amp;B35&amp;""") ("&amp;Vlookup(E35,DropDown!J:N,5,FALSE)&amp;" OR """ &amp;YEAR(D35) &amp; """ OR ""All New"" OR Episode OR Watch OR tv OR Show OR Series OR season OR binge OR Stream OR Film OR Movie OR Premiere OR Screening OR Feature OR Trailer OR Teaser OR theater OR release)"</f>
        <v>#N/A</v>
      </c>
      <c r="O35" s="23" t="str">
        <f t="shared" si="1"/>
        <v>#</v>
      </c>
      <c r="P35" s="23" t="str">
        <f t="shared" si="2"/>
        <v>#</v>
      </c>
      <c r="Q35" s="23"/>
      <c r="R35" s="23" t="str">
        <f>"("""&amp;B35&amp;""") ("&amp;Vlookup(E35,DropDown!R:V,5,FALSE)&amp;IF(ISBLANK(D35)," | "," "&amp;"OR """&amp;YEAR(D35)&amp;""" | ") &amp; """All New"" | Episode | Watch | tv | Show | Series | season | binge | Stream | Film | Movie | Premiere | Screening | Feature | Trailer | Teaser | theater | release)"</f>
        <v>#N/A</v>
      </c>
      <c r="S35" s="23"/>
      <c r="T35" s="23"/>
      <c r="U35" s="23"/>
      <c r="V35" s="23"/>
      <c r="W35" s="23"/>
      <c r="X35" s="38"/>
      <c r="Y35" s="38"/>
      <c r="Z35" s="38"/>
      <c r="AA35" s="38"/>
    </row>
    <row r="36">
      <c r="A36" s="31"/>
      <c r="B36" s="38"/>
      <c r="C36" s="38"/>
      <c r="D36" s="50"/>
      <c r="E36" s="50"/>
      <c r="F36" s="50"/>
      <c r="G36" s="27" t="str">
        <f>VLOOKUP(E36,DropDown!J:K,2,FALSE)</f>
        <v>#N/A</v>
      </c>
      <c r="H36" s="50"/>
      <c r="I36" s="50"/>
      <c r="J36" s="50"/>
      <c r="K36" s="25" t="s">
        <v>116</v>
      </c>
      <c r="L36" s="23"/>
      <c r="M36" s="23"/>
      <c r="N36" s="25" t="str">
        <f>"("""&amp;B36&amp;""") ("&amp;Vlookup(E36,DropDown!J:N,5,FALSE)&amp;" OR """ &amp;YEAR(D36) &amp; """ OR ""All New"" OR Episode OR Watch OR tv OR Show OR Series OR season OR binge OR Stream OR Film OR Movie OR Premiere OR Screening OR Feature OR Trailer OR Teaser OR theater OR release)"</f>
        <v>#N/A</v>
      </c>
      <c r="O36" s="23" t="str">
        <f t="shared" si="1"/>
        <v>#</v>
      </c>
      <c r="P36" s="23" t="str">
        <f t="shared" si="2"/>
        <v>#</v>
      </c>
      <c r="Q36" s="23"/>
      <c r="R36" s="23" t="str">
        <f>"("""&amp;B36&amp;""") ("&amp;Vlookup(E36,DropDown!R:V,5,FALSE)&amp;IF(ISBLANK(D36)," | "," "&amp;"OR """&amp;YEAR(D36)&amp;""" | ") &amp; """All New"" | Episode | Watch | tv | Show | Series | season | binge | Stream | Film | Movie | Premiere | Screening | Feature | Trailer | Teaser | theater | release)"</f>
        <v>#N/A</v>
      </c>
      <c r="S36" s="23"/>
      <c r="T36" s="23"/>
      <c r="U36" s="23"/>
      <c r="V36" s="23"/>
      <c r="W36" s="23"/>
      <c r="X36" s="38"/>
      <c r="Y36" s="38"/>
      <c r="Z36" s="38"/>
      <c r="AA36" s="38"/>
    </row>
    <row r="37">
      <c r="A37" s="31"/>
      <c r="B37" s="38"/>
      <c r="C37" s="38"/>
      <c r="D37" s="50"/>
      <c r="E37" s="50"/>
      <c r="F37" s="50"/>
      <c r="G37" s="27" t="str">
        <f>VLOOKUP(E37,DropDown!J:K,2,FALSE)</f>
        <v>#N/A</v>
      </c>
      <c r="H37" s="50"/>
      <c r="I37" s="50"/>
      <c r="J37" s="50"/>
      <c r="K37" s="25" t="s">
        <v>116</v>
      </c>
      <c r="L37" s="23"/>
      <c r="M37" s="23"/>
      <c r="N37" s="25" t="str">
        <f>"("""&amp;B37&amp;""") ("&amp;Vlookup(E37,DropDown!J:N,5,FALSE)&amp;" OR """ &amp;YEAR(D37) &amp; """ OR ""All New"" OR Episode OR Watch OR tv OR Show OR Series OR season OR binge OR Stream OR Film OR Movie OR Premiere OR Screening OR Feature OR Trailer OR Teaser OR theater OR release)"</f>
        <v>#N/A</v>
      </c>
      <c r="O37" s="23" t="str">
        <f t="shared" si="1"/>
        <v>#</v>
      </c>
      <c r="P37" s="23" t="str">
        <f t="shared" si="2"/>
        <v>#</v>
      </c>
      <c r="Q37" s="23"/>
      <c r="R37" s="23" t="str">
        <f>"("""&amp;B37&amp;""") ("&amp;Vlookup(E37,DropDown!R:V,5,FALSE)&amp;IF(ISBLANK(D37)," | "," "&amp;"OR """&amp;YEAR(D37)&amp;""" | ") &amp; """All New"" | Episode | Watch | tv | Show | Series | season | binge | Stream | Film | Movie | Premiere | Screening | Feature | Trailer | Teaser | theater | release)"</f>
        <v>#N/A</v>
      </c>
      <c r="S37" s="23"/>
      <c r="T37" s="23"/>
      <c r="U37" s="23"/>
      <c r="V37" s="23"/>
      <c r="W37" s="23"/>
      <c r="X37" s="38"/>
      <c r="Y37" s="38"/>
      <c r="Z37" s="38"/>
      <c r="AA37" s="38"/>
    </row>
    <row r="38">
      <c r="A38" s="31"/>
      <c r="B38" s="38"/>
      <c r="C38" s="38"/>
      <c r="D38" s="50"/>
      <c r="E38" s="50"/>
      <c r="F38" s="50"/>
      <c r="G38" s="27" t="str">
        <f>VLOOKUP(E38,DropDown!J:K,2,FALSE)</f>
        <v>#N/A</v>
      </c>
      <c r="H38" s="50"/>
      <c r="I38" s="50"/>
      <c r="J38" s="50"/>
      <c r="K38" s="25" t="s">
        <v>116</v>
      </c>
      <c r="L38" s="23"/>
      <c r="M38" s="23"/>
      <c r="N38" s="25" t="str">
        <f>"("""&amp;B38&amp;""") ("&amp;Vlookup(E38,DropDown!J:N,5,FALSE)&amp;" OR """ &amp;YEAR(D38) &amp; """ OR ""All New"" OR Episode OR Watch OR tv OR Show OR Series OR season OR binge OR Stream OR Film OR Movie OR Premiere OR Screening OR Feature OR Trailer OR Teaser OR theater OR release)"</f>
        <v>#N/A</v>
      </c>
      <c r="O38" s="23" t="str">
        <f t="shared" si="1"/>
        <v>#</v>
      </c>
      <c r="P38" s="23" t="str">
        <f t="shared" si="2"/>
        <v>#</v>
      </c>
      <c r="Q38" s="23"/>
      <c r="R38" s="23" t="str">
        <f>"("""&amp;B38&amp;""") ("&amp;Vlookup(E38,DropDown!R:V,5,FALSE)&amp;IF(ISBLANK(D38)," | "," "&amp;"OR """&amp;YEAR(D38)&amp;""" | ") &amp; """All New"" | Episode | Watch | tv | Show | Series | season | binge | Stream | Film | Movie | Premiere | Screening | Feature | Trailer | Teaser | theater | release)"</f>
        <v>#N/A</v>
      </c>
      <c r="S38" s="23"/>
      <c r="T38" s="23"/>
      <c r="U38" s="23"/>
      <c r="V38" s="23"/>
      <c r="W38" s="23"/>
      <c r="X38" s="38"/>
      <c r="Y38" s="38"/>
      <c r="Z38" s="38"/>
      <c r="AA38" s="38"/>
    </row>
    <row r="39">
      <c r="A39" s="31"/>
      <c r="B39" s="38"/>
      <c r="C39" s="38"/>
      <c r="D39" s="50"/>
      <c r="E39" s="50"/>
      <c r="F39" s="50"/>
      <c r="G39" s="27" t="str">
        <f>VLOOKUP(E39,DropDown!J:K,2,FALSE)</f>
        <v>#N/A</v>
      </c>
      <c r="H39" s="50"/>
      <c r="I39" s="50"/>
      <c r="J39" s="50"/>
      <c r="K39" s="25" t="s">
        <v>116</v>
      </c>
      <c r="L39" s="23"/>
      <c r="M39" s="23"/>
      <c r="N39" s="25" t="str">
        <f>"("""&amp;B39&amp;""") ("&amp;Vlookup(E39,DropDown!J:N,5,FALSE)&amp;" OR """ &amp;YEAR(D39) &amp; """ OR ""All New"" OR Episode OR Watch OR tv OR Show OR Series OR season OR binge OR Stream OR Film OR Movie OR Premiere OR Screening OR Feature OR Trailer OR Teaser OR theater OR release)"</f>
        <v>#N/A</v>
      </c>
      <c r="O39" s="23" t="str">
        <f t="shared" si="1"/>
        <v>#</v>
      </c>
      <c r="P39" s="23" t="str">
        <f t="shared" si="2"/>
        <v>#</v>
      </c>
      <c r="Q39" s="23"/>
      <c r="R39" s="23" t="str">
        <f>"("""&amp;B39&amp;""") ("&amp;Vlookup(E39,DropDown!R:V,5,FALSE)&amp;IF(ISBLANK(D39)," | "," "&amp;"OR """&amp;YEAR(D39)&amp;""" | ") &amp; """All New"" | Episode | Watch | tv | Show | Series | season | binge | Stream | Film | Movie | Premiere | Screening | Feature | Trailer | Teaser | theater | release)"</f>
        <v>#N/A</v>
      </c>
      <c r="S39" s="23"/>
      <c r="T39" s="23"/>
      <c r="U39" s="23"/>
      <c r="V39" s="23"/>
      <c r="W39" s="23"/>
      <c r="X39" s="38"/>
      <c r="Y39" s="38"/>
      <c r="Z39" s="38"/>
      <c r="AA39" s="38"/>
    </row>
    <row r="40">
      <c r="A40" s="31"/>
      <c r="B40" s="38"/>
      <c r="C40" s="38"/>
      <c r="D40" s="50"/>
      <c r="E40" s="50"/>
      <c r="F40" s="50"/>
      <c r="G40" s="27" t="str">
        <f>VLOOKUP(E40,DropDown!J:K,2,FALSE)</f>
        <v>#N/A</v>
      </c>
      <c r="H40" s="50"/>
      <c r="I40" s="50"/>
      <c r="J40" s="50"/>
      <c r="K40" s="25" t="s">
        <v>116</v>
      </c>
      <c r="L40" s="23"/>
      <c r="M40" s="23"/>
      <c r="N40" s="25" t="str">
        <f>"("""&amp;B40&amp;""") ("&amp;Vlookup(E40,DropDown!J:N,5,FALSE)&amp;" OR """ &amp;YEAR(D40) &amp; """ OR ""All New"" OR Episode OR Watch OR tv OR Show OR Series OR season OR binge OR Stream OR Film OR Movie OR Premiere OR Screening OR Feature OR Trailer OR Teaser OR theater OR release)"</f>
        <v>#N/A</v>
      </c>
      <c r="O40" s="23" t="str">
        <f t="shared" si="1"/>
        <v>#</v>
      </c>
      <c r="P40" s="23" t="str">
        <f t="shared" si="2"/>
        <v>#</v>
      </c>
      <c r="Q40" s="23"/>
      <c r="R40" s="23" t="str">
        <f>"("""&amp;B40&amp;""") ("&amp;Vlookup(E40,DropDown!R:V,5,FALSE)&amp;IF(ISBLANK(D40)," | "," "&amp;"OR """&amp;YEAR(D40)&amp;""" | ") &amp; """All New"" | Episode | Watch | tv | Show | Series | season | binge | Stream | Film | Movie | Premiere | Screening | Feature | Trailer | Teaser | theater | release)"</f>
        <v>#N/A</v>
      </c>
      <c r="S40" s="23"/>
      <c r="T40" s="23"/>
      <c r="U40" s="23"/>
      <c r="V40" s="23"/>
      <c r="W40" s="23"/>
      <c r="X40" s="38"/>
      <c r="Y40" s="38"/>
      <c r="Z40" s="38"/>
      <c r="AA40" s="38"/>
    </row>
    <row r="41">
      <c r="A41" s="31"/>
      <c r="B41" s="38"/>
      <c r="C41" s="38"/>
      <c r="D41" s="50"/>
      <c r="E41" s="50"/>
      <c r="F41" s="50"/>
      <c r="G41" s="27" t="str">
        <f>VLOOKUP(E41,DropDown!J:K,2,FALSE)</f>
        <v>#N/A</v>
      </c>
      <c r="H41" s="50"/>
      <c r="I41" s="50"/>
      <c r="J41" s="50"/>
      <c r="K41" s="25" t="s">
        <v>116</v>
      </c>
      <c r="L41" s="23"/>
      <c r="M41" s="23"/>
      <c r="N41" s="25" t="str">
        <f>"("""&amp;B41&amp;""") ("&amp;Vlookup(E41,DropDown!J:N,5,FALSE)&amp;" OR """ &amp;YEAR(D41) &amp; """ OR ""All New"" OR Episode OR Watch OR tv OR Show OR Series OR season OR binge OR Stream OR Film OR Movie OR Premiere OR Screening OR Feature OR Trailer OR Teaser OR theater OR release)"</f>
        <v>#N/A</v>
      </c>
      <c r="O41" s="23" t="str">
        <f t="shared" si="1"/>
        <v>#</v>
      </c>
      <c r="P41" s="23" t="str">
        <f t="shared" si="2"/>
        <v>#</v>
      </c>
      <c r="Q41" s="23"/>
      <c r="R41" s="23" t="str">
        <f>"("""&amp;B41&amp;""") ("&amp;Vlookup(E41,DropDown!R:V,5,FALSE)&amp;IF(ISBLANK(D41)," | "," "&amp;"OR """&amp;YEAR(D41)&amp;""" | ") &amp; """All New"" | Episode | Watch | tv | Show | Series | season | binge | Stream | Film | Movie | Premiere | Screening | Feature | Trailer | Teaser | theater | release)"</f>
        <v>#N/A</v>
      </c>
      <c r="S41" s="23"/>
      <c r="T41" s="23"/>
      <c r="U41" s="23"/>
      <c r="V41" s="23"/>
      <c r="W41" s="23"/>
      <c r="X41" s="38"/>
      <c r="Y41" s="38"/>
      <c r="Z41" s="38"/>
      <c r="AA41" s="38"/>
    </row>
    <row r="42">
      <c r="A42" s="31"/>
      <c r="B42" s="38"/>
      <c r="C42" s="38"/>
      <c r="D42" s="50"/>
      <c r="E42" s="50"/>
      <c r="F42" s="50"/>
      <c r="G42" s="27" t="str">
        <f>VLOOKUP(E42,DropDown!J:K,2,FALSE)</f>
        <v>#N/A</v>
      </c>
      <c r="H42" s="50"/>
      <c r="I42" s="50"/>
      <c r="J42" s="50"/>
      <c r="K42" s="25" t="s">
        <v>116</v>
      </c>
      <c r="L42" s="23"/>
      <c r="M42" s="23"/>
      <c r="N42" s="25" t="str">
        <f>"("""&amp;B42&amp;""") ("&amp;Vlookup(E42,DropDown!J:N,5,FALSE)&amp;" OR """ &amp;YEAR(D42) &amp; """ OR ""All New"" OR Episode OR Watch OR tv OR Show OR Series OR season OR binge OR Stream OR Film OR Movie OR Premiere OR Screening OR Feature OR Trailer OR Teaser OR theater OR release)"</f>
        <v>#N/A</v>
      </c>
      <c r="O42" s="23" t="str">
        <f t="shared" si="1"/>
        <v>#</v>
      </c>
      <c r="P42" s="23" t="str">
        <f t="shared" si="2"/>
        <v>#</v>
      </c>
      <c r="Q42" s="23"/>
      <c r="R42" s="23" t="str">
        <f>"("""&amp;B42&amp;""") ("&amp;Vlookup(E42,DropDown!R:V,5,FALSE)&amp;IF(ISBLANK(D42)," | "," "&amp;"OR """&amp;YEAR(D42)&amp;""" | ") &amp; """All New"" | Episode | Watch | tv | Show | Series | season | binge | Stream | Film | Movie | Premiere | Screening | Feature | Trailer | Teaser | theater | release)"</f>
        <v>#N/A</v>
      </c>
      <c r="S42" s="23"/>
      <c r="T42" s="23"/>
      <c r="U42" s="23"/>
      <c r="V42" s="23"/>
      <c r="W42" s="23"/>
      <c r="X42" s="38"/>
      <c r="Y42" s="38"/>
      <c r="Z42" s="38"/>
      <c r="AA42" s="38"/>
    </row>
    <row r="43">
      <c r="A43" s="31"/>
      <c r="B43" s="38"/>
      <c r="C43" s="38"/>
      <c r="D43" s="50"/>
      <c r="E43" s="50"/>
      <c r="F43" s="50"/>
      <c r="G43" s="27" t="str">
        <f>VLOOKUP(E43,DropDown!J:K,2,FALSE)</f>
        <v>#N/A</v>
      </c>
      <c r="H43" s="50"/>
      <c r="I43" s="50"/>
      <c r="J43" s="50"/>
      <c r="K43" s="25" t="s">
        <v>116</v>
      </c>
      <c r="L43" s="23"/>
      <c r="M43" s="23"/>
      <c r="N43" s="25" t="str">
        <f>"("""&amp;B43&amp;""") ("&amp;Vlookup(E43,DropDown!J:N,5,FALSE)&amp;" OR """ &amp;YEAR(D43) &amp; """ OR ""All New"" OR Episode OR Watch OR tv OR Show OR Series OR season OR binge OR Stream OR Film OR Movie OR Premiere OR Screening OR Feature OR Trailer OR Teaser OR theater OR release)"</f>
        <v>#N/A</v>
      </c>
      <c r="O43" s="23" t="str">
        <f t="shared" si="1"/>
        <v>#</v>
      </c>
      <c r="P43" s="23" t="str">
        <f t="shared" si="2"/>
        <v>#</v>
      </c>
      <c r="Q43" s="23"/>
      <c r="R43" s="23" t="str">
        <f>"("""&amp;B43&amp;""") ("&amp;Vlookup(E43,DropDown!R:V,5,FALSE)&amp;IF(ISBLANK(D43)," | "," "&amp;"OR """&amp;YEAR(D43)&amp;""" | ") &amp; """All New"" | Episode | Watch | tv | Show | Series | season | binge | Stream | Film | Movie | Premiere | Screening | Feature | Trailer | Teaser | theater | release)"</f>
        <v>#N/A</v>
      </c>
      <c r="S43" s="23"/>
      <c r="T43" s="23"/>
      <c r="U43" s="23"/>
      <c r="V43" s="23"/>
      <c r="W43" s="23"/>
      <c r="X43" s="38"/>
      <c r="Y43" s="38"/>
      <c r="Z43" s="38"/>
      <c r="AA43" s="38"/>
    </row>
    <row r="44">
      <c r="A44" s="31"/>
      <c r="B44" s="38"/>
      <c r="C44" s="38"/>
      <c r="D44" s="50"/>
      <c r="E44" s="50"/>
      <c r="F44" s="50"/>
      <c r="G44" s="27" t="str">
        <f>VLOOKUP(E44,DropDown!J:K,2,FALSE)</f>
        <v>#N/A</v>
      </c>
      <c r="H44" s="50"/>
      <c r="I44" s="50"/>
      <c r="J44" s="50"/>
      <c r="K44" s="25" t="s">
        <v>116</v>
      </c>
      <c r="L44" s="23"/>
      <c r="M44" s="23"/>
      <c r="N44" s="25" t="str">
        <f>"("""&amp;B44&amp;""") ("&amp;Vlookup(E44,DropDown!J:N,5,FALSE)&amp;" OR """ &amp;YEAR(D44) &amp; """ OR ""All New"" OR Episode OR Watch OR tv OR Show OR Series OR season OR binge OR Stream OR Film OR Movie OR Premiere OR Screening OR Feature OR Trailer OR Teaser OR theater OR release)"</f>
        <v>#N/A</v>
      </c>
      <c r="O44" s="23" t="str">
        <f t="shared" si="1"/>
        <v>#</v>
      </c>
      <c r="P44" s="23" t="str">
        <f t="shared" si="2"/>
        <v>#</v>
      </c>
      <c r="Q44" s="23"/>
      <c r="R44" s="23" t="str">
        <f>"("""&amp;B44&amp;""") ("&amp;Vlookup(E44,DropDown!R:V,5,FALSE)&amp;IF(ISBLANK(D44)," | "," "&amp;"OR """&amp;YEAR(D44)&amp;""" | ") &amp; """All New"" | Episode | Watch | tv | Show | Series | season | binge | Stream | Film | Movie | Premiere | Screening | Feature | Trailer | Teaser | theater | release)"</f>
        <v>#N/A</v>
      </c>
      <c r="S44" s="23"/>
      <c r="T44" s="23"/>
      <c r="U44" s="23"/>
      <c r="V44" s="23"/>
      <c r="W44" s="23"/>
      <c r="X44" s="38"/>
      <c r="Y44" s="38"/>
      <c r="Z44" s="38"/>
      <c r="AA44" s="38"/>
    </row>
    <row r="45">
      <c r="A45" s="31"/>
      <c r="B45" s="38"/>
      <c r="C45" s="38"/>
      <c r="D45" s="50"/>
      <c r="E45" s="50"/>
      <c r="F45" s="50"/>
      <c r="G45" s="27" t="str">
        <f>VLOOKUP(E45,DropDown!J:K,2,FALSE)</f>
        <v>#N/A</v>
      </c>
      <c r="H45" s="50"/>
      <c r="I45" s="50"/>
      <c r="J45" s="50"/>
      <c r="K45" s="25" t="s">
        <v>116</v>
      </c>
      <c r="L45" s="23"/>
      <c r="M45" s="23"/>
      <c r="N45" s="25" t="str">
        <f>"("""&amp;B45&amp;""") ("&amp;Vlookup(E45,DropDown!J:N,5,FALSE)&amp;" OR """ &amp;YEAR(D45) &amp; """ OR ""All New"" OR Episode OR Watch OR tv OR Show OR Series OR season OR binge OR Stream OR Film OR Movie OR Premiere OR Screening OR Feature OR Trailer OR Teaser OR theater OR release)"</f>
        <v>#N/A</v>
      </c>
      <c r="O45" s="23" t="str">
        <f t="shared" si="1"/>
        <v>#</v>
      </c>
      <c r="P45" s="23" t="str">
        <f t="shared" si="2"/>
        <v>#</v>
      </c>
      <c r="Q45" s="23"/>
      <c r="R45" s="23" t="str">
        <f>"("""&amp;B45&amp;""") ("&amp;Vlookup(E45,DropDown!R:V,5,FALSE)&amp;IF(ISBLANK(D45)," | "," "&amp;"OR """&amp;YEAR(D45)&amp;""" | ") &amp; """All New"" | Episode | Watch | tv | Show | Series | season | binge | Stream | Film | Movie | Premiere | Screening | Feature | Trailer | Teaser | theater | release)"</f>
        <v>#N/A</v>
      </c>
      <c r="S45" s="23"/>
      <c r="T45" s="23"/>
      <c r="U45" s="23"/>
      <c r="V45" s="23"/>
      <c r="W45" s="23"/>
      <c r="X45" s="38"/>
      <c r="Y45" s="38"/>
      <c r="Z45" s="38"/>
      <c r="AA45" s="38"/>
    </row>
    <row r="46">
      <c r="A46" s="31"/>
      <c r="B46" s="38"/>
      <c r="C46" s="38"/>
      <c r="D46" s="50"/>
      <c r="E46" s="50"/>
      <c r="F46" s="50"/>
      <c r="G46" s="27" t="str">
        <f>VLOOKUP(E46,DropDown!J:K,2,FALSE)</f>
        <v>#N/A</v>
      </c>
      <c r="H46" s="50"/>
      <c r="I46" s="50"/>
      <c r="J46" s="50"/>
      <c r="K46" s="25" t="s">
        <v>116</v>
      </c>
      <c r="L46" s="23"/>
      <c r="M46" s="23"/>
      <c r="N46" s="25" t="str">
        <f>"("""&amp;B46&amp;""") ("&amp;Vlookup(E46,DropDown!J:N,5,FALSE)&amp;" OR """ &amp;YEAR(D46) &amp; """ OR ""All New"" OR Episode OR Watch OR tv OR Show OR Series OR season OR binge OR Stream OR Film OR Movie OR Premiere OR Screening OR Feature OR Trailer OR Teaser OR theater OR release)"</f>
        <v>#N/A</v>
      </c>
      <c r="O46" s="23" t="str">
        <f t="shared" si="1"/>
        <v>#</v>
      </c>
      <c r="P46" s="23" t="str">
        <f t="shared" si="2"/>
        <v>#</v>
      </c>
      <c r="Q46" s="23"/>
      <c r="R46" s="23" t="str">
        <f>"("""&amp;B46&amp;""") ("&amp;Vlookup(E46,DropDown!R:V,5,FALSE)&amp;IF(ISBLANK(D46)," | "," "&amp;"OR """&amp;YEAR(D46)&amp;""" | ") &amp; """All New"" | Episode | Watch | tv | Show | Series | season | binge | Stream | Film | Movie | Premiere | Screening | Feature | Trailer | Teaser | theater | release)"</f>
        <v>#N/A</v>
      </c>
      <c r="S46" s="23"/>
      <c r="T46" s="23"/>
      <c r="U46" s="23"/>
      <c r="V46" s="23"/>
      <c r="W46" s="23"/>
      <c r="X46" s="38"/>
      <c r="Y46" s="38"/>
      <c r="Z46" s="38"/>
      <c r="AA46" s="38"/>
    </row>
    <row r="47">
      <c r="A47" s="31"/>
      <c r="B47" s="38"/>
      <c r="C47" s="38"/>
      <c r="D47" s="50"/>
      <c r="E47" s="50"/>
      <c r="F47" s="50"/>
      <c r="G47" s="27" t="str">
        <f>VLOOKUP(E47,DropDown!J:K,2,FALSE)</f>
        <v>#N/A</v>
      </c>
      <c r="H47" s="50"/>
      <c r="I47" s="50"/>
      <c r="J47" s="50"/>
      <c r="K47" s="25" t="s">
        <v>116</v>
      </c>
      <c r="L47" s="23"/>
      <c r="M47" s="23"/>
      <c r="N47" s="25" t="str">
        <f>"("""&amp;B47&amp;""") ("&amp;Vlookup(E47,DropDown!J:N,5,FALSE)&amp;" OR """ &amp;YEAR(D47) &amp; """ OR ""All New"" OR Episode OR Watch OR tv OR Show OR Series OR season OR binge OR Stream OR Film OR Movie OR Premiere OR Screening OR Feature OR Trailer OR Teaser OR theater OR release)"</f>
        <v>#N/A</v>
      </c>
      <c r="O47" s="23" t="str">
        <f t="shared" si="1"/>
        <v>#</v>
      </c>
      <c r="P47" s="23" t="str">
        <f t="shared" si="2"/>
        <v>#</v>
      </c>
      <c r="Q47" s="23"/>
      <c r="R47" s="23" t="str">
        <f>"("""&amp;B47&amp;""") ("&amp;Vlookup(E47,DropDown!R:V,5,FALSE)&amp;IF(ISBLANK(D47)," | "," "&amp;"OR """&amp;YEAR(D47)&amp;""" | ") &amp; """All New"" | Episode | Watch | tv | Show | Series | season | binge | Stream | Film | Movie | Premiere | Screening | Feature | Trailer | Teaser | theater | release)"</f>
        <v>#N/A</v>
      </c>
      <c r="S47" s="23"/>
      <c r="T47" s="23"/>
      <c r="U47" s="23"/>
      <c r="V47" s="23"/>
      <c r="W47" s="23"/>
      <c r="X47" s="38"/>
      <c r="Y47" s="38"/>
      <c r="Z47" s="38"/>
      <c r="AA47" s="38"/>
    </row>
    <row r="48">
      <c r="A48" s="31"/>
      <c r="B48" s="38"/>
      <c r="C48" s="38"/>
      <c r="D48" s="50"/>
      <c r="E48" s="50"/>
      <c r="F48" s="50"/>
      <c r="G48" s="27" t="str">
        <f>VLOOKUP(E48,DropDown!J:K,2,FALSE)</f>
        <v>#N/A</v>
      </c>
      <c r="H48" s="50"/>
      <c r="I48" s="50"/>
      <c r="J48" s="50"/>
      <c r="K48" s="25" t="s">
        <v>116</v>
      </c>
      <c r="L48" s="23"/>
      <c r="M48" s="23"/>
      <c r="N48" s="25" t="str">
        <f>"("""&amp;B48&amp;""") ("&amp;Vlookup(E48,DropDown!J:N,5,FALSE)&amp;" OR """ &amp;YEAR(D48) &amp; """ OR ""All New"" OR Episode OR Watch OR tv OR Show OR Series OR season OR binge OR Stream OR Film OR Movie OR Premiere OR Screening OR Feature OR Trailer OR Teaser OR theater OR release)"</f>
        <v>#N/A</v>
      </c>
      <c r="O48" s="23" t="str">
        <f t="shared" si="1"/>
        <v>#</v>
      </c>
      <c r="P48" s="23" t="str">
        <f t="shared" si="2"/>
        <v>#</v>
      </c>
      <c r="Q48" s="23"/>
      <c r="R48" s="23" t="str">
        <f>"("""&amp;B48&amp;""") ("&amp;Vlookup(E48,DropDown!R:V,5,FALSE)&amp;IF(ISBLANK(D48)," | "," "&amp;"OR """&amp;YEAR(D48)&amp;""" | ") &amp; """All New"" | Episode | Watch | tv | Show | Series | season | binge | Stream | Film | Movie | Premiere | Screening | Feature | Trailer | Teaser | theater | release)"</f>
        <v>#N/A</v>
      </c>
      <c r="S48" s="23"/>
      <c r="T48" s="23"/>
      <c r="U48" s="23"/>
      <c r="V48" s="23"/>
      <c r="W48" s="23"/>
      <c r="X48" s="38"/>
      <c r="Y48" s="38"/>
      <c r="Z48" s="38"/>
      <c r="AA48" s="38"/>
    </row>
    <row r="49">
      <c r="A49" s="31"/>
      <c r="B49" s="38"/>
      <c r="C49" s="38"/>
      <c r="D49" s="50"/>
      <c r="E49" s="50"/>
      <c r="F49" s="50"/>
      <c r="G49" s="27" t="str">
        <f>VLOOKUP(E49,DropDown!J:K,2,FALSE)</f>
        <v>#N/A</v>
      </c>
      <c r="H49" s="50"/>
      <c r="I49" s="50"/>
      <c r="J49" s="50"/>
      <c r="K49" s="25" t="s">
        <v>116</v>
      </c>
      <c r="L49" s="23"/>
      <c r="M49" s="23"/>
      <c r="N49" s="25" t="str">
        <f>"("""&amp;B49&amp;""") ("&amp;Vlookup(E49,DropDown!J:N,5,FALSE)&amp;" OR """ &amp;YEAR(D49) &amp; """ OR ""All New"" OR Episode OR Watch OR tv OR Show OR Series OR season OR binge OR Stream OR Film OR Movie OR Premiere OR Screening OR Feature OR Trailer OR Teaser OR theater OR release)"</f>
        <v>#N/A</v>
      </c>
      <c r="O49" s="23" t="str">
        <f t="shared" si="1"/>
        <v>#</v>
      </c>
      <c r="P49" s="23" t="str">
        <f t="shared" si="2"/>
        <v>#</v>
      </c>
      <c r="Q49" s="23"/>
      <c r="R49" s="23" t="str">
        <f>"("""&amp;B49&amp;""") ("&amp;Vlookup(E49,DropDown!R:V,5,FALSE)&amp;IF(ISBLANK(D49)," | "," "&amp;"OR """&amp;YEAR(D49)&amp;""" | ") &amp; """All New"" | Episode | Watch | tv | Show | Series | season | binge | Stream | Film | Movie | Premiere | Screening | Feature | Trailer | Teaser | theater | release)"</f>
        <v>#N/A</v>
      </c>
      <c r="S49" s="23"/>
      <c r="T49" s="23"/>
      <c r="U49" s="23"/>
      <c r="V49" s="23"/>
      <c r="W49" s="23"/>
      <c r="X49" s="38"/>
      <c r="Y49" s="38"/>
      <c r="Z49" s="38"/>
      <c r="AA49" s="38"/>
    </row>
    <row r="50">
      <c r="A50" s="31"/>
      <c r="B50" s="38"/>
      <c r="C50" s="38"/>
      <c r="D50" s="50"/>
      <c r="E50" s="50"/>
      <c r="F50" s="50"/>
      <c r="G50" s="27" t="str">
        <f>VLOOKUP(E50,DropDown!J:K,2,FALSE)</f>
        <v>#N/A</v>
      </c>
      <c r="H50" s="50"/>
      <c r="I50" s="50"/>
      <c r="J50" s="50"/>
      <c r="K50" s="25" t="s">
        <v>116</v>
      </c>
      <c r="L50" s="23"/>
      <c r="M50" s="23"/>
      <c r="N50" s="25" t="str">
        <f>"("""&amp;B50&amp;""") ("&amp;Vlookup(E50,DropDown!J:N,5,FALSE)&amp;" OR """ &amp;YEAR(D50) &amp; """ OR ""All New"" OR Episode OR Watch OR tv OR Show OR Series OR season OR binge OR Stream OR Film OR Movie OR Premiere OR Screening OR Feature OR Trailer OR Teaser OR theater OR release)"</f>
        <v>#N/A</v>
      </c>
      <c r="O50" s="23" t="str">
        <f t="shared" si="1"/>
        <v>#</v>
      </c>
      <c r="P50" s="23" t="str">
        <f t="shared" si="2"/>
        <v>#</v>
      </c>
      <c r="Q50" s="23"/>
      <c r="R50" s="23" t="str">
        <f>"("""&amp;B50&amp;""") ("&amp;Vlookup(E50,DropDown!R:V,5,FALSE)&amp;IF(ISBLANK(D50)," | "," "&amp;"OR """&amp;YEAR(D50)&amp;""" | ") &amp; """All New"" | Episode | Watch | tv | Show | Series | season | binge | Stream | Film | Movie | Premiere | Screening | Feature | Trailer | Teaser | theater | release)"</f>
        <v>#N/A</v>
      </c>
      <c r="S50" s="23"/>
      <c r="T50" s="23"/>
      <c r="U50" s="23"/>
      <c r="V50" s="23"/>
      <c r="W50" s="23"/>
      <c r="X50" s="38"/>
      <c r="Y50" s="38"/>
      <c r="Z50" s="38"/>
      <c r="AA50" s="38"/>
    </row>
    <row r="51">
      <c r="A51" s="31"/>
      <c r="B51" s="38"/>
      <c r="C51" s="38"/>
      <c r="D51" s="50"/>
      <c r="E51" s="50"/>
      <c r="F51" s="50"/>
      <c r="G51" s="27" t="str">
        <f>VLOOKUP(E51,DropDown!J:K,2,FALSE)</f>
        <v>#N/A</v>
      </c>
      <c r="H51" s="50"/>
      <c r="I51" s="50"/>
      <c r="J51" s="50"/>
      <c r="K51" s="25" t="s">
        <v>116</v>
      </c>
      <c r="L51" s="23"/>
      <c r="M51" s="23"/>
      <c r="N51" s="25" t="str">
        <f>"("""&amp;B51&amp;""") ("&amp;Vlookup(E51,DropDown!J:N,5,FALSE)&amp;" OR """ &amp;YEAR(D51) &amp; """ OR ""All New"" OR Episode OR Watch OR tv OR Show OR Series OR season OR binge OR Stream OR Film OR Movie OR Premiere OR Screening OR Feature OR Trailer OR Teaser OR theater OR release)"</f>
        <v>#N/A</v>
      </c>
      <c r="O51" s="23" t="str">
        <f t="shared" si="1"/>
        <v>#</v>
      </c>
      <c r="P51" s="23" t="str">
        <f t="shared" si="2"/>
        <v>#</v>
      </c>
      <c r="Q51" s="23"/>
      <c r="R51" s="23" t="str">
        <f>"("""&amp;B51&amp;""") ("&amp;Vlookup(E51,DropDown!R:V,5,FALSE)&amp;IF(ISBLANK(D51)," | "," "&amp;"OR """&amp;YEAR(D51)&amp;""" | ") &amp; """All New"" | Episode | Watch | tv | Show | Series | season | binge | Stream | Film | Movie | Premiere | Screening | Feature | Trailer | Teaser | theater | release)"</f>
        <v>#N/A</v>
      </c>
      <c r="S51" s="23"/>
      <c r="T51" s="23"/>
      <c r="U51" s="23"/>
      <c r="V51" s="23"/>
      <c r="W51" s="23"/>
      <c r="X51" s="38"/>
      <c r="Y51" s="38"/>
      <c r="Z51" s="38"/>
      <c r="AA51" s="38"/>
    </row>
    <row r="52">
      <c r="A52" s="31"/>
      <c r="B52" s="38"/>
      <c r="C52" s="38"/>
      <c r="D52" s="50"/>
      <c r="E52" s="50"/>
      <c r="F52" s="50"/>
      <c r="G52" s="27" t="str">
        <f>VLOOKUP(E52,DropDown!J:K,2,FALSE)</f>
        <v>#N/A</v>
      </c>
      <c r="H52" s="50"/>
      <c r="I52" s="50"/>
      <c r="J52" s="50"/>
      <c r="K52" s="25" t="s">
        <v>116</v>
      </c>
      <c r="L52" s="23"/>
      <c r="M52" s="23"/>
      <c r="N52" s="25" t="str">
        <f>"("""&amp;B52&amp;""") ("&amp;Vlookup(E52,DropDown!J:N,5,FALSE)&amp;" OR """ &amp;YEAR(D52) &amp; """ OR ""All New"" OR Episode OR Watch OR tv OR Show OR Series OR season OR binge OR Stream OR Film OR Movie OR Premiere OR Screening OR Feature OR Trailer OR Teaser OR theater OR release)"</f>
        <v>#N/A</v>
      </c>
      <c r="O52" s="23" t="str">
        <f t="shared" si="1"/>
        <v>#</v>
      </c>
      <c r="P52" s="23" t="str">
        <f t="shared" si="2"/>
        <v>#</v>
      </c>
      <c r="Q52" s="23"/>
      <c r="R52" s="23" t="str">
        <f>"("""&amp;B52&amp;""") ("&amp;Vlookup(E52,DropDown!R:V,5,FALSE)&amp;IF(ISBLANK(D52)," | "," "&amp;"OR """&amp;YEAR(D52)&amp;""" | ") &amp; """All New"" | Episode | Watch | tv | Show | Series | season | binge | Stream | Film | Movie | Premiere | Screening | Feature | Trailer | Teaser | theater | release)"</f>
        <v>#N/A</v>
      </c>
      <c r="S52" s="23"/>
      <c r="T52" s="23"/>
      <c r="U52" s="23"/>
      <c r="V52" s="23"/>
      <c r="W52" s="23"/>
      <c r="X52" s="38"/>
      <c r="Y52" s="38"/>
      <c r="Z52" s="38"/>
      <c r="AA52" s="38"/>
    </row>
    <row r="53">
      <c r="A53" s="31"/>
      <c r="B53" s="38"/>
      <c r="C53" s="38"/>
      <c r="D53" s="50"/>
      <c r="E53" s="50"/>
      <c r="F53" s="50"/>
      <c r="G53" s="27" t="str">
        <f>VLOOKUP(E53,DropDown!J:K,2,FALSE)</f>
        <v>#N/A</v>
      </c>
      <c r="H53" s="50"/>
      <c r="I53" s="50"/>
      <c r="J53" s="50"/>
      <c r="K53" s="25" t="s">
        <v>116</v>
      </c>
      <c r="L53" s="23"/>
      <c r="M53" s="23"/>
      <c r="N53" s="25" t="str">
        <f>"("""&amp;B53&amp;""") ("&amp;Vlookup(E53,DropDown!J:N,5,FALSE)&amp;" OR """ &amp;YEAR(D53) &amp; """ OR ""All New"" OR Episode OR Watch OR tv OR Show OR Series OR season OR binge OR Stream OR Film OR Movie OR Premiere OR Screening OR Feature OR Trailer OR Teaser OR theater OR release)"</f>
        <v>#N/A</v>
      </c>
      <c r="O53" s="23" t="str">
        <f t="shared" si="1"/>
        <v>#</v>
      </c>
      <c r="P53" s="23" t="str">
        <f t="shared" si="2"/>
        <v>#</v>
      </c>
      <c r="Q53" s="23"/>
      <c r="R53" s="23" t="str">
        <f>"("""&amp;B53&amp;""") ("&amp;Vlookup(E53,DropDown!R:V,5,FALSE)&amp;IF(ISBLANK(D53)," | "," "&amp;"OR """&amp;YEAR(D53)&amp;""" | ") &amp; """All New"" | Episode | Watch | tv | Show | Series | season | binge | Stream | Film | Movie | Premiere | Screening | Feature | Trailer | Teaser | theater | release)"</f>
        <v>#N/A</v>
      </c>
      <c r="S53" s="23"/>
      <c r="T53" s="23"/>
      <c r="U53" s="23"/>
      <c r="V53" s="23"/>
      <c r="W53" s="23"/>
      <c r="X53" s="38"/>
      <c r="Y53" s="38"/>
      <c r="Z53" s="38"/>
      <c r="AA53" s="38"/>
    </row>
    <row r="54">
      <c r="A54" s="31"/>
      <c r="B54" s="38"/>
      <c r="C54" s="38"/>
      <c r="D54" s="50"/>
      <c r="E54" s="50"/>
      <c r="F54" s="50"/>
      <c r="G54" s="27" t="str">
        <f>VLOOKUP(E54,DropDown!J:K,2,FALSE)</f>
        <v>#N/A</v>
      </c>
      <c r="H54" s="50"/>
      <c r="I54" s="50"/>
      <c r="J54" s="50"/>
      <c r="K54" s="25" t="s">
        <v>116</v>
      </c>
      <c r="L54" s="23"/>
      <c r="M54" s="23"/>
      <c r="N54" s="25" t="str">
        <f>"("""&amp;B54&amp;""") ("&amp;Vlookup(E54,DropDown!J:N,5,FALSE)&amp;" OR """ &amp;YEAR(D54) &amp; """ OR ""All New"" OR Episode OR Watch OR tv OR Show OR Series OR season OR binge OR Stream OR Film OR Movie OR Premiere OR Screening OR Feature OR Trailer OR Teaser OR theater OR release)"</f>
        <v>#N/A</v>
      </c>
      <c r="O54" s="23" t="str">
        <f t="shared" si="1"/>
        <v>#</v>
      </c>
      <c r="P54" s="23" t="str">
        <f t="shared" si="2"/>
        <v>#</v>
      </c>
      <c r="Q54" s="23"/>
      <c r="R54" s="23" t="str">
        <f>"("""&amp;B54&amp;""") ("&amp;Vlookup(E54,DropDown!R:V,5,FALSE)&amp;IF(ISBLANK(D54)," | "," "&amp;"OR """&amp;YEAR(D54)&amp;""" | ") &amp; """All New"" | Episode | Watch | tv | Show | Series | season | binge | Stream | Film | Movie | Premiere | Screening | Feature | Trailer | Teaser | theater | release)"</f>
        <v>#N/A</v>
      </c>
      <c r="S54" s="23"/>
      <c r="T54" s="23"/>
      <c r="U54" s="23"/>
      <c r="V54" s="23"/>
      <c r="W54" s="23"/>
      <c r="X54" s="38"/>
      <c r="Y54" s="38"/>
      <c r="Z54" s="38"/>
      <c r="AA54" s="38"/>
    </row>
    <row r="55">
      <c r="A55" s="31"/>
      <c r="B55" s="38"/>
      <c r="C55" s="38"/>
      <c r="D55" s="50"/>
      <c r="E55" s="50"/>
      <c r="F55" s="50"/>
      <c r="G55" s="27" t="str">
        <f>VLOOKUP(E55,DropDown!J:K,2,FALSE)</f>
        <v>#N/A</v>
      </c>
      <c r="H55" s="50"/>
      <c r="I55" s="50"/>
      <c r="J55" s="50"/>
      <c r="K55" s="25" t="s">
        <v>116</v>
      </c>
      <c r="L55" s="23"/>
      <c r="M55" s="23"/>
      <c r="N55" s="25" t="str">
        <f>"("""&amp;B55&amp;""") ("&amp;Vlookup(E55,DropDown!J:N,5,FALSE)&amp;" OR """ &amp;YEAR(D55) &amp; """ OR ""All New"" OR Episode OR Watch OR tv OR Show OR Series OR season OR binge OR Stream OR Film OR Movie OR Premiere OR Screening OR Feature OR Trailer OR Teaser OR theater OR release)"</f>
        <v>#N/A</v>
      </c>
      <c r="O55" s="23" t="str">
        <f t="shared" si="1"/>
        <v>#</v>
      </c>
      <c r="P55" s="23" t="str">
        <f t="shared" si="2"/>
        <v>#</v>
      </c>
      <c r="Q55" s="23"/>
      <c r="R55" s="23" t="str">
        <f>"("""&amp;B55&amp;""") ("&amp;Vlookup(E55,DropDown!R:V,5,FALSE)&amp;IF(ISBLANK(D55)," | "," "&amp;"OR """&amp;YEAR(D55)&amp;""" | ") &amp; """All New"" | Episode | Watch | tv | Show | Series | season | binge | Stream | Film | Movie | Premiere | Screening | Feature | Trailer | Teaser | theater | release)"</f>
        <v>#N/A</v>
      </c>
      <c r="S55" s="23"/>
      <c r="T55" s="23"/>
      <c r="U55" s="23"/>
      <c r="V55" s="23"/>
      <c r="W55" s="23"/>
      <c r="X55" s="38"/>
      <c r="Y55" s="38"/>
      <c r="Z55" s="38"/>
      <c r="AA55" s="38"/>
    </row>
    <row r="56">
      <c r="A56" s="31"/>
      <c r="B56" s="38"/>
      <c r="C56" s="38"/>
      <c r="D56" s="50"/>
      <c r="E56" s="50"/>
      <c r="F56" s="50"/>
      <c r="G56" s="27" t="str">
        <f>VLOOKUP(E56,DropDown!J:K,2,FALSE)</f>
        <v>#N/A</v>
      </c>
      <c r="H56" s="50"/>
      <c r="I56" s="50"/>
      <c r="J56" s="50"/>
      <c r="K56" s="25" t="s">
        <v>116</v>
      </c>
      <c r="L56" s="23"/>
      <c r="M56" s="23"/>
      <c r="N56" s="25" t="str">
        <f>"("""&amp;B56&amp;""") ("&amp;Vlookup(E56,DropDown!J:N,5,FALSE)&amp;" OR """ &amp;YEAR(D56) &amp; """ OR ""All New"" OR Episode OR Watch OR tv OR Show OR Series OR season OR binge OR Stream OR Film OR Movie OR Premiere OR Screening OR Feature OR Trailer OR Teaser OR theater OR release)"</f>
        <v>#N/A</v>
      </c>
      <c r="O56" s="23" t="str">
        <f t="shared" si="1"/>
        <v>#</v>
      </c>
      <c r="P56" s="23" t="str">
        <f t="shared" si="2"/>
        <v>#</v>
      </c>
      <c r="Q56" s="23"/>
      <c r="R56" s="23" t="str">
        <f>"("""&amp;B56&amp;""") ("&amp;Vlookup(E56,DropDown!R:V,5,FALSE)&amp;IF(ISBLANK(D56)," | "," "&amp;"OR """&amp;YEAR(D56)&amp;""" | ") &amp; """All New"" | Episode | Watch | tv | Show | Series | season | binge | Stream | Film | Movie | Premiere | Screening | Feature | Trailer | Teaser | theater | release)"</f>
        <v>#N/A</v>
      </c>
      <c r="S56" s="23"/>
      <c r="T56" s="23"/>
      <c r="U56" s="23"/>
      <c r="V56" s="23"/>
      <c r="W56" s="23"/>
      <c r="X56" s="38"/>
      <c r="Y56" s="38"/>
      <c r="Z56" s="38"/>
      <c r="AA56" s="38"/>
    </row>
    <row r="57">
      <c r="A57" s="31"/>
      <c r="B57" s="38"/>
      <c r="C57" s="38"/>
      <c r="D57" s="50"/>
      <c r="E57" s="50"/>
      <c r="F57" s="50"/>
      <c r="G57" s="27" t="str">
        <f>VLOOKUP(E57,DropDown!J:K,2,FALSE)</f>
        <v>#N/A</v>
      </c>
      <c r="H57" s="50"/>
      <c r="I57" s="50"/>
      <c r="J57" s="50"/>
      <c r="K57" s="25" t="s">
        <v>116</v>
      </c>
      <c r="L57" s="23"/>
      <c r="M57" s="23"/>
      <c r="N57" s="25" t="str">
        <f>"("""&amp;B57&amp;""") ("&amp;Vlookup(E57,DropDown!J:N,5,FALSE)&amp;" OR """ &amp;YEAR(D57) &amp; """ OR ""All New"" OR Episode OR Watch OR tv OR Show OR Series OR season OR binge OR Stream OR Film OR Movie OR Premiere OR Screening OR Feature OR Trailer OR Teaser OR theater OR release)"</f>
        <v>#N/A</v>
      </c>
      <c r="O57" s="23" t="str">
        <f t="shared" si="1"/>
        <v>#</v>
      </c>
      <c r="P57" s="23" t="str">
        <f t="shared" si="2"/>
        <v>#</v>
      </c>
      <c r="Q57" s="23"/>
      <c r="R57" s="23" t="str">
        <f>"("""&amp;B57&amp;""") ("&amp;Vlookup(E57,DropDown!R:V,5,FALSE)&amp;IF(ISBLANK(D57)," | "," "&amp;"OR """&amp;YEAR(D57)&amp;""" | ") &amp; """All New"" | Episode | Watch | tv | Show | Series | season | binge | Stream | Film | Movie | Premiere | Screening | Feature | Trailer | Teaser | theater | release)"</f>
        <v>#N/A</v>
      </c>
      <c r="S57" s="23"/>
      <c r="T57" s="23"/>
      <c r="U57" s="23"/>
      <c r="V57" s="23"/>
      <c r="W57" s="23"/>
      <c r="X57" s="38"/>
      <c r="Y57" s="38"/>
      <c r="Z57" s="38"/>
      <c r="AA57" s="38"/>
    </row>
    <row r="58">
      <c r="A58" s="31"/>
      <c r="B58" s="38"/>
      <c r="C58" s="38"/>
      <c r="D58" s="50"/>
      <c r="E58" s="50"/>
      <c r="F58" s="50"/>
      <c r="G58" s="27" t="str">
        <f>VLOOKUP(E58,DropDown!J:K,2,FALSE)</f>
        <v>#N/A</v>
      </c>
      <c r="H58" s="50"/>
      <c r="I58" s="50"/>
      <c r="J58" s="50"/>
      <c r="K58" s="25" t="s">
        <v>116</v>
      </c>
      <c r="L58" s="23"/>
      <c r="M58" s="23"/>
      <c r="N58" s="25" t="str">
        <f>"("""&amp;B58&amp;""") ("&amp;Vlookup(E58,DropDown!J:N,5,FALSE)&amp;" OR """ &amp;YEAR(D58) &amp; """ OR ""All New"" OR Episode OR Watch OR tv OR Show OR Series OR season OR binge OR Stream OR Film OR Movie OR Premiere OR Screening OR Feature OR Trailer OR Teaser OR theater OR release)"</f>
        <v>#N/A</v>
      </c>
      <c r="O58" s="23" t="str">
        <f t="shared" si="1"/>
        <v>#</v>
      </c>
      <c r="P58" s="23" t="str">
        <f t="shared" si="2"/>
        <v>#</v>
      </c>
      <c r="Q58" s="23"/>
      <c r="R58" s="23" t="str">
        <f>"("""&amp;B58&amp;""") ("&amp;Vlookup(E58,DropDown!R:V,5,FALSE)&amp;IF(ISBLANK(D58)," | "," "&amp;"OR """&amp;YEAR(D58)&amp;""" | ") &amp; """All New"" | Episode | Watch | tv | Show | Series | season | binge | Stream | Film | Movie | Premiere | Screening | Feature | Trailer | Teaser | theater | release)"</f>
        <v>#N/A</v>
      </c>
      <c r="S58" s="23"/>
      <c r="T58" s="23"/>
      <c r="U58" s="23"/>
      <c r="V58" s="23"/>
      <c r="W58" s="23"/>
      <c r="X58" s="38"/>
      <c r="Y58" s="38"/>
      <c r="Z58" s="38"/>
      <c r="AA58" s="38"/>
    </row>
    <row r="59">
      <c r="A59" s="31"/>
      <c r="B59" s="38"/>
      <c r="C59" s="38"/>
      <c r="D59" s="50"/>
      <c r="E59" s="50"/>
      <c r="F59" s="50"/>
      <c r="G59" s="27" t="str">
        <f>VLOOKUP(E59,DropDown!J:K,2,FALSE)</f>
        <v>#N/A</v>
      </c>
      <c r="H59" s="50"/>
      <c r="I59" s="50"/>
      <c r="J59" s="50"/>
      <c r="K59" s="25" t="s">
        <v>116</v>
      </c>
      <c r="L59" s="23"/>
      <c r="M59" s="23"/>
      <c r="N59" s="25" t="str">
        <f>"("""&amp;B59&amp;""") ("&amp;Vlookup(E59,DropDown!J:N,5,FALSE)&amp;" OR """ &amp;YEAR(D59) &amp; """ OR ""All New"" OR Episode OR Watch OR tv OR Show OR Series OR season OR binge OR Stream OR Film OR Movie OR Premiere OR Screening OR Feature OR Trailer OR Teaser OR theater OR release)"</f>
        <v>#N/A</v>
      </c>
      <c r="O59" s="23" t="str">
        <f t="shared" si="1"/>
        <v>#</v>
      </c>
      <c r="P59" s="23" t="str">
        <f t="shared" si="2"/>
        <v>#</v>
      </c>
      <c r="Q59" s="23"/>
      <c r="R59" s="23" t="str">
        <f>"("""&amp;B59&amp;""") ("&amp;Vlookup(E59,DropDown!R:V,5,FALSE)&amp;IF(ISBLANK(D59)," | "," "&amp;"OR """&amp;YEAR(D59)&amp;""" | ") &amp; """All New"" | Episode | Watch | tv | Show | Series | season | binge | Stream | Film | Movie | Premiere | Screening | Feature | Trailer | Teaser | theater | release)"</f>
        <v>#N/A</v>
      </c>
      <c r="S59" s="23"/>
      <c r="T59" s="23"/>
      <c r="U59" s="23"/>
      <c r="V59" s="23"/>
      <c r="W59" s="23"/>
      <c r="X59" s="38"/>
      <c r="Y59" s="38"/>
      <c r="Z59" s="38"/>
      <c r="AA59" s="38"/>
    </row>
    <row r="60">
      <c r="A60" s="31"/>
      <c r="B60" s="38"/>
      <c r="C60" s="38"/>
      <c r="D60" s="50"/>
      <c r="E60" s="50"/>
      <c r="F60" s="50"/>
      <c r="G60" s="27" t="str">
        <f>VLOOKUP(E60,DropDown!J:K,2,FALSE)</f>
        <v>#N/A</v>
      </c>
      <c r="H60" s="50"/>
      <c r="I60" s="50"/>
      <c r="J60" s="50"/>
      <c r="K60" s="25" t="s">
        <v>116</v>
      </c>
      <c r="L60" s="23"/>
      <c r="M60" s="23"/>
      <c r="N60" s="25" t="str">
        <f>"("""&amp;B60&amp;""") ("&amp;Vlookup(E60,DropDown!J:N,5,FALSE)&amp;" OR """ &amp;YEAR(D60) &amp; """ OR ""All New"" OR Episode OR Watch OR tv OR Show OR Series OR season OR binge OR Stream OR Film OR Movie OR Premiere OR Screening OR Feature OR Trailer OR Teaser OR theater OR release)"</f>
        <v>#N/A</v>
      </c>
      <c r="O60" s="23" t="str">
        <f t="shared" si="1"/>
        <v>#</v>
      </c>
      <c r="P60" s="23" t="str">
        <f t="shared" si="2"/>
        <v>#</v>
      </c>
      <c r="Q60" s="23"/>
      <c r="R60" s="23" t="str">
        <f>"("""&amp;B60&amp;""") ("&amp;Vlookup(E60,DropDown!R:V,5,FALSE)&amp;IF(ISBLANK(D60)," | "," "&amp;"OR """&amp;YEAR(D60)&amp;""" | ") &amp; """All New"" | Episode | Watch | tv | Show | Series | season | binge | Stream | Film | Movie | Premiere | Screening | Feature | Trailer | Teaser | theater | release)"</f>
        <v>#N/A</v>
      </c>
      <c r="S60" s="23"/>
      <c r="T60" s="23"/>
      <c r="U60" s="23"/>
      <c r="V60" s="23"/>
      <c r="W60" s="23"/>
      <c r="X60" s="38"/>
      <c r="Y60" s="38"/>
      <c r="Z60" s="38"/>
      <c r="AA60" s="38"/>
    </row>
    <row r="61">
      <c r="A61" s="31"/>
      <c r="B61" s="38"/>
      <c r="C61" s="38"/>
      <c r="D61" s="50"/>
      <c r="E61" s="50"/>
      <c r="F61" s="50"/>
      <c r="G61" s="27" t="str">
        <f>VLOOKUP(E61,DropDown!J:K,2,FALSE)</f>
        <v>#N/A</v>
      </c>
      <c r="H61" s="50"/>
      <c r="I61" s="50"/>
      <c r="J61" s="50"/>
      <c r="K61" s="25" t="s">
        <v>116</v>
      </c>
      <c r="L61" s="23"/>
      <c r="M61" s="23"/>
      <c r="N61" s="25" t="str">
        <f>"("""&amp;B61&amp;""") ("&amp;Vlookup(E61,DropDown!J:N,5,FALSE)&amp;" OR """ &amp;YEAR(D61) &amp; """ OR ""All New"" OR Episode OR Watch OR tv OR Show OR Series OR season OR binge OR Stream OR Film OR Movie OR Premiere OR Screening OR Feature OR Trailer OR Teaser OR theater OR release)"</f>
        <v>#N/A</v>
      </c>
      <c r="O61" s="23" t="str">
        <f t="shared" si="1"/>
        <v>#</v>
      </c>
      <c r="P61" s="23" t="str">
        <f t="shared" si="2"/>
        <v>#</v>
      </c>
      <c r="Q61" s="23"/>
      <c r="R61" s="23" t="str">
        <f>"("""&amp;B61&amp;""") ("&amp;Vlookup(E61,DropDown!R:V,5,FALSE)&amp;IF(ISBLANK(D61)," | "," "&amp;"OR """&amp;YEAR(D61)&amp;""" | ") &amp; """All New"" | Episode | Watch | tv | Show | Series | season | binge | Stream | Film | Movie | Premiere | Screening | Feature | Trailer | Teaser | theater | release)"</f>
        <v>#N/A</v>
      </c>
      <c r="S61" s="23"/>
      <c r="T61" s="23"/>
      <c r="U61" s="23"/>
      <c r="V61" s="23"/>
      <c r="W61" s="23"/>
      <c r="X61" s="38"/>
      <c r="Y61" s="38"/>
      <c r="Z61" s="38"/>
      <c r="AA61" s="38"/>
    </row>
    <row r="62">
      <c r="A62" s="31"/>
      <c r="B62" s="38"/>
      <c r="C62" s="38"/>
      <c r="D62" s="50"/>
      <c r="E62" s="50"/>
      <c r="F62" s="50"/>
      <c r="G62" s="27" t="str">
        <f>VLOOKUP(E62,DropDown!J:K,2,FALSE)</f>
        <v>#N/A</v>
      </c>
      <c r="H62" s="50"/>
      <c r="I62" s="50"/>
      <c r="J62" s="50"/>
      <c r="K62" s="25" t="s">
        <v>116</v>
      </c>
      <c r="L62" s="23"/>
      <c r="M62" s="23"/>
      <c r="N62" s="25" t="str">
        <f>"("""&amp;B62&amp;""") ("&amp;Vlookup(E62,DropDown!J:N,5,FALSE)&amp;" OR """ &amp;YEAR(D62) &amp; """ OR ""All New"" OR Episode OR Watch OR tv OR Show OR Series OR season OR binge OR Stream OR Film OR Movie OR Premiere OR Screening OR Feature OR Trailer OR Teaser OR theater OR release)"</f>
        <v>#N/A</v>
      </c>
      <c r="O62" s="23" t="str">
        <f t="shared" si="1"/>
        <v>#</v>
      </c>
      <c r="P62" s="23" t="str">
        <f t="shared" si="2"/>
        <v>#</v>
      </c>
      <c r="Q62" s="23"/>
      <c r="R62" s="23" t="str">
        <f>"("""&amp;B62&amp;""") ("&amp;Vlookup(E62,DropDown!R:V,5,FALSE)&amp;IF(ISBLANK(D62)," | "," "&amp;"OR """&amp;YEAR(D62)&amp;""" | ") &amp; """All New"" | Episode | Watch | tv | Show | Series | season | binge | Stream | Film | Movie | Premiere | Screening | Feature | Trailer | Teaser | theater | release)"</f>
        <v>#N/A</v>
      </c>
      <c r="S62" s="23"/>
      <c r="T62" s="23"/>
      <c r="U62" s="23"/>
      <c r="V62" s="23"/>
      <c r="W62" s="23"/>
      <c r="X62" s="38"/>
      <c r="Y62" s="38"/>
      <c r="Z62" s="38"/>
      <c r="AA62" s="38"/>
    </row>
    <row r="63">
      <c r="A63" s="31"/>
      <c r="B63" s="38"/>
      <c r="C63" s="38"/>
      <c r="D63" s="50"/>
      <c r="E63" s="50"/>
      <c r="F63" s="50"/>
      <c r="G63" s="27" t="str">
        <f>VLOOKUP(E63,DropDown!J:K,2,FALSE)</f>
        <v>#N/A</v>
      </c>
      <c r="H63" s="50"/>
      <c r="I63" s="50"/>
      <c r="J63" s="50"/>
      <c r="K63" s="25" t="s">
        <v>116</v>
      </c>
      <c r="L63" s="23"/>
      <c r="M63" s="23"/>
      <c r="N63" s="25" t="str">
        <f>"("""&amp;B63&amp;""") ("&amp;Vlookup(E63,DropDown!J:N,5,FALSE)&amp;" OR """ &amp;YEAR(D63) &amp; """ OR ""All New"" OR Episode OR Watch OR tv OR Show OR Series OR season OR binge OR Stream OR Film OR Movie OR Premiere OR Screening OR Feature OR Trailer OR Teaser OR theater OR release)"</f>
        <v>#N/A</v>
      </c>
      <c r="O63" s="23" t="str">
        <f t="shared" si="1"/>
        <v>#</v>
      </c>
      <c r="P63" s="23" t="str">
        <f t="shared" si="2"/>
        <v>#</v>
      </c>
      <c r="Q63" s="23"/>
      <c r="R63" s="23" t="str">
        <f>"("""&amp;B63&amp;""") ("&amp;Vlookup(E63,DropDown!R:V,5,FALSE)&amp;IF(ISBLANK(D63)," | "," "&amp;"OR """&amp;YEAR(D63)&amp;""" | ") &amp; """All New"" | Episode | Watch | tv | Show | Series | season | binge | Stream | Film | Movie | Premiere | Screening | Feature | Trailer | Teaser | theater | release)"</f>
        <v>#N/A</v>
      </c>
      <c r="S63" s="23"/>
      <c r="T63" s="23"/>
      <c r="U63" s="23"/>
      <c r="V63" s="23"/>
      <c r="W63" s="23"/>
      <c r="X63" s="38"/>
      <c r="Y63" s="38"/>
      <c r="Z63" s="38"/>
      <c r="AA63" s="38"/>
    </row>
    <row r="64">
      <c r="A64" s="31"/>
      <c r="B64" s="38"/>
      <c r="C64" s="38"/>
      <c r="D64" s="50"/>
      <c r="E64" s="50"/>
      <c r="F64" s="50"/>
      <c r="G64" s="27" t="str">
        <f>VLOOKUP(E64,DropDown!J:K,2,FALSE)</f>
        <v>#N/A</v>
      </c>
      <c r="H64" s="50"/>
      <c r="I64" s="50"/>
      <c r="J64" s="50"/>
      <c r="K64" s="25" t="s">
        <v>116</v>
      </c>
      <c r="L64" s="23"/>
      <c r="M64" s="23"/>
      <c r="N64" s="25" t="str">
        <f>"("""&amp;B64&amp;""") ("&amp;Vlookup(E64,DropDown!J:N,5,FALSE)&amp;" OR """ &amp;YEAR(D64) &amp; """ OR ""All New"" OR Episode OR Watch OR tv OR Show OR Series OR season OR binge OR Stream OR Film OR Movie OR Premiere OR Screening OR Feature OR Trailer OR Teaser OR theater OR release)"</f>
        <v>#N/A</v>
      </c>
      <c r="O64" s="23" t="str">
        <f t="shared" si="1"/>
        <v>#</v>
      </c>
      <c r="P64" s="23" t="str">
        <f t="shared" si="2"/>
        <v>#</v>
      </c>
      <c r="Q64" s="23"/>
      <c r="R64" s="23" t="str">
        <f>"("""&amp;B64&amp;""") ("&amp;Vlookup(E64,DropDown!R:V,5,FALSE)&amp;IF(ISBLANK(D64)," | "," "&amp;"OR """&amp;YEAR(D64)&amp;""" | ") &amp; """All New"" | Episode | Watch | tv | Show | Series | season | binge | Stream | Film | Movie | Premiere | Screening | Feature | Trailer | Teaser | theater | release)"</f>
        <v>#N/A</v>
      </c>
      <c r="S64" s="23"/>
      <c r="T64" s="23"/>
      <c r="U64" s="23"/>
      <c r="V64" s="23"/>
      <c r="W64" s="23"/>
      <c r="X64" s="38"/>
      <c r="Y64" s="38"/>
      <c r="Z64" s="38"/>
      <c r="AA64" s="38"/>
    </row>
    <row r="65">
      <c r="A65" s="31"/>
      <c r="B65" s="38"/>
      <c r="C65" s="38"/>
      <c r="D65" s="50"/>
      <c r="E65" s="50"/>
      <c r="F65" s="50"/>
      <c r="G65" s="27" t="str">
        <f>VLOOKUP(E65,DropDown!J:K,2,FALSE)</f>
        <v>#N/A</v>
      </c>
      <c r="H65" s="50"/>
      <c r="I65" s="50"/>
      <c r="J65" s="50"/>
      <c r="K65" s="25" t="s">
        <v>116</v>
      </c>
      <c r="L65" s="23"/>
      <c r="M65" s="23"/>
      <c r="N65" s="25" t="str">
        <f>"("""&amp;B65&amp;""") ("&amp;Vlookup(E65,DropDown!J:N,5,FALSE)&amp;" OR """ &amp;YEAR(D65) &amp; """ OR ""All New"" OR Episode OR Watch OR tv OR Show OR Series OR season OR binge OR Stream OR Film OR Movie OR Premiere OR Screening OR Feature OR Trailer OR Teaser OR theater OR release)"</f>
        <v>#N/A</v>
      </c>
      <c r="O65" s="23" t="str">
        <f t="shared" si="1"/>
        <v>#</v>
      </c>
      <c r="P65" s="23" t="str">
        <f t="shared" si="2"/>
        <v>#</v>
      </c>
      <c r="Q65" s="23"/>
      <c r="R65" s="23" t="str">
        <f>"("""&amp;B65&amp;""") ("&amp;Vlookup(E65,DropDown!R:V,5,FALSE)&amp;IF(ISBLANK(D65)," | "," "&amp;"OR """&amp;YEAR(D65)&amp;""" | ") &amp; """All New"" | Episode | Watch | tv | Show | Series | season | binge | Stream | Film | Movie | Premiere | Screening | Feature | Trailer | Teaser | theater | release)"</f>
        <v>#N/A</v>
      </c>
      <c r="S65" s="23"/>
      <c r="T65" s="23"/>
      <c r="U65" s="23"/>
      <c r="V65" s="23"/>
      <c r="W65" s="23"/>
      <c r="X65" s="38"/>
      <c r="Y65" s="38"/>
      <c r="Z65" s="38"/>
      <c r="AA65" s="38"/>
    </row>
    <row r="66">
      <c r="A66" s="31"/>
      <c r="B66" s="38"/>
      <c r="C66" s="38"/>
      <c r="D66" s="50"/>
      <c r="E66" s="50"/>
      <c r="F66" s="50"/>
      <c r="G66" s="27" t="str">
        <f>VLOOKUP(E66,DropDown!J:K,2,FALSE)</f>
        <v>#N/A</v>
      </c>
      <c r="H66" s="50"/>
      <c r="I66" s="50"/>
      <c r="J66" s="50"/>
      <c r="K66" s="25" t="s">
        <v>116</v>
      </c>
      <c r="L66" s="23"/>
      <c r="M66" s="23"/>
      <c r="N66" s="25" t="str">
        <f>"("""&amp;B66&amp;""") ("&amp;Vlookup(E66,DropDown!J:N,5,FALSE)&amp;" OR """ &amp;YEAR(D66) &amp; """ OR ""All New"" OR Episode OR Watch OR tv OR Show OR Series OR season OR binge OR Stream OR Film OR Movie OR Premiere OR Screening OR Feature OR Trailer OR Teaser OR theater OR release)"</f>
        <v>#N/A</v>
      </c>
      <c r="O66" s="23" t="str">
        <f t="shared" si="1"/>
        <v>#</v>
      </c>
      <c r="P66" s="23" t="str">
        <f t="shared" si="2"/>
        <v>#</v>
      </c>
      <c r="Q66" s="23"/>
      <c r="R66" s="23" t="str">
        <f>"("""&amp;B66&amp;""") ("&amp;Vlookup(E66,DropDown!R:V,5,FALSE)&amp;IF(ISBLANK(D66)," | "," "&amp;"OR """&amp;YEAR(D66)&amp;""" | ") &amp; """All New"" | Episode | Watch | tv | Show | Series | season | binge | Stream | Film | Movie | Premiere | Screening | Feature | Trailer | Teaser | theater | release)"</f>
        <v>#N/A</v>
      </c>
      <c r="S66" s="23"/>
      <c r="T66" s="23"/>
      <c r="U66" s="23"/>
      <c r="V66" s="23"/>
      <c r="W66" s="23"/>
      <c r="X66" s="38"/>
      <c r="Y66" s="38"/>
      <c r="Z66" s="38"/>
      <c r="AA66" s="38"/>
    </row>
    <row r="67">
      <c r="A67" s="31"/>
      <c r="B67" s="38"/>
      <c r="C67" s="38"/>
      <c r="D67" s="50"/>
      <c r="E67" s="50"/>
      <c r="F67" s="50"/>
      <c r="G67" s="27" t="str">
        <f>VLOOKUP(E67,DropDown!J:K,2,FALSE)</f>
        <v>#N/A</v>
      </c>
      <c r="H67" s="50"/>
      <c r="I67" s="50"/>
      <c r="J67" s="50"/>
      <c r="K67" s="25" t="s">
        <v>116</v>
      </c>
      <c r="L67" s="23"/>
      <c r="M67" s="23"/>
      <c r="N67" s="25" t="str">
        <f>"("""&amp;B67&amp;""") ("&amp;Vlookup(E67,DropDown!J:N,5,FALSE)&amp;" OR """ &amp;YEAR(D67) &amp; """ OR ""All New"" OR Episode OR Watch OR tv OR Show OR Series OR season OR binge OR Stream OR Film OR Movie OR Premiere OR Screening OR Feature OR Trailer OR Teaser OR theater OR release)"</f>
        <v>#N/A</v>
      </c>
      <c r="O67" s="23" t="str">
        <f t="shared" si="1"/>
        <v>#</v>
      </c>
      <c r="P67" s="23" t="str">
        <f t="shared" si="2"/>
        <v>#</v>
      </c>
      <c r="Q67" s="23"/>
      <c r="R67" s="23" t="str">
        <f>"("""&amp;B67&amp;""") ("&amp;Vlookup(E67,DropDown!R:V,5,FALSE)&amp;IF(ISBLANK(D67)," | "," "&amp;"OR """&amp;YEAR(D67)&amp;""" | ") &amp; """All New"" | Episode | Watch | tv | Show | Series | season | binge | Stream | Film | Movie | Premiere | Screening | Feature | Trailer | Teaser | theater | release)"</f>
        <v>#N/A</v>
      </c>
      <c r="S67" s="23"/>
      <c r="T67" s="23"/>
      <c r="U67" s="23"/>
      <c r="V67" s="23"/>
      <c r="W67" s="23"/>
      <c r="X67" s="38"/>
      <c r="Y67" s="38"/>
      <c r="Z67" s="38"/>
      <c r="AA67" s="38"/>
    </row>
    <row r="68">
      <c r="A68" s="31"/>
      <c r="B68" s="38"/>
      <c r="C68" s="38"/>
      <c r="D68" s="50"/>
      <c r="E68" s="50"/>
      <c r="F68" s="50"/>
      <c r="G68" s="27" t="str">
        <f>VLOOKUP(E68,DropDown!J:K,2,FALSE)</f>
        <v>#N/A</v>
      </c>
      <c r="H68" s="50"/>
      <c r="I68" s="50"/>
      <c r="J68" s="50"/>
      <c r="K68" s="25" t="s">
        <v>116</v>
      </c>
      <c r="L68" s="23"/>
      <c r="M68" s="23"/>
      <c r="N68" s="25" t="str">
        <f>"("""&amp;B68&amp;""") ("&amp;Vlookup(E68,DropDown!J:N,5,FALSE)&amp;" OR """ &amp;YEAR(D68) &amp; """ OR ""All New"" OR Episode OR Watch OR tv OR Show OR Series OR season OR binge OR Stream OR Film OR Movie OR Premiere OR Screening OR Feature OR Trailer OR Teaser OR theater OR release)"</f>
        <v>#N/A</v>
      </c>
      <c r="O68" s="23" t="str">
        <f t="shared" si="1"/>
        <v>#</v>
      </c>
      <c r="P68" s="23" t="str">
        <f t="shared" si="2"/>
        <v>#</v>
      </c>
      <c r="Q68" s="23"/>
      <c r="R68" s="23" t="str">
        <f>"("""&amp;B68&amp;""") ("&amp;Vlookup(E68,DropDown!R:V,5,FALSE)&amp;IF(ISBLANK(D68)," | "," "&amp;"OR """&amp;YEAR(D68)&amp;""" | ") &amp; """All New"" | Episode | Watch | tv | Show | Series | season | binge | Stream | Film | Movie | Premiere | Screening | Feature | Trailer | Teaser | theater | release)"</f>
        <v>#N/A</v>
      </c>
      <c r="S68" s="23"/>
      <c r="T68" s="23"/>
      <c r="U68" s="23"/>
      <c r="V68" s="23"/>
      <c r="W68" s="23"/>
      <c r="X68" s="38"/>
      <c r="Y68" s="38"/>
      <c r="Z68" s="38"/>
      <c r="AA68" s="38"/>
    </row>
    <row r="69">
      <c r="A69" s="31"/>
      <c r="B69" s="38"/>
      <c r="C69" s="38"/>
      <c r="D69" s="50"/>
      <c r="E69" s="50"/>
      <c r="F69" s="50"/>
      <c r="G69" s="27" t="str">
        <f>VLOOKUP(E69,DropDown!J:K,2,FALSE)</f>
        <v>#N/A</v>
      </c>
      <c r="H69" s="50"/>
      <c r="I69" s="50"/>
      <c r="J69" s="50"/>
      <c r="K69" s="25" t="s">
        <v>116</v>
      </c>
      <c r="L69" s="23"/>
      <c r="M69" s="23"/>
      <c r="N69" s="25" t="str">
        <f>"("""&amp;B69&amp;""") ("&amp;Vlookup(E69,DropDown!J:N,5,FALSE)&amp;" OR """ &amp;YEAR(D69) &amp; """ OR ""All New"" OR Episode OR Watch OR tv OR Show OR Series OR season OR binge OR Stream OR Film OR Movie OR Premiere OR Screening OR Feature OR Trailer OR Teaser OR theater OR release)"</f>
        <v>#N/A</v>
      </c>
      <c r="O69" s="23" t="str">
        <f t="shared" si="1"/>
        <v>#</v>
      </c>
      <c r="P69" s="23" t="str">
        <f t="shared" si="2"/>
        <v>#</v>
      </c>
      <c r="Q69" s="23"/>
      <c r="R69" s="23" t="str">
        <f>"("""&amp;B69&amp;""") ("&amp;Vlookup(E69,DropDown!R:V,5,FALSE)&amp;IF(ISBLANK(D69)," | "," "&amp;"OR """&amp;YEAR(D69)&amp;""" | ") &amp; """All New"" | Episode | Watch | tv | Show | Series | season | binge | Stream | Film | Movie | Premiere | Screening | Feature | Trailer | Teaser | theater | release)"</f>
        <v>#N/A</v>
      </c>
      <c r="S69" s="23"/>
      <c r="T69" s="23"/>
      <c r="U69" s="23"/>
      <c r="V69" s="23"/>
      <c r="W69" s="23"/>
      <c r="X69" s="38"/>
      <c r="Y69" s="38"/>
      <c r="Z69" s="38"/>
      <c r="AA69" s="38"/>
    </row>
    <row r="70">
      <c r="A70" s="31"/>
      <c r="B70" s="38"/>
      <c r="C70" s="38"/>
      <c r="D70" s="50"/>
      <c r="E70" s="50"/>
      <c r="F70" s="50"/>
      <c r="G70" s="27" t="str">
        <f>VLOOKUP(E70,DropDown!J:K,2,FALSE)</f>
        <v>#N/A</v>
      </c>
      <c r="H70" s="50"/>
      <c r="I70" s="50"/>
      <c r="J70" s="50"/>
      <c r="K70" s="25" t="s">
        <v>116</v>
      </c>
      <c r="L70" s="23"/>
      <c r="M70" s="23"/>
      <c r="N70" s="25" t="str">
        <f>"("""&amp;B70&amp;""") ("&amp;Vlookup(E70,DropDown!J:N,5,FALSE)&amp;" OR """ &amp;YEAR(D70) &amp; """ OR ""All New"" OR Episode OR Watch OR tv OR Show OR Series OR season OR binge OR Stream OR Film OR Movie OR Premiere OR Screening OR Feature OR Trailer OR Teaser OR theater OR release)"</f>
        <v>#N/A</v>
      </c>
      <c r="O70" s="23" t="str">
        <f t="shared" si="1"/>
        <v>#</v>
      </c>
      <c r="P70" s="23" t="str">
        <f t="shared" si="2"/>
        <v>#</v>
      </c>
      <c r="Q70" s="23"/>
      <c r="R70" s="23" t="str">
        <f>"("""&amp;B70&amp;""") ("&amp;Vlookup(E70,DropDown!R:V,5,FALSE)&amp;IF(ISBLANK(D70)," | "," "&amp;"OR """&amp;YEAR(D70)&amp;""" | ") &amp; """All New"" | Episode | Watch | tv | Show | Series | season | binge | Stream | Film | Movie | Premiere | Screening | Feature | Trailer | Teaser | theater | release)"</f>
        <v>#N/A</v>
      </c>
      <c r="S70" s="23"/>
      <c r="T70" s="23"/>
      <c r="U70" s="23"/>
      <c r="V70" s="23"/>
      <c r="W70" s="23"/>
      <c r="X70" s="38"/>
      <c r="Y70" s="38"/>
      <c r="Z70" s="38"/>
      <c r="AA70" s="38"/>
    </row>
    <row r="71">
      <c r="A71" s="31"/>
      <c r="B71" s="38"/>
      <c r="C71" s="38"/>
      <c r="D71" s="50"/>
      <c r="E71" s="50"/>
      <c r="F71" s="50"/>
      <c r="G71" s="27" t="str">
        <f>VLOOKUP(E71,DropDown!J:K,2,FALSE)</f>
        <v>#N/A</v>
      </c>
      <c r="H71" s="50"/>
      <c r="I71" s="50"/>
      <c r="J71" s="50"/>
      <c r="K71" s="25" t="s">
        <v>116</v>
      </c>
      <c r="L71" s="23"/>
      <c r="M71" s="23"/>
      <c r="N71" s="25" t="str">
        <f>"("""&amp;B71&amp;""") ("&amp;Vlookup(E71,DropDown!J:N,5,FALSE)&amp;" OR """ &amp;YEAR(D71) &amp; """ OR ""All New"" OR Episode OR Watch OR tv OR Show OR Series OR season OR binge OR Stream OR Film OR Movie OR Premiere OR Screening OR Feature OR Trailer OR Teaser OR theater OR release)"</f>
        <v>#N/A</v>
      </c>
      <c r="O71" s="23" t="str">
        <f t="shared" si="1"/>
        <v>#</v>
      </c>
      <c r="P71" s="23" t="str">
        <f t="shared" si="2"/>
        <v>#</v>
      </c>
      <c r="Q71" s="23"/>
      <c r="R71" s="23" t="str">
        <f>"("""&amp;B71&amp;""") ("&amp;Vlookup(E71,DropDown!R:V,5,FALSE)&amp;IF(ISBLANK(D71)," | "," "&amp;"OR """&amp;YEAR(D71)&amp;""" | ") &amp; """All New"" | Episode | Watch | tv | Show | Series | season | binge | Stream | Film | Movie | Premiere | Screening | Feature | Trailer | Teaser | theater | release)"</f>
        <v>#N/A</v>
      </c>
      <c r="S71" s="23"/>
      <c r="T71" s="23"/>
      <c r="U71" s="23"/>
      <c r="V71" s="23"/>
      <c r="W71" s="23"/>
      <c r="X71" s="38"/>
      <c r="Y71" s="38"/>
      <c r="Z71" s="38"/>
      <c r="AA71" s="38"/>
    </row>
    <row r="72">
      <c r="A72" s="31"/>
      <c r="B72" s="38"/>
      <c r="C72" s="38"/>
      <c r="D72" s="50"/>
      <c r="E72" s="50"/>
      <c r="F72" s="50"/>
      <c r="G72" s="27" t="str">
        <f>VLOOKUP(E72,DropDown!J:K,2,FALSE)</f>
        <v>#N/A</v>
      </c>
      <c r="H72" s="50"/>
      <c r="I72" s="50"/>
      <c r="J72" s="50"/>
      <c r="K72" s="25" t="s">
        <v>116</v>
      </c>
      <c r="L72" s="23"/>
      <c r="M72" s="23"/>
      <c r="N72" s="25" t="str">
        <f>"("""&amp;B72&amp;""") ("&amp;Vlookup(E72,DropDown!J:N,5,FALSE)&amp;" OR """ &amp;YEAR(D72) &amp; """ OR ""All New"" OR Episode OR Watch OR tv OR Show OR Series OR season OR binge OR Stream OR Film OR Movie OR Premiere OR Screening OR Feature OR Trailer OR Teaser OR theater OR release)"</f>
        <v>#N/A</v>
      </c>
      <c r="O72" s="23" t="str">
        <f t="shared" si="1"/>
        <v>#</v>
      </c>
      <c r="P72" s="23" t="str">
        <f t="shared" si="2"/>
        <v>#</v>
      </c>
      <c r="Q72" s="23"/>
      <c r="R72" s="23" t="str">
        <f>"("""&amp;B72&amp;""") ("&amp;Vlookup(E72,DropDown!R:V,5,FALSE)&amp;IF(ISBLANK(D72)," | "," "&amp;"OR """&amp;YEAR(D72)&amp;""" | ") &amp; """All New"" | Episode | Watch | tv | Show | Series | season | binge | Stream | Film | Movie | Premiere | Screening | Feature | Trailer | Teaser | theater | release)"</f>
        <v>#N/A</v>
      </c>
      <c r="S72" s="23"/>
      <c r="T72" s="23"/>
      <c r="U72" s="23"/>
      <c r="V72" s="23"/>
      <c r="W72" s="23"/>
      <c r="X72" s="38"/>
      <c r="Y72" s="38"/>
      <c r="Z72" s="38"/>
      <c r="AA72" s="38"/>
    </row>
    <row r="73">
      <c r="A73" s="31"/>
      <c r="B73" s="38"/>
      <c r="C73" s="38"/>
      <c r="D73" s="50"/>
      <c r="E73" s="50"/>
      <c r="F73" s="50"/>
      <c r="G73" s="27" t="str">
        <f>VLOOKUP(E73,DropDown!J:K,2,FALSE)</f>
        <v>#N/A</v>
      </c>
      <c r="H73" s="50"/>
      <c r="I73" s="50"/>
      <c r="J73" s="50"/>
      <c r="K73" s="25" t="s">
        <v>116</v>
      </c>
      <c r="L73" s="23"/>
      <c r="M73" s="23"/>
      <c r="N73" s="25" t="str">
        <f>"("""&amp;B73&amp;""") ("&amp;Vlookup(E73,DropDown!J:N,5,FALSE)&amp;" OR """ &amp;YEAR(D73) &amp; """ OR ""All New"" OR Episode OR Watch OR tv OR Show OR Series OR season OR binge OR Stream OR Film OR Movie OR Premiere OR Screening OR Feature OR Trailer OR Teaser OR theater OR release)"</f>
        <v>#N/A</v>
      </c>
      <c r="O73" s="23" t="str">
        <f t="shared" si="1"/>
        <v>#</v>
      </c>
      <c r="P73" s="23" t="str">
        <f t="shared" si="2"/>
        <v>#</v>
      </c>
      <c r="Q73" s="23"/>
      <c r="R73" s="23" t="str">
        <f>"("""&amp;B73&amp;""") ("&amp;Vlookup(E73,DropDown!R:V,5,FALSE)&amp;IF(ISBLANK(D73)," | "," "&amp;"OR """&amp;YEAR(D73)&amp;""" | ") &amp; """All New"" | Episode | Watch | tv | Show | Series | season | binge | Stream | Film | Movie | Premiere | Screening | Feature | Trailer | Teaser | theater | release)"</f>
        <v>#N/A</v>
      </c>
      <c r="S73" s="23"/>
      <c r="T73" s="23"/>
      <c r="U73" s="23"/>
      <c r="V73" s="23"/>
      <c r="W73" s="23"/>
      <c r="X73" s="38"/>
      <c r="Y73" s="38"/>
      <c r="Z73" s="38"/>
      <c r="AA73" s="38"/>
    </row>
    <row r="74">
      <c r="A74" s="31"/>
      <c r="B74" s="38"/>
      <c r="C74" s="38"/>
      <c r="D74" s="50"/>
      <c r="E74" s="50"/>
      <c r="F74" s="50"/>
      <c r="G74" s="27" t="str">
        <f>VLOOKUP(E74,DropDown!J:K,2,FALSE)</f>
        <v>#N/A</v>
      </c>
      <c r="H74" s="50"/>
      <c r="I74" s="50"/>
      <c r="J74" s="50"/>
      <c r="K74" s="25" t="s">
        <v>116</v>
      </c>
      <c r="L74" s="23"/>
      <c r="M74" s="23"/>
      <c r="N74" s="25" t="str">
        <f>"("""&amp;B74&amp;""") ("&amp;Vlookup(E74,DropDown!J:N,5,FALSE)&amp;" OR """ &amp;YEAR(D74) &amp; """ OR ""All New"" OR Episode OR Watch OR tv OR Show OR Series OR season OR binge OR Stream OR Film OR Movie OR Premiere OR Screening OR Feature OR Trailer OR Teaser OR theater OR release)"</f>
        <v>#N/A</v>
      </c>
      <c r="O74" s="23" t="str">
        <f t="shared" si="1"/>
        <v>#</v>
      </c>
      <c r="P74" s="23" t="str">
        <f t="shared" si="2"/>
        <v>#</v>
      </c>
      <c r="Q74" s="23"/>
      <c r="R74" s="23" t="str">
        <f>"("""&amp;B74&amp;""") ("&amp;Vlookup(E74,DropDown!R:V,5,FALSE)&amp;IF(ISBLANK(D74)," | "," "&amp;"OR """&amp;YEAR(D74)&amp;""" | ") &amp; """All New"" | Episode | Watch | tv | Show | Series | season | binge | Stream | Film | Movie | Premiere | Screening | Feature | Trailer | Teaser | theater | release)"</f>
        <v>#N/A</v>
      </c>
      <c r="S74" s="23"/>
      <c r="T74" s="23"/>
      <c r="U74" s="23"/>
      <c r="V74" s="23"/>
      <c r="W74" s="23"/>
      <c r="X74" s="38"/>
      <c r="Y74" s="38"/>
      <c r="Z74" s="38"/>
      <c r="AA74" s="38"/>
    </row>
    <row r="75">
      <c r="A75" s="31"/>
      <c r="B75" s="38"/>
      <c r="C75" s="38"/>
      <c r="D75" s="50"/>
      <c r="E75" s="50"/>
      <c r="F75" s="50"/>
      <c r="G75" s="27" t="str">
        <f>VLOOKUP(E75,DropDown!J:K,2,FALSE)</f>
        <v>#N/A</v>
      </c>
      <c r="H75" s="50"/>
      <c r="I75" s="50"/>
      <c r="J75" s="50"/>
      <c r="K75" s="25" t="s">
        <v>116</v>
      </c>
      <c r="L75" s="23"/>
      <c r="M75" s="23"/>
      <c r="N75" s="25" t="str">
        <f>"("""&amp;B75&amp;""") ("&amp;Vlookup(E75,DropDown!J:N,5,FALSE)&amp;" OR """ &amp;YEAR(D75) &amp; """ OR ""All New"" OR Episode OR Watch OR tv OR Show OR Series OR season OR binge OR Stream OR Film OR Movie OR Premiere OR Screening OR Feature OR Trailer OR Teaser OR theater OR release)"</f>
        <v>#N/A</v>
      </c>
      <c r="O75" s="23" t="str">
        <f t="shared" si="1"/>
        <v>#</v>
      </c>
      <c r="P75" s="23" t="str">
        <f t="shared" si="2"/>
        <v>#</v>
      </c>
      <c r="Q75" s="23"/>
      <c r="R75" s="23" t="str">
        <f>"("""&amp;B75&amp;""") ("&amp;Vlookup(E75,DropDown!R:V,5,FALSE)&amp;IF(ISBLANK(D75)," | "," "&amp;"OR """&amp;YEAR(D75)&amp;""" | ") &amp; """All New"" | Episode | Watch | tv | Show | Series | season | binge | Stream | Film | Movie | Premiere | Screening | Feature | Trailer | Teaser | theater | release)"</f>
        <v>#N/A</v>
      </c>
      <c r="S75" s="23"/>
      <c r="T75" s="23"/>
      <c r="U75" s="23"/>
      <c r="V75" s="23"/>
      <c r="W75" s="23"/>
      <c r="X75" s="38"/>
      <c r="Y75" s="38"/>
      <c r="Z75" s="38"/>
      <c r="AA75" s="38"/>
    </row>
    <row r="76">
      <c r="A76" s="31"/>
      <c r="B76" s="38"/>
      <c r="C76" s="38"/>
      <c r="D76" s="50"/>
      <c r="E76" s="50"/>
      <c r="F76" s="50"/>
      <c r="G76" s="27" t="str">
        <f>VLOOKUP(E76,DropDown!J:K,2,FALSE)</f>
        <v>#N/A</v>
      </c>
      <c r="H76" s="50"/>
      <c r="I76" s="50"/>
      <c r="J76" s="50"/>
      <c r="K76" s="25" t="s">
        <v>116</v>
      </c>
      <c r="L76" s="23"/>
      <c r="M76" s="23"/>
      <c r="N76" s="25" t="str">
        <f>"("""&amp;B76&amp;""") ("&amp;Vlookup(E76,DropDown!J:N,5,FALSE)&amp;" OR """ &amp;YEAR(D76) &amp; """ OR ""All New"" OR Episode OR Watch OR tv OR Show OR Series OR season OR binge OR Stream OR Film OR Movie OR Premiere OR Screening OR Feature OR Trailer OR Teaser OR theater OR release)"</f>
        <v>#N/A</v>
      </c>
      <c r="O76" s="23" t="str">
        <f t="shared" si="1"/>
        <v>#</v>
      </c>
      <c r="P76" s="23" t="str">
        <f t="shared" si="2"/>
        <v>#</v>
      </c>
      <c r="Q76" s="23"/>
      <c r="R76" s="23" t="str">
        <f>"("""&amp;B76&amp;""") ("&amp;Vlookup(E76,DropDown!R:V,5,FALSE)&amp;IF(ISBLANK(D76)," | "," "&amp;"OR """&amp;YEAR(D76)&amp;""" | ") &amp; """All New"" | Episode | Watch | tv | Show | Series | season | binge | Stream | Film | Movie | Premiere | Screening | Feature | Trailer | Teaser | theater | release)"</f>
        <v>#N/A</v>
      </c>
      <c r="S76" s="23"/>
      <c r="T76" s="23"/>
      <c r="U76" s="23"/>
      <c r="V76" s="23"/>
      <c r="W76" s="23"/>
      <c r="X76" s="38"/>
      <c r="Y76" s="38"/>
      <c r="Z76" s="38"/>
      <c r="AA76" s="38"/>
    </row>
    <row r="77">
      <c r="A77" s="31"/>
      <c r="B77" s="38"/>
      <c r="C77" s="38"/>
      <c r="D77" s="50"/>
      <c r="E77" s="50"/>
      <c r="F77" s="50"/>
      <c r="G77" s="27" t="str">
        <f>VLOOKUP(E77,DropDown!J:K,2,FALSE)</f>
        <v>#N/A</v>
      </c>
      <c r="H77" s="50"/>
      <c r="I77" s="50"/>
      <c r="J77" s="50"/>
      <c r="K77" s="25" t="s">
        <v>116</v>
      </c>
      <c r="L77" s="23"/>
      <c r="M77" s="23"/>
      <c r="N77" s="25" t="str">
        <f>"("""&amp;B77&amp;""") ("&amp;Vlookup(E77,DropDown!J:N,5,FALSE)&amp;" OR """ &amp;YEAR(D77) &amp; """ OR ""All New"" OR Episode OR Watch OR tv OR Show OR Series OR season OR binge OR Stream OR Film OR Movie OR Premiere OR Screening OR Feature OR Trailer OR Teaser OR theater OR release)"</f>
        <v>#N/A</v>
      </c>
      <c r="O77" s="23" t="str">
        <f t="shared" si="1"/>
        <v>#</v>
      </c>
      <c r="P77" s="23" t="str">
        <f t="shared" si="2"/>
        <v>#</v>
      </c>
      <c r="Q77" s="23"/>
      <c r="R77" s="23" t="str">
        <f>"("""&amp;B77&amp;""") ("&amp;Vlookup(E77,DropDown!R:V,5,FALSE)&amp;IF(ISBLANK(D77)," | "," "&amp;"OR """&amp;YEAR(D77)&amp;""" | ") &amp; """All New"" | Episode | Watch | tv | Show | Series | season | binge | Stream | Film | Movie | Premiere | Screening | Feature | Trailer | Teaser | theater | release)"</f>
        <v>#N/A</v>
      </c>
      <c r="S77" s="23"/>
      <c r="T77" s="23"/>
      <c r="U77" s="23"/>
      <c r="V77" s="23"/>
      <c r="W77" s="23"/>
      <c r="X77" s="38"/>
      <c r="Y77" s="38"/>
      <c r="Z77" s="38"/>
      <c r="AA77" s="38"/>
    </row>
    <row r="78">
      <c r="A78" s="31"/>
      <c r="B78" s="38"/>
      <c r="C78" s="38"/>
      <c r="D78" s="50"/>
      <c r="E78" s="50"/>
      <c r="F78" s="50"/>
      <c r="G78" s="27" t="str">
        <f>VLOOKUP(E78,DropDown!J:K,2,FALSE)</f>
        <v>#N/A</v>
      </c>
      <c r="H78" s="50"/>
      <c r="I78" s="50"/>
      <c r="J78" s="50"/>
      <c r="K78" s="25" t="s">
        <v>116</v>
      </c>
      <c r="L78" s="23"/>
      <c r="M78" s="23"/>
      <c r="N78" s="25" t="str">
        <f>"("""&amp;B78&amp;""") ("&amp;Vlookup(E78,DropDown!J:N,5,FALSE)&amp;" OR """ &amp;YEAR(D78) &amp; """ OR ""All New"" OR Episode OR Watch OR tv OR Show OR Series OR season OR binge OR Stream OR Film OR Movie OR Premiere OR Screening OR Feature OR Trailer OR Teaser OR theater OR release)"</f>
        <v>#N/A</v>
      </c>
      <c r="O78" s="23" t="str">
        <f t="shared" si="1"/>
        <v>#</v>
      </c>
      <c r="P78" s="23" t="str">
        <f t="shared" si="2"/>
        <v>#</v>
      </c>
      <c r="Q78" s="23"/>
      <c r="R78" s="23" t="str">
        <f>"("""&amp;B78&amp;""") ("&amp;Vlookup(E78,DropDown!R:V,5,FALSE)&amp;IF(ISBLANK(D78)," | "," "&amp;"OR """&amp;YEAR(D78)&amp;""" | ") &amp; """All New"" | Episode | Watch | tv | Show | Series | season | binge | Stream | Film | Movie | Premiere | Screening | Feature | Trailer | Teaser | theater | release)"</f>
        <v>#N/A</v>
      </c>
      <c r="S78" s="23"/>
      <c r="T78" s="23"/>
      <c r="U78" s="23"/>
      <c r="V78" s="23"/>
      <c r="W78" s="23"/>
      <c r="X78" s="38"/>
      <c r="Y78" s="38"/>
      <c r="Z78" s="38"/>
      <c r="AA78" s="38"/>
    </row>
    <row r="79">
      <c r="A79" s="31"/>
      <c r="B79" s="38"/>
      <c r="C79" s="38"/>
      <c r="D79" s="50"/>
      <c r="E79" s="50"/>
      <c r="F79" s="50"/>
      <c r="G79" s="27" t="str">
        <f>VLOOKUP(E79,DropDown!J:K,2,FALSE)</f>
        <v>#N/A</v>
      </c>
      <c r="H79" s="50"/>
      <c r="I79" s="50"/>
      <c r="J79" s="50"/>
      <c r="K79" s="25" t="s">
        <v>116</v>
      </c>
      <c r="L79" s="23"/>
      <c r="M79" s="23"/>
      <c r="N79" s="25" t="str">
        <f>"("""&amp;B79&amp;""") ("&amp;Vlookup(E79,DropDown!J:N,5,FALSE)&amp;" OR """ &amp;YEAR(D79) &amp; """ OR ""All New"" OR Episode OR Watch OR tv OR Show OR Series OR season OR binge OR Stream OR Film OR Movie OR Premiere OR Screening OR Feature OR Trailer OR Teaser OR theater OR release)"</f>
        <v>#N/A</v>
      </c>
      <c r="O79" s="23" t="str">
        <f t="shared" si="1"/>
        <v>#</v>
      </c>
      <c r="P79" s="23" t="str">
        <f t="shared" si="2"/>
        <v>#</v>
      </c>
      <c r="Q79" s="23"/>
      <c r="R79" s="23" t="str">
        <f>"("""&amp;B79&amp;""") ("&amp;Vlookup(E79,DropDown!R:V,5,FALSE)&amp;IF(ISBLANK(D79)," | "," "&amp;"OR """&amp;YEAR(D79)&amp;""" | ") &amp; """All New"" | Episode | Watch | tv | Show | Series | season | binge | Stream | Film | Movie | Premiere | Screening | Feature | Trailer | Teaser | theater | release)"</f>
        <v>#N/A</v>
      </c>
      <c r="S79" s="23"/>
      <c r="T79" s="23"/>
      <c r="U79" s="23"/>
      <c r="V79" s="23"/>
      <c r="W79" s="23"/>
      <c r="X79" s="38"/>
      <c r="Y79" s="38"/>
      <c r="Z79" s="38"/>
      <c r="AA79" s="38"/>
    </row>
    <row r="80">
      <c r="A80" s="31"/>
      <c r="B80" s="38"/>
      <c r="C80" s="38"/>
      <c r="D80" s="50"/>
      <c r="E80" s="50"/>
      <c r="F80" s="50"/>
      <c r="G80" s="27" t="str">
        <f>VLOOKUP(E80,DropDown!J:K,2,FALSE)</f>
        <v>#N/A</v>
      </c>
      <c r="H80" s="50"/>
      <c r="I80" s="50"/>
      <c r="J80" s="50"/>
      <c r="K80" s="25" t="s">
        <v>116</v>
      </c>
      <c r="L80" s="23"/>
      <c r="M80" s="23"/>
      <c r="N80" s="25" t="str">
        <f>"("""&amp;B80&amp;""") ("&amp;Vlookup(E80,DropDown!J:N,5,FALSE)&amp;" OR """ &amp;YEAR(D80) &amp; """ OR ""All New"" OR Episode OR Watch OR tv OR Show OR Series OR season OR binge OR Stream OR Film OR Movie OR Premiere OR Screening OR Feature OR Trailer OR Teaser OR theater OR release)"</f>
        <v>#N/A</v>
      </c>
      <c r="O80" s="23" t="str">
        <f t="shared" si="1"/>
        <v>#</v>
      </c>
      <c r="P80" s="23" t="str">
        <f t="shared" si="2"/>
        <v>#</v>
      </c>
      <c r="Q80" s="23"/>
      <c r="R80" s="23" t="str">
        <f>"("""&amp;B80&amp;""") ("&amp;Vlookup(E80,DropDown!R:V,5,FALSE)&amp;IF(ISBLANK(D80)," | "," "&amp;"OR """&amp;YEAR(D80)&amp;""" | ") &amp; """All New"" | Episode | Watch | tv | Show | Series | season | binge | Stream | Film | Movie | Premiere | Screening | Feature | Trailer | Teaser | theater | release)"</f>
        <v>#N/A</v>
      </c>
      <c r="S80" s="23"/>
      <c r="T80" s="23"/>
      <c r="U80" s="23"/>
      <c r="V80" s="23"/>
      <c r="W80" s="23"/>
      <c r="X80" s="38"/>
      <c r="Y80" s="38"/>
      <c r="Z80" s="38"/>
      <c r="AA80" s="38"/>
    </row>
    <row r="81">
      <c r="A81" s="31"/>
      <c r="B81" s="38"/>
      <c r="C81" s="38"/>
      <c r="D81" s="50"/>
      <c r="E81" s="50"/>
      <c r="F81" s="50"/>
      <c r="G81" s="27" t="str">
        <f>VLOOKUP(E81,DropDown!J:K,2,FALSE)</f>
        <v>#N/A</v>
      </c>
      <c r="H81" s="50"/>
      <c r="I81" s="50"/>
      <c r="J81" s="50"/>
      <c r="K81" s="25" t="s">
        <v>116</v>
      </c>
      <c r="L81" s="23"/>
      <c r="M81" s="23"/>
      <c r="N81" s="25" t="str">
        <f>"("""&amp;B81&amp;""") ("&amp;Vlookup(E81,DropDown!J:N,5,FALSE)&amp;" OR """ &amp;YEAR(D81) &amp; """ OR ""All New"" OR Episode OR Watch OR tv OR Show OR Series OR season OR binge OR Stream OR Film OR Movie OR Premiere OR Screening OR Feature OR Trailer OR Teaser OR theater OR release)"</f>
        <v>#N/A</v>
      </c>
      <c r="O81" s="23" t="str">
        <f t="shared" si="1"/>
        <v>#</v>
      </c>
      <c r="P81" s="23" t="str">
        <f t="shared" si="2"/>
        <v>#</v>
      </c>
      <c r="Q81" s="23"/>
      <c r="R81" s="23" t="str">
        <f>"("""&amp;B81&amp;""") ("&amp;Vlookup(E81,DropDown!R:V,5,FALSE)&amp;IF(ISBLANK(D81)," | "," "&amp;"OR """&amp;YEAR(D81)&amp;""" | ") &amp; """All New"" | Episode | Watch | tv | Show | Series | season | binge | Stream | Film | Movie | Premiere | Screening | Feature | Trailer | Teaser | theater | release)"</f>
        <v>#N/A</v>
      </c>
      <c r="S81" s="23"/>
      <c r="T81" s="23"/>
      <c r="U81" s="23"/>
      <c r="V81" s="23"/>
      <c r="W81" s="23"/>
      <c r="X81" s="38"/>
      <c r="Y81" s="38"/>
      <c r="Z81" s="38"/>
      <c r="AA81" s="38"/>
    </row>
    <row r="82">
      <c r="A82" s="31"/>
      <c r="B82" s="38"/>
      <c r="C82" s="38"/>
      <c r="D82" s="50"/>
      <c r="E82" s="50"/>
      <c r="F82" s="50"/>
      <c r="G82" s="27" t="str">
        <f>VLOOKUP(E82,DropDown!J:K,2,FALSE)</f>
        <v>#N/A</v>
      </c>
      <c r="H82" s="50"/>
      <c r="I82" s="50"/>
      <c r="J82" s="50"/>
      <c r="K82" s="25" t="s">
        <v>116</v>
      </c>
      <c r="L82" s="23"/>
      <c r="M82" s="23"/>
      <c r="N82" s="25" t="str">
        <f>"("""&amp;B82&amp;""") ("&amp;Vlookup(E82,DropDown!J:N,5,FALSE)&amp;" OR """ &amp;YEAR(D82) &amp; """ OR ""All New"" OR Episode OR Watch OR tv OR Show OR Series OR season OR binge OR Stream OR Film OR Movie OR Premiere OR Screening OR Feature OR Trailer OR Teaser OR theater OR release)"</f>
        <v>#N/A</v>
      </c>
      <c r="O82" s="23" t="str">
        <f t="shared" si="1"/>
        <v>#</v>
      </c>
      <c r="P82" s="23" t="str">
        <f t="shared" si="2"/>
        <v>#</v>
      </c>
      <c r="Q82" s="23"/>
      <c r="R82" s="23" t="str">
        <f>"("""&amp;B82&amp;""") ("&amp;Vlookup(E82,DropDown!R:V,5,FALSE)&amp;IF(ISBLANK(D82)," | "," "&amp;"OR """&amp;YEAR(D82)&amp;""" | ") &amp; """All New"" | Episode | Watch | tv | Show | Series | season | binge | Stream | Film | Movie | Premiere | Screening | Feature | Trailer | Teaser | theater | release)"</f>
        <v>#N/A</v>
      </c>
      <c r="S82" s="23"/>
      <c r="T82" s="23"/>
      <c r="U82" s="23"/>
      <c r="V82" s="23"/>
      <c r="W82" s="23"/>
      <c r="X82" s="38"/>
      <c r="Y82" s="38"/>
      <c r="Z82" s="38"/>
      <c r="AA82" s="38"/>
    </row>
    <row r="83">
      <c r="A83" s="31"/>
      <c r="B83" s="38"/>
      <c r="C83" s="38"/>
      <c r="D83" s="50"/>
      <c r="E83" s="50"/>
      <c r="F83" s="50"/>
      <c r="G83" s="27" t="str">
        <f>VLOOKUP(E83,DropDown!J:K,2,FALSE)</f>
        <v>#N/A</v>
      </c>
      <c r="H83" s="50"/>
      <c r="I83" s="50"/>
      <c r="J83" s="50"/>
      <c r="K83" s="25" t="s">
        <v>116</v>
      </c>
      <c r="L83" s="23"/>
      <c r="M83" s="23"/>
      <c r="N83" s="25" t="str">
        <f>"("""&amp;B83&amp;""") ("&amp;Vlookup(E83,DropDown!J:N,5,FALSE)&amp;" OR """ &amp;YEAR(D83) &amp; """ OR ""All New"" OR Episode OR Watch OR tv OR Show OR Series OR season OR binge OR Stream OR Film OR Movie OR Premiere OR Screening OR Feature OR Trailer OR Teaser OR theater OR release)"</f>
        <v>#N/A</v>
      </c>
      <c r="O83" s="23" t="str">
        <f t="shared" si="1"/>
        <v>#</v>
      </c>
      <c r="P83" s="23" t="str">
        <f t="shared" si="2"/>
        <v>#</v>
      </c>
      <c r="Q83" s="23"/>
      <c r="R83" s="23" t="str">
        <f>"("""&amp;B83&amp;""") ("&amp;Vlookup(E83,DropDown!R:V,5,FALSE)&amp;IF(ISBLANK(D83)," | "," "&amp;"OR """&amp;YEAR(D83)&amp;""" | ") &amp; """All New"" | Episode | Watch | tv | Show | Series | season | binge | Stream | Film | Movie | Premiere | Screening | Feature | Trailer | Teaser | theater | release)"</f>
        <v>#N/A</v>
      </c>
      <c r="S83" s="23"/>
      <c r="T83" s="23"/>
      <c r="U83" s="23"/>
      <c r="V83" s="23"/>
      <c r="W83" s="23"/>
      <c r="X83" s="38"/>
      <c r="Y83" s="38"/>
      <c r="Z83" s="38"/>
      <c r="AA83" s="38"/>
    </row>
    <row r="84">
      <c r="A84" s="31"/>
      <c r="B84" s="38"/>
      <c r="C84" s="38"/>
      <c r="D84" s="50"/>
      <c r="E84" s="50"/>
      <c r="F84" s="50"/>
      <c r="G84" s="27" t="str">
        <f>VLOOKUP(E84,DropDown!J:K,2,FALSE)</f>
        <v>#N/A</v>
      </c>
      <c r="H84" s="50"/>
      <c r="I84" s="50"/>
      <c r="J84" s="50"/>
      <c r="K84" s="25" t="s">
        <v>116</v>
      </c>
      <c r="L84" s="23"/>
      <c r="M84" s="23"/>
      <c r="N84" s="25" t="str">
        <f>"("""&amp;B84&amp;""") ("&amp;Vlookup(E84,DropDown!J:N,5,FALSE)&amp;" OR """ &amp;YEAR(D84) &amp; """ OR ""All New"" OR Episode OR Watch OR tv OR Show OR Series OR season OR binge OR Stream OR Film OR Movie OR Premiere OR Screening OR Feature OR Trailer OR Teaser OR theater OR release)"</f>
        <v>#N/A</v>
      </c>
      <c r="O84" s="23" t="str">
        <f t="shared" si="1"/>
        <v>#</v>
      </c>
      <c r="P84" s="23" t="str">
        <f t="shared" si="2"/>
        <v>#</v>
      </c>
      <c r="Q84" s="23"/>
      <c r="R84" s="23" t="str">
        <f>"("""&amp;B84&amp;""") ("&amp;Vlookup(E84,DropDown!R:V,5,FALSE)&amp;IF(ISBLANK(D84)," | "," "&amp;"OR """&amp;YEAR(D84)&amp;""" | ") &amp; """All New"" | Episode | Watch | tv | Show | Series | season | binge | Stream | Film | Movie | Premiere | Screening | Feature | Trailer | Teaser | theater | release)"</f>
        <v>#N/A</v>
      </c>
      <c r="S84" s="23"/>
      <c r="T84" s="23"/>
      <c r="U84" s="23"/>
      <c r="V84" s="23"/>
      <c r="W84" s="23"/>
      <c r="X84" s="38"/>
      <c r="Y84" s="38"/>
      <c r="Z84" s="38"/>
      <c r="AA84" s="38"/>
    </row>
    <row r="85">
      <c r="A85" s="31"/>
      <c r="B85" s="38"/>
      <c r="C85" s="38"/>
      <c r="D85" s="50"/>
      <c r="E85" s="50"/>
      <c r="F85" s="50"/>
      <c r="G85" s="27" t="str">
        <f>VLOOKUP(E85,DropDown!J:K,2,FALSE)</f>
        <v>#N/A</v>
      </c>
      <c r="H85" s="50"/>
      <c r="I85" s="50"/>
      <c r="J85" s="50"/>
      <c r="K85" s="25" t="s">
        <v>116</v>
      </c>
      <c r="L85" s="23"/>
      <c r="M85" s="23"/>
      <c r="N85" s="25" t="str">
        <f>"("""&amp;B85&amp;""") ("&amp;Vlookup(E85,DropDown!J:N,5,FALSE)&amp;" OR """ &amp;YEAR(D85) &amp; """ OR ""All New"" OR Episode OR Watch OR tv OR Show OR Series OR season OR binge OR Stream OR Film OR Movie OR Premiere OR Screening OR Feature OR Trailer OR Teaser OR theater OR release)"</f>
        <v>#N/A</v>
      </c>
      <c r="O85" s="23" t="str">
        <f t="shared" si="1"/>
        <v>#</v>
      </c>
      <c r="P85" s="23" t="str">
        <f t="shared" si="2"/>
        <v>#</v>
      </c>
      <c r="Q85" s="23"/>
      <c r="R85" s="23" t="str">
        <f>"("""&amp;B85&amp;""") ("&amp;Vlookup(E85,DropDown!R:V,5,FALSE)&amp;IF(ISBLANK(D85)," | "," "&amp;"OR """&amp;YEAR(D85)&amp;""" | ") &amp; """All New"" | Episode | Watch | tv | Show | Series | season | binge | Stream | Film | Movie | Premiere | Screening | Feature | Trailer | Teaser | theater | release)"</f>
        <v>#N/A</v>
      </c>
      <c r="S85" s="23"/>
      <c r="T85" s="23"/>
      <c r="U85" s="23"/>
      <c r="V85" s="23"/>
      <c r="W85" s="23"/>
      <c r="X85" s="38"/>
      <c r="Y85" s="38"/>
      <c r="Z85" s="38"/>
      <c r="AA85" s="38"/>
    </row>
    <row r="86">
      <c r="A86" s="31"/>
      <c r="B86" s="38"/>
      <c r="C86" s="38"/>
      <c r="D86" s="50"/>
      <c r="E86" s="50"/>
      <c r="F86" s="50"/>
      <c r="G86" s="27" t="str">
        <f>VLOOKUP(E86,DropDown!J:K,2,FALSE)</f>
        <v>#N/A</v>
      </c>
      <c r="H86" s="50"/>
      <c r="I86" s="50"/>
      <c r="J86" s="50"/>
      <c r="K86" s="25" t="s">
        <v>116</v>
      </c>
      <c r="L86" s="23"/>
      <c r="M86" s="23"/>
      <c r="N86" s="25" t="str">
        <f>"("""&amp;B86&amp;""") ("&amp;Vlookup(E86,DropDown!J:N,5,FALSE)&amp;" OR """ &amp;YEAR(D86) &amp; """ OR ""All New"" OR Episode OR Watch OR tv OR Show OR Series OR season OR binge OR Stream OR Film OR Movie OR Premiere OR Screening OR Feature OR Trailer OR Teaser OR theater OR release)"</f>
        <v>#N/A</v>
      </c>
      <c r="O86" s="23" t="str">
        <f t="shared" si="1"/>
        <v>#</v>
      </c>
      <c r="P86" s="23" t="str">
        <f t="shared" si="2"/>
        <v>#</v>
      </c>
      <c r="Q86" s="23"/>
      <c r="R86" s="23" t="str">
        <f>"("""&amp;B86&amp;""") ("&amp;Vlookup(E86,DropDown!R:V,5,FALSE)&amp;IF(ISBLANK(D86)," | "," "&amp;"OR """&amp;YEAR(D86)&amp;""" | ") &amp; """All New"" | Episode | Watch | tv | Show | Series | season | binge | Stream | Film | Movie | Premiere | Screening | Feature | Trailer | Teaser | theater | release)"</f>
        <v>#N/A</v>
      </c>
      <c r="S86" s="23"/>
      <c r="T86" s="23"/>
      <c r="U86" s="23"/>
      <c r="V86" s="23"/>
      <c r="W86" s="23"/>
      <c r="X86" s="38"/>
      <c r="Y86" s="38"/>
      <c r="Z86" s="38"/>
      <c r="AA86" s="38"/>
    </row>
    <row r="87">
      <c r="A87" s="31"/>
      <c r="B87" s="38"/>
      <c r="C87" s="38"/>
      <c r="D87" s="50"/>
      <c r="E87" s="50"/>
      <c r="F87" s="50"/>
      <c r="G87" s="27" t="str">
        <f>VLOOKUP(E87,DropDown!J:K,2,FALSE)</f>
        <v>#N/A</v>
      </c>
      <c r="H87" s="50"/>
      <c r="I87" s="50"/>
      <c r="J87" s="50"/>
      <c r="K87" s="25" t="s">
        <v>116</v>
      </c>
      <c r="L87" s="23"/>
      <c r="M87" s="23"/>
      <c r="N87" s="25" t="str">
        <f>"("""&amp;B87&amp;""") ("&amp;Vlookup(E87,DropDown!J:N,5,FALSE)&amp;" OR """ &amp;YEAR(D87) &amp; """ OR ""All New"" OR Episode OR Watch OR tv OR Show OR Series OR season OR binge OR Stream OR Film OR Movie OR Premiere OR Screening OR Feature OR Trailer OR Teaser OR theater OR release)"</f>
        <v>#N/A</v>
      </c>
      <c r="O87" s="23" t="str">
        <f t="shared" si="1"/>
        <v>#</v>
      </c>
      <c r="P87" s="23" t="str">
        <f t="shared" si="2"/>
        <v>#</v>
      </c>
      <c r="Q87" s="23"/>
      <c r="R87" s="23" t="str">
        <f>"("""&amp;B87&amp;""") ("&amp;Vlookup(E87,DropDown!R:V,5,FALSE)&amp;IF(ISBLANK(D87)," | "," "&amp;"OR """&amp;YEAR(D87)&amp;""" | ") &amp; """All New"" | Episode | Watch | tv | Show | Series | season | binge | Stream | Film | Movie | Premiere | Screening | Feature | Trailer | Teaser | theater | release)"</f>
        <v>#N/A</v>
      </c>
      <c r="S87" s="23"/>
      <c r="T87" s="23"/>
      <c r="U87" s="23"/>
      <c r="V87" s="23"/>
      <c r="W87" s="23"/>
      <c r="X87" s="38"/>
      <c r="Y87" s="38"/>
      <c r="Z87" s="38"/>
      <c r="AA87" s="38"/>
    </row>
    <row r="88">
      <c r="A88" s="31"/>
      <c r="B88" s="38"/>
      <c r="C88" s="38"/>
      <c r="D88" s="50"/>
      <c r="E88" s="50"/>
      <c r="F88" s="50"/>
      <c r="G88" s="27" t="str">
        <f>VLOOKUP(E88,DropDown!J:K,2,FALSE)</f>
        <v>#N/A</v>
      </c>
      <c r="H88" s="50"/>
      <c r="I88" s="50"/>
      <c r="J88" s="50"/>
      <c r="K88" s="25" t="s">
        <v>116</v>
      </c>
      <c r="L88" s="23"/>
      <c r="M88" s="23"/>
      <c r="N88" s="25" t="str">
        <f>"("""&amp;B88&amp;""") ("&amp;Vlookup(E88,DropDown!J:N,5,FALSE)&amp;" OR """ &amp;YEAR(D88) &amp; """ OR ""All New"" OR Episode OR Watch OR tv OR Show OR Series OR season OR binge OR Stream OR Film OR Movie OR Premiere OR Screening OR Feature OR Trailer OR Teaser OR theater OR release)"</f>
        <v>#N/A</v>
      </c>
      <c r="O88" s="23" t="str">
        <f t="shared" si="1"/>
        <v>#</v>
      </c>
      <c r="P88" s="23" t="str">
        <f t="shared" si="2"/>
        <v>#</v>
      </c>
      <c r="Q88" s="23"/>
      <c r="R88" s="23" t="str">
        <f>"("""&amp;B88&amp;""") ("&amp;Vlookup(E88,DropDown!R:V,5,FALSE)&amp;IF(ISBLANK(D88)," | "," "&amp;"OR """&amp;YEAR(D88)&amp;""" | ") &amp; """All New"" | Episode | Watch | tv | Show | Series | season | binge | Stream | Film | Movie | Premiere | Screening | Feature | Trailer | Teaser | theater | release)"</f>
        <v>#N/A</v>
      </c>
      <c r="S88" s="23"/>
      <c r="T88" s="23"/>
      <c r="U88" s="23"/>
      <c r="V88" s="23"/>
      <c r="W88" s="23"/>
      <c r="X88" s="38"/>
      <c r="Y88" s="38"/>
      <c r="Z88" s="38"/>
      <c r="AA88" s="38"/>
    </row>
    <row r="89">
      <c r="A89" s="31"/>
      <c r="B89" s="38"/>
      <c r="C89" s="38"/>
      <c r="D89" s="50"/>
      <c r="E89" s="50"/>
      <c r="F89" s="50"/>
      <c r="G89" s="27" t="str">
        <f>VLOOKUP(E89,DropDown!J:K,2,FALSE)</f>
        <v>#N/A</v>
      </c>
      <c r="H89" s="50"/>
      <c r="I89" s="50"/>
      <c r="J89" s="50"/>
      <c r="K89" s="25" t="s">
        <v>116</v>
      </c>
      <c r="L89" s="23"/>
      <c r="M89" s="23"/>
      <c r="N89" s="25" t="str">
        <f>"("""&amp;B89&amp;""") ("&amp;Vlookup(E89,DropDown!J:N,5,FALSE)&amp;" OR """ &amp;YEAR(D89) &amp; """ OR ""All New"" OR Episode OR Watch OR tv OR Show OR Series OR season OR binge OR Stream OR Film OR Movie OR Premiere OR Screening OR Feature OR Trailer OR Teaser OR theater OR release)"</f>
        <v>#N/A</v>
      </c>
      <c r="O89" s="23" t="str">
        <f t="shared" si="1"/>
        <v>#</v>
      </c>
      <c r="P89" s="23" t="str">
        <f t="shared" si="2"/>
        <v>#</v>
      </c>
      <c r="Q89" s="23"/>
      <c r="R89" s="23" t="str">
        <f>"("""&amp;B89&amp;""") ("&amp;Vlookup(E89,DropDown!R:V,5,FALSE)&amp;IF(ISBLANK(D89)," | "," "&amp;"OR """&amp;YEAR(D89)&amp;""" | ") &amp; """All New"" | Episode | Watch | tv | Show | Series | season | binge | Stream | Film | Movie | Premiere | Screening | Feature | Trailer | Teaser | theater | release)"</f>
        <v>#N/A</v>
      </c>
      <c r="S89" s="23"/>
      <c r="T89" s="23"/>
      <c r="U89" s="23"/>
      <c r="V89" s="23"/>
      <c r="W89" s="23"/>
      <c r="X89" s="38"/>
      <c r="Y89" s="38"/>
      <c r="Z89" s="38"/>
      <c r="AA89" s="38"/>
    </row>
    <row r="90">
      <c r="A90" s="31"/>
      <c r="B90" s="38"/>
      <c r="C90" s="38"/>
      <c r="D90" s="50"/>
      <c r="E90" s="50"/>
      <c r="F90" s="50"/>
      <c r="G90" s="27" t="str">
        <f>VLOOKUP(E90,DropDown!J:K,2,FALSE)</f>
        <v>#N/A</v>
      </c>
      <c r="H90" s="50"/>
      <c r="I90" s="50"/>
      <c r="J90" s="50"/>
      <c r="K90" s="25" t="s">
        <v>116</v>
      </c>
      <c r="L90" s="23"/>
      <c r="M90" s="23"/>
      <c r="N90" s="25" t="str">
        <f>"("""&amp;B90&amp;""") ("&amp;Vlookup(E90,DropDown!J:N,5,FALSE)&amp;" OR """ &amp;YEAR(D90) &amp; """ OR ""All New"" OR Episode OR Watch OR tv OR Show OR Series OR season OR binge OR Stream OR Film OR Movie OR Premiere OR Screening OR Feature OR Trailer OR Teaser OR theater OR release)"</f>
        <v>#N/A</v>
      </c>
      <c r="O90" s="23" t="str">
        <f t="shared" si="1"/>
        <v>#</v>
      </c>
      <c r="P90" s="23" t="str">
        <f t="shared" si="2"/>
        <v>#</v>
      </c>
      <c r="Q90" s="23"/>
      <c r="R90" s="23" t="str">
        <f>"("""&amp;B90&amp;""") ("&amp;Vlookup(E90,DropDown!R:V,5,FALSE)&amp;IF(ISBLANK(D90)," | "," "&amp;"OR """&amp;YEAR(D90)&amp;""" | ") &amp; """All New"" | Episode | Watch | tv | Show | Series | season | binge | Stream | Film | Movie | Premiere | Screening | Feature | Trailer | Teaser | theater | release)"</f>
        <v>#N/A</v>
      </c>
      <c r="S90" s="23"/>
      <c r="T90" s="23"/>
      <c r="U90" s="23"/>
      <c r="V90" s="23"/>
      <c r="W90" s="23"/>
      <c r="X90" s="38"/>
      <c r="Y90" s="38"/>
      <c r="Z90" s="38"/>
      <c r="AA90" s="38"/>
    </row>
    <row r="91">
      <c r="A91" s="31"/>
      <c r="B91" s="38"/>
      <c r="C91" s="38"/>
      <c r="D91" s="50"/>
      <c r="E91" s="50"/>
      <c r="F91" s="50"/>
      <c r="G91" s="27" t="str">
        <f>VLOOKUP(E91,DropDown!J:K,2,FALSE)</f>
        <v>#N/A</v>
      </c>
      <c r="H91" s="50"/>
      <c r="I91" s="50"/>
      <c r="J91" s="50"/>
      <c r="K91" s="25" t="s">
        <v>116</v>
      </c>
      <c r="L91" s="23"/>
      <c r="M91" s="23"/>
      <c r="N91" s="25" t="str">
        <f>"("""&amp;B91&amp;""") ("&amp;Vlookup(E91,DropDown!J:N,5,FALSE)&amp;" OR """ &amp;YEAR(D91) &amp; """ OR ""All New"" OR Episode OR Watch OR tv OR Show OR Series OR season OR binge OR Stream OR Film OR Movie OR Premiere OR Screening OR Feature OR Trailer OR Teaser OR theater OR release)"</f>
        <v>#N/A</v>
      </c>
      <c r="O91" s="23" t="str">
        <f t="shared" si="1"/>
        <v>#</v>
      </c>
      <c r="P91" s="23" t="str">
        <f t="shared" si="2"/>
        <v>#</v>
      </c>
      <c r="Q91" s="23"/>
      <c r="R91" s="23" t="str">
        <f>"("""&amp;B91&amp;""") ("&amp;Vlookup(E91,DropDown!R:V,5,FALSE)&amp;IF(ISBLANK(D91)," | "," "&amp;"OR """&amp;YEAR(D91)&amp;""" | ") &amp; """All New"" | Episode | Watch | tv | Show | Series | season | binge | Stream | Film | Movie | Premiere | Screening | Feature | Trailer | Teaser | theater | release)"</f>
        <v>#N/A</v>
      </c>
      <c r="S91" s="23"/>
      <c r="T91" s="23"/>
      <c r="U91" s="23"/>
      <c r="V91" s="23"/>
      <c r="W91" s="23"/>
      <c r="X91" s="38"/>
      <c r="Y91" s="38"/>
      <c r="Z91" s="38"/>
      <c r="AA91" s="38"/>
    </row>
    <row r="92">
      <c r="A92" s="31"/>
      <c r="B92" s="38"/>
      <c r="C92" s="38"/>
      <c r="D92" s="50"/>
      <c r="E92" s="50"/>
      <c r="F92" s="50"/>
      <c r="G92" s="27" t="str">
        <f>VLOOKUP(E92,DropDown!J:K,2,FALSE)</f>
        <v>#N/A</v>
      </c>
      <c r="H92" s="50"/>
      <c r="I92" s="50"/>
      <c r="J92" s="50"/>
      <c r="K92" s="25" t="s">
        <v>116</v>
      </c>
      <c r="L92" s="23"/>
      <c r="M92" s="23"/>
      <c r="N92" s="25" t="str">
        <f>"("""&amp;B92&amp;""") ("&amp;Vlookup(E92,DropDown!J:N,5,FALSE)&amp;" OR """ &amp;YEAR(D92) &amp; """ OR ""All New"" OR Episode OR Watch OR tv OR Show OR Series OR season OR binge OR Stream OR Film OR Movie OR Premiere OR Screening OR Feature OR Trailer OR Teaser OR theater OR release)"</f>
        <v>#N/A</v>
      </c>
      <c r="O92" s="23" t="str">
        <f t="shared" si="1"/>
        <v>#</v>
      </c>
      <c r="P92" s="23" t="str">
        <f t="shared" si="2"/>
        <v>#</v>
      </c>
      <c r="Q92" s="23"/>
      <c r="R92" s="23" t="str">
        <f>"("""&amp;B92&amp;""") ("&amp;Vlookup(E92,DropDown!R:V,5,FALSE)&amp;IF(ISBLANK(D92)," | "," "&amp;"OR """&amp;YEAR(D92)&amp;""" | ") &amp; """All New"" | Episode | Watch | tv | Show | Series | season | binge | Stream | Film | Movie | Premiere | Screening | Feature | Trailer | Teaser | theater | release)"</f>
        <v>#N/A</v>
      </c>
      <c r="S92" s="23"/>
      <c r="T92" s="23"/>
      <c r="U92" s="23"/>
      <c r="V92" s="23"/>
      <c r="W92" s="23"/>
      <c r="X92" s="38"/>
      <c r="Y92" s="38"/>
      <c r="Z92" s="38"/>
      <c r="AA92" s="38"/>
    </row>
    <row r="93">
      <c r="A93" s="31"/>
      <c r="B93" s="38"/>
      <c r="C93" s="38"/>
      <c r="D93" s="50"/>
      <c r="E93" s="50"/>
      <c r="F93" s="50"/>
      <c r="G93" s="27" t="str">
        <f>VLOOKUP(E93,DropDown!J:K,2,FALSE)</f>
        <v>#N/A</v>
      </c>
      <c r="H93" s="50"/>
      <c r="I93" s="50"/>
      <c r="J93" s="50"/>
      <c r="K93" s="25" t="s">
        <v>116</v>
      </c>
      <c r="L93" s="23"/>
      <c r="M93" s="23"/>
      <c r="N93" s="25" t="str">
        <f>"("""&amp;B93&amp;""") ("&amp;Vlookup(E93,DropDown!J:N,5,FALSE)&amp;" OR """ &amp;YEAR(D93) &amp; """ OR ""All New"" OR Episode OR Watch OR tv OR Show OR Series OR season OR binge OR Stream OR Film OR Movie OR Premiere OR Screening OR Feature OR Trailer OR Teaser OR theater OR release)"</f>
        <v>#N/A</v>
      </c>
      <c r="O93" s="23" t="str">
        <f t="shared" si="1"/>
        <v>#</v>
      </c>
      <c r="P93" s="23" t="str">
        <f t="shared" si="2"/>
        <v>#</v>
      </c>
      <c r="Q93" s="23"/>
      <c r="R93" s="23" t="str">
        <f>"("""&amp;B93&amp;""") ("&amp;Vlookup(E93,DropDown!R:V,5,FALSE)&amp;IF(ISBLANK(D93)," | "," "&amp;"OR """&amp;YEAR(D93)&amp;""" | ") &amp; """All New"" | Episode | Watch | tv | Show | Series | season | binge | Stream | Film | Movie | Premiere | Screening | Feature | Trailer | Teaser | theater | release)"</f>
        <v>#N/A</v>
      </c>
      <c r="S93" s="23"/>
      <c r="T93" s="23"/>
      <c r="U93" s="23"/>
      <c r="V93" s="23"/>
      <c r="W93" s="23"/>
      <c r="X93" s="38"/>
      <c r="Y93" s="38"/>
      <c r="Z93" s="38"/>
      <c r="AA93" s="38"/>
    </row>
    <row r="94">
      <c r="A94" s="31"/>
      <c r="B94" s="38"/>
      <c r="C94" s="38"/>
      <c r="D94" s="50"/>
      <c r="E94" s="50"/>
      <c r="F94" s="50"/>
      <c r="G94" s="27" t="str">
        <f>VLOOKUP(E94,DropDown!J:K,2,FALSE)</f>
        <v>#N/A</v>
      </c>
      <c r="H94" s="50"/>
      <c r="I94" s="50"/>
      <c r="J94" s="50"/>
      <c r="K94" s="25" t="s">
        <v>116</v>
      </c>
      <c r="L94" s="23"/>
      <c r="M94" s="23"/>
      <c r="N94" s="25" t="str">
        <f>"("""&amp;B94&amp;""") ("&amp;Vlookup(E94,DropDown!J:N,5,FALSE)&amp;" OR """ &amp;YEAR(D94) &amp; """ OR ""All New"" OR Episode OR Watch OR tv OR Show OR Series OR season OR binge OR Stream OR Film OR Movie OR Premiere OR Screening OR Feature OR Trailer OR Teaser OR theater OR release)"</f>
        <v>#N/A</v>
      </c>
      <c r="O94" s="23" t="str">
        <f t="shared" si="1"/>
        <v>#</v>
      </c>
      <c r="P94" s="23" t="str">
        <f t="shared" si="2"/>
        <v>#</v>
      </c>
      <c r="Q94" s="23"/>
      <c r="R94" s="23" t="str">
        <f>"("""&amp;B94&amp;""") ("&amp;Vlookup(E94,DropDown!R:V,5,FALSE)&amp;IF(ISBLANK(D94)," | "," "&amp;"OR """&amp;YEAR(D94)&amp;""" | ") &amp; """All New"" | Episode | Watch | tv | Show | Series | season | binge | Stream | Film | Movie | Premiere | Screening | Feature | Trailer | Teaser | theater | release)"</f>
        <v>#N/A</v>
      </c>
      <c r="S94" s="23"/>
      <c r="T94" s="23"/>
      <c r="U94" s="23"/>
      <c r="V94" s="23"/>
      <c r="W94" s="23"/>
      <c r="X94" s="38"/>
      <c r="Y94" s="38"/>
      <c r="Z94" s="38"/>
      <c r="AA94" s="38"/>
    </row>
    <row r="95">
      <c r="A95" s="31"/>
      <c r="B95" s="38"/>
      <c r="C95" s="38"/>
      <c r="D95" s="50"/>
      <c r="E95" s="50"/>
      <c r="F95" s="50"/>
      <c r="G95" s="27" t="str">
        <f>VLOOKUP(E95,DropDown!J:K,2,FALSE)</f>
        <v>#N/A</v>
      </c>
      <c r="H95" s="50"/>
      <c r="I95" s="50"/>
      <c r="J95" s="50"/>
      <c r="K95" s="25" t="s">
        <v>116</v>
      </c>
      <c r="L95" s="23"/>
      <c r="M95" s="23"/>
      <c r="N95" s="25" t="str">
        <f>"("""&amp;B95&amp;""") ("&amp;Vlookup(E95,DropDown!J:N,5,FALSE)&amp;" OR """ &amp;YEAR(D95) &amp; """ OR ""All New"" OR Episode OR Watch OR tv OR Show OR Series OR season OR binge OR Stream OR Film OR Movie OR Premiere OR Screening OR Feature OR Trailer OR Teaser OR theater OR release)"</f>
        <v>#N/A</v>
      </c>
      <c r="O95" s="23" t="str">
        <f t="shared" si="1"/>
        <v>#</v>
      </c>
      <c r="P95" s="23" t="str">
        <f t="shared" si="2"/>
        <v>#</v>
      </c>
      <c r="Q95" s="23"/>
      <c r="R95" s="23" t="str">
        <f>"("""&amp;B95&amp;""") ("&amp;Vlookup(E95,DropDown!R:V,5,FALSE)&amp;IF(ISBLANK(D95)," | "," "&amp;"OR """&amp;YEAR(D95)&amp;""" | ") &amp; """All New"" | Episode | Watch | tv | Show | Series | season | binge | Stream | Film | Movie | Premiere | Screening | Feature | Trailer | Teaser | theater | release)"</f>
        <v>#N/A</v>
      </c>
      <c r="S95" s="23"/>
      <c r="T95" s="23"/>
      <c r="U95" s="23"/>
      <c r="V95" s="23"/>
      <c r="W95" s="23"/>
      <c r="X95" s="38"/>
      <c r="Y95" s="38"/>
      <c r="Z95" s="38"/>
      <c r="AA95" s="38"/>
    </row>
    <row r="96">
      <c r="A96" s="31"/>
      <c r="B96" s="38"/>
      <c r="C96" s="38"/>
      <c r="D96" s="50"/>
      <c r="E96" s="50"/>
      <c r="F96" s="50"/>
      <c r="G96" s="27" t="str">
        <f>VLOOKUP(E96,DropDown!J:K,2,FALSE)</f>
        <v>#N/A</v>
      </c>
      <c r="H96" s="50"/>
      <c r="I96" s="50"/>
      <c r="J96" s="50"/>
      <c r="K96" s="25" t="s">
        <v>116</v>
      </c>
      <c r="L96" s="23"/>
      <c r="M96" s="23"/>
      <c r="N96" s="25" t="str">
        <f>"("""&amp;B96&amp;""") ("&amp;Vlookup(E96,DropDown!J:N,5,FALSE)&amp;" OR """ &amp;YEAR(D96) &amp; """ OR ""All New"" OR Episode OR Watch OR tv OR Show OR Series OR season OR binge OR Stream OR Film OR Movie OR Premiere OR Screening OR Feature OR Trailer OR Teaser OR theater OR release)"</f>
        <v>#N/A</v>
      </c>
      <c r="O96" s="23" t="str">
        <f t="shared" si="1"/>
        <v>#</v>
      </c>
      <c r="P96" s="23" t="str">
        <f t="shared" si="2"/>
        <v>#</v>
      </c>
      <c r="Q96" s="23"/>
      <c r="R96" s="23" t="str">
        <f>"("""&amp;B96&amp;""") ("&amp;Vlookup(E96,DropDown!R:V,5,FALSE)&amp;IF(ISBLANK(D96)," | "," "&amp;"OR """&amp;YEAR(D96)&amp;""" | ") &amp; """All New"" | Episode | Watch | tv | Show | Series | season | binge | Stream | Film | Movie | Premiere | Screening | Feature | Trailer | Teaser | theater | release)"</f>
        <v>#N/A</v>
      </c>
      <c r="S96" s="23"/>
      <c r="T96" s="23"/>
      <c r="U96" s="23"/>
      <c r="V96" s="23"/>
      <c r="W96" s="23"/>
      <c r="X96" s="38"/>
      <c r="Y96" s="38"/>
      <c r="Z96" s="38"/>
      <c r="AA96" s="38"/>
    </row>
    <row r="97">
      <c r="A97" s="31"/>
      <c r="B97" s="38"/>
      <c r="C97" s="38"/>
      <c r="D97" s="50"/>
      <c r="E97" s="50"/>
      <c r="F97" s="50"/>
      <c r="G97" s="27" t="str">
        <f>VLOOKUP(E97,DropDown!J:K,2,FALSE)</f>
        <v>#N/A</v>
      </c>
      <c r="H97" s="50"/>
      <c r="I97" s="50"/>
      <c r="J97" s="50"/>
      <c r="K97" s="25" t="s">
        <v>116</v>
      </c>
      <c r="L97" s="23"/>
      <c r="M97" s="23"/>
      <c r="N97" s="25" t="str">
        <f>"("""&amp;B97&amp;""") ("&amp;Vlookup(E97,DropDown!J:N,5,FALSE)&amp;" OR """ &amp;YEAR(D97) &amp; """ OR ""All New"" OR Episode OR Watch OR tv OR Show OR Series OR season OR binge OR Stream OR Film OR Movie OR Premiere OR Screening OR Feature OR Trailer OR Teaser OR theater OR release)"</f>
        <v>#N/A</v>
      </c>
      <c r="O97" s="23" t="str">
        <f t="shared" si="1"/>
        <v>#</v>
      </c>
      <c r="P97" s="23" t="str">
        <f t="shared" si="2"/>
        <v>#</v>
      </c>
      <c r="Q97" s="23"/>
      <c r="R97" s="23" t="str">
        <f>"("""&amp;B97&amp;""") ("&amp;Vlookup(E97,DropDown!R:V,5,FALSE)&amp;IF(ISBLANK(D97)," | "," "&amp;"OR """&amp;YEAR(D97)&amp;""" | ") &amp; """All New"" | Episode | Watch | tv | Show | Series | season | binge | Stream | Film | Movie | Premiere | Screening | Feature | Trailer | Teaser | theater | release)"</f>
        <v>#N/A</v>
      </c>
      <c r="S97" s="23"/>
      <c r="T97" s="23"/>
      <c r="U97" s="23"/>
      <c r="V97" s="23"/>
      <c r="W97" s="23"/>
      <c r="X97" s="38"/>
      <c r="Y97" s="38"/>
      <c r="Z97" s="38"/>
      <c r="AA97" s="38"/>
    </row>
    <row r="98">
      <c r="A98" s="31"/>
      <c r="B98" s="38"/>
      <c r="C98" s="38"/>
      <c r="D98" s="50"/>
      <c r="E98" s="50"/>
      <c r="F98" s="50"/>
      <c r="G98" s="27" t="str">
        <f>VLOOKUP(E98,DropDown!J:K,2,FALSE)</f>
        <v>#N/A</v>
      </c>
      <c r="H98" s="50"/>
      <c r="I98" s="50"/>
      <c r="J98" s="50"/>
      <c r="K98" s="25" t="s">
        <v>116</v>
      </c>
      <c r="L98" s="23"/>
      <c r="M98" s="23"/>
      <c r="N98" s="25" t="str">
        <f>"("""&amp;B98&amp;""") ("&amp;Vlookup(E98,DropDown!J:N,5,FALSE)&amp;" OR """ &amp;YEAR(D98) &amp; """ OR ""All New"" OR Episode OR Watch OR tv OR Show OR Series OR season OR binge OR Stream OR Film OR Movie OR Premiere OR Screening OR Feature OR Trailer OR Teaser OR theater OR release)"</f>
        <v>#N/A</v>
      </c>
      <c r="O98" s="23" t="str">
        <f t="shared" si="1"/>
        <v>#</v>
      </c>
      <c r="P98" s="23" t="str">
        <f t="shared" si="2"/>
        <v>#</v>
      </c>
      <c r="Q98" s="23"/>
      <c r="R98" s="23" t="str">
        <f>"("""&amp;B98&amp;""") ("&amp;Vlookup(E98,DropDown!R:V,5,FALSE)&amp;IF(ISBLANK(D98)," | "," "&amp;"OR """&amp;YEAR(D98)&amp;""" | ") &amp; """All New"" | Episode | Watch | tv | Show | Series | season | binge | Stream | Film | Movie | Premiere | Screening | Feature | Trailer | Teaser | theater | release)"</f>
        <v>#N/A</v>
      </c>
      <c r="S98" s="23"/>
      <c r="T98" s="23"/>
      <c r="U98" s="23"/>
      <c r="V98" s="23"/>
      <c r="W98" s="23"/>
      <c r="X98" s="38"/>
      <c r="Y98" s="38"/>
      <c r="Z98" s="38"/>
      <c r="AA98" s="38"/>
    </row>
    <row r="99">
      <c r="A99" s="31"/>
      <c r="B99" s="38"/>
      <c r="C99" s="38"/>
      <c r="D99" s="50"/>
      <c r="E99" s="50"/>
      <c r="F99" s="50"/>
      <c r="G99" s="27" t="str">
        <f>VLOOKUP(E99,DropDown!J:K,2,FALSE)</f>
        <v>#N/A</v>
      </c>
      <c r="H99" s="50"/>
      <c r="I99" s="50"/>
      <c r="J99" s="50"/>
      <c r="K99" s="25" t="s">
        <v>116</v>
      </c>
      <c r="L99" s="23"/>
      <c r="M99" s="23"/>
      <c r="N99" s="25" t="str">
        <f>"("""&amp;B99&amp;""") ("&amp;Vlookup(E99,DropDown!J:N,5,FALSE)&amp;" OR """ &amp;YEAR(D99) &amp; """ OR ""All New"" OR Episode OR Watch OR tv OR Show OR Series OR season OR binge OR Stream OR Film OR Movie OR Premiere OR Screening OR Feature OR Trailer OR Teaser OR theater OR release)"</f>
        <v>#N/A</v>
      </c>
      <c r="O99" s="23" t="str">
        <f t="shared" si="1"/>
        <v>#</v>
      </c>
      <c r="P99" s="23" t="str">
        <f t="shared" si="2"/>
        <v>#</v>
      </c>
      <c r="Q99" s="23"/>
      <c r="R99" s="23" t="str">
        <f>"("""&amp;B99&amp;""") ("&amp;Vlookup(E99,DropDown!R:V,5,FALSE)&amp;IF(ISBLANK(D99)," | "," "&amp;"OR """&amp;YEAR(D99)&amp;""" | ") &amp; """All New"" | Episode | Watch | tv | Show | Series | season | binge | Stream | Film | Movie | Premiere | Screening | Feature | Trailer | Teaser | theater | release)"</f>
        <v>#N/A</v>
      </c>
      <c r="S99" s="23"/>
      <c r="T99" s="23"/>
      <c r="U99" s="23"/>
      <c r="V99" s="23"/>
      <c r="W99" s="23"/>
      <c r="X99" s="38"/>
      <c r="Y99" s="38"/>
      <c r="Z99" s="38"/>
      <c r="AA99" s="38"/>
    </row>
    <row r="100">
      <c r="A100" s="31"/>
      <c r="B100" s="38"/>
      <c r="C100" s="38"/>
      <c r="D100" s="50"/>
      <c r="E100" s="50"/>
      <c r="F100" s="50"/>
      <c r="G100" s="27" t="str">
        <f>VLOOKUP(E100,DropDown!J:K,2,FALSE)</f>
        <v>#N/A</v>
      </c>
      <c r="H100" s="50"/>
      <c r="I100" s="50"/>
      <c r="J100" s="50"/>
      <c r="K100" s="25" t="s">
        <v>116</v>
      </c>
      <c r="L100" s="23"/>
      <c r="M100" s="23"/>
      <c r="N100" s="25" t="str">
        <f>"("""&amp;B100&amp;""") ("&amp;Vlookup(E100,DropDown!J:N,5,FALSE)&amp;" OR """ &amp;YEAR(D100) &amp; """ OR ""All New"" OR Episode OR Watch OR tv OR Show OR Series OR season OR binge OR Stream OR Film OR Movie OR Premiere OR Screening OR Feature OR Trailer OR Teaser OR theater OR release)"</f>
        <v>#N/A</v>
      </c>
      <c r="O100" s="23" t="str">
        <f t="shared" si="1"/>
        <v>#</v>
      </c>
      <c r="P100" s="23" t="str">
        <f t="shared" si="2"/>
        <v>#</v>
      </c>
      <c r="Q100" s="23"/>
      <c r="R100" s="23" t="str">
        <f>"("""&amp;B100&amp;""") ("&amp;Vlookup(E100,DropDown!R:V,5,FALSE)&amp;IF(ISBLANK(D100)," | "," "&amp;"OR """&amp;YEAR(D100)&amp;""" | ") &amp; """All New"" | Episode | Watch | tv | Show | Series | season | binge | Stream | Film | Movie | Premiere | Screening | Feature | Trailer | Teaser | theater | release)"</f>
        <v>#N/A</v>
      </c>
      <c r="S100" s="23"/>
      <c r="T100" s="23"/>
      <c r="U100" s="23"/>
      <c r="V100" s="23"/>
      <c r="W100" s="23"/>
      <c r="X100" s="38"/>
      <c r="Y100" s="38"/>
      <c r="Z100" s="38"/>
      <c r="AA100" s="38"/>
    </row>
    <row r="101">
      <c r="A101" s="31"/>
      <c r="B101" s="38"/>
      <c r="C101" s="38"/>
      <c r="D101" s="50"/>
      <c r="E101" s="50"/>
      <c r="F101" s="50"/>
      <c r="G101" s="27" t="str">
        <f>VLOOKUP(E101,DropDown!J:K,2,FALSE)</f>
        <v>#N/A</v>
      </c>
      <c r="H101" s="50"/>
      <c r="I101" s="50"/>
      <c r="J101" s="50"/>
      <c r="K101" s="25" t="s">
        <v>116</v>
      </c>
      <c r="L101" s="23"/>
      <c r="M101" s="23"/>
      <c r="N101" s="25" t="str">
        <f>"("""&amp;B101&amp;""") ("&amp;Vlookup(E101,DropDown!J:N,5,FALSE)&amp;" OR """ &amp;YEAR(D101) &amp; """ OR ""All New"" OR Episode OR Watch OR tv OR Show OR Series OR season OR binge OR Stream OR Film OR Movie OR Premiere OR Screening OR Feature OR Trailer OR Teaser OR theater OR release)"</f>
        <v>#N/A</v>
      </c>
      <c r="O101" s="23" t="str">
        <f t="shared" si="1"/>
        <v>#</v>
      </c>
      <c r="P101" s="23" t="str">
        <f t="shared" si="2"/>
        <v>#</v>
      </c>
      <c r="Q101" s="23"/>
      <c r="R101" s="23" t="str">
        <f>"("""&amp;B101&amp;""") ("&amp;Vlookup(E101,DropDown!R:V,5,FALSE)&amp;IF(ISBLANK(D101)," | "," "&amp;"OR """&amp;YEAR(D101)&amp;""" | ") &amp; """All New"" | Episode | Watch | tv | Show | Series | season | binge | Stream | Film | Movie | Premiere | Screening | Feature | Trailer | Teaser | theater | release)"</f>
        <v>#N/A</v>
      </c>
      <c r="S101" s="23"/>
      <c r="T101" s="23"/>
      <c r="U101" s="23"/>
      <c r="V101" s="23"/>
      <c r="W101" s="23"/>
      <c r="X101" s="38"/>
      <c r="Y101" s="38"/>
      <c r="Z101" s="38"/>
      <c r="AA101" s="38"/>
    </row>
    <row r="102">
      <c r="A102" s="31"/>
      <c r="B102" s="38"/>
      <c r="C102" s="38"/>
      <c r="D102" s="50"/>
      <c r="E102" s="50"/>
      <c r="F102" s="50"/>
      <c r="G102" s="27" t="str">
        <f>VLOOKUP(E102,DropDown!J:K,2,FALSE)</f>
        <v>#N/A</v>
      </c>
      <c r="H102" s="50"/>
      <c r="I102" s="50"/>
      <c r="J102" s="50"/>
      <c r="K102" s="25" t="s">
        <v>116</v>
      </c>
      <c r="L102" s="23"/>
      <c r="M102" s="23"/>
      <c r="N102" s="25" t="str">
        <f>"("""&amp;B102&amp;""") ("&amp;Vlookup(E102,DropDown!J:N,5,FALSE)&amp;" OR """ &amp;YEAR(D102) &amp; """ OR ""All New"" OR Episode OR Watch OR tv OR Show OR Series OR season OR binge OR Stream OR Film OR Movie OR Premiere OR Screening OR Feature OR Trailer OR Teaser OR theater OR release)"</f>
        <v>#N/A</v>
      </c>
      <c r="O102" s="23" t="str">
        <f t="shared" si="1"/>
        <v>#</v>
      </c>
      <c r="P102" s="23" t="str">
        <f t="shared" si="2"/>
        <v>#</v>
      </c>
      <c r="Q102" s="23"/>
      <c r="R102" s="23" t="str">
        <f>"("""&amp;B102&amp;""") ("&amp;Vlookup(E102,DropDown!R:V,5,FALSE)&amp;IF(ISBLANK(D102)," | "," "&amp;"OR """&amp;YEAR(D102)&amp;""" | ") &amp; """All New"" | Episode | Watch | tv | Show | Series | season | binge | Stream | Film | Movie | Premiere | Screening | Feature | Trailer | Teaser | theater | release)"</f>
        <v>#N/A</v>
      </c>
      <c r="S102" s="23"/>
      <c r="T102" s="23"/>
      <c r="U102" s="23"/>
      <c r="V102" s="23"/>
      <c r="W102" s="23"/>
      <c r="X102" s="38"/>
      <c r="Y102" s="38"/>
      <c r="Z102" s="38"/>
      <c r="AA102" s="38"/>
    </row>
    <row r="103">
      <c r="A103" s="31"/>
      <c r="B103" s="38"/>
      <c r="C103" s="38"/>
      <c r="D103" s="50"/>
      <c r="E103" s="50"/>
      <c r="F103" s="50"/>
      <c r="G103" s="27" t="str">
        <f>VLOOKUP(E103,DropDown!J:K,2,FALSE)</f>
        <v>#N/A</v>
      </c>
      <c r="H103" s="50"/>
      <c r="I103" s="50"/>
      <c r="J103" s="50"/>
      <c r="K103" s="25" t="s">
        <v>116</v>
      </c>
      <c r="L103" s="23"/>
      <c r="M103" s="23"/>
      <c r="N103" s="25" t="str">
        <f>"("""&amp;B103&amp;""") ("&amp;Vlookup(E103,DropDown!J:N,5,FALSE)&amp;" OR """ &amp;YEAR(D103) &amp; """ OR ""All New"" OR Episode OR Watch OR tv OR Show OR Series OR season OR binge OR Stream OR Film OR Movie OR Premiere OR Screening OR Feature OR Trailer OR Teaser OR theater OR release)"</f>
        <v>#N/A</v>
      </c>
      <c r="O103" s="23" t="str">
        <f t="shared" si="1"/>
        <v>#</v>
      </c>
      <c r="P103" s="23" t="str">
        <f t="shared" si="2"/>
        <v>#</v>
      </c>
      <c r="Q103" s="23"/>
      <c r="R103" s="23" t="str">
        <f>"("""&amp;B103&amp;""") ("&amp;Vlookup(E103,DropDown!R:V,5,FALSE)&amp;IF(ISBLANK(D103)," | "," "&amp;"OR """&amp;YEAR(D103)&amp;""" | ") &amp; """All New"" | Episode | Watch | tv | Show | Series | season | binge | Stream | Film | Movie | Premiere | Screening | Feature | Trailer | Teaser | theater | release)"</f>
        <v>#N/A</v>
      </c>
      <c r="S103" s="23"/>
      <c r="T103" s="23"/>
      <c r="U103" s="23"/>
      <c r="V103" s="23"/>
      <c r="W103" s="23"/>
      <c r="X103" s="38"/>
      <c r="Y103" s="38"/>
      <c r="Z103" s="38"/>
      <c r="AA103" s="38"/>
    </row>
    <row r="104">
      <c r="A104" s="31"/>
      <c r="B104" s="38"/>
      <c r="C104" s="38"/>
      <c r="D104" s="50"/>
      <c r="E104" s="50"/>
      <c r="F104" s="50"/>
      <c r="G104" s="27" t="str">
        <f>VLOOKUP(E104,DropDown!J:K,2,FALSE)</f>
        <v>#N/A</v>
      </c>
      <c r="H104" s="50"/>
      <c r="I104" s="50"/>
      <c r="J104" s="50"/>
      <c r="K104" s="25" t="s">
        <v>116</v>
      </c>
      <c r="L104" s="23"/>
      <c r="M104" s="23"/>
      <c r="N104" s="25" t="str">
        <f>"("""&amp;B104&amp;""") ("&amp;Vlookup(E104,DropDown!J:N,5,FALSE)&amp;" OR """ &amp;YEAR(D104) &amp; """ OR ""All New"" OR Episode OR Watch OR tv OR Show OR Series OR season OR binge OR Stream OR Film OR Movie OR Premiere OR Screening OR Feature OR Trailer OR Teaser OR theater OR release)"</f>
        <v>#N/A</v>
      </c>
      <c r="O104" s="23" t="str">
        <f t="shared" si="1"/>
        <v>#</v>
      </c>
      <c r="P104" s="23" t="str">
        <f t="shared" si="2"/>
        <v>#</v>
      </c>
      <c r="Q104" s="23"/>
      <c r="R104" s="23" t="str">
        <f>"("""&amp;B104&amp;""") ("&amp;Vlookup(E104,DropDown!R:V,5,FALSE)&amp;IF(ISBLANK(D104)," | "," "&amp;"OR """&amp;YEAR(D104)&amp;""" | ") &amp; """All New"" | Episode | Watch | tv | Show | Series | season | binge | Stream | Film | Movie | Premiere | Screening | Feature | Trailer | Teaser | theater | release)"</f>
        <v>#N/A</v>
      </c>
      <c r="S104" s="23"/>
      <c r="T104" s="23"/>
      <c r="U104" s="23"/>
      <c r="V104" s="23"/>
      <c r="W104" s="23"/>
      <c r="X104" s="38"/>
      <c r="Y104" s="38"/>
      <c r="Z104" s="38"/>
      <c r="AA104" s="38"/>
    </row>
    <row r="105">
      <c r="A105" s="31"/>
      <c r="B105" s="38"/>
      <c r="C105" s="38"/>
      <c r="D105" s="50"/>
      <c r="E105" s="50"/>
      <c r="F105" s="50"/>
      <c r="G105" s="27" t="str">
        <f>VLOOKUP(E105,DropDown!J:K,2,FALSE)</f>
        <v>#N/A</v>
      </c>
      <c r="H105" s="50"/>
      <c r="I105" s="50"/>
      <c r="J105" s="50"/>
      <c r="K105" s="25" t="s">
        <v>116</v>
      </c>
      <c r="L105" s="23"/>
      <c r="M105" s="23"/>
      <c r="N105" s="25" t="str">
        <f>"("""&amp;B105&amp;""") ("&amp;Vlookup(E105,DropDown!J:N,5,FALSE)&amp;" OR """ &amp;YEAR(D105) &amp; """ OR ""All New"" OR Episode OR Watch OR tv OR Show OR Series OR season OR binge OR Stream OR Film OR Movie OR Premiere OR Screening OR Feature OR Trailer OR Teaser OR theater OR release)"</f>
        <v>#N/A</v>
      </c>
      <c r="O105" s="23" t="str">
        <f t="shared" si="1"/>
        <v>#</v>
      </c>
      <c r="P105" s="23" t="str">
        <f t="shared" si="2"/>
        <v>#</v>
      </c>
      <c r="Q105" s="23"/>
      <c r="R105" s="23" t="str">
        <f>"("""&amp;B105&amp;""") ("&amp;Vlookup(E105,DropDown!R:V,5,FALSE)&amp;IF(ISBLANK(D105)," | "," "&amp;"OR """&amp;YEAR(D105)&amp;""" | ") &amp; """All New"" | Episode | Watch | tv | Show | Series | season | binge | Stream | Film | Movie | Premiere | Screening | Feature | Trailer | Teaser | theater | release)"</f>
        <v>#N/A</v>
      </c>
      <c r="S105" s="23"/>
      <c r="T105" s="23"/>
      <c r="U105" s="23"/>
      <c r="V105" s="23"/>
      <c r="W105" s="23"/>
      <c r="X105" s="38"/>
      <c r="Y105" s="38"/>
      <c r="Z105" s="38"/>
      <c r="AA105" s="38"/>
    </row>
    <row r="106">
      <c r="A106" s="31"/>
      <c r="B106" s="38"/>
      <c r="C106" s="38"/>
      <c r="D106" s="50"/>
      <c r="E106" s="50"/>
      <c r="F106" s="50"/>
      <c r="G106" s="27" t="str">
        <f>VLOOKUP(E106,DropDown!J:K,2,FALSE)</f>
        <v>#N/A</v>
      </c>
      <c r="H106" s="50"/>
      <c r="I106" s="50"/>
      <c r="J106" s="50"/>
      <c r="K106" s="25" t="s">
        <v>116</v>
      </c>
      <c r="L106" s="23"/>
      <c r="M106" s="23"/>
      <c r="N106" s="25" t="str">
        <f>"("""&amp;B106&amp;""") ("&amp;Vlookup(E106,DropDown!J:N,5,FALSE)&amp;" OR """ &amp;YEAR(D106) &amp; """ OR ""All New"" OR Episode OR Watch OR tv OR Show OR Series OR season OR binge OR Stream OR Film OR Movie OR Premiere OR Screening OR Feature OR Trailer OR Teaser OR theater OR release)"</f>
        <v>#N/A</v>
      </c>
      <c r="O106" s="23" t="str">
        <f t="shared" si="1"/>
        <v>#</v>
      </c>
      <c r="P106" s="23" t="str">
        <f t="shared" si="2"/>
        <v>#</v>
      </c>
      <c r="Q106" s="23"/>
      <c r="R106" s="23" t="str">
        <f>"("""&amp;B106&amp;""") ("&amp;Vlookup(E106,DropDown!R:V,5,FALSE)&amp;IF(ISBLANK(D106)," | "," "&amp;"OR """&amp;YEAR(D106)&amp;""" | ") &amp; """All New"" | Episode | Watch | tv | Show | Series | season | binge | Stream | Film | Movie | Premiere | Screening | Feature | Trailer | Teaser | theater | release)"</f>
        <v>#N/A</v>
      </c>
      <c r="S106" s="23"/>
      <c r="T106" s="23"/>
      <c r="U106" s="23"/>
      <c r="V106" s="23"/>
      <c r="W106" s="23"/>
      <c r="X106" s="38"/>
      <c r="Y106" s="38"/>
      <c r="Z106" s="38"/>
      <c r="AA106" s="38"/>
    </row>
    <row r="107">
      <c r="A107" s="31"/>
      <c r="B107" s="38"/>
      <c r="C107" s="38"/>
      <c r="D107" s="50"/>
      <c r="E107" s="50"/>
      <c r="F107" s="50"/>
      <c r="G107" s="27" t="str">
        <f>VLOOKUP(E107,DropDown!J:K,2,FALSE)</f>
        <v>#N/A</v>
      </c>
      <c r="H107" s="50"/>
      <c r="I107" s="50"/>
      <c r="J107" s="50"/>
      <c r="K107" s="25" t="s">
        <v>116</v>
      </c>
      <c r="L107" s="23"/>
      <c r="M107" s="23"/>
      <c r="N107" s="25" t="str">
        <f>"("""&amp;B107&amp;""") ("&amp;Vlookup(E107,DropDown!J:N,5,FALSE)&amp;" OR """ &amp;YEAR(D107) &amp; """ OR ""All New"" OR Episode OR Watch OR tv OR Show OR Series OR season OR binge OR Stream OR Film OR Movie OR Premiere OR Screening OR Feature OR Trailer OR Teaser OR theater OR release)"</f>
        <v>#N/A</v>
      </c>
      <c r="O107" s="23" t="str">
        <f t="shared" si="1"/>
        <v>#</v>
      </c>
      <c r="P107" s="23" t="str">
        <f t="shared" si="2"/>
        <v>#</v>
      </c>
      <c r="Q107" s="23"/>
      <c r="R107" s="23" t="str">
        <f>"("""&amp;B107&amp;""") ("&amp;Vlookup(E107,DropDown!R:V,5,FALSE)&amp;IF(ISBLANK(D107)," | "," "&amp;"OR """&amp;YEAR(D107)&amp;""" | ") &amp; """All New"" | Episode | Watch | tv | Show | Series | season | binge | Stream | Film | Movie | Premiere | Screening | Feature | Trailer | Teaser | theater | release)"</f>
        <v>#N/A</v>
      </c>
      <c r="S107" s="23"/>
      <c r="T107" s="23"/>
      <c r="U107" s="23"/>
      <c r="V107" s="23"/>
      <c r="W107" s="23"/>
      <c r="X107" s="38"/>
      <c r="Y107" s="38"/>
      <c r="Z107" s="38"/>
      <c r="AA107" s="38"/>
    </row>
    <row r="108">
      <c r="A108" s="31"/>
      <c r="B108" s="38"/>
      <c r="C108" s="38"/>
      <c r="D108" s="50"/>
      <c r="E108" s="50"/>
      <c r="F108" s="50"/>
      <c r="G108" s="27" t="str">
        <f>VLOOKUP(E108,DropDown!J:K,2,FALSE)</f>
        <v>#N/A</v>
      </c>
      <c r="H108" s="50"/>
      <c r="I108" s="50"/>
      <c r="J108" s="50"/>
      <c r="K108" s="25" t="s">
        <v>116</v>
      </c>
      <c r="L108" s="23"/>
      <c r="M108" s="23"/>
      <c r="N108" s="25" t="str">
        <f>"("""&amp;B108&amp;""") ("&amp;Vlookup(E108,DropDown!J:N,5,FALSE)&amp;" OR """ &amp;YEAR(D108) &amp; """ OR ""All New"" OR Episode OR Watch OR tv OR Show OR Series OR season OR binge OR Stream OR Film OR Movie OR Premiere OR Screening OR Feature OR Trailer OR Teaser OR theater OR release)"</f>
        <v>#N/A</v>
      </c>
      <c r="O108" s="23" t="str">
        <f t="shared" si="1"/>
        <v>#</v>
      </c>
      <c r="P108" s="23" t="str">
        <f t="shared" si="2"/>
        <v>#</v>
      </c>
      <c r="Q108" s="23"/>
      <c r="R108" s="23" t="str">
        <f>"("""&amp;B108&amp;""") ("&amp;Vlookup(E108,DropDown!R:V,5,FALSE)&amp;IF(ISBLANK(D108)," | "," "&amp;"OR """&amp;YEAR(D108)&amp;""" | ") &amp; """All New"" | Episode | Watch | tv | Show | Series | season | binge | Stream | Film | Movie | Premiere | Screening | Feature | Trailer | Teaser | theater | release)"</f>
        <v>#N/A</v>
      </c>
      <c r="S108" s="23"/>
      <c r="T108" s="23"/>
      <c r="U108" s="23"/>
      <c r="V108" s="23"/>
      <c r="W108" s="23"/>
      <c r="X108" s="38"/>
      <c r="Y108" s="38"/>
      <c r="Z108" s="38"/>
      <c r="AA108" s="38"/>
    </row>
    <row r="109">
      <c r="A109" s="31"/>
      <c r="B109" s="38"/>
      <c r="C109" s="38"/>
      <c r="D109" s="50"/>
      <c r="E109" s="50"/>
      <c r="F109" s="50"/>
      <c r="G109" s="27" t="str">
        <f>VLOOKUP(E109,DropDown!J:K,2,FALSE)</f>
        <v>#N/A</v>
      </c>
      <c r="H109" s="50"/>
      <c r="I109" s="50"/>
      <c r="J109" s="50"/>
      <c r="K109" s="25" t="s">
        <v>116</v>
      </c>
      <c r="L109" s="23"/>
      <c r="M109" s="23"/>
      <c r="N109" s="25" t="str">
        <f>"("""&amp;B109&amp;""") ("&amp;Vlookup(E109,DropDown!J:N,5,FALSE)&amp;" OR """ &amp;YEAR(D109) &amp; """ OR ""All New"" OR Episode OR Watch OR tv OR Show OR Series OR season OR binge OR Stream OR Film OR Movie OR Premiere OR Screening OR Feature OR Trailer OR Teaser OR theater OR release)"</f>
        <v>#N/A</v>
      </c>
      <c r="O109" s="23" t="str">
        <f t="shared" si="1"/>
        <v>#</v>
      </c>
      <c r="P109" s="23" t="str">
        <f t="shared" si="2"/>
        <v>#</v>
      </c>
      <c r="Q109" s="23"/>
      <c r="R109" s="23" t="str">
        <f>"("""&amp;B109&amp;""") ("&amp;Vlookup(E109,DropDown!R:V,5,FALSE)&amp;IF(ISBLANK(D109)," | "," "&amp;"OR """&amp;YEAR(D109)&amp;""" | ") &amp; """All New"" | Episode | Watch | tv | Show | Series | season | binge | Stream | Film | Movie | Premiere | Screening | Feature | Trailer | Teaser | theater | release)"</f>
        <v>#N/A</v>
      </c>
      <c r="S109" s="23"/>
      <c r="T109" s="23"/>
      <c r="U109" s="23"/>
      <c r="V109" s="23"/>
      <c r="W109" s="23"/>
      <c r="X109" s="38"/>
      <c r="Y109" s="38"/>
      <c r="Z109" s="38"/>
      <c r="AA109" s="38"/>
    </row>
    <row r="110">
      <c r="A110" s="31"/>
      <c r="B110" s="38"/>
      <c r="C110" s="38"/>
      <c r="D110" s="50"/>
      <c r="E110" s="50"/>
      <c r="F110" s="50"/>
      <c r="G110" s="27" t="str">
        <f>VLOOKUP(E110,DropDown!J:K,2,FALSE)</f>
        <v>#N/A</v>
      </c>
      <c r="H110" s="50"/>
      <c r="I110" s="50"/>
      <c r="J110" s="50"/>
      <c r="K110" s="25" t="s">
        <v>116</v>
      </c>
      <c r="L110" s="23"/>
      <c r="M110" s="23"/>
      <c r="N110" s="25" t="str">
        <f>"("""&amp;B110&amp;""") ("&amp;Vlookup(E110,DropDown!J:N,5,FALSE)&amp;" OR """ &amp;YEAR(D110) &amp; """ OR ""All New"" OR Episode OR Watch OR tv OR Show OR Series OR season OR binge OR Stream OR Film OR Movie OR Premiere OR Screening OR Feature OR Trailer OR Teaser OR theater OR release)"</f>
        <v>#N/A</v>
      </c>
      <c r="O110" s="23" t="str">
        <f t="shared" si="1"/>
        <v>#</v>
      </c>
      <c r="P110" s="23" t="str">
        <f t="shared" si="2"/>
        <v>#</v>
      </c>
      <c r="Q110" s="23"/>
      <c r="R110" s="23" t="str">
        <f>"("""&amp;B110&amp;""") ("&amp;Vlookup(E110,DropDown!R:V,5,FALSE)&amp;IF(ISBLANK(D110)," | "," "&amp;"OR """&amp;YEAR(D110)&amp;""" | ") &amp; """All New"" | Episode | Watch | tv | Show | Series | season | binge | Stream | Film | Movie | Premiere | Screening | Feature | Trailer | Teaser | theater | release)"</f>
        <v>#N/A</v>
      </c>
      <c r="S110" s="23"/>
      <c r="T110" s="23"/>
      <c r="U110" s="23"/>
      <c r="V110" s="23"/>
      <c r="W110" s="23"/>
      <c r="X110" s="38"/>
      <c r="Y110" s="38"/>
      <c r="Z110" s="38"/>
      <c r="AA110" s="38"/>
    </row>
    <row r="111">
      <c r="A111" s="31"/>
      <c r="B111" s="38"/>
      <c r="C111" s="38"/>
      <c r="D111" s="50"/>
      <c r="E111" s="50"/>
      <c r="F111" s="50"/>
      <c r="G111" s="27" t="str">
        <f>VLOOKUP(E111,DropDown!J:K,2,FALSE)</f>
        <v>#N/A</v>
      </c>
      <c r="H111" s="50"/>
      <c r="I111" s="50"/>
      <c r="J111" s="50"/>
      <c r="K111" s="25" t="s">
        <v>116</v>
      </c>
      <c r="L111" s="23"/>
      <c r="M111" s="23"/>
      <c r="N111" s="25" t="str">
        <f>"("""&amp;B111&amp;""") ("&amp;Vlookup(E111,DropDown!J:N,5,FALSE)&amp;" OR """ &amp;YEAR(D111) &amp; """ OR ""All New"" OR Episode OR Watch OR tv OR Show OR Series OR season OR binge OR Stream OR Film OR Movie OR Premiere OR Screening OR Feature OR Trailer OR Teaser OR theater OR release)"</f>
        <v>#N/A</v>
      </c>
      <c r="O111" s="23" t="str">
        <f t="shared" si="1"/>
        <v>#</v>
      </c>
      <c r="P111" s="23" t="str">
        <f t="shared" si="2"/>
        <v>#</v>
      </c>
      <c r="Q111" s="23"/>
      <c r="R111" s="23" t="str">
        <f>"("""&amp;B111&amp;""") ("&amp;Vlookup(E111,DropDown!R:V,5,FALSE)&amp;IF(ISBLANK(D111)," | "," "&amp;"OR """&amp;YEAR(D111)&amp;""" | ") &amp; """All New"" | Episode | Watch | tv | Show | Series | season | binge | Stream | Film | Movie | Premiere | Screening | Feature | Trailer | Teaser | theater | release)"</f>
        <v>#N/A</v>
      </c>
      <c r="S111" s="23"/>
      <c r="T111" s="23"/>
      <c r="U111" s="23"/>
      <c r="V111" s="23"/>
      <c r="W111" s="23"/>
      <c r="X111" s="38"/>
      <c r="Y111" s="38"/>
      <c r="Z111" s="38"/>
      <c r="AA111" s="38"/>
    </row>
    <row r="112">
      <c r="A112" s="31"/>
      <c r="B112" s="38"/>
      <c r="C112" s="38"/>
      <c r="D112" s="50"/>
      <c r="E112" s="50"/>
      <c r="F112" s="50"/>
      <c r="G112" s="27" t="str">
        <f>VLOOKUP(E112,DropDown!J:K,2,FALSE)</f>
        <v>#N/A</v>
      </c>
      <c r="H112" s="50"/>
      <c r="I112" s="50"/>
      <c r="J112" s="50"/>
      <c r="K112" s="25" t="s">
        <v>116</v>
      </c>
      <c r="L112" s="23"/>
      <c r="M112" s="23"/>
      <c r="N112" s="25" t="str">
        <f>"("""&amp;B112&amp;""") ("&amp;Vlookup(E112,DropDown!J:N,5,FALSE)&amp;" OR """ &amp;YEAR(D112) &amp; """ OR ""All New"" OR Episode OR Watch OR tv OR Show OR Series OR season OR binge OR Stream OR Film OR Movie OR Premiere OR Screening OR Feature OR Trailer OR Teaser OR theater OR release)"</f>
        <v>#N/A</v>
      </c>
      <c r="O112" s="23" t="str">
        <f t="shared" si="1"/>
        <v>#</v>
      </c>
      <c r="P112" s="23" t="str">
        <f t="shared" si="2"/>
        <v>#</v>
      </c>
      <c r="Q112" s="23"/>
      <c r="R112" s="23" t="str">
        <f>"("""&amp;B112&amp;""") ("&amp;Vlookup(E112,DropDown!R:V,5,FALSE)&amp;IF(ISBLANK(D112)," | "," "&amp;"OR """&amp;YEAR(D112)&amp;""" | ") &amp; """All New"" | Episode | Watch | tv | Show | Series | season | binge | Stream | Film | Movie | Premiere | Screening | Feature | Trailer | Teaser | theater | release)"</f>
        <v>#N/A</v>
      </c>
      <c r="S112" s="23"/>
      <c r="T112" s="23"/>
      <c r="U112" s="23"/>
      <c r="V112" s="23"/>
      <c r="W112" s="23"/>
      <c r="X112" s="38"/>
      <c r="Y112" s="38"/>
      <c r="Z112" s="38"/>
      <c r="AA112" s="38"/>
    </row>
    <row r="113">
      <c r="A113" s="31"/>
      <c r="B113" s="38"/>
      <c r="C113" s="38"/>
      <c r="D113" s="50"/>
      <c r="E113" s="50"/>
      <c r="F113" s="50"/>
      <c r="G113" s="27" t="str">
        <f>VLOOKUP(E113,DropDown!J:K,2,FALSE)</f>
        <v>#N/A</v>
      </c>
      <c r="H113" s="50"/>
      <c r="I113" s="50"/>
      <c r="J113" s="50"/>
      <c r="K113" s="25" t="s">
        <v>116</v>
      </c>
      <c r="L113" s="23"/>
      <c r="M113" s="23"/>
      <c r="N113" s="25" t="str">
        <f>"("""&amp;B113&amp;""") ("&amp;Vlookup(E113,DropDown!J:N,5,FALSE)&amp;" OR """ &amp;YEAR(D113) &amp; """ OR ""All New"" OR Episode OR Watch OR tv OR Show OR Series OR season OR binge OR Stream OR Film OR Movie OR Premiere OR Screening OR Feature OR Trailer OR Teaser OR theater OR release)"</f>
        <v>#N/A</v>
      </c>
      <c r="O113" s="23" t="str">
        <f t="shared" si="1"/>
        <v>#</v>
      </c>
      <c r="P113" s="23" t="str">
        <f t="shared" si="2"/>
        <v>#</v>
      </c>
      <c r="Q113" s="23"/>
      <c r="R113" s="23" t="str">
        <f>"("""&amp;B113&amp;""") ("&amp;Vlookup(E113,DropDown!R:V,5,FALSE)&amp;IF(ISBLANK(D113)," | "," "&amp;"OR """&amp;YEAR(D113)&amp;""" | ") &amp; """All New"" | Episode | Watch | tv | Show | Series | season | binge | Stream | Film | Movie | Premiere | Screening | Feature | Trailer | Teaser | theater | release)"</f>
        <v>#N/A</v>
      </c>
      <c r="S113" s="23"/>
      <c r="T113" s="23"/>
      <c r="U113" s="23"/>
      <c r="V113" s="23"/>
      <c r="W113" s="23"/>
      <c r="X113" s="38"/>
      <c r="Y113" s="38"/>
      <c r="Z113" s="38"/>
      <c r="AA113" s="38"/>
    </row>
    <row r="114">
      <c r="A114" s="31"/>
      <c r="B114" s="38"/>
      <c r="C114" s="38"/>
      <c r="D114" s="50"/>
      <c r="E114" s="50"/>
      <c r="F114" s="50"/>
      <c r="G114" s="27" t="str">
        <f>VLOOKUP(E114,DropDown!J:K,2,FALSE)</f>
        <v>#N/A</v>
      </c>
      <c r="H114" s="50"/>
      <c r="I114" s="50"/>
      <c r="J114" s="50"/>
      <c r="K114" s="25" t="s">
        <v>116</v>
      </c>
      <c r="L114" s="23"/>
      <c r="M114" s="23"/>
      <c r="N114" s="25" t="str">
        <f>"("""&amp;B114&amp;""") ("&amp;Vlookup(E114,DropDown!J:N,5,FALSE)&amp;" OR """ &amp;YEAR(D114) &amp; """ OR ""All New"" OR Episode OR Watch OR tv OR Show OR Series OR season OR binge OR Stream OR Film OR Movie OR Premiere OR Screening OR Feature OR Trailer OR Teaser OR theater OR release)"</f>
        <v>#N/A</v>
      </c>
      <c r="O114" s="23" t="str">
        <f t="shared" si="1"/>
        <v>#</v>
      </c>
      <c r="P114" s="23" t="str">
        <f t="shared" si="2"/>
        <v>#</v>
      </c>
      <c r="Q114" s="23"/>
      <c r="R114" s="23" t="str">
        <f>"("""&amp;B114&amp;""") ("&amp;Vlookup(E114,DropDown!R:V,5,FALSE)&amp;IF(ISBLANK(D114)," | "," "&amp;"OR """&amp;YEAR(D114)&amp;""" | ") &amp; """All New"" | Episode | Watch | tv | Show | Series | season | binge | Stream | Film | Movie | Premiere | Screening | Feature | Trailer | Teaser | theater | release)"</f>
        <v>#N/A</v>
      </c>
      <c r="S114" s="23"/>
      <c r="T114" s="23"/>
      <c r="U114" s="23"/>
      <c r="V114" s="23"/>
      <c r="W114" s="23"/>
      <c r="X114" s="38"/>
      <c r="Y114" s="38"/>
      <c r="Z114" s="38"/>
      <c r="AA114" s="38"/>
    </row>
    <row r="115">
      <c r="A115" s="31"/>
      <c r="B115" s="38"/>
      <c r="C115" s="38"/>
      <c r="D115" s="50"/>
      <c r="E115" s="50"/>
      <c r="F115" s="50"/>
      <c r="G115" s="27" t="str">
        <f>VLOOKUP(E115,DropDown!J:K,2,FALSE)</f>
        <v>#N/A</v>
      </c>
      <c r="H115" s="50"/>
      <c r="I115" s="50"/>
      <c r="J115" s="50"/>
      <c r="K115" s="25" t="s">
        <v>116</v>
      </c>
      <c r="L115" s="23"/>
      <c r="M115" s="23"/>
      <c r="N115" s="25" t="str">
        <f>"("""&amp;B115&amp;""") ("&amp;Vlookup(E115,DropDown!J:N,5,FALSE)&amp;" OR """ &amp;YEAR(D115) &amp; """ OR ""All New"" OR Episode OR Watch OR tv OR Show OR Series OR season OR binge OR Stream OR Film OR Movie OR Premiere OR Screening OR Feature OR Trailer OR Teaser OR theater OR release)"</f>
        <v>#N/A</v>
      </c>
      <c r="O115" s="23" t="str">
        <f t="shared" si="1"/>
        <v>#</v>
      </c>
      <c r="P115" s="23" t="str">
        <f t="shared" si="2"/>
        <v>#</v>
      </c>
      <c r="Q115" s="23"/>
      <c r="R115" s="23" t="str">
        <f>"("""&amp;B115&amp;""") ("&amp;Vlookup(E115,DropDown!R:V,5,FALSE)&amp;IF(ISBLANK(D115)," | "," "&amp;"OR """&amp;YEAR(D115)&amp;""" | ") &amp; """All New"" | Episode | Watch | tv | Show | Series | season | binge | Stream | Film | Movie | Premiere | Screening | Feature | Trailer | Teaser | theater | release)"</f>
        <v>#N/A</v>
      </c>
      <c r="S115" s="23"/>
      <c r="T115" s="23"/>
      <c r="U115" s="23"/>
      <c r="V115" s="23"/>
      <c r="W115" s="23"/>
      <c r="X115" s="38"/>
      <c r="Y115" s="38"/>
      <c r="Z115" s="38"/>
      <c r="AA115" s="38"/>
    </row>
    <row r="116">
      <c r="A116" s="31"/>
      <c r="B116" s="38"/>
      <c r="C116" s="38"/>
      <c r="D116" s="50"/>
      <c r="E116" s="50"/>
      <c r="F116" s="50"/>
      <c r="G116" s="27" t="str">
        <f>VLOOKUP(E116,DropDown!J:K,2,FALSE)</f>
        <v>#N/A</v>
      </c>
      <c r="H116" s="50"/>
      <c r="I116" s="50"/>
      <c r="J116" s="50"/>
      <c r="K116" s="25" t="s">
        <v>116</v>
      </c>
      <c r="L116" s="23"/>
      <c r="M116" s="23"/>
      <c r="N116" s="25" t="str">
        <f>"("""&amp;B116&amp;""") ("&amp;Vlookup(E116,DropDown!J:N,5,FALSE)&amp;" OR """ &amp;YEAR(D116) &amp; """ OR ""All New"" OR Episode OR Watch OR tv OR Show OR Series OR season OR binge OR Stream OR Film OR Movie OR Premiere OR Screening OR Feature OR Trailer OR Teaser OR theater OR release)"</f>
        <v>#N/A</v>
      </c>
      <c r="O116" s="23" t="str">
        <f t="shared" si="1"/>
        <v>#</v>
      </c>
      <c r="P116" s="23" t="str">
        <f t="shared" si="2"/>
        <v>#</v>
      </c>
      <c r="Q116" s="23"/>
      <c r="R116" s="23" t="str">
        <f>"("""&amp;B116&amp;""") ("&amp;Vlookup(E116,DropDown!R:V,5,FALSE)&amp;IF(ISBLANK(D116)," | "," "&amp;"OR """&amp;YEAR(D116)&amp;""" | ") &amp; """All New"" | Episode | Watch | tv | Show | Series | season | binge | Stream | Film | Movie | Premiere | Screening | Feature | Trailer | Teaser | theater | release)"</f>
        <v>#N/A</v>
      </c>
      <c r="S116" s="23"/>
      <c r="T116" s="23"/>
      <c r="U116" s="23"/>
      <c r="V116" s="23"/>
      <c r="W116" s="23"/>
      <c r="X116" s="38"/>
      <c r="Y116" s="38"/>
      <c r="Z116" s="38"/>
      <c r="AA116" s="38"/>
    </row>
    <row r="117">
      <c r="A117" s="31"/>
      <c r="B117" s="38"/>
      <c r="C117" s="38"/>
      <c r="D117" s="50"/>
      <c r="E117" s="50"/>
      <c r="F117" s="50"/>
      <c r="G117" s="27" t="str">
        <f>VLOOKUP(E117,DropDown!J:K,2,FALSE)</f>
        <v>#N/A</v>
      </c>
      <c r="H117" s="50"/>
      <c r="I117" s="50"/>
      <c r="J117" s="50"/>
      <c r="K117" s="25" t="s">
        <v>116</v>
      </c>
      <c r="L117" s="23"/>
      <c r="M117" s="23"/>
      <c r="N117" s="25" t="str">
        <f>"("""&amp;B117&amp;""") ("&amp;Vlookup(E117,DropDown!J:N,5,FALSE)&amp;" OR """ &amp;YEAR(D117) &amp; """ OR ""All New"" OR Episode OR Watch OR tv OR Show OR Series OR season OR binge OR Stream OR Film OR Movie OR Premiere OR Screening OR Feature OR Trailer OR Teaser OR theater OR release)"</f>
        <v>#N/A</v>
      </c>
      <c r="O117" s="23" t="str">
        <f t="shared" si="1"/>
        <v>#</v>
      </c>
      <c r="P117" s="23" t="str">
        <f t="shared" si="2"/>
        <v>#</v>
      </c>
      <c r="Q117" s="23"/>
      <c r="R117" s="23" t="str">
        <f>"("""&amp;B117&amp;""") ("&amp;Vlookup(E117,DropDown!R:V,5,FALSE)&amp;IF(ISBLANK(D117)," | "," "&amp;"OR """&amp;YEAR(D117)&amp;""" | ") &amp; """All New"" | Episode | Watch | tv | Show | Series | season | binge | Stream | Film | Movie | Premiere | Screening | Feature | Trailer | Teaser | theater | release)"</f>
        <v>#N/A</v>
      </c>
      <c r="S117" s="23"/>
      <c r="T117" s="23"/>
      <c r="U117" s="23"/>
      <c r="V117" s="23"/>
      <c r="W117" s="23"/>
      <c r="X117" s="38"/>
      <c r="Y117" s="38"/>
      <c r="Z117" s="38"/>
      <c r="AA117" s="38"/>
    </row>
    <row r="118">
      <c r="A118" s="31"/>
      <c r="B118" s="38"/>
      <c r="C118" s="38"/>
      <c r="D118" s="50"/>
      <c r="E118" s="50"/>
      <c r="F118" s="50"/>
      <c r="G118" s="27" t="str">
        <f>VLOOKUP(E118,DropDown!J:K,2,FALSE)</f>
        <v>#N/A</v>
      </c>
      <c r="H118" s="50"/>
      <c r="I118" s="50"/>
      <c r="J118" s="50"/>
      <c r="K118" s="25" t="s">
        <v>116</v>
      </c>
      <c r="L118" s="23"/>
      <c r="M118" s="23"/>
      <c r="N118" s="25" t="str">
        <f>"("""&amp;B118&amp;""") ("&amp;Vlookup(E118,DropDown!J:N,5,FALSE)&amp;" OR """ &amp;YEAR(D118) &amp; """ OR ""All New"" OR Episode OR Watch OR tv OR Show OR Series OR season OR binge OR Stream OR Film OR Movie OR Premiere OR Screening OR Feature OR Trailer OR Teaser OR theater OR release)"</f>
        <v>#N/A</v>
      </c>
      <c r="O118" s="23" t="str">
        <f t="shared" si="1"/>
        <v>#</v>
      </c>
      <c r="P118" s="23" t="str">
        <f t="shared" si="2"/>
        <v>#</v>
      </c>
      <c r="Q118" s="23"/>
      <c r="R118" s="23" t="str">
        <f>"("""&amp;B118&amp;""") ("&amp;Vlookup(E118,DropDown!R:V,5,FALSE)&amp;IF(ISBLANK(D118)," | "," "&amp;"OR """&amp;YEAR(D118)&amp;""" | ") &amp; """All New"" | Episode | Watch | tv | Show | Series | season | binge | Stream | Film | Movie | Premiere | Screening | Feature | Trailer | Teaser | theater | release)"</f>
        <v>#N/A</v>
      </c>
      <c r="S118" s="23"/>
      <c r="T118" s="23"/>
      <c r="U118" s="23"/>
      <c r="V118" s="23"/>
      <c r="W118" s="23"/>
      <c r="X118" s="38"/>
      <c r="Y118" s="38"/>
      <c r="Z118" s="38"/>
      <c r="AA118" s="38"/>
    </row>
    <row r="119">
      <c r="A119" s="31"/>
      <c r="B119" s="38"/>
      <c r="C119" s="38"/>
      <c r="D119" s="50"/>
      <c r="E119" s="50"/>
      <c r="F119" s="50"/>
      <c r="G119" s="27" t="str">
        <f>VLOOKUP(E119,DropDown!J:K,2,FALSE)</f>
        <v>#N/A</v>
      </c>
      <c r="H119" s="50"/>
      <c r="I119" s="50"/>
      <c r="J119" s="50"/>
      <c r="K119" s="25" t="s">
        <v>116</v>
      </c>
      <c r="L119" s="23"/>
      <c r="M119" s="23"/>
      <c r="N119" s="25" t="str">
        <f>"("""&amp;B119&amp;""") ("&amp;Vlookup(E119,DropDown!J:N,5,FALSE)&amp;" OR """ &amp;YEAR(D119) &amp; """ OR ""All New"" OR Episode OR Watch OR tv OR Show OR Series OR season OR binge OR Stream OR Film OR Movie OR Premiere OR Screening OR Feature OR Trailer OR Teaser OR theater OR release)"</f>
        <v>#N/A</v>
      </c>
      <c r="O119" s="23" t="str">
        <f t="shared" si="1"/>
        <v>#</v>
      </c>
      <c r="P119" s="23" t="str">
        <f t="shared" si="2"/>
        <v>#</v>
      </c>
      <c r="Q119" s="23"/>
      <c r="R119" s="23" t="str">
        <f>"("""&amp;B119&amp;""") ("&amp;Vlookup(E119,DropDown!R:V,5,FALSE)&amp;IF(ISBLANK(D119)," | "," "&amp;"OR """&amp;YEAR(D119)&amp;""" | ") &amp; """All New"" | Episode | Watch | tv | Show | Series | season | binge | Stream | Film | Movie | Premiere | Screening | Feature | Trailer | Teaser | theater | release)"</f>
        <v>#N/A</v>
      </c>
      <c r="S119" s="23"/>
      <c r="T119" s="23"/>
      <c r="U119" s="23"/>
      <c r="V119" s="23"/>
      <c r="W119" s="23"/>
      <c r="X119" s="38"/>
      <c r="Y119" s="38"/>
      <c r="Z119" s="38"/>
      <c r="AA119" s="38"/>
    </row>
    <row r="120">
      <c r="A120" s="31"/>
      <c r="B120" s="38"/>
      <c r="C120" s="38"/>
      <c r="D120" s="50"/>
      <c r="E120" s="50"/>
      <c r="F120" s="50"/>
      <c r="G120" s="27" t="str">
        <f>VLOOKUP(E120,DropDown!J:K,2,FALSE)</f>
        <v>#N/A</v>
      </c>
      <c r="H120" s="50"/>
      <c r="I120" s="50"/>
      <c r="J120" s="50"/>
      <c r="K120" s="25" t="s">
        <v>116</v>
      </c>
      <c r="L120" s="23"/>
      <c r="M120" s="23"/>
      <c r="N120" s="25" t="str">
        <f>"("""&amp;B120&amp;""") ("&amp;Vlookup(E120,DropDown!J:N,5,FALSE)&amp;" OR """ &amp;YEAR(D120) &amp; """ OR ""All New"" OR Episode OR Watch OR tv OR Show OR Series OR season OR binge OR Stream OR Film OR Movie OR Premiere OR Screening OR Feature OR Trailer OR Teaser OR theater OR release)"</f>
        <v>#N/A</v>
      </c>
      <c r="O120" s="23" t="str">
        <f t="shared" si="1"/>
        <v>#</v>
      </c>
      <c r="P120" s="23" t="str">
        <f t="shared" si="2"/>
        <v>#</v>
      </c>
      <c r="Q120" s="23"/>
      <c r="R120" s="23" t="str">
        <f>"("""&amp;B120&amp;""") ("&amp;Vlookup(E120,DropDown!R:V,5,FALSE)&amp;IF(ISBLANK(D120)," | "," "&amp;"OR """&amp;YEAR(D120)&amp;""" | ") &amp; """All New"" | Episode | Watch | tv | Show | Series | season | binge | Stream | Film | Movie | Premiere | Screening | Feature | Trailer | Teaser | theater | release)"</f>
        <v>#N/A</v>
      </c>
      <c r="S120" s="23"/>
      <c r="T120" s="23"/>
      <c r="U120" s="23"/>
      <c r="V120" s="23"/>
      <c r="W120" s="23"/>
      <c r="X120" s="38"/>
      <c r="Y120" s="38"/>
      <c r="Z120" s="38"/>
      <c r="AA120" s="38"/>
    </row>
    <row r="121">
      <c r="A121" s="31"/>
      <c r="B121" s="38"/>
      <c r="C121" s="38"/>
      <c r="D121" s="50"/>
      <c r="E121" s="50"/>
      <c r="F121" s="50"/>
      <c r="G121" s="27" t="str">
        <f>VLOOKUP(E121,DropDown!J:K,2,FALSE)</f>
        <v>#N/A</v>
      </c>
      <c r="H121" s="50"/>
      <c r="I121" s="50"/>
      <c r="J121" s="50"/>
      <c r="K121" s="25" t="s">
        <v>116</v>
      </c>
      <c r="L121" s="23"/>
      <c r="M121" s="23"/>
      <c r="N121" s="25" t="str">
        <f>"("""&amp;B121&amp;""") ("&amp;Vlookup(E121,DropDown!J:N,5,FALSE)&amp;" OR """ &amp;YEAR(D121) &amp; """ OR ""All New"" OR Episode OR Watch OR tv OR Show OR Series OR season OR binge OR Stream OR Film OR Movie OR Premiere OR Screening OR Feature OR Trailer OR Teaser OR theater OR release)"</f>
        <v>#N/A</v>
      </c>
      <c r="O121" s="23" t="str">
        <f t="shared" si="1"/>
        <v>#</v>
      </c>
      <c r="P121" s="23" t="str">
        <f t="shared" si="2"/>
        <v>#</v>
      </c>
      <c r="Q121" s="23"/>
      <c r="R121" s="23" t="str">
        <f>"("""&amp;B121&amp;""") ("&amp;Vlookup(E121,DropDown!R:V,5,FALSE)&amp;IF(ISBLANK(D121)," | "," "&amp;"OR """&amp;YEAR(D121)&amp;""" | ") &amp; """All New"" | Episode | Watch | tv | Show | Series | season | binge | Stream | Film | Movie | Premiere | Screening | Feature | Trailer | Teaser | theater | release)"</f>
        <v>#N/A</v>
      </c>
      <c r="S121" s="23"/>
      <c r="T121" s="23"/>
      <c r="U121" s="23"/>
      <c r="V121" s="23"/>
      <c r="W121" s="23"/>
      <c r="X121" s="38"/>
      <c r="Y121" s="38"/>
      <c r="Z121" s="38"/>
      <c r="AA121" s="38"/>
    </row>
    <row r="122">
      <c r="A122" s="31"/>
      <c r="B122" s="38"/>
      <c r="C122" s="38"/>
      <c r="D122" s="50"/>
      <c r="E122" s="50"/>
      <c r="F122" s="50"/>
      <c r="G122" s="27" t="str">
        <f>VLOOKUP(E122,DropDown!J:K,2,FALSE)</f>
        <v>#N/A</v>
      </c>
      <c r="H122" s="50"/>
      <c r="I122" s="50"/>
      <c r="J122" s="50"/>
      <c r="K122" s="25" t="s">
        <v>116</v>
      </c>
      <c r="L122" s="23"/>
      <c r="M122" s="23"/>
      <c r="N122" s="25" t="str">
        <f>"("""&amp;B122&amp;""") ("&amp;Vlookup(E122,DropDown!J:N,5,FALSE)&amp;" OR """ &amp;YEAR(D122) &amp; """ OR ""All New"" OR Episode OR Watch OR tv OR Show OR Series OR season OR binge OR Stream OR Film OR Movie OR Premiere OR Screening OR Feature OR Trailer OR Teaser OR theater OR release)"</f>
        <v>#N/A</v>
      </c>
      <c r="O122" s="23" t="str">
        <f t="shared" si="1"/>
        <v>#</v>
      </c>
      <c r="P122" s="23" t="str">
        <f t="shared" si="2"/>
        <v>#</v>
      </c>
      <c r="Q122" s="23"/>
      <c r="R122" s="23" t="str">
        <f>"("""&amp;B122&amp;""") ("&amp;Vlookup(E122,DropDown!R:V,5,FALSE)&amp;IF(ISBLANK(D122)," | "," "&amp;"OR """&amp;YEAR(D122)&amp;""" | ") &amp; """All New"" | Episode | Watch | tv | Show | Series | season | binge | Stream | Film | Movie | Premiere | Screening | Feature | Trailer | Teaser | theater | release)"</f>
        <v>#N/A</v>
      </c>
      <c r="S122" s="23"/>
      <c r="T122" s="23"/>
      <c r="U122" s="23"/>
      <c r="V122" s="23"/>
      <c r="W122" s="23"/>
      <c r="X122" s="38"/>
      <c r="Y122" s="38"/>
      <c r="Z122" s="38"/>
      <c r="AA122" s="38"/>
    </row>
    <row r="123">
      <c r="A123" s="31"/>
      <c r="B123" s="38"/>
      <c r="C123" s="38"/>
      <c r="D123" s="50"/>
      <c r="E123" s="50"/>
      <c r="F123" s="50"/>
      <c r="G123" s="27" t="str">
        <f>VLOOKUP(E123,DropDown!J:K,2,FALSE)</f>
        <v>#N/A</v>
      </c>
      <c r="H123" s="50"/>
      <c r="I123" s="50"/>
      <c r="J123" s="50"/>
      <c r="K123" s="25" t="s">
        <v>116</v>
      </c>
      <c r="L123" s="23"/>
      <c r="M123" s="23"/>
      <c r="N123" s="25" t="str">
        <f>"("""&amp;B123&amp;""") ("&amp;Vlookup(E123,DropDown!J:N,5,FALSE)&amp;" OR """ &amp;YEAR(D123) &amp; """ OR ""All New"" OR Episode OR Watch OR tv OR Show OR Series OR season OR binge OR Stream OR Film OR Movie OR Premiere OR Screening OR Feature OR Trailer OR Teaser OR theater OR release)"</f>
        <v>#N/A</v>
      </c>
      <c r="O123" s="23" t="str">
        <f t="shared" si="1"/>
        <v>#</v>
      </c>
      <c r="P123" s="23" t="str">
        <f t="shared" si="2"/>
        <v>#</v>
      </c>
      <c r="Q123" s="23"/>
      <c r="R123" s="23" t="str">
        <f>"("""&amp;B123&amp;""") ("&amp;Vlookup(E123,DropDown!R:V,5,FALSE)&amp;IF(ISBLANK(D123)," | "," "&amp;"OR """&amp;YEAR(D123)&amp;""" | ") &amp; """All New"" | Episode | Watch | tv | Show | Series | season | binge | Stream | Film | Movie | Premiere | Screening | Feature | Trailer | Teaser | theater | release)"</f>
        <v>#N/A</v>
      </c>
      <c r="S123" s="23"/>
      <c r="T123" s="23"/>
      <c r="U123" s="23"/>
      <c r="V123" s="23"/>
      <c r="W123" s="23"/>
      <c r="X123" s="38"/>
      <c r="Y123" s="38"/>
      <c r="Z123" s="38"/>
      <c r="AA123" s="38"/>
    </row>
    <row r="124">
      <c r="A124" s="31"/>
      <c r="B124" s="38"/>
      <c r="C124" s="38"/>
      <c r="D124" s="50"/>
      <c r="E124" s="50"/>
      <c r="F124" s="50"/>
      <c r="G124" s="27" t="str">
        <f>VLOOKUP(E124,DropDown!J:K,2,FALSE)</f>
        <v>#N/A</v>
      </c>
      <c r="H124" s="50"/>
      <c r="I124" s="50"/>
      <c r="J124" s="50"/>
      <c r="K124" s="25" t="s">
        <v>116</v>
      </c>
      <c r="L124" s="23"/>
      <c r="M124" s="23"/>
      <c r="N124" s="25" t="str">
        <f>"("""&amp;B124&amp;""") ("&amp;Vlookup(E124,DropDown!J:N,5,FALSE)&amp;" OR """ &amp;YEAR(D124) &amp; """ OR ""All New"" OR Episode OR Watch OR tv OR Show OR Series OR season OR binge OR Stream OR Film OR Movie OR Premiere OR Screening OR Feature OR Trailer OR Teaser OR theater OR release)"</f>
        <v>#N/A</v>
      </c>
      <c r="O124" s="23" t="str">
        <f t="shared" si="1"/>
        <v>#</v>
      </c>
      <c r="P124" s="23" t="str">
        <f t="shared" si="2"/>
        <v>#</v>
      </c>
      <c r="Q124" s="23"/>
      <c r="R124" s="23" t="str">
        <f>"("""&amp;B124&amp;""") ("&amp;Vlookup(E124,DropDown!R:V,5,FALSE)&amp;IF(ISBLANK(D124)," | "," "&amp;"OR """&amp;YEAR(D124)&amp;""" | ") &amp; """All New"" | Episode | Watch | tv | Show | Series | season | binge | Stream | Film | Movie | Premiere | Screening | Feature | Trailer | Teaser | theater | release)"</f>
        <v>#N/A</v>
      </c>
      <c r="S124" s="23"/>
      <c r="T124" s="23"/>
      <c r="U124" s="23"/>
      <c r="V124" s="23"/>
      <c r="W124" s="23"/>
      <c r="X124" s="38"/>
      <c r="Y124" s="38"/>
      <c r="Z124" s="38"/>
      <c r="AA124" s="38"/>
    </row>
    <row r="125">
      <c r="A125" s="31"/>
      <c r="B125" s="38"/>
      <c r="C125" s="38"/>
      <c r="D125" s="50"/>
      <c r="E125" s="50"/>
      <c r="F125" s="50"/>
      <c r="G125" s="27" t="str">
        <f>VLOOKUP(E125,DropDown!J:K,2,FALSE)</f>
        <v>#N/A</v>
      </c>
      <c r="H125" s="50"/>
      <c r="I125" s="50"/>
      <c r="J125" s="50"/>
      <c r="K125" s="25" t="s">
        <v>116</v>
      </c>
      <c r="L125" s="23"/>
      <c r="M125" s="23"/>
      <c r="N125" s="25" t="str">
        <f>"("""&amp;B125&amp;""") ("&amp;Vlookup(E125,DropDown!J:N,5,FALSE)&amp;" OR """ &amp;YEAR(D125) &amp; """ OR ""All New"" OR Episode OR Watch OR tv OR Show OR Series OR season OR binge OR Stream OR Film OR Movie OR Premiere OR Screening OR Feature OR Trailer OR Teaser OR theater OR release)"</f>
        <v>#N/A</v>
      </c>
      <c r="O125" s="23" t="str">
        <f t="shared" si="1"/>
        <v>#</v>
      </c>
      <c r="P125" s="23" t="str">
        <f t="shared" si="2"/>
        <v>#</v>
      </c>
      <c r="Q125" s="23"/>
      <c r="R125" s="23" t="str">
        <f>"("""&amp;B125&amp;""") ("&amp;Vlookup(E125,DropDown!R:V,5,FALSE)&amp;IF(ISBLANK(D125)," | "," "&amp;"OR """&amp;YEAR(D125)&amp;""" | ") &amp; """All New"" | Episode | Watch | tv | Show | Series | season | binge | Stream | Film | Movie | Premiere | Screening | Feature | Trailer | Teaser | theater | release)"</f>
        <v>#N/A</v>
      </c>
      <c r="S125" s="23"/>
      <c r="T125" s="23"/>
      <c r="U125" s="23"/>
      <c r="V125" s="23"/>
      <c r="W125" s="23"/>
      <c r="X125" s="38"/>
      <c r="Y125" s="38"/>
      <c r="Z125" s="38"/>
      <c r="AA125" s="38"/>
    </row>
    <row r="126">
      <c r="A126" s="31"/>
      <c r="B126" s="38"/>
      <c r="C126" s="38"/>
      <c r="D126" s="50"/>
      <c r="E126" s="50"/>
      <c r="F126" s="50"/>
      <c r="G126" s="27" t="str">
        <f>VLOOKUP(E126,DropDown!J:K,2,FALSE)</f>
        <v>#N/A</v>
      </c>
      <c r="H126" s="50"/>
      <c r="I126" s="50"/>
      <c r="J126" s="50"/>
      <c r="K126" s="25" t="s">
        <v>116</v>
      </c>
      <c r="L126" s="23"/>
      <c r="M126" s="23"/>
      <c r="N126" s="25" t="str">
        <f>"("""&amp;B126&amp;""") ("&amp;Vlookup(E126,DropDown!J:N,5,FALSE)&amp;" OR """ &amp;YEAR(D126) &amp; """ OR ""All New"" OR Episode OR Watch OR tv OR Show OR Series OR season OR binge OR Stream OR Film OR Movie OR Premiere OR Screening OR Feature OR Trailer OR Teaser OR theater OR release)"</f>
        <v>#N/A</v>
      </c>
      <c r="O126" s="23" t="str">
        <f t="shared" si="1"/>
        <v>#</v>
      </c>
      <c r="P126" s="23" t="str">
        <f t="shared" si="2"/>
        <v>#</v>
      </c>
      <c r="Q126" s="23"/>
      <c r="R126" s="23" t="str">
        <f>"("""&amp;B126&amp;""") ("&amp;Vlookup(E126,DropDown!R:V,5,FALSE)&amp;IF(ISBLANK(D126)," | "," "&amp;"OR """&amp;YEAR(D126)&amp;""" | ") &amp; """All New"" | Episode | Watch | tv | Show | Series | season | binge | Stream | Film | Movie | Premiere | Screening | Feature | Trailer | Teaser | theater | release)"</f>
        <v>#N/A</v>
      </c>
      <c r="S126" s="23"/>
      <c r="T126" s="23"/>
      <c r="U126" s="23"/>
      <c r="V126" s="23"/>
      <c r="W126" s="23"/>
      <c r="X126" s="38"/>
      <c r="Y126" s="38"/>
      <c r="Z126" s="38"/>
      <c r="AA126" s="38"/>
    </row>
    <row r="127">
      <c r="A127" s="31"/>
      <c r="B127" s="38"/>
      <c r="C127" s="38"/>
      <c r="D127" s="50"/>
      <c r="E127" s="50"/>
      <c r="F127" s="50"/>
      <c r="G127" s="27" t="str">
        <f>VLOOKUP(E127,DropDown!J:K,2,FALSE)</f>
        <v>#N/A</v>
      </c>
      <c r="H127" s="50"/>
      <c r="I127" s="50"/>
      <c r="J127" s="50"/>
      <c r="K127" s="25" t="s">
        <v>116</v>
      </c>
      <c r="L127" s="23"/>
      <c r="M127" s="23"/>
      <c r="N127" s="25" t="str">
        <f>"("""&amp;B127&amp;""") ("&amp;Vlookup(E127,DropDown!J:N,5,FALSE)&amp;" OR """ &amp;YEAR(D127) &amp; """ OR ""All New"" OR Episode OR Watch OR tv OR Show OR Series OR season OR binge OR Stream OR Film OR Movie OR Premiere OR Screening OR Feature OR Trailer OR Teaser OR theater OR release)"</f>
        <v>#N/A</v>
      </c>
      <c r="O127" s="23" t="str">
        <f t="shared" si="1"/>
        <v>#</v>
      </c>
      <c r="P127" s="23" t="str">
        <f t="shared" si="2"/>
        <v>#</v>
      </c>
      <c r="Q127" s="23"/>
      <c r="R127" s="23" t="str">
        <f>"("""&amp;B127&amp;""") ("&amp;Vlookup(E127,DropDown!R:V,5,FALSE)&amp;IF(ISBLANK(D127)," | "," "&amp;"OR """&amp;YEAR(D127)&amp;""" | ") &amp; """All New"" | Episode | Watch | tv | Show | Series | season | binge | Stream | Film | Movie | Premiere | Screening | Feature | Trailer | Teaser | theater | release)"</f>
        <v>#N/A</v>
      </c>
      <c r="S127" s="23"/>
      <c r="T127" s="23"/>
      <c r="U127" s="23"/>
      <c r="V127" s="23"/>
      <c r="W127" s="23"/>
      <c r="X127" s="38"/>
      <c r="Y127" s="38"/>
      <c r="Z127" s="38"/>
      <c r="AA127" s="38"/>
    </row>
    <row r="128">
      <c r="A128" s="31"/>
      <c r="B128" s="38"/>
      <c r="C128" s="38"/>
      <c r="D128" s="50"/>
      <c r="E128" s="50"/>
      <c r="F128" s="50"/>
      <c r="G128" s="27" t="str">
        <f>VLOOKUP(E128,DropDown!J:K,2,FALSE)</f>
        <v>#N/A</v>
      </c>
      <c r="H128" s="50"/>
      <c r="I128" s="50"/>
      <c r="J128" s="50"/>
      <c r="K128" s="25" t="s">
        <v>116</v>
      </c>
      <c r="L128" s="23"/>
      <c r="M128" s="23"/>
      <c r="N128" s="25" t="str">
        <f>"("""&amp;B128&amp;""") ("&amp;Vlookup(E128,DropDown!J:N,5,FALSE)&amp;" OR """ &amp;YEAR(D128) &amp; """ OR ""All New"" OR Episode OR Watch OR tv OR Show OR Series OR season OR binge OR Stream OR Film OR Movie OR Premiere OR Screening OR Feature OR Trailer OR Teaser OR theater OR release)"</f>
        <v>#N/A</v>
      </c>
      <c r="O128" s="23" t="str">
        <f t="shared" si="1"/>
        <v>#</v>
      </c>
      <c r="P128" s="23" t="str">
        <f t="shared" si="2"/>
        <v>#</v>
      </c>
      <c r="Q128" s="23"/>
      <c r="R128" s="23" t="str">
        <f>"("""&amp;B128&amp;""") ("&amp;Vlookup(E128,DropDown!R:V,5,FALSE)&amp;IF(ISBLANK(D128)," | "," "&amp;"OR """&amp;YEAR(D128)&amp;""" | ") &amp; """All New"" | Episode | Watch | tv | Show | Series | season | binge | Stream | Film | Movie | Premiere | Screening | Feature | Trailer | Teaser | theater | release)"</f>
        <v>#N/A</v>
      </c>
      <c r="S128" s="23"/>
      <c r="T128" s="23"/>
      <c r="U128" s="23"/>
      <c r="V128" s="23"/>
      <c r="W128" s="23"/>
      <c r="X128" s="38"/>
      <c r="Y128" s="38"/>
      <c r="Z128" s="38"/>
      <c r="AA128" s="38"/>
    </row>
    <row r="129">
      <c r="A129" s="31"/>
      <c r="B129" s="38"/>
      <c r="C129" s="38"/>
      <c r="D129" s="50"/>
      <c r="E129" s="50"/>
      <c r="F129" s="50"/>
      <c r="G129" s="27" t="str">
        <f>VLOOKUP(E129,DropDown!J:K,2,FALSE)</f>
        <v>#N/A</v>
      </c>
      <c r="H129" s="50"/>
      <c r="I129" s="50"/>
      <c r="J129" s="50"/>
      <c r="K129" s="25" t="s">
        <v>116</v>
      </c>
      <c r="L129" s="23"/>
      <c r="M129" s="23"/>
      <c r="N129" s="25" t="str">
        <f>"("""&amp;B129&amp;""") ("&amp;Vlookup(E129,DropDown!J:N,5,FALSE)&amp;" OR """ &amp;YEAR(D129) &amp; """ OR ""All New"" OR Episode OR Watch OR tv OR Show OR Series OR season OR binge OR Stream OR Film OR Movie OR Premiere OR Screening OR Feature OR Trailer OR Teaser OR theater OR release)"</f>
        <v>#N/A</v>
      </c>
      <c r="O129" s="23" t="str">
        <f t="shared" si="1"/>
        <v>#</v>
      </c>
      <c r="P129" s="23" t="str">
        <f t="shared" si="2"/>
        <v>#</v>
      </c>
      <c r="Q129" s="23"/>
      <c r="R129" s="23" t="str">
        <f>"("""&amp;B129&amp;""") ("&amp;Vlookup(E129,DropDown!R:V,5,FALSE)&amp;IF(ISBLANK(D129)," | "," "&amp;"OR """&amp;YEAR(D129)&amp;""" | ") &amp; """All New"" | Episode | Watch | tv | Show | Series | season | binge | Stream | Film | Movie | Premiere | Screening | Feature | Trailer | Teaser | theater | release)"</f>
        <v>#N/A</v>
      </c>
      <c r="S129" s="23"/>
      <c r="T129" s="23"/>
      <c r="U129" s="23"/>
      <c r="V129" s="23"/>
      <c r="W129" s="23"/>
      <c r="X129" s="38"/>
      <c r="Y129" s="38"/>
      <c r="Z129" s="38"/>
      <c r="AA129" s="38"/>
    </row>
    <row r="130">
      <c r="A130" s="31"/>
      <c r="B130" s="38"/>
      <c r="C130" s="38"/>
      <c r="D130" s="50"/>
      <c r="E130" s="50"/>
      <c r="F130" s="50"/>
      <c r="G130" s="27" t="str">
        <f>VLOOKUP(E130,DropDown!J:K,2,FALSE)</f>
        <v>#N/A</v>
      </c>
      <c r="H130" s="50"/>
      <c r="I130" s="50"/>
      <c r="J130" s="50"/>
      <c r="K130" s="25" t="s">
        <v>116</v>
      </c>
      <c r="L130" s="23"/>
      <c r="M130" s="23"/>
      <c r="N130" s="25" t="str">
        <f>"("""&amp;B130&amp;""") ("&amp;Vlookup(E130,DropDown!J:N,5,FALSE)&amp;" OR """ &amp;YEAR(D130) &amp; """ OR ""All New"" OR Episode OR Watch OR tv OR Show OR Series OR season OR binge OR Stream OR Film OR Movie OR Premiere OR Screening OR Feature OR Trailer OR Teaser OR theater OR release)"</f>
        <v>#N/A</v>
      </c>
      <c r="O130" s="23" t="str">
        <f t="shared" si="1"/>
        <v>#</v>
      </c>
      <c r="P130" s="23" t="str">
        <f t="shared" si="2"/>
        <v>#</v>
      </c>
      <c r="Q130" s="23"/>
      <c r="R130" s="23" t="str">
        <f>"("""&amp;B130&amp;""") ("&amp;Vlookup(E130,DropDown!R:V,5,FALSE)&amp;IF(ISBLANK(D130)," | "," "&amp;"OR """&amp;YEAR(D130)&amp;""" | ") &amp; """All New"" | Episode | Watch | tv | Show | Series | season | binge | Stream | Film | Movie | Premiere | Screening | Feature | Trailer | Teaser | theater | release)"</f>
        <v>#N/A</v>
      </c>
      <c r="S130" s="23"/>
      <c r="T130" s="23"/>
      <c r="U130" s="23"/>
      <c r="V130" s="23"/>
      <c r="W130" s="23"/>
      <c r="X130" s="38"/>
      <c r="Y130" s="38"/>
      <c r="Z130" s="38"/>
      <c r="AA130" s="38"/>
    </row>
    <row r="131">
      <c r="A131" s="31"/>
      <c r="B131" s="38"/>
      <c r="C131" s="38"/>
      <c r="D131" s="50"/>
      <c r="E131" s="50"/>
      <c r="F131" s="50"/>
      <c r="G131" s="27" t="str">
        <f>VLOOKUP(E131,DropDown!J:K,2,FALSE)</f>
        <v>#N/A</v>
      </c>
      <c r="H131" s="50"/>
      <c r="I131" s="50"/>
      <c r="J131" s="50"/>
      <c r="K131" s="25" t="s">
        <v>116</v>
      </c>
      <c r="L131" s="23"/>
      <c r="M131" s="23"/>
      <c r="N131" s="25" t="str">
        <f>"("""&amp;B131&amp;""") ("&amp;Vlookup(E131,DropDown!J:N,5,FALSE)&amp;" OR """ &amp;YEAR(D131) &amp; """ OR ""All New"" OR Episode OR Watch OR tv OR Show OR Series OR season OR binge OR Stream OR Film OR Movie OR Premiere OR Screening OR Feature OR Trailer OR Teaser OR theater OR release)"</f>
        <v>#N/A</v>
      </c>
      <c r="O131" s="23" t="str">
        <f t="shared" si="1"/>
        <v>#</v>
      </c>
      <c r="P131" s="23" t="str">
        <f t="shared" si="2"/>
        <v>#</v>
      </c>
      <c r="Q131" s="23"/>
      <c r="R131" s="23" t="str">
        <f>"("""&amp;B131&amp;""") ("&amp;Vlookup(E131,DropDown!R:V,5,FALSE)&amp;IF(ISBLANK(D131)," | "," "&amp;"OR """&amp;YEAR(D131)&amp;""" | ") &amp; """All New"" | Episode | Watch | tv | Show | Series | season | binge | Stream | Film | Movie | Premiere | Screening | Feature | Trailer | Teaser | theater | release)"</f>
        <v>#N/A</v>
      </c>
      <c r="S131" s="23"/>
      <c r="T131" s="23"/>
      <c r="U131" s="23"/>
      <c r="V131" s="23"/>
      <c r="W131" s="23"/>
      <c r="X131" s="38"/>
      <c r="Y131" s="38"/>
      <c r="Z131" s="38"/>
      <c r="AA131" s="38"/>
    </row>
    <row r="132">
      <c r="A132" s="31"/>
      <c r="B132" s="38"/>
      <c r="C132" s="38"/>
      <c r="D132" s="50"/>
      <c r="E132" s="50"/>
      <c r="F132" s="50"/>
      <c r="G132" s="27" t="str">
        <f>VLOOKUP(E132,DropDown!J:K,2,FALSE)</f>
        <v>#N/A</v>
      </c>
      <c r="H132" s="50"/>
      <c r="I132" s="50"/>
      <c r="J132" s="50"/>
      <c r="K132" s="25" t="s">
        <v>116</v>
      </c>
      <c r="L132" s="23"/>
      <c r="M132" s="23"/>
      <c r="N132" s="25" t="str">
        <f>"("""&amp;B132&amp;""") ("&amp;Vlookup(E132,DropDown!J:N,5,FALSE)&amp;" OR """ &amp;YEAR(D132) &amp; """ OR ""All New"" OR Episode OR Watch OR tv OR Show OR Series OR season OR binge OR Stream OR Film OR Movie OR Premiere OR Screening OR Feature OR Trailer OR Teaser OR theater OR release)"</f>
        <v>#N/A</v>
      </c>
      <c r="O132" s="23" t="str">
        <f t="shared" si="1"/>
        <v>#</v>
      </c>
      <c r="P132" s="23" t="str">
        <f t="shared" si="2"/>
        <v>#</v>
      </c>
      <c r="Q132" s="23"/>
      <c r="R132" s="23" t="str">
        <f>"("""&amp;B132&amp;""") ("&amp;Vlookup(E132,DropDown!R:V,5,FALSE)&amp;IF(ISBLANK(D132)," | "," "&amp;"OR """&amp;YEAR(D132)&amp;""" | ") &amp; """All New"" | Episode | Watch | tv | Show | Series | season | binge | Stream | Film | Movie | Premiere | Screening | Feature | Trailer | Teaser | theater | release)"</f>
        <v>#N/A</v>
      </c>
      <c r="S132" s="23"/>
      <c r="T132" s="23"/>
      <c r="U132" s="23"/>
      <c r="V132" s="23"/>
      <c r="W132" s="23"/>
      <c r="X132" s="38"/>
      <c r="Y132" s="38"/>
      <c r="Z132" s="38"/>
      <c r="AA132" s="38"/>
    </row>
    <row r="133">
      <c r="A133" s="31"/>
      <c r="B133" s="38"/>
      <c r="C133" s="38"/>
      <c r="D133" s="50"/>
      <c r="E133" s="50"/>
      <c r="F133" s="50"/>
      <c r="G133" s="27" t="str">
        <f>VLOOKUP(E133,DropDown!J:K,2,FALSE)</f>
        <v>#N/A</v>
      </c>
      <c r="H133" s="50"/>
      <c r="I133" s="50"/>
      <c r="J133" s="50"/>
      <c r="K133" s="25" t="s">
        <v>116</v>
      </c>
      <c r="L133" s="23"/>
      <c r="M133" s="23"/>
      <c r="N133" s="25" t="str">
        <f>"("""&amp;B133&amp;""") ("&amp;Vlookup(E133,DropDown!J:N,5,FALSE)&amp;" OR """ &amp;YEAR(D133) &amp; """ OR ""All New"" OR Episode OR Watch OR tv OR Show OR Series OR season OR binge OR Stream OR Film OR Movie OR Premiere OR Screening OR Feature OR Trailer OR Teaser OR theater OR release)"</f>
        <v>#N/A</v>
      </c>
      <c r="O133" s="23" t="str">
        <f t="shared" si="1"/>
        <v>#</v>
      </c>
      <c r="P133" s="23" t="str">
        <f t="shared" si="2"/>
        <v>#</v>
      </c>
      <c r="Q133" s="23"/>
      <c r="R133" s="23" t="str">
        <f>"("""&amp;B133&amp;""") ("&amp;Vlookup(E133,DropDown!R:V,5,FALSE)&amp;IF(ISBLANK(D133)," | "," "&amp;"OR """&amp;YEAR(D133)&amp;""" | ") &amp; """All New"" | Episode | Watch | tv | Show | Series | season | binge | Stream | Film | Movie | Premiere | Screening | Feature | Trailer | Teaser | theater | release)"</f>
        <v>#N/A</v>
      </c>
      <c r="S133" s="23"/>
      <c r="T133" s="23"/>
      <c r="U133" s="23"/>
      <c r="V133" s="23"/>
      <c r="W133" s="23"/>
      <c r="X133" s="38"/>
      <c r="Y133" s="38"/>
      <c r="Z133" s="38"/>
      <c r="AA133" s="38"/>
    </row>
    <row r="134">
      <c r="A134" s="31"/>
      <c r="B134" s="38"/>
      <c r="C134" s="38"/>
      <c r="D134" s="50"/>
      <c r="E134" s="50"/>
      <c r="F134" s="50"/>
      <c r="G134" s="27" t="str">
        <f>VLOOKUP(E134,DropDown!J:K,2,FALSE)</f>
        <v>#N/A</v>
      </c>
      <c r="H134" s="50"/>
      <c r="I134" s="50"/>
      <c r="J134" s="50"/>
      <c r="K134" s="25" t="s">
        <v>116</v>
      </c>
      <c r="L134" s="23"/>
      <c r="M134" s="23"/>
      <c r="N134" s="25" t="str">
        <f>"("""&amp;B134&amp;""") ("&amp;Vlookup(E134,DropDown!J:N,5,FALSE)&amp;" OR """ &amp;YEAR(D134) &amp; """ OR ""All New"" OR Episode OR Watch OR tv OR Show OR Series OR season OR binge OR Stream OR Film OR Movie OR Premiere OR Screening OR Feature OR Trailer OR Teaser OR theater OR release)"</f>
        <v>#N/A</v>
      </c>
      <c r="O134" s="23" t="str">
        <f t="shared" si="1"/>
        <v>#</v>
      </c>
      <c r="P134" s="23" t="str">
        <f t="shared" si="2"/>
        <v>#</v>
      </c>
      <c r="Q134" s="23"/>
      <c r="R134" s="23" t="str">
        <f>"("""&amp;B134&amp;""") ("&amp;Vlookup(E134,DropDown!R:V,5,FALSE)&amp;IF(ISBLANK(D134)," | "," "&amp;"OR """&amp;YEAR(D134)&amp;""" | ") &amp; """All New"" | Episode | Watch | tv | Show | Series | season | binge | Stream | Film | Movie | Premiere | Screening | Feature | Trailer | Teaser | theater | release)"</f>
        <v>#N/A</v>
      </c>
      <c r="S134" s="23"/>
      <c r="T134" s="23"/>
      <c r="U134" s="23"/>
      <c r="V134" s="23"/>
      <c r="W134" s="23"/>
      <c r="X134" s="38"/>
      <c r="Y134" s="38"/>
      <c r="Z134" s="38"/>
      <c r="AA134" s="38"/>
    </row>
    <row r="135">
      <c r="A135" s="31"/>
      <c r="B135" s="38"/>
      <c r="C135" s="38"/>
      <c r="D135" s="50"/>
      <c r="E135" s="50"/>
      <c r="F135" s="50"/>
      <c r="G135" s="27" t="str">
        <f>VLOOKUP(E135,DropDown!J:K,2,FALSE)</f>
        <v>#N/A</v>
      </c>
      <c r="H135" s="50"/>
      <c r="I135" s="50"/>
      <c r="J135" s="50"/>
      <c r="K135" s="25" t="s">
        <v>116</v>
      </c>
      <c r="L135" s="23"/>
      <c r="M135" s="23"/>
      <c r="N135" s="25" t="str">
        <f>"("""&amp;B135&amp;""") ("&amp;Vlookup(E135,DropDown!J:N,5,FALSE)&amp;" OR """ &amp;YEAR(D135) &amp; """ OR ""All New"" OR Episode OR Watch OR tv OR Show OR Series OR season OR binge OR Stream OR Film OR Movie OR Premiere OR Screening OR Feature OR Trailer OR Teaser OR theater OR release)"</f>
        <v>#N/A</v>
      </c>
      <c r="O135" s="23" t="str">
        <f t="shared" si="1"/>
        <v>#</v>
      </c>
      <c r="P135" s="23" t="str">
        <f t="shared" si="2"/>
        <v>#</v>
      </c>
      <c r="Q135" s="23"/>
      <c r="R135" s="23" t="str">
        <f>"("""&amp;B135&amp;""") ("&amp;Vlookup(E135,DropDown!R:V,5,FALSE)&amp;IF(ISBLANK(D135)," | "," "&amp;"OR """&amp;YEAR(D135)&amp;""" | ") &amp; """All New"" | Episode | Watch | tv | Show | Series | season | binge | Stream | Film | Movie | Premiere | Screening | Feature | Trailer | Teaser | theater | release)"</f>
        <v>#N/A</v>
      </c>
      <c r="S135" s="23"/>
      <c r="T135" s="23"/>
      <c r="U135" s="23"/>
      <c r="V135" s="23"/>
      <c r="W135" s="23"/>
      <c r="X135" s="38"/>
      <c r="Y135" s="38"/>
      <c r="Z135" s="38"/>
      <c r="AA135" s="38"/>
    </row>
    <row r="136">
      <c r="A136" s="31"/>
      <c r="B136" s="38"/>
      <c r="C136" s="38"/>
      <c r="D136" s="50"/>
      <c r="E136" s="50"/>
      <c r="F136" s="50"/>
      <c r="G136" s="27" t="str">
        <f>VLOOKUP(E136,DropDown!J:K,2,FALSE)</f>
        <v>#N/A</v>
      </c>
      <c r="H136" s="50"/>
      <c r="I136" s="50"/>
      <c r="J136" s="50"/>
      <c r="K136" s="25" t="s">
        <v>116</v>
      </c>
      <c r="L136" s="23"/>
      <c r="M136" s="23"/>
      <c r="N136" s="25" t="str">
        <f>"("""&amp;B136&amp;""") ("&amp;Vlookup(E136,DropDown!J:N,5,FALSE)&amp;" OR """ &amp;YEAR(D136) &amp; """ OR ""All New"" OR Episode OR Watch OR tv OR Show OR Series OR season OR binge OR Stream OR Film OR Movie OR Premiere OR Screening OR Feature OR Trailer OR Teaser OR theater OR release)"</f>
        <v>#N/A</v>
      </c>
      <c r="O136" s="23" t="str">
        <f t="shared" si="1"/>
        <v>#</v>
      </c>
      <c r="P136" s="23" t="str">
        <f t="shared" si="2"/>
        <v>#</v>
      </c>
      <c r="Q136" s="23"/>
      <c r="R136" s="23" t="str">
        <f>"("""&amp;B136&amp;""") ("&amp;Vlookup(E136,DropDown!R:V,5,FALSE)&amp;IF(ISBLANK(D136)," | "," "&amp;"OR """&amp;YEAR(D136)&amp;""" | ") &amp; """All New"" | Episode | Watch | tv | Show | Series | season | binge | Stream | Film | Movie | Premiere | Screening | Feature | Trailer | Teaser | theater | release)"</f>
        <v>#N/A</v>
      </c>
      <c r="S136" s="23"/>
      <c r="T136" s="23"/>
      <c r="U136" s="23"/>
      <c r="V136" s="23"/>
      <c r="W136" s="23"/>
      <c r="X136" s="38"/>
      <c r="Y136" s="38"/>
      <c r="Z136" s="38"/>
      <c r="AA136" s="38"/>
    </row>
    <row r="137">
      <c r="A137" s="31"/>
      <c r="B137" s="38"/>
      <c r="C137" s="38"/>
      <c r="D137" s="50"/>
      <c r="E137" s="50"/>
      <c r="F137" s="50"/>
      <c r="G137" s="27" t="str">
        <f>VLOOKUP(E137,DropDown!J:K,2,FALSE)</f>
        <v>#N/A</v>
      </c>
      <c r="H137" s="50"/>
      <c r="I137" s="50"/>
      <c r="J137" s="50"/>
      <c r="K137" s="25" t="s">
        <v>116</v>
      </c>
      <c r="L137" s="23"/>
      <c r="M137" s="23"/>
      <c r="N137" s="25" t="str">
        <f>"("""&amp;B137&amp;""") ("&amp;Vlookup(E137,DropDown!J:N,5,FALSE)&amp;" OR """ &amp;YEAR(D137) &amp; """ OR ""All New"" OR Episode OR Watch OR tv OR Show OR Series OR season OR binge OR Stream OR Film OR Movie OR Premiere OR Screening OR Feature OR Trailer OR Teaser OR theater OR release)"</f>
        <v>#N/A</v>
      </c>
      <c r="O137" s="23" t="str">
        <f t="shared" si="1"/>
        <v>#</v>
      </c>
      <c r="P137" s="23" t="str">
        <f t="shared" si="2"/>
        <v>#</v>
      </c>
      <c r="Q137" s="23"/>
      <c r="R137" s="23" t="str">
        <f>"("""&amp;B137&amp;""") ("&amp;Vlookup(E137,DropDown!R:V,5,FALSE)&amp;IF(ISBLANK(D137)," | "," "&amp;"OR """&amp;YEAR(D137)&amp;""" | ") &amp; """All New"" | Episode | Watch | tv | Show | Series | season | binge | Stream | Film | Movie | Premiere | Screening | Feature | Trailer | Teaser | theater | release)"</f>
        <v>#N/A</v>
      </c>
      <c r="S137" s="23"/>
      <c r="T137" s="23"/>
      <c r="U137" s="23"/>
      <c r="V137" s="23"/>
      <c r="W137" s="23"/>
      <c r="X137" s="38"/>
      <c r="Y137" s="38"/>
      <c r="Z137" s="38"/>
      <c r="AA137" s="38"/>
    </row>
    <row r="138">
      <c r="A138" s="31"/>
      <c r="B138" s="38"/>
      <c r="C138" s="38"/>
      <c r="D138" s="50"/>
      <c r="E138" s="50"/>
      <c r="F138" s="50"/>
      <c r="G138" s="27" t="str">
        <f>VLOOKUP(E138,DropDown!J:K,2,FALSE)</f>
        <v>#N/A</v>
      </c>
      <c r="H138" s="50"/>
      <c r="I138" s="50"/>
      <c r="J138" s="50"/>
      <c r="K138" s="25" t="s">
        <v>116</v>
      </c>
      <c r="L138" s="23"/>
      <c r="M138" s="23"/>
      <c r="N138" s="25" t="str">
        <f>"("""&amp;B138&amp;""") ("&amp;Vlookup(E138,DropDown!J:N,5,FALSE)&amp;" OR """ &amp;YEAR(D138) &amp; """ OR ""All New"" OR Episode OR Watch OR tv OR Show OR Series OR season OR binge OR Stream OR Film OR Movie OR Premiere OR Screening OR Feature OR Trailer OR Teaser OR theater OR release)"</f>
        <v>#N/A</v>
      </c>
      <c r="O138" s="23" t="str">
        <f t="shared" si="1"/>
        <v>#</v>
      </c>
      <c r="P138" s="23" t="str">
        <f t="shared" si="2"/>
        <v>#</v>
      </c>
      <c r="Q138" s="23"/>
      <c r="R138" s="23" t="str">
        <f>"("""&amp;B138&amp;""") ("&amp;Vlookup(E138,DropDown!R:V,5,FALSE)&amp;IF(ISBLANK(D138)," | "," "&amp;"OR """&amp;YEAR(D138)&amp;""" | ") &amp; """All New"" | Episode | Watch | tv | Show | Series | season | binge | Stream | Film | Movie | Premiere | Screening | Feature | Trailer | Teaser | theater | release)"</f>
        <v>#N/A</v>
      </c>
      <c r="S138" s="23"/>
      <c r="T138" s="23"/>
      <c r="U138" s="23"/>
      <c r="V138" s="23"/>
      <c r="W138" s="23"/>
      <c r="X138" s="38"/>
      <c r="Y138" s="38"/>
      <c r="Z138" s="38"/>
      <c r="AA138" s="38"/>
    </row>
    <row r="139">
      <c r="A139" s="31"/>
      <c r="B139" s="38"/>
      <c r="C139" s="38"/>
      <c r="D139" s="50"/>
      <c r="E139" s="50"/>
      <c r="F139" s="50"/>
      <c r="G139" s="27" t="str">
        <f>VLOOKUP(E139,DropDown!J:K,2,FALSE)</f>
        <v>#N/A</v>
      </c>
      <c r="H139" s="50"/>
      <c r="I139" s="50"/>
      <c r="J139" s="50"/>
      <c r="K139" s="25" t="s">
        <v>116</v>
      </c>
      <c r="L139" s="23"/>
      <c r="M139" s="23"/>
      <c r="N139" s="25" t="str">
        <f>"("""&amp;B139&amp;""") ("&amp;Vlookup(E139,DropDown!J:N,5,FALSE)&amp;" OR """ &amp;YEAR(D139) &amp; """ OR ""All New"" OR Episode OR Watch OR tv OR Show OR Series OR season OR binge OR Stream OR Film OR Movie OR Premiere OR Screening OR Feature OR Trailer OR Teaser OR theater OR release)"</f>
        <v>#N/A</v>
      </c>
      <c r="O139" s="23" t="str">
        <f t="shared" si="1"/>
        <v>#</v>
      </c>
      <c r="P139" s="23" t="str">
        <f t="shared" si="2"/>
        <v>#</v>
      </c>
      <c r="Q139" s="23"/>
      <c r="R139" s="23" t="str">
        <f>"("""&amp;B139&amp;""") ("&amp;Vlookup(E139,DropDown!R:V,5,FALSE)&amp;IF(ISBLANK(D139)," | "," "&amp;"OR """&amp;YEAR(D139)&amp;""" | ") &amp; """All New"" | Episode | Watch | tv | Show | Series | season | binge | Stream | Film | Movie | Premiere | Screening | Feature | Trailer | Teaser | theater | release)"</f>
        <v>#N/A</v>
      </c>
      <c r="S139" s="23"/>
      <c r="T139" s="23"/>
      <c r="U139" s="23"/>
      <c r="V139" s="23"/>
      <c r="W139" s="23"/>
      <c r="X139" s="38"/>
      <c r="Y139" s="38"/>
      <c r="Z139" s="38"/>
      <c r="AA139" s="38"/>
    </row>
    <row r="140">
      <c r="A140" s="31"/>
      <c r="B140" s="38"/>
      <c r="C140" s="38"/>
      <c r="D140" s="50"/>
      <c r="E140" s="50"/>
      <c r="F140" s="50"/>
      <c r="G140" s="27" t="str">
        <f>VLOOKUP(E140,DropDown!J:K,2,FALSE)</f>
        <v>#N/A</v>
      </c>
      <c r="H140" s="50"/>
      <c r="I140" s="50"/>
      <c r="J140" s="50"/>
      <c r="K140" s="25" t="s">
        <v>116</v>
      </c>
      <c r="L140" s="23"/>
      <c r="M140" s="23"/>
      <c r="N140" s="25" t="str">
        <f>"("""&amp;B140&amp;""") ("&amp;Vlookup(E140,DropDown!J:N,5,FALSE)&amp;" OR """ &amp;YEAR(D140) &amp; """ OR ""All New"" OR Episode OR Watch OR tv OR Show OR Series OR season OR binge OR Stream OR Film OR Movie OR Premiere OR Screening OR Feature OR Trailer OR Teaser OR theater OR release)"</f>
        <v>#N/A</v>
      </c>
      <c r="O140" s="23" t="str">
        <f t="shared" si="1"/>
        <v>#</v>
      </c>
      <c r="P140" s="23" t="str">
        <f t="shared" si="2"/>
        <v>#</v>
      </c>
      <c r="Q140" s="23"/>
      <c r="R140" s="23" t="str">
        <f>"("""&amp;B140&amp;""") ("&amp;Vlookup(E140,DropDown!R:V,5,FALSE)&amp;IF(ISBLANK(D140)," | "," "&amp;"OR """&amp;YEAR(D140)&amp;""" | ") &amp; """All New"" | Episode | Watch | tv | Show | Series | season | binge | Stream | Film | Movie | Premiere | Screening | Feature | Trailer | Teaser | theater | release)"</f>
        <v>#N/A</v>
      </c>
      <c r="S140" s="23"/>
      <c r="T140" s="23"/>
      <c r="U140" s="23"/>
      <c r="V140" s="23"/>
      <c r="W140" s="23"/>
      <c r="X140" s="38"/>
      <c r="Y140" s="38"/>
      <c r="Z140" s="38"/>
      <c r="AA140" s="38"/>
    </row>
    <row r="141">
      <c r="A141" s="31"/>
      <c r="B141" s="38"/>
      <c r="C141" s="38"/>
      <c r="D141" s="50"/>
      <c r="E141" s="50"/>
      <c r="F141" s="50"/>
      <c r="G141" s="27" t="str">
        <f>VLOOKUP(E141,DropDown!J:K,2,FALSE)</f>
        <v>#N/A</v>
      </c>
      <c r="H141" s="50"/>
      <c r="I141" s="50"/>
      <c r="J141" s="50"/>
      <c r="K141" s="25" t="s">
        <v>116</v>
      </c>
      <c r="L141" s="23"/>
      <c r="M141" s="23"/>
      <c r="N141" s="25" t="str">
        <f>"("""&amp;B141&amp;""") ("&amp;Vlookup(E141,DropDown!J:N,5,FALSE)&amp;" OR """ &amp;YEAR(D141) &amp; """ OR ""All New"" OR Episode OR Watch OR tv OR Show OR Series OR season OR binge OR Stream OR Film OR Movie OR Premiere OR Screening OR Feature OR Trailer OR Teaser OR theater OR release)"</f>
        <v>#N/A</v>
      </c>
      <c r="O141" s="23" t="str">
        <f t="shared" si="1"/>
        <v>#</v>
      </c>
      <c r="P141" s="23" t="str">
        <f t="shared" si="2"/>
        <v>#</v>
      </c>
      <c r="Q141" s="23"/>
      <c r="R141" s="23" t="str">
        <f>"("""&amp;B141&amp;""") ("&amp;Vlookup(E141,DropDown!R:V,5,FALSE)&amp;IF(ISBLANK(D141)," | "," "&amp;"OR """&amp;YEAR(D141)&amp;""" | ") &amp; """All New"" | Episode | Watch | tv | Show | Series | season | binge | Stream | Film | Movie | Premiere | Screening | Feature | Trailer | Teaser | theater | release)"</f>
        <v>#N/A</v>
      </c>
      <c r="S141" s="23"/>
      <c r="T141" s="23"/>
      <c r="U141" s="23"/>
      <c r="V141" s="23"/>
      <c r="W141" s="23"/>
      <c r="X141" s="38"/>
      <c r="Y141" s="38"/>
      <c r="Z141" s="38"/>
      <c r="AA141" s="38"/>
    </row>
    <row r="142">
      <c r="A142" s="31"/>
      <c r="B142" s="38"/>
      <c r="C142" s="38"/>
      <c r="D142" s="50"/>
      <c r="E142" s="50"/>
      <c r="F142" s="50"/>
      <c r="G142" s="27" t="str">
        <f>VLOOKUP(E142,DropDown!J:K,2,FALSE)</f>
        <v>#N/A</v>
      </c>
      <c r="H142" s="50"/>
      <c r="I142" s="50"/>
      <c r="J142" s="50"/>
      <c r="K142" s="25" t="s">
        <v>116</v>
      </c>
      <c r="L142" s="23"/>
      <c r="M142" s="23"/>
      <c r="N142" s="25" t="str">
        <f>"("""&amp;B142&amp;""") ("&amp;Vlookup(E142,DropDown!J:N,5,FALSE)&amp;" OR """ &amp;YEAR(D142) &amp; """ OR ""All New"" OR Episode OR Watch OR tv OR Show OR Series OR season OR binge OR Stream OR Film OR Movie OR Premiere OR Screening OR Feature OR Trailer OR Teaser OR theater OR release)"</f>
        <v>#N/A</v>
      </c>
      <c r="O142" s="23" t="str">
        <f t="shared" si="1"/>
        <v>#</v>
      </c>
      <c r="P142" s="23" t="str">
        <f t="shared" si="2"/>
        <v>#</v>
      </c>
      <c r="Q142" s="23"/>
      <c r="R142" s="23" t="str">
        <f>"("""&amp;B142&amp;""") ("&amp;Vlookup(E142,DropDown!R:V,5,FALSE)&amp;IF(ISBLANK(D142)," | "," "&amp;"OR """&amp;YEAR(D142)&amp;""" | ") &amp; """All New"" | Episode | Watch | tv | Show | Series | season | binge | Stream | Film | Movie | Premiere | Screening | Feature | Trailer | Teaser | theater | release)"</f>
        <v>#N/A</v>
      </c>
      <c r="S142" s="23"/>
      <c r="T142" s="23"/>
      <c r="U142" s="23"/>
      <c r="V142" s="23"/>
      <c r="W142" s="23"/>
      <c r="X142" s="38"/>
      <c r="Y142" s="38"/>
      <c r="Z142" s="38"/>
      <c r="AA142" s="38"/>
    </row>
    <row r="143">
      <c r="A143" s="31"/>
      <c r="B143" s="38"/>
      <c r="C143" s="38"/>
      <c r="D143" s="50"/>
      <c r="E143" s="50"/>
      <c r="F143" s="50"/>
      <c r="G143" s="27" t="str">
        <f>VLOOKUP(E143,DropDown!J:K,2,FALSE)</f>
        <v>#N/A</v>
      </c>
      <c r="H143" s="50"/>
      <c r="I143" s="50"/>
      <c r="J143" s="50"/>
      <c r="K143" s="25" t="s">
        <v>116</v>
      </c>
      <c r="L143" s="23"/>
      <c r="M143" s="23"/>
      <c r="N143" s="25" t="str">
        <f>"("""&amp;B143&amp;""") ("&amp;Vlookup(E143,DropDown!J:N,5,FALSE)&amp;" OR """ &amp;YEAR(D143) &amp; """ OR ""All New"" OR Episode OR Watch OR tv OR Show OR Series OR season OR binge OR Stream OR Film OR Movie OR Premiere OR Screening OR Feature OR Trailer OR Teaser OR theater OR release)"</f>
        <v>#N/A</v>
      </c>
      <c r="O143" s="23" t="str">
        <f t="shared" si="1"/>
        <v>#</v>
      </c>
      <c r="P143" s="23" t="str">
        <f t="shared" si="2"/>
        <v>#</v>
      </c>
      <c r="Q143" s="23"/>
      <c r="R143" s="23" t="str">
        <f>"("""&amp;B143&amp;""") ("&amp;Vlookup(E143,DropDown!R:V,5,FALSE)&amp;IF(ISBLANK(D143)," | "," "&amp;"OR """&amp;YEAR(D143)&amp;""" | ") &amp; """All New"" | Episode | Watch | tv | Show | Series | season | binge | Stream | Film | Movie | Premiere | Screening | Feature | Trailer | Teaser | theater | release)"</f>
        <v>#N/A</v>
      </c>
      <c r="S143" s="23"/>
      <c r="T143" s="23"/>
      <c r="U143" s="23"/>
      <c r="V143" s="23"/>
      <c r="W143" s="23"/>
      <c r="X143" s="38"/>
      <c r="Y143" s="38"/>
      <c r="Z143" s="38"/>
      <c r="AA143" s="38"/>
    </row>
    <row r="144">
      <c r="A144" s="31"/>
      <c r="B144" s="38"/>
      <c r="C144" s="38"/>
      <c r="D144" s="50"/>
      <c r="E144" s="50"/>
      <c r="F144" s="50"/>
      <c r="G144" s="27" t="str">
        <f>VLOOKUP(E144,DropDown!J:K,2,FALSE)</f>
        <v>#N/A</v>
      </c>
      <c r="H144" s="50"/>
      <c r="I144" s="50"/>
      <c r="J144" s="50"/>
      <c r="K144" s="25" t="s">
        <v>116</v>
      </c>
      <c r="L144" s="23"/>
      <c r="M144" s="23"/>
      <c r="N144" s="25" t="str">
        <f>"("""&amp;B144&amp;""") ("&amp;Vlookup(E144,DropDown!J:N,5,FALSE)&amp;" OR """ &amp;YEAR(D144) &amp; """ OR ""All New"" OR Episode OR Watch OR tv OR Show OR Series OR season OR binge OR Stream OR Film OR Movie OR Premiere OR Screening OR Feature OR Trailer OR Teaser OR theater OR release)"</f>
        <v>#N/A</v>
      </c>
      <c r="O144" s="23" t="str">
        <f t="shared" si="1"/>
        <v>#</v>
      </c>
      <c r="P144" s="23" t="str">
        <f t="shared" si="2"/>
        <v>#</v>
      </c>
      <c r="Q144" s="23"/>
      <c r="R144" s="23" t="str">
        <f>"("""&amp;B144&amp;""") ("&amp;Vlookup(E144,DropDown!R:V,5,FALSE)&amp;IF(ISBLANK(D144)," | "," "&amp;"OR """&amp;YEAR(D144)&amp;""" | ") &amp; """All New"" | Episode | Watch | tv | Show | Series | season | binge | Stream | Film | Movie | Premiere | Screening | Feature | Trailer | Teaser | theater | release)"</f>
        <v>#N/A</v>
      </c>
      <c r="S144" s="23"/>
      <c r="T144" s="23"/>
      <c r="U144" s="23"/>
      <c r="V144" s="23"/>
      <c r="W144" s="23"/>
      <c r="X144" s="38"/>
      <c r="Y144" s="38"/>
      <c r="Z144" s="38"/>
      <c r="AA144" s="38"/>
    </row>
    <row r="145">
      <c r="A145" s="31"/>
      <c r="B145" s="38"/>
      <c r="C145" s="38"/>
      <c r="D145" s="50"/>
      <c r="E145" s="50"/>
      <c r="F145" s="50"/>
      <c r="G145" s="27" t="str">
        <f>VLOOKUP(E145,DropDown!J:K,2,FALSE)</f>
        <v>#N/A</v>
      </c>
      <c r="H145" s="50"/>
      <c r="I145" s="50"/>
      <c r="J145" s="50"/>
      <c r="K145" s="25" t="s">
        <v>116</v>
      </c>
      <c r="L145" s="23"/>
      <c r="M145" s="23"/>
      <c r="N145" s="25" t="str">
        <f>"("""&amp;B145&amp;""") ("&amp;Vlookup(E145,DropDown!J:N,5,FALSE)&amp;" OR """ &amp;YEAR(D145) &amp; """ OR ""All New"" OR Episode OR Watch OR tv OR Show OR Series OR season OR binge OR Stream OR Film OR Movie OR Premiere OR Screening OR Feature OR Trailer OR Teaser OR theater OR release)"</f>
        <v>#N/A</v>
      </c>
      <c r="O145" s="23" t="str">
        <f t="shared" si="1"/>
        <v>#</v>
      </c>
      <c r="P145" s="23" t="str">
        <f t="shared" si="2"/>
        <v>#</v>
      </c>
      <c r="Q145" s="23"/>
      <c r="R145" s="23" t="str">
        <f>"("""&amp;B145&amp;""") ("&amp;Vlookup(E145,DropDown!R:V,5,FALSE)&amp;IF(ISBLANK(D145)," | "," "&amp;"OR """&amp;YEAR(D145)&amp;""" | ") &amp; """All New"" | Episode | Watch | tv | Show | Series | season | binge | Stream | Film | Movie | Premiere | Screening | Feature | Trailer | Teaser | theater | release)"</f>
        <v>#N/A</v>
      </c>
      <c r="S145" s="23"/>
      <c r="T145" s="23"/>
      <c r="U145" s="23"/>
      <c r="V145" s="23"/>
      <c r="W145" s="23"/>
      <c r="X145" s="38"/>
      <c r="Y145" s="38"/>
      <c r="Z145" s="38"/>
      <c r="AA145" s="38"/>
    </row>
    <row r="146">
      <c r="A146" s="31"/>
      <c r="B146" s="38"/>
      <c r="C146" s="38"/>
      <c r="D146" s="50"/>
      <c r="E146" s="50"/>
      <c r="F146" s="50"/>
      <c r="G146" s="27" t="str">
        <f>VLOOKUP(E146,DropDown!J:K,2,FALSE)</f>
        <v>#N/A</v>
      </c>
      <c r="H146" s="50"/>
      <c r="I146" s="50"/>
      <c r="J146" s="50"/>
      <c r="K146" s="25" t="s">
        <v>116</v>
      </c>
      <c r="L146" s="23"/>
      <c r="M146" s="23"/>
      <c r="N146" s="25" t="str">
        <f>"("""&amp;B146&amp;""") ("&amp;Vlookup(E146,DropDown!J:N,5,FALSE)&amp;" OR """ &amp;YEAR(D146) &amp; """ OR ""All New"" OR Episode OR Watch OR tv OR Show OR Series OR season OR binge OR Stream OR Film OR Movie OR Premiere OR Screening OR Feature OR Trailer OR Teaser OR theater OR release)"</f>
        <v>#N/A</v>
      </c>
      <c r="O146" s="23" t="str">
        <f t="shared" si="1"/>
        <v>#</v>
      </c>
      <c r="P146" s="23" t="str">
        <f t="shared" si="2"/>
        <v>#</v>
      </c>
      <c r="Q146" s="23"/>
      <c r="R146" s="23" t="str">
        <f>"("""&amp;B146&amp;""") ("&amp;Vlookup(E146,DropDown!R:V,5,FALSE)&amp;IF(ISBLANK(D146)," | "," "&amp;"OR """&amp;YEAR(D146)&amp;""" | ") &amp; """All New"" | Episode | Watch | tv | Show | Series | season | binge | Stream | Film | Movie | Premiere | Screening | Feature | Trailer | Teaser | theater | release)"</f>
        <v>#N/A</v>
      </c>
      <c r="S146" s="23"/>
      <c r="T146" s="23"/>
      <c r="U146" s="23"/>
      <c r="V146" s="23"/>
      <c r="W146" s="23"/>
      <c r="X146" s="38"/>
      <c r="Y146" s="38"/>
      <c r="Z146" s="38"/>
      <c r="AA146" s="38"/>
    </row>
    <row r="147">
      <c r="A147" s="31"/>
      <c r="B147" s="38"/>
      <c r="C147" s="38"/>
      <c r="D147" s="50"/>
      <c r="E147" s="50"/>
      <c r="F147" s="50"/>
      <c r="G147" s="27" t="str">
        <f>VLOOKUP(E147,DropDown!J:K,2,FALSE)</f>
        <v>#N/A</v>
      </c>
      <c r="H147" s="50"/>
      <c r="I147" s="50"/>
      <c r="J147" s="50"/>
      <c r="K147" s="25" t="s">
        <v>116</v>
      </c>
      <c r="L147" s="23"/>
      <c r="M147" s="23"/>
      <c r="N147" s="25" t="str">
        <f>"("""&amp;B147&amp;""") ("&amp;Vlookup(E147,DropDown!J:N,5,FALSE)&amp;" OR """ &amp;YEAR(D147) &amp; """ OR ""All New"" OR Episode OR Watch OR tv OR Show OR Series OR season OR binge OR Stream OR Film OR Movie OR Premiere OR Screening OR Feature OR Trailer OR Teaser OR theater OR release)"</f>
        <v>#N/A</v>
      </c>
      <c r="O147" s="23" t="str">
        <f t="shared" si="1"/>
        <v>#</v>
      </c>
      <c r="P147" s="23" t="str">
        <f t="shared" si="2"/>
        <v>#</v>
      </c>
      <c r="Q147" s="23"/>
      <c r="R147" s="23" t="str">
        <f>"("""&amp;B147&amp;""") ("&amp;Vlookup(E147,DropDown!R:V,5,FALSE)&amp;IF(ISBLANK(D147)," | "," "&amp;"OR """&amp;YEAR(D147)&amp;""" | ") &amp; """All New"" | Episode | Watch | tv | Show | Series | season | binge | Stream | Film | Movie | Premiere | Screening | Feature | Trailer | Teaser | theater | release)"</f>
        <v>#N/A</v>
      </c>
      <c r="S147" s="23"/>
      <c r="T147" s="23"/>
      <c r="U147" s="23"/>
      <c r="V147" s="23"/>
      <c r="W147" s="23"/>
      <c r="X147" s="38"/>
      <c r="Y147" s="38"/>
      <c r="Z147" s="38"/>
      <c r="AA147" s="38"/>
    </row>
    <row r="148">
      <c r="A148" s="31"/>
      <c r="B148" s="38"/>
      <c r="C148" s="38"/>
      <c r="D148" s="50"/>
      <c r="E148" s="50"/>
      <c r="F148" s="50"/>
      <c r="G148" s="27" t="str">
        <f>VLOOKUP(E148,DropDown!J:K,2,FALSE)</f>
        <v>#N/A</v>
      </c>
      <c r="H148" s="50"/>
      <c r="I148" s="50"/>
      <c r="J148" s="50"/>
      <c r="K148" s="25" t="s">
        <v>116</v>
      </c>
      <c r="L148" s="23"/>
      <c r="M148" s="23"/>
      <c r="N148" s="25" t="str">
        <f>"("""&amp;B148&amp;""") ("&amp;Vlookup(E148,DropDown!J:N,5,FALSE)&amp;" OR """ &amp;YEAR(D148) &amp; """ OR ""All New"" OR Episode OR Watch OR tv OR Show OR Series OR season OR binge OR Stream OR Film OR Movie OR Premiere OR Screening OR Feature OR Trailer OR Teaser OR theater OR release)"</f>
        <v>#N/A</v>
      </c>
      <c r="O148" s="23" t="str">
        <f t="shared" si="1"/>
        <v>#</v>
      </c>
      <c r="P148" s="23" t="str">
        <f t="shared" si="2"/>
        <v>#</v>
      </c>
      <c r="Q148" s="23"/>
      <c r="R148" s="23" t="str">
        <f>"("""&amp;B148&amp;""") ("&amp;Vlookup(E148,DropDown!R:V,5,FALSE)&amp;IF(ISBLANK(D148)," | "," "&amp;"OR """&amp;YEAR(D148)&amp;""" | ") &amp; """All New"" | Episode | Watch | tv | Show | Series | season | binge | Stream | Film | Movie | Premiere | Screening | Feature | Trailer | Teaser | theater | release)"</f>
        <v>#N/A</v>
      </c>
      <c r="S148" s="23"/>
      <c r="T148" s="23"/>
      <c r="U148" s="23"/>
      <c r="V148" s="23"/>
      <c r="W148" s="23"/>
      <c r="X148" s="38"/>
      <c r="Y148" s="38"/>
      <c r="Z148" s="38"/>
      <c r="AA148" s="38"/>
    </row>
    <row r="149">
      <c r="A149" s="31"/>
      <c r="B149" s="38"/>
      <c r="C149" s="38"/>
      <c r="D149" s="50"/>
      <c r="E149" s="50"/>
      <c r="F149" s="50"/>
      <c r="G149" s="27" t="str">
        <f>VLOOKUP(E149,DropDown!J:K,2,FALSE)</f>
        <v>#N/A</v>
      </c>
      <c r="H149" s="50"/>
      <c r="I149" s="50"/>
      <c r="J149" s="50"/>
      <c r="K149" s="25" t="s">
        <v>116</v>
      </c>
      <c r="L149" s="23"/>
      <c r="M149" s="23"/>
      <c r="N149" s="25" t="str">
        <f>"("""&amp;B149&amp;""") ("&amp;Vlookup(E149,DropDown!J:N,5,FALSE)&amp;" OR """ &amp;YEAR(D149) &amp; """ OR ""All New"" OR Episode OR Watch OR tv OR Show OR Series OR season OR binge OR Stream OR Film OR Movie OR Premiere OR Screening OR Feature OR Trailer OR Teaser OR theater OR release)"</f>
        <v>#N/A</v>
      </c>
      <c r="O149" s="23" t="str">
        <f t="shared" si="1"/>
        <v>#</v>
      </c>
      <c r="P149" s="23" t="str">
        <f t="shared" si="2"/>
        <v>#</v>
      </c>
      <c r="Q149" s="23"/>
      <c r="R149" s="23" t="str">
        <f>"("""&amp;B149&amp;""") ("&amp;Vlookup(E149,DropDown!R:V,5,FALSE)&amp;IF(ISBLANK(D149)," | "," "&amp;"OR """&amp;YEAR(D149)&amp;""" | ") &amp; """All New"" | Episode | Watch | tv | Show | Series | season | binge | Stream | Film | Movie | Premiere | Screening | Feature | Trailer | Teaser | theater | release)"</f>
        <v>#N/A</v>
      </c>
      <c r="S149" s="23"/>
      <c r="T149" s="23"/>
      <c r="U149" s="23"/>
      <c r="V149" s="23"/>
      <c r="W149" s="23"/>
      <c r="X149" s="38"/>
      <c r="Y149" s="38"/>
      <c r="Z149" s="38"/>
      <c r="AA149" s="38"/>
    </row>
    <row r="150">
      <c r="A150" s="31"/>
      <c r="B150" s="38"/>
      <c r="C150" s="38"/>
      <c r="D150" s="50"/>
      <c r="E150" s="50"/>
      <c r="F150" s="50"/>
      <c r="G150" s="27" t="str">
        <f>VLOOKUP(E150,DropDown!J:K,2,FALSE)</f>
        <v>#N/A</v>
      </c>
      <c r="H150" s="50"/>
      <c r="I150" s="50"/>
      <c r="J150" s="50"/>
      <c r="K150" s="25" t="s">
        <v>116</v>
      </c>
      <c r="L150" s="23"/>
      <c r="M150" s="23"/>
      <c r="N150" s="25" t="str">
        <f>"("""&amp;B150&amp;""") ("&amp;Vlookup(E150,DropDown!J:N,5,FALSE)&amp;" OR """ &amp;YEAR(D150) &amp; """ OR ""All New"" OR Episode OR Watch OR tv OR Show OR Series OR season OR binge OR Stream OR Film OR Movie OR Premiere OR Screening OR Feature OR Trailer OR Teaser OR theater OR release)"</f>
        <v>#N/A</v>
      </c>
      <c r="O150" s="23" t="str">
        <f t="shared" si="1"/>
        <v>#</v>
      </c>
      <c r="P150" s="23" t="str">
        <f t="shared" si="2"/>
        <v>#</v>
      </c>
      <c r="Q150" s="23"/>
      <c r="R150" s="23" t="str">
        <f>"("""&amp;B150&amp;""") ("&amp;Vlookup(E150,DropDown!R:V,5,FALSE)&amp;IF(ISBLANK(D150)," | "," "&amp;"OR """&amp;YEAR(D150)&amp;""" | ") &amp; """All New"" | Episode | Watch | tv | Show | Series | season | binge | Stream | Film | Movie | Premiere | Screening | Feature | Trailer | Teaser | theater | release)"</f>
        <v>#N/A</v>
      </c>
      <c r="S150" s="23"/>
      <c r="T150" s="23"/>
      <c r="U150" s="23"/>
      <c r="V150" s="23"/>
      <c r="W150" s="23"/>
      <c r="X150" s="38"/>
      <c r="Y150" s="38"/>
      <c r="Z150" s="38"/>
      <c r="AA150" s="38"/>
    </row>
    <row r="151">
      <c r="A151" s="31"/>
      <c r="B151" s="38"/>
      <c r="C151" s="38"/>
      <c r="D151" s="50"/>
      <c r="E151" s="50"/>
      <c r="F151" s="50"/>
      <c r="G151" s="27" t="str">
        <f>VLOOKUP(E151,DropDown!J:K,2,FALSE)</f>
        <v>#N/A</v>
      </c>
      <c r="H151" s="50"/>
      <c r="I151" s="50"/>
      <c r="J151" s="50"/>
      <c r="K151" s="25" t="s">
        <v>116</v>
      </c>
      <c r="L151" s="23"/>
      <c r="M151" s="23"/>
      <c r="N151" s="25" t="str">
        <f>"("""&amp;B151&amp;""") ("&amp;Vlookup(E151,DropDown!J:N,5,FALSE)&amp;" OR """ &amp;YEAR(D151) &amp; """ OR ""All New"" OR Episode OR Watch OR tv OR Show OR Series OR season OR binge OR Stream OR Film OR Movie OR Premiere OR Screening OR Feature OR Trailer OR Teaser OR theater OR release)"</f>
        <v>#N/A</v>
      </c>
      <c r="O151" s="23" t="str">
        <f t="shared" si="1"/>
        <v>#</v>
      </c>
      <c r="P151" s="23" t="str">
        <f t="shared" si="2"/>
        <v>#</v>
      </c>
      <c r="Q151" s="23"/>
      <c r="R151" s="23" t="str">
        <f>"("""&amp;B151&amp;""") ("&amp;Vlookup(E151,DropDown!R:V,5,FALSE)&amp;IF(ISBLANK(D151)," | "," "&amp;"OR """&amp;YEAR(D151)&amp;""" | ") &amp; """All New"" | Episode | Watch | tv | Show | Series | season | binge | Stream | Film | Movie | Premiere | Screening | Feature | Trailer | Teaser | theater | release)"</f>
        <v>#N/A</v>
      </c>
      <c r="S151" s="23"/>
      <c r="T151" s="23"/>
      <c r="U151" s="23"/>
      <c r="V151" s="23"/>
      <c r="W151" s="23"/>
      <c r="X151" s="38"/>
      <c r="Y151" s="38"/>
      <c r="Z151" s="38"/>
      <c r="AA151" s="38"/>
    </row>
    <row r="152">
      <c r="A152" s="31"/>
      <c r="B152" s="38"/>
      <c r="C152" s="38"/>
      <c r="D152" s="50"/>
      <c r="E152" s="50"/>
      <c r="F152" s="50"/>
      <c r="G152" s="27" t="str">
        <f>VLOOKUP(E152,DropDown!J:K,2,FALSE)</f>
        <v>#N/A</v>
      </c>
      <c r="H152" s="50"/>
      <c r="I152" s="50"/>
      <c r="J152" s="50"/>
      <c r="K152" s="25" t="s">
        <v>116</v>
      </c>
      <c r="L152" s="23"/>
      <c r="M152" s="23"/>
      <c r="N152" s="25" t="str">
        <f>"("""&amp;B152&amp;""") ("&amp;Vlookup(E152,DropDown!J:N,5,FALSE)&amp;" OR """ &amp;YEAR(D152) &amp; """ OR ""All New"" OR Episode OR Watch OR tv OR Show OR Series OR season OR binge OR Stream OR Film OR Movie OR Premiere OR Screening OR Feature OR Trailer OR Teaser OR theater OR release)"</f>
        <v>#N/A</v>
      </c>
      <c r="O152" s="23" t="str">
        <f t="shared" si="1"/>
        <v>#</v>
      </c>
      <c r="P152" s="23" t="str">
        <f t="shared" si="2"/>
        <v>#</v>
      </c>
      <c r="Q152" s="23"/>
      <c r="R152" s="23" t="str">
        <f>"("""&amp;B152&amp;""") ("&amp;Vlookup(E152,DropDown!R:V,5,FALSE)&amp;IF(ISBLANK(D152)," | "," "&amp;"OR """&amp;YEAR(D152)&amp;""" | ") &amp; """All New"" | Episode | Watch | tv | Show | Series | season | binge | Stream | Film | Movie | Premiere | Screening | Feature | Trailer | Teaser | theater | release)"</f>
        <v>#N/A</v>
      </c>
      <c r="S152" s="23"/>
      <c r="T152" s="23"/>
      <c r="U152" s="23"/>
      <c r="V152" s="23"/>
      <c r="W152" s="23"/>
      <c r="X152" s="38"/>
      <c r="Y152" s="38"/>
      <c r="Z152" s="38"/>
      <c r="AA152" s="38"/>
    </row>
    <row r="153">
      <c r="A153" s="31"/>
      <c r="B153" s="38"/>
      <c r="C153" s="38"/>
      <c r="D153" s="50"/>
      <c r="E153" s="50"/>
      <c r="F153" s="50"/>
      <c r="G153" s="27" t="str">
        <f>VLOOKUP(E153,DropDown!J:K,2,FALSE)</f>
        <v>#N/A</v>
      </c>
      <c r="H153" s="50"/>
      <c r="I153" s="50"/>
      <c r="J153" s="50"/>
      <c r="K153" s="25" t="s">
        <v>116</v>
      </c>
      <c r="L153" s="23"/>
      <c r="M153" s="23"/>
      <c r="N153" s="25" t="str">
        <f>"("""&amp;B153&amp;""") ("&amp;Vlookup(E153,DropDown!J:N,5,FALSE)&amp;" OR """ &amp;YEAR(D153) &amp; """ OR ""All New"" OR Episode OR Watch OR tv OR Show OR Series OR season OR binge OR Stream OR Film OR Movie OR Premiere OR Screening OR Feature OR Trailer OR Teaser OR theater OR release)"</f>
        <v>#N/A</v>
      </c>
      <c r="O153" s="23" t="str">
        <f t="shared" si="1"/>
        <v>#</v>
      </c>
      <c r="P153" s="23" t="str">
        <f t="shared" si="2"/>
        <v>#</v>
      </c>
      <c r="Q153" s="23"/>
      <c r="R153" s="23" t="str">
        <f>"("""&amp;B153&amp;""") ("&amp;Vlookup(E153,DropDown!R:V,5,FALSE)&amp;IF(ISBLANK(D153)," | "," "&amp;"OR """&amp;YEAR(D153)&amp;""" | ") &amp; """All New"" | Episode | Watch | tv | Show | Series | season | binge | Stream | Film | Movie | Premiere | Screening | Feature | Trailer | Teaser | theater | release)"</f>
        <v>#N/A</v>
      </c>
      <c r="S153" s="23"/>
      <c r="T153" s="23"/>
      <c r="U153" s="23"/>
      <c r="V153" s="23"/>
      <c r="W153" s="23"/>
      <c r="X153" s="38"/>
      <c r="Y153" s="38"/>
      <c r="Z153" s="38"/>
      <c r="AA153" s="38"/>
    </row>
    <row r="154">
      <c r="A154" s="31"/>
      <c r="B154" s="38"/>
      <c r="C154" s="38"/>
      <c r="D154" s="50"/>
      <c r="E154" s="50"/>
      <c r="F154" s="50"/>
      <c r="G154" s="27" t="str">
        <f>VLOOKUP(E154,DropDown!J:K,2,FALSE)</f>
        <v>#N/A</v>
      </c>
      <c r="H154" s="50"/>
      <c r="I154" s="50"/>
      <c r="J154" s="50"/>
      <c r="K154" s="25" t="s">
        <v>116</v>
      </c>
      <c r="L154" s="23"/>
      <c r="M154" s="23"/>
      <c r="N154" s="25" t="str">
        <f>"("""&amp;B154&amp;""") ("&amp;Vlookup(E154,DropDown!J:N,5,FALSE)&amp;" OR """ &amp;YEAR(D154) &amp; """ OR ""All New"" OR Episode OR Watch OR tv OR Show OR Series OR season OR binge OR Stream OR Film OR Movie OR Premiere OR Screening OR Feature OR Trailer OR Teaser OR theater OR release)"</f>
        <v>#N/A</v>
      </c>
      <c r="O154" s="23" t="str">
        <f t="shared" si="1"/>
        <v>#</v>
      </c>
      <c r="P154" s="23" t="str">
        <f t="shared" si="2"/>
        <v>#</v>
      </c>
      <c r="Q154" s="23"/>
      <c r="R154" s="23" t="str">
        <f>"("""&amp;B154&amp;""") ("&amp;Vlookup(E154,DropDown!R:V,5,FALSE)&amp;IF(ISBLANK(D154)," | "," "&amp;"OR """&amp;YEAR(D154)&amp;""" | ") &amp; """All New"" | Episode | Watch | tv | Show | Series | season | binge | Stream | Film | Movie | Premiere | Screening | Feature | Trailer | Teaser | theater | release)"</f>
        <v>#N/A</v>
      </c>
      <c r="S154" s="23"/>
      <c r="T154" s="23"/>
      <c r="U154" s="23"/>
      <c r="V154" s="23"/>
      <c r="W154" s="23"/>
      <c r="X154" s="38"/>
      <c r="Y154" s="38"/>
      <c r="Z154" s="38"/>
      <c r="AA154" s="38"/>
    </row>
    <row r="155">
      <c r="A155" s="31"/>
      <c r="B155" s="38"/>
      <c r="C155" s="38"/>
      <c r="D155" s="50"/>
      <c r="E155" s="50"/>
      <c r="F155" s="50"/>
      <c r="G155" s="27" t="str">
        <f>VLOOKUP(E155,DropDown!J:K,2,FALSE)</f>
        <v>#N/A</v>
      </c>
      <c r="H155" s="50"/>
      <c r="I155" s="50"/>
      <c r="J155" s="50"/>
      <c r="K155" s="25" t="s">
        <v>116</v>
      </c>
      <c r="L155" s="23"/>
      <c r="M155" s="23"/>
      <c r="N155" s="25" t="str">
        <f>"("""&amp;B155&amp;""") ("&amp;Vlookup(E155,DropDown!J:N,5,FALSE)&amp;" OR """ &amp;YEAR(D155) &amp; """ OR ""All New"" OR Episode OR Watch OR tv OR Show OR Series OR season OR binge OR Stream OR Film OR Movie OR Premiere OR Screening OR Feature OR Trailer OR Teaser OR theater OR release)"</f>
        <v>#N/A</v>
      </c>
      <c r="O155" s="23" t="str">
        <f t="shared" si="1"/>
        <v>#</v>
      </c>
      <c r="P155" s="23" t="str">
        <f t="shared" si="2"/>
        <v>#</v>
      </c>
      <c r="Q155" s="23"/>
      <c r="R155" s="23" t="str">
        <f>"("""&amp;B155&amp;""") ("&amp;Vlookup(E155,DropDown!R:V,5,FALSE)&amp;IF(ISBLANK(D155)," | "," "&amp;"OR """&amp;YEAR(D155)&amp;""" | ") &amp; """All New"" | Episode | Watch | tv | Show | Series | season | binge | Stream | Film | Movie | Premiere | Screening | Feature | Trailer | Teaser | theater | release)"</f>
        <v>#N/A</v>
      </c>
      <c r="S155" s="23"/>
      <c r="T155" s="23"/>
      <c r="U155" s="23"/>
      <c r="V155" s="23"/>
      <c r="W155" s="23"/>
      <c r="X155" s="38"/>
      <c r="Y155" s="38"/>
      <c r="Z155" s="38"/>
      <c r="AA155" s="38"/>
    </row>
    <row r="156">
      <c r="A156" s="31"/>
      <c r="B156" s="38"/>
      <c r="C156" s="38"/>
      <c r="D156" s="50"/>
      <c r="E156" s="50"/>
      <c r="F156" s="50"/>
      <c r="G156" s="27" t="str">
        <f>VLOOKUP(E156,DropDown!J:K,2,FALSE)</f>
        <v>#N/A</v>
      </c>
      <c r="H156" s="50"/>
      <c r="I156" s="50"/>
      <c r="J156" s="50"/>
      <c r="K156" s="25" t="s">
        <v>116</v>
      </c>
      <c r="L156" s="23"/>
      <c r="M156" s="23"/>
      <c r="N156" s="25" t="str">
        <f>"("""&amp;B156&amp;""") ("&amp;Vlookup(E156,DropDown!J:N,5,FALSE)&amp;" OR """ &amp;YEAR(D156) &amp; """ OR ""All New"" OR Episode OR Watch OR tv OR Show OR Series OR season OR binge OR Stream OR Film OR Movie OR Premiere OR Screening OR Feature OR Trailer OR Teaser OR theater OR release)"</f>
        <v>#N/A</v>
      </c>
      <c r="O156" s="23" t="str">
        <f t="shared" si="1"/>
        <v>#</v>
      </c>
      <c r="P156" s="23" t="str">
        <f t="shared" si="2"/>
        <v>#</v>
      </c>
      <c r="Q156" s="23"/>
      <c r="R156" s="23" t="str">
        <f>"("""&amp;B156&amp;""") ("&amp;Vlookup(E156,DropDown!R:V,5,FALSE)&amp;IF(ISBLANK(D156)," | "," "&amp;"OR """&amp;YEAR(D156)&amp;""" | ") &amp; """All New"" | Episode | Watch | tv | Show | Series | season | binge | Stream | Film | Movie | Premiere | Screening | Feature | Trailer | Teaser | theater | release)"</f>
        <v>#N/A</v>
      </c>
      <c r="S156" s="23"/>
      <c r="T156" s="23"/>
      <c r="U156" s="23"/>
      <c r="V156" s="23"/>
      <c r="W156" s="23"/>
      <c r="X156" s="38"/>
      <c r="Y156" s="38"/>
      <c r="Z156" s="38"/>
      <c r="AA156" s="38"/>
    </row>
    <row r="157">
      <c r="A157" s="31"/>
      <c r="B157" s="38"/>
      <c r="C157" s="38"/>
      <c r="D157" s="50"/>
      <c r="E157" s="50"/>
      <c r="F157" s="50"/>
      <c r="G157" s="27" t="str">
        <f>VLOOKUP(E157,DropDown!J:K,2,FALSE)</f>
        <v>#N/A</v>
      </c>
      <c r="H157" s="50"/>
      <c r="I157" s="50"/>
      <c r="J157" s="50"/>
      <c r="K157" s="25" t="s">
        <v>116</v>
      </c>
      <c r="L157" s="23"/>
      <c r="M157" s="23"/>
      <c r="N157" s="25" t="str">
        <f>"("""&amp;B157&amp;""") ("&amp;Vlookup(E157,DropDown!J:N,5,FALSE)&amp;" OR """ &amp;YEAR(D157) &amp; """ OR ""All New"" OR Episode OR Watch OR tv OR Show OR Series OR season OR binge OR Stream OR Film OR Movie OR Premiere OR Screening OR Feature OR Trailer OR Teaser OR theater OR release)"</f>
        <v>#N/A</v>
      </c>
      <c r="O157" s="23" t="str">
        <f t="shared" si="1"/>
        <v>#</v>
      </c>
      <c r="P157" s="23" t="str">
        <f t="shared" si="2"/>
        <v>#</v>
      </c>
      <c r="Q157" s="23"/>
      <c r="R157" s="23" t="str">
        <f>"("""&amp;B157&amp;""") ("&amp;Vlookup(E157,DropDown!R:V,5,FALSE)&amp;IF(ISBLANK(D157)," | "," "&amp;"OR """&amp;YEAR(D157)&amp;""" | ") &amp; """All New"" | Episode | Watch | tv | Show | Series | season | binge | Stream | Film | Movie | Premiere | Screening | Feature | Trailer | Teaser | theater | release)"</f>
        <v>#N/A</v>
      </c>
      <c r="S157" s="23"/>
      <c r="T157" s="23"/>
      <c r="U157" s="23"/>
      <c r="V157" s="23"/>
      <c r="W157" s="23"/>
      <c r="X157" s="38"/>
      <c r="Y157" s="38"/>
      <c r="Z157" s="38"/>
      <c r="AA157" s="38"/>
    </row>
    <row r="158">
      <c r="A158" s="31"/>
      <c r="B158" s="38"/>
      <c r="C158" s="38"/>
      <c r="D158" s="50"/>
      <c r="E158" s="50"/>
      <c r="F158" s="50"/>
      <c r="G158" s="27" t="str">
        <f>VLOOKUP(E158,DropDown!J:K,2,FALSE)</f>
        <v>#N/A</v>
      </c>
      <c r="H158" s="50"/>
      <c r="I158" s="50"/>
      <c r="J158" s="50"/>
      <c r="K158" s="25" t="s">
        <v>116</v>
      </c>
      <c r="L158" s="23"/>
      <c r="M158" s="23"/>
      <c r="N158" s="25" t="str">
        <f>"("""&amp;B158&amp;""") ("&amp;Vlookup(E158,DropDown!J:N,5,FALSE)&amp;" OR """ &amp;YEAR(D158) &amp; """ OR ""All New"" OR Episode OR Watch OR tv OR Show OR Series OR season OR binge OR Stream OR Film OR Movie OR Premiere OR Screening OR Feature OR Trailer OR Teaser OR theater OR release)"</f>
        <v>#N/A</v>
      </c>
      <c r="O158" s="23" t="str">
        <f t="shared" si="1"/>
        <v>#</v>
      </c>
      <c r="P158" s="23" t="str">
        <f t="shared" si="2"/>
        <v>#</v>
      </c>
      <c r="Q158" s="23"/>
      <c r="R158" s="23" t="str">
        <f>"("""&amp;B158&amp;""") ("&amp;Vlookup(E158,DropDown!R:V,5,FALSE)&amp;IF(ISBLANK(D158)," | "," "&amp;"OR """&amp;YEAR(D158)&amp;""" | ") &amp; """All New"" | Episode | Watch | tv | Show | Series | season | binge | Stream | Film | Movie | Premiere | Screening | Feature | Trailer | Teaser | theater | release)"</f>
        <v>#N/A</v>
      </c>
      <c r="S158" s="23"/>
      <c r="T158" s="23"/>
      <c r="U158" s="23"/>
      <c r="V158" s="23"/>
      <c r="W158" s="23"/>
      <c r="X158" s="38"/>
      <c r="Y158" s="38"/>
      <c r="Z158" s="38"/>
      <c r="AA158" s="38"/>
    </row>
    <row r="159">
      <c r="A159" s="31"/>
      <c r="B159" s="38"/>
      <c r="C159" s="38"/>
      <c r="D159" s="50"/>
      <c r="E159" s="50"/>
      <c r="F159" s="50"/>
      <c r="G159" s="27" t="str">
        <f>VLOOKUP(E159,DropDown!J:K,2,FALSE)</f>
        <v>#N/A</v>
      </c>
      <c r="H159" s="50"/>
      <c r="I159" s="50"/>
      <c r="J159" s="50"/>
      <c r="K159" s="25" t="s">
        <v>116</v>
      </c>
      <c r="L159" s="23"/>
      <c r="M159" s="23"/>
      <c r="N159" s="25" t="str">
        <f>"("""&amp;B159&amp;""") ("&amp;Vlookup(E159,DropDown!J:N,5,FALSE)&amp;" OR """ &amp;YEAR(D159) &amp; """ OR ""All New"" OR Episode OR Watch OR tv OR Show OR Series OR season OR binge OR Stream OR Film OR Movie OR Premiere OR Screening OR Feature OR Trailer OR Teaser OR theater OR release)"</f>
        <v>#N/A</v>
      </c>
      <c r="O159" s="23" t="str">
        <f t="shared" si="1"/>
        <v>#</v>
      </c>
      <c r="P159" s="23" t="str">
        <f t="shared" si="2"/>
        <v>#</v>
      </c>
      <c r="Q159" s="23"/>
      <c r="R159" s="23" t="str">
        <f>"("""&amp;B159&amp;""") ("&amp;Vlookup(E159,DropDown!R:V,5,FALSE)&amp;IF(ISBLANK(D159)," | "," "&amp;"OR """&amp;YEAR(D159)&amp;""" | ") &amp; """All New"" | Episode | Watch | tv | Show | Series | season | binge | Stream | Film | Movie | Premiere | Screening | Feature | Trailer | Teaser | theater | release)"</f>
        <v>#N/A</v>
      </c>
      <c r="S159" s="23"/>
      <c r="T159" s="23"/>
      <c r="U159" s="23"/>
      <c r="V159" s="23"/>
      <c r="W159" s="23"/>
      <c r="X159" s="38"/>
      <c r="Y159" s="38"/>
      <c r="Z159" s="38"/>
      <c r="AA159" s="38"/>
    </row>
    <row r="160">
      <c r="A160" s="31"/>
      <c r="B160" s="38"/>
      <c r="C160" s="38"/>
      <c r="D160" s="50"/>
      <c r="E160" s="50"/>
      <c r="F160" s="50"/>
      <c r="G160" s="27" t="str">
        <f>VLOOKUP(E160,DropDown!J:K,2,FALSE)</f>
        <v>#N/A</v>
      </c>
      <c r="H160" s="50"/>
      <c r="I160" s="50"/>
      <c r="J160" s="50"/>
      <c r="K160" s="25" t="s">
        <v>116</v>
      </c>
      <c r="L160" s="23"/>
      <c r="M160" s="23"/>
      <c r="N160" s="25" t="str">
        <f>"("""&amp;B160&amp;""") ("&amp;Vlookup(E160,DropDown!J:N,5,FALSE)&amp;" OR """ &amp;YEAR(D160) &amp; """ OR ""All New"" OR Episode OR Watch OR tv OR Show OR Series OR season OR binge OR Stream OR Film OR Movie OR Premiere OR Screening OR Feature OR Trailer OR Teaser OR theater OR release)"</f>
        <v>#N/A</v>
      </c>
      <c r="O160" s="23" t="str">
        <f t="shared" si="1"/>
        <v>#</v>
      </c>
      <c r="P160" s="23" t="str">
        <f t="shared" si="2"/>
        <v>#</v>
      </c>
      <c r="Q160" s="23"/>
      <c r="R160" s="23" t="str">
        <f>"("""&amp;B160&amp;""") ("&amp;Vlookup(E160,DropDown!R:V,5,FALSE)&amp;IF(ISBLANK(D160)," | "," "&amp;"OR """&amp;YEAR(D160)&amp;""" | ") &amp; """All New"" | Episode | Watch | tv | Show | Series | season | binge | Stream | Film | Movie | Premiere | Screening | Feature | Trailer | Teaser | theater | release)"</f>
        <v>#N/A</v>
      </c>
      <c r="S160" s="23"/>
      <c r="T160" s="23"/>
      <c r="U160" s="23"/>
      <c r="V160" s="23"/>
      <c r="W160" s="23"/>
      <c r="X160" s="38"/>
      <c r="Y160" s="38"/>
      <c r="Z160" s="38"/>
      <c r="AA160" s="38"/>
    </row>
    <row r="161">
      <c r="A161" s="31"/>
      <c r="B161" s="38"/>
      <c r="C161" s="38"/>
      <c r="D161" s="50"/>
      <c r="E161" s="50"/>
      <c r="F161" s="50"/>
      <c r="G161" s="27" t="str">
        <f>VLOOKUP(E161,DropDown!J:K,2,FALSE)</f>
        <v>#N/A</v>
      </c>
      <c r="H161" s="50"/>
      <c r="I161" s="50"/>
      <c r="J161" s="50"/>
      <c r="K161" s="25" t="s">
        <v>116</v>
      </c>
      <c r="L161" s="23"/>
      <c r="M161" s="23"/>
      <c r="N161" s="25" t="str">
        <f>"("""&amp;B161&amp;""") ("&amp;Vlookup(E161,DropDown!J:N,5,FALSE)&amp;" OR """ &amp;YEAR(D161) &amp; """ OR ""All New"" OR Episode OR Watch OR tv OR Show OR Series OR season OR binge OR Stream OR Film OR Movie OR Premiere OR Screening OR Feature OR Trailer OR Teaser OR theater OR release)"</f>
        <v>#N/A</v>
      </c>
      <c r="O161" s="23" t="str">
        <f t="shared" si="1"/>
        <v>#</v>
      </c>
      <c r="P161" s="23" t="str">
        <f t="shared" si="2"/>
        <v>#</v>
      </c>
      <c r="Q161" s="23"/>
      <c r="R161" s="23" t="str">
        <f>"("""&amp;B161&amp;""") ("&amp;Vlookup(E161,DropDown!R:V,5,FALSE)&amp;IF(ISBLANK(D161)," | "," "&amp;"OR """&amp;YEAR(D161)&amp;""" | ") &amp; """All New"" | Episode | Watch | tv | Show | Series | season | binge | Stream | Film | Movie | Premiere | Screening | Feature | Trailer | Teaser | theater | release)"</f>
        <v>#N/A</v>
      </c>
      <c r="S161" s="23"/>
      <c r="T161" s="23"/>
      <c r="U161" s="23"/>
      <c r="V161" s="23"/>
      <c r="W161" s="23"/>
      <c r="X161" s="38"/>
      <c r="Y161" s="38"/>
      <c r="Z161" s="38"/>
      <c r="AA161" s="38"/>
    </row>
    <row r="162">
      <c r="A162" s="31"/>
      <c r="B162" s="38"/>
      <c r="C162" s="38"/>
      <c r="D162" s="50"/>
      <c r="E162" s="50"/>
      <c r="F162" s="50"/>
      <c r="G162" s="27" t="str">
        <f>VLOOKUP(E162,DropDown!J:K,2,FALSE)</f>
        <v>#N/A</v>
      </c>
      <c r="H162" s="50"/>
      <c r="I162" s="50"/>
      <c r="J162" s="50"/>
      <c r="K162" s="25" t="s">
        <v>116</v>
      </c>
      <c r="L162" s="23"/>
      <c r="M162" s="23"/>
      <c r="N162" s="25" t="str">
        <f>"("""&amp;B162&amp;""") ("&amp;Vlookup(E162,DropDown!J:N,5,FALSE)&amp;" OR """ &amp;YEAR(D162) &amp; """ OR ""All New"" OR Episode OR Watch OR tv OR Show OR Series OR season OR binge OR Stream OR Film OR Movie OR Premiere OR Screening OR Feature OR Trailer OR Teaser OR theater OR release)"</f>
        <v>#N/A</v>
      </c>
      <c r="O162" s="23" t="str">
        <f t="shared" si="1"/>
        <v>#</v>
      </c>
      <c r="P162" s="23" t="str">
        <f t="shared" si="2"/>
        <v>#</v>
      </c>
      <c r="Q162" s="23"/>
      <c r="R162" s="23" t="str">
        <f>"("""&amp;B162&amp;""") ("&amp;Vlookup(E162,DropDown!R:V,5,FALSE)&amp;IF(ISBLANK(D162)," | "," "&amp;"OR """&amp;YEAR(D162)&amp;""" | ") &amp; """All New"" | Episode | Watch | tv | Show | Series | season | binge | Stream | Film | Movie | Premiere | Screening | Feature | Trailer | Teaser | theater | release)"</f>
        <v>#N/A</v>
      </c>
      <c r="S162" s="23"/>
      <c r="T162" s="23"/>
      <c r="U162" s="23"/>
      <c r="V162" s="23"/>
      <c r="W162" s="23"/>
      <c r="X162" s="38"/>
      <c r="Y162" s="38"/>
      <c r="Z162" s="38"/>
      <c r="AA162" s="38"/>
    </row>
    <row r="163">
      <c r="A163" s="31"/>
      <c r="B163" s="38"/>
      <c r="C163" s="38"/>
      <c r="D163" s="50"/>
      <c r="E163" s="50"/>
      <c r="F163" s="50"/>
      <c r="G163" s="27" t="str">
        <f>VLOOKUP(E163,DropDown!J:K,2,FALSE)</f>
        <v>#N/A</v>
      </c>
      <c r="H163" s="50"/>
      <c r="I163" s="50"/>
      <c r="J163" s="50"/>
      <c r="K163" s="25" t="s">
        <v>116</v>
      </c>
      <c r="L163" s="23"/>
      <c r="M163" s="23"/>
      <c r="N163" s="25" t="str">
        <f>"("""&amp;B163&amp;""") ("&amp;Vlookup(E163,DropDown!J:N,5,FALSE)&amp;" OR """ &amp;YEAR(D163) &amp; """ OR ""All New"" OR Episode OR Watch OR tv OR Show OR Series OR season OR binge OR Stream OR Film OR Movie OR Premiere OR Screening OR Feature OR Trailer OR Teaser OR theater OR release)"</f>
        <v>#N/A</v>
      </c>
      <c r="O163" s="23" t="str">
        <f t="shared" si="1"/>
        <v>#</v>
      </c>
      <c r="P163" s="23" t="str">
        <f t="shared" si="2"/>
        <v>#</v>
      </c>
      <c r="Q163" s="23"/>
      <c r="R163" s="23" t="str">
        <f>"("""&amp;B163&amp;""") ("&amp;Vlookup(E163,DropDown!R:V,5,FALSE)&amp;IF(ISBLANK(D163)," | "," "&amp;"OR """&amp;YEAR(D163)&amp;""" | ") &amp; """All New"" | Episode | Watch | tv | Show | Series | season | binge | Stream | Film | Movie | Premiere | Screening | Feature | Trailer | Teaser | theater | release)"</f>
        <v>#N/A</v>
      </c>
      <c r="S163" s="23"/>
      <c r="T163" s="23"/>
      <c r="U163" s="23"/>
      <c r="V163" s="23"/>
      <c r="W163" s="23"/>
      <c r="X163" s="38"/>
      <c r="Y163" s="38"/>
      <c r="Z163" s="38"/>
      <c r="AA163" s="38"/>
    </row>
    <row r="164">
      <c r="A164" s="31"/>
      <c r="B164" s="38"/>
      <c r="C164" s="38"/>
      <c r="D164" s="50"/>
      <c r="E164" s="50"/>
      <c r="F164" s="50"/>
      <c r="G164" s="27" t="str">
        <f>VLOOKUP(E164,DropDown!J:K,2,FALSE)</f>
        <v>#N/A</v>
      </c>
      <c r="H164" s="50"/>
      <c r="I164" s="50"/>
      <c r="J164" s="50"/>
      <c r="K164" s="25" t="s">
        <v>116</v>
      </c>
      <c r="L164" s="23"/>
      <c r="M164" s="23"/>
      <c r="N164" s="25" t="str">
        <f>"("""&amp;B164&amp;""") ("&amp;Vlookup(E164,DropDown!J:N,5,FALSE)&amp;" OR """ &amp;YEAR(D164) &amp; """ OR ""All New"" OR Episode OR Watch OR tv OR Show OR Series OR season OR binge OR Stream OR Film OR Movie OR Premiere OR Screening OR Feature OR Trailer OR Teaser OR theater OR release)"</f>
        <v>#N/A</v>
      </c>
      <c r="O164" s="23" t="str">
        <f t="shared" si="1"/>
        <v>#</v>
      </c>
      <c r="P164" s="23" t="str">
        <f t="shared" si="2"/>
        <v>#</v>
      </c>
      <c r="Q164" s="23"/>
      <c r="R164" s="23" t="str">
        <f>"("""&amp;B164&amp;""") ("&amp;Vlookup(E164,DropDown!R:V,5,FALSE)&amp;IF(ISBLANK(D164)," | "," "&amp;"OR """&amp;YEAR(D164)&amp;""" | ") &amp; """All New"" | Episode | Watch | tv | Show | Series | season | binge | Stream | Film | Movie | Premiere | Screening | Feature | Trailer | Teaser | theater | release)"</f>
        <v>#N/A</v>
      </c>
      <c r="S164" s="23"/>
      <c r="T164" s="23"/>
      <c r="U164" s="23"/>
      <c r="V164" s="23"/>
      <c r="W164" s="23"/>
      <c r="X164" s="38"/>
      <c r="Y164" s="38"/>
      <c r="Z164" s="38"/>
      <c r="AA164" s="38"/>
    </row>
    <row r="165">
      <c r="A165" s="31"/>
      <c r="B165" s="38"/>
      <c r="C165" s="38"/>
      <c r="D165" s="50"/>
      <c r="E165" s="50"/>
      <c r="F165" s="50"/>
      <c r="G165" s="27" t="str">
        <f>VLOOKUP(E165,DropDown!J:K,2,FALSE)</f>
        <v>#N/A</v>
      </c>
      <c r="H165" s="50"/>
      <c r="I165" s="50"/>
      <c r="J165" s="50"/>
      <c r="K165" s="25" t="s">
        <v>116</v>
      </c>
      <c r="L165" s="23"/>
      <c r="M165" s="23"/>
      <c r="N165" s="25" t="str">
        <f>"("""&amp;B165&amp;""") ("&amp;Vlookup(E165,DropDown!J:N,5,FALSE)&amp;" OR """ &amp;YEAR(D165) &amp; """ OR ""All New"" OR Episode OR Watch OR tv OR Show OR Series OR season OR binge OR Stream OR Film OR Movie OR Premiere OR Screening OR Feature OR Trailer OR Teaser OR theater OR release)"</f>
        <v>#N/A</v>
      </c>
      <c r="O165" s="23" t="str">
        <f t="shared" si="1"/>
        <v>#</v>
      </c>
      <c r="P165" s="23" t="str">
        <f t="shared" si="2"/>
        <v>#</v>
      </c>
      <c r="Q165" s="23"/>
      <c r="R165" s="23" t="str">
        <f>"("""&amp;B165&amp;""") ("&amp;Vlookup(E165,DropDown!R:V,5,FALSE)&amp;IF(ISBLANK(D165)," | "," "&amp;"OR """&amp;YEAR(D165)&amp;""" | ") &amp; """All New"" | Episode | Watch | tv | Show | Series | season | binge | Stream | Film | Movie | Premiere | Screening | Feature | Trailer | Teaser | theater | release)"</f>
        <v>#N/A</v>
      </c>
      <c r="S165" s="23"/>
      <c r="T165" s="23"/>
      <c r="U165" s="23"/>
      <c r="V165" s="23"/>
      <c r="W165" s="23"/>
      <c r="X165" s="38"/>
      <c r="Y165" s="38"/>
      <c r="Z165" s="38"/>
      <c r="AA165" s="38"/>
    </row>
    <row r="166">
      <c r="A166" s="31"/>
      <c r="B166" s="38"/>
      <c r="C166" s="38"/>
      <c r="D166" s="50"/>
      <c r="E166" s="50"/>
      <c r="F166" s="50"/>
      <c r="G166" s="27" t="str">
        <f>VLOOKUP(E166,DropDown!J:K,2,FALSE)</f>
        <v>#N/A</v>
      </c>
      <c r="H166" s="50"/>
      <c r="I166" s="50"/>
      <c r="J166" s="50"/>
      <c r="K166" s="25" t="s">
        <v>116</v>
      </c>
      <c r="L166" s="23"/>
      <c r="M166" s="23"/>
      <c r="N166" s="25" t="str">
        <f>"("""&amp;B166&amp;""") ("&amp;Vlookup(E166,DropDown!J:N,5,FALSE)&amp;" OR """ &amp;YEAR(D166) &amp; """ OR ""All New"" OR Episode OR Watch OR tv OR Show OR Series OR season OR binge OR Stream OR Film OR Movie OR Premiere OR Screening OR Feature OR Trailer OR Teaser OR theater OR release)"</f>
        <v>#N/A</v>
      </c>
      <c r="O166" s="23" t="str">
        <f t="shared" si="1"/>
        <v>#</v>
      </c>
      <c r="P166" s="23" t="str">
        <f t="shared" si="2"/>
        <v>#</v>
      </c>
      <c r="Q166" s="23"/>
      <c r="R166" s="23" t="str">
        <f>"("""&amp;B166&amp;""") ("&amp;Vlookup(E166,DropDown!R:V,5,FALSE)&amp;IF(ISBLANK(D166)," | "," "&amp;"OR """&amp;YEAR(D166)&amp;""" | ") &amp; """All New"" | Episode | Watch | tv | Show | Series | season | binge | Stream | Film | Movie | Premiere | Screening | Feature | Trailer | Teaser | theater | release)"</f>
        <v>#N/A</v>
      </c>
      <c r="S166" s="23"/>
      <c r="T166" s="23"/>
      <c r="U166" s="23"/>
      <c r="V166" s="23"/>
      <c r="W166" s="23"/>
      <c r="X166" s="38"/>
      <c r="Y166" s="38"/>
      <c r="Z166" s="38"/>
      <c r="AA166" s="38"/>
    </row>
    <row r="167">
      <c r="A167" s="31"/>
      <c r="B167" s="38"/>
      <c r="C167" s="38"/>
      <c r="D167" s="50"/>
      <c r="E167" s="50"/>
      <c r="F167" s="50"/>
      <c r="G167" s="27" t="str">
        <f>VLOOKUP(E167,DropDown!J:K,2,FALSE)</f>
        <v>#N/A</v>
      </c>
      <c r="H167" s="50"/>
      <c r="I167" s="50"/>
      <c r="J167" s="50"/>
      <c r="K167" s="25" t="s">
        <v>116</v>
      </c>
      <c r="L167" s="23"/>
      <c r="M167" s="23"/>
      <c r="N167" s="25" t="str">
        <f>"("""&amp;B167&amp;""") ("&amp;Vlookup(E167,DropDown!J:N,5,FALSE)&amp;" OR """ &amp;YEAR(D167) &amp; """ OR ""All New"" OR Episode OR Watch OR tv OR Show OR Series OR season OR binge OR Stream OR Film OR Movie OR Premiere OR Screening OR Feature OR Trailer OR Teaser OR theater OR release)"</f>
        <v>#N/A</v>
      </c>
      <c r="O167" s="23" t="str">
        <f t="shared" si="1"/>
        <v>#</v>
      </c>
      <c r="P167" s="23" t="str">
        <f t="shared" si="2"/>
        <v>#</v>
      </c>
      <c r="Q167" s="23"/>
      <c r="R167" s="23" t="str">
        <f>"("""&amp;B167&amp;""") ("&amp;Vlookup(E167,DropDown!R:V,5,FALSE)&amp;IF(ISBLANK(D167)," | "," "&amp;"OR """&amp;YEAR(D167)&amp;""" | ") &amp; """All New"" | Episode | Watch | tv | Show | Series | season | binge | Stream | Film | Movie | Premiere | Screening | Feature | Trailer | Teaser | theater | release)"</f>
        <v>#N/A</v>
      </c>
      <c r="S167" s="23"/>
      <c r="T167" s="23"/>
      <c r="U167" s="23"/>
      <c r="V167" s="23"/>
      <c r="W167" s="23"/>
      <c r="X167" s="38"/>
      <c r="Y167" s="38"/>
      <c r="Z167" s="38"/>
      <c r="AA167" s="38"/>
    </row>
    <row r="168">
      <c r="A168" s="31"/>
      <c r="B168" s="38"/>
      <c r="C168" s="38"/>
      <c r="D168" s="50"/>
      <c r="E168" s="50"/>
      <c r="F168" s="50"/>
      <c r="G168" s="27" t="str">
        <f>VLOOKUP(E168,DropDown!J:K,2,FALSE)</f>
        <v>#N/A</v>
      </c>
      <c r="H168" s="50"/>
      <c r="I168" s="50"/>
      <c r="J168" s="50"/>
      <c r="K168" s="25" t="s">
        <v>116</v>
      </c>
      <c r="L168" s="23"/>
      <c r="M168" s="23"/>
      <c r="N168" s="25" t="str">
        <f>"("""&amp;B168&amp;""") ("&amp;Vlookup(E168,DropDown!J:N,5,FALSE)&amp;" OR """ &amp;YEAR(D168) &amp; """ OR ""All New"" OR Episode OR Watch OR tv OR Show OR Series OR season OR binge OR Stream OR Film OR Movie OR Premiere OR Screening OR Feature OR Trailer OR Teaser OR theater OR release)"</f>
        <v>#N/A</v>
      </c>
      <c r="O168" s="23" t="str">
        <f t="shared" si="1"/>
        <v>#</v>
      </c>
      <c r="P168" s="23" t="str">
        <f t="shared" si="2"/>
        <v>#</v>
      </c>
      <c r="Q168" s="23"/>
      <c r="R168" s="23" t="str">
        <f>"("""&amp;B168&amp;""") ("&amp;Vlookup(E168,DropDown!R:V,5,FALSE)&amp;IF(ISBLANK(D168)," | "," "&amp;"OR """&amp;YEAR(D168)&amp;""" | ") &amp; """All New"" | Episode | Watch | tv | Show | Series | season | binge | Stream | Film | Movie | Premiere | Screening | Feature | Trailer | Teaser | theater | release)"</f>
        <v>#N/A</v>
      </c>
      <c r="S168" s="23"/>
      <c r="T168" s="23"/>
      <c r="U168" s="23"/>
      <c r="V168" s="23"/>
      <c r="W168" s="23"/>
      <c r="X168" s="38"/>
      <c r="Y168" s="38"/>
      <c r="Z168" s="38"/>
      <c r="AA168" s="38"/>
    </row>
    <row r="169">
      <c r="A169" s="31"/>
      <c r="B169" s="38"/>
      <c r="C169" s="38"/>
      <c r="D169" s="50"/>
      <c r="E169" s="50"/>
      <c r="F169" s="50"/>
      <c r="G169" s="27" t="str">
        <f>VLOOKUP(E169,DropDown!J:K,2,FALSE)</f>
        <v>#N/A</v>
      </c>
      <c r="H169" s="50"/>
      <c r="I169" s="50"/>
      <c r="J169" s="50"/>
      <c r="K169" s="25" t="s">
        <v>116</v>
      </c>
      <c r="L169" s="23"/>
      <c r="M169" s="23"/>
      <c r="N169" s="25" t="str">
        <f>"("""&amp;B169&amp;""") ("&amp;Vlookup(E169,DropDown!J:N,5,FALSE)&amp;" OR """ &amp;YEAR(D169) &amp; """ OR ""All New"" OR Episode OR Watch OR tv OR Show OR Series OR season OR binge OR Stream OR Film OR Movie OR Premiere OR Screening OR Feature OR Trailer OR Teaser OR theater OR release)"</f>
        <v>#N/A</v>
      </c>
      <c r="O169" s="23" t="str">
        <f t="shared" si="1"/>
        <v>#</v>
      </c>
      <c r="P169" s="23" t="str">
        <f t="shared" si="2"/>
        <v>#</v>
      </c>
      <c r="Q169" s="23"/>
      <c r="R169" s="23" t="str">
        <f>"("""&amp;B169&amp;""") ("&amp;Vlookup(E169,DropDown!R:V,5,FALSE)&amp;IF(ISBLANK(D169)," | "," "&amp;"OR """&amp;YEAR(D169)&amp;""" | ") &amp; """All New"" | Episode | Watch | tv | Show | Series | season | binge | Stream | Film | Movie | Premiere | Screening | Feature | Trailer | Teaser | theater | release)"</f>
        <v>#N/A</v>
      </c>
      <c r="S169" s="23"/>
      <c r="T169" s="23"/>
      <c r="U169" s="23"/>
      <c r="V169" s="23"/>
      <c r="W169" s="23"/>
      <c r="X169" s="38"/>
      <c r="Y169" s="38"/>
      <c r="Z169" s="38"/>
      <c r="AA169" s="38"/>
    </row>
    <row r="170">
      <c r="A170" s="31"/>
      <c r="B170" s="38"/>
      <c r="C170" s="38"/>
      <c r="D170" s="50"/>
      <c r="E170" s="50"/>
      <c r="F170" s="50"/>
      <c r="G170" s="27" t="str">
        <f>VLOOKUP(E170,DropDown!J:K,2,FALSE)</f>
        <v>#N/A</v>
      </c>
      <c r="H170" s="50"/>
      <c r="I170" s="50"/>
      <c r="J170" s="50"/>
      <c r="K170" s="25" t="s">
        <v>116</v>
      </c>
      <c r="L170" s="23"/>
      <c r="M170" s="23"/>
      <c r="N170" s="25" t="str">
        <f>"("""&amp;B170&amp;""") ("&amp;Vlookup(E170,DropDown!J:N,5,FALSE)&amp;" OR """ &amp;YEAR(D170) &amp; """ OR ""All New"" OR Episode OR Watch OR tv OR Show OR Series OR season OR binge OR Stream OR Film OR Movie OR Premiere OR Screening OR Feature OR Trailer OR Teaser OR theater OR release)"</f>
        <v>#N/A</v>
      </c>
      <c r="O170" s="23" t="str">
        <f t="shared" si="1"/>
        <v>#</v>
      </c>
      <c r="P170" s="23" t="str">
        <f t="shared" si="2"/>
        <v>#</v>
      </c>
      <c r="Q170" s="23"/>
      <c r="R170" s="23" t="str">
        <f>"("""&amp;B170&amp;""") ("&amp;Vlookup(E170,DropDown!R:V,5,FALSE)&amp;IF(ISBLANK(D170)," | "," "&amp;"OR """&amp;YEAR(D170)&amp;""" | ") &amp; """All New"" | Episode | Watch | tv | Show | Series | season | binge | Stream | Film | Movie | Premiere | Screening | Feature | Trailer | Teaser | theater | release)"</f>
        <v>#N/A</v>
      </c>
      <c r="S170" s="23"/>
      <c r="T170" s="23"/>
      <c r="U170" s="23"/>
      <c r="V170" s="23"/>
      <c r="W170" s="23"/>
      <c r="X170" s="38"/>
      <c r="Y170" s="38"/>
      <c r="Z170" s="38"/>
      <c r="AA170" s="38"/>
    </row>
    <row r="171">
      <c r="A171" s="31"/>
      <c r="B171" s="38"/>
      <c r="C171" s="38"/>
      <c r="D171" s="50"/>
      <c r="E171" s="50"/>
      <c r="F171" s="50"/>
      <c r="G171" s="27" t="str">
        <f>VLOOKUP(E171,DropDown!J:K,2,FALSE)</f>
        <v>#N/A</v>
      </c>
      <c r="H171" s="50"/>
      <c r="I171" s="50"/>
      <c r="J171" s="50"/>
      <c r="K171" s="25" t="s">
        <v>116</v>
      </c>
      <c r="L171" s="23"/>
      <c r="M171" s="23"/>
      <c r="N171" s="25" t="str">
        <f>"("""&amp;B171&amp;""") ("&amp;Vlookup(E171,DropDown!J:N,5,FALSE)&amp;" OR """ &amp;YEAR(D171) &amp; """ OR ""All New"" OR Episode OR Watch OR tv OR Show OR Series OR season OR binge OR Stream OR Film OR Movie OR Premiere OR Screening OR Feature OR Trailer OR Teaser OR theater OR release)"</f>
        <v>#N/A</v>
      </c>
      <c r="O171" s="23" t="str">
        <f t="shared" si="1"/>
        <v>#</v>
      </c>
      <c r="P171" s="23" t="str">
        <f t="shared" si="2"/>
        <v>#</v>
      </c>
      <c r="Q171" s="23"/>
      <c r="R171" s="23" t="str">
        <f>"("""&amp;B171&amp;""") ("&amp;Vlookup(E171,DropDown!R:V,5,FALSE)&amp;IF(ISBLANK(D171)," | "," "&amp;"OR """&amp;YEAR(D171)&amp;""" | ") &amp; """All New"" | Episode | Watch | tv | Show | Series | season | binge | Stream | Film | Movie | Premiere | Screening | Feature | Trailer | Teaser | theater | release)"</f>
        <v>#N/A</v>
      </c>
      <c r="S171" s="23"/>
      <c r="T171" s="23"/>
      <c r="U171" s="23"/>
      <c r="V171" s="23"/>
      <c r="W171" s="23"/>
      <c r="X171" s="38"/>
      <c r="Y171" s="38"/>
      <c r="Z171" s="38"/>
      <c r="AA171" s="38"/>
    </row>
    <row r="172">
      <c r="A172" s="31"/>
      <c r="B172" s="38"/>
      <c r="C172" s="38"/>
      <c r="D172" s="50"/>
      <c r="E172" s="50"/>
      <c r="F172" s="50"/>
      <c r="G172" s="27" t="str">
        <f>VLOOKUP(E172,DropDown!J:K,2,FALSE)</f>
        <v>#N/A</v>
      </c>
      <c r="H172" s="50"/>
      <c r="I172" s="50"/>
      <c r="J172" s="50"/>
      <c r="K172" s="25" t="s">
        <v>116</v>
      </c>
      <c r="L172" s="23"/>
      <c r="M172" s="23"/>
      <c r="N172" s="25" t="str">
        <f>"("""&amp;B172&amp;""") ("&amp;Vlookup(E172,DropDown!J:N,5,FALSE)&amp;" OR """ &amp;YEAR(D172) &amp; """ OR ""All New"" OR Episode OR Watch OR tv OR Show OR Series OR season OR binge OR Stream OR Film OR Movie OR Premiere OR Screening OR Feature OR Trailer OR Teaser OR theater OR release)"</f>
        <v>#N/A</v>
      </c>
      <c r="O172" s="23" t="str">
        <f t="shared" si="1"/>
        <v>#</v>
      </c>
      <c r="P172" s="23" t="str">
        <f t="shared" si="2"/>
        <v>#</v>
      </c>
      <c r="Q172" s="23"/>
      <c r="R172" s="23" t="str">
        <f>"("""&amp;B172&amp;""") ("&amp;Vlookup(E172,DropDown!R:V,5,FALSE)&amp;IF(ISBLANK(D172)," | "," "&amp;"OR """&amp;YEAR(D172)&amp;""" | ") &amp; """All New"" | Episode | Watch | tv | Show | Series | season | binge | Stream | Film | Movie | Premiere | Screening | Feature | Trailer | Teaser | theater | release)"</f>
        <v>#N/A</v>
      </c>
      <c r="S172" s="23"/>
      <c r="T172" s="23"/>
      <c r="U172" s="23"/>
      <c r="V172" s="23"/>
      <c r="W172" s="23"/>
      <c r="X172" s="38"/>
      <c r="Y172" s="38"/>
      <c r="Z172" s="38"/>
      <c r="AA172" s="38"/>
    </row>
    <row r="173">
      <c r="A173" s="31"/>
      <c r="B173" s="38"/>
      <c r="C173" s="38"/>
      <c r="D173" s="50"/>
      <c r="E173" s="50"/>
      <c r="F173" s="50"/>
      <c r="G173" s="27" t="str">
        <f>VLOOKUP(E173,DropDown!J:K,2,FALSE)</f>
        <v>#N/A</v>
      </c>
      <c r="H173" s="50"/>
      <c r="I173" s="50"/>
      <c r="J173" s="50"/>
      <c r="K173" s="25" t="s">
        <v>116</v>
      </c>
      <c r="L173" s="23"/>
      <c r="M173" s="23"/>
      <c r="N173" s="25" t="str">
        <f>"("""&amp;B173&amp;""") ("&amp;Vlookup(E173,DropDown!J:N,5,FALSE)&amp;" OR """ &amp;YEAR(D173) &amp; """ OR ""All New"" OR Episode OR Watch OR tv OR Show OR Series OR season OR binge OR Stream OR Film OR Movie OR Premiere OR Screening OR Feature OR Trailer OR Teaser OR theater OR release)"</f>
        <v>#N/A</v>
      </c>
      <c r="O173" s="23" t="str">
        <f t="shared" si="1"/>
        <v>#</v>
      </c>
      <c r="P173" s="23" t="str">
        <f t="shared" si="2"/>
        <v>#</v>
      </c>
      <c r="Q173" s="23"/>
      <c r="R173" s="23" t="str">
        <f>"("""&amp;B173&amp;""") ("&amp;Vlookup(E173,DropDown!R:V,5,FALSE)&amp;IF(ISBLANK(D173)," | "," "&amp;"OR """&amp;YEAR(D173)&amp;""" | ") &amp; """All New"" | Episode | Watch | tv | Show | Series | season | binge | Stream | Film | Movie | Premiere | Screening | Feature | Trailer | Teaser | theater | release)"</f>
        <v>#N/A</v>
      </c>
      <c r="S173" s="23"/>
      <c r="T173" s="23"/>
      <c r="U173" s="23"/>
      <c r="V173" s="23"/>
      <c r="W173" s="23"/>
      <c r="X173" s="38"/>
      <c r="Y173" s="38"/>
      <c r="Z173" s="38"/>
      <c r="AA173" s="38"/>
    </row>
    <row r="174">
      <c r="A174" s="31"/>
      <c r="B174" s="38"/>
      <c r="C174" s="38"/>
      <c r="D174" s="50"/>
      <c r="E174" s="50"/>
      <c r="F174" s="50"/>
      <c r="G174" s="27" t="str">
        <f>VLOOKUP(E174,DropDown!J:K,2,FALSE)</f>
        <v>#N/A</v>
      </c>
      <c r="H174" s="50"/>
      <c r="I174" s="50"/>
      <c r="J174" s="50"/>
      <c r="K174" s="25" t="s">
        <v>116</v>
      </c>
      <c r="L174" s="23"/>
      <c r="M174" s="23"/>
      <c r="N174" s="25" t="str">
        <f>"("""&amp;B174&amp;""") ("&amp;Vlookup(E174,DropDown!J:N,5,FALSE)&amp;" OR """ &amp;YEAR(D174) &amp; """ OR ""All New"" OR Episode OR Watch OR tv OR Show OR Series OR season OR binge OR Stream OR Film OR Movie OR Premiere OR Screening OR Feature OR Trailer OR Teaser OR theater OR release)"</f>
        <v>#N/A</v>
      </c>
      <c r="O174" s="23" t="str">
        <f t="shared" si="1"/>
        <v>#</v>
      </c>
      <c r="P174" s="23" t="str">
        <f t="shared" si="2"/>
        <v>#</v>
      </c>
      <c r="Q174" s="23"/>
      <c r="R174" s="23" t="str">
        <f>"("""&amp;B174&amp;""") ("&amp;Vlookup(E174,DropDown!R:V,5,FALSE)&amp;IF(ISBLANK(D174)," | "," "&amp;"OR """&amp;YEAR(D174)&amp;""" | ") &amp; """All New"" | Episode | Watch | tv | Show | Series | season | binge | Stream | Film | Movie | Premiere | Screening | Feature | Trailer | Teaser | theater | release)"</f>
        <v>#N/A</v>
      </c>
      <c r="S174" s="23"/>
      <c r="T174" s="23"/>
      <c r="U174" s="23"/>
      <c r="V174" s="23"/>
      <c r="W174" s="23"/>
      <c r="X174" s="38"/>
      <c r="Y174" s="38"/>
      <c r="Z174" s="38"/>
      <c r="AA174" s="38"/>
    </row>
    <row r="175">
      <c r="A175" s="31"/>
      <c r="B175" s="38"/>
      <c r="C175" s="38"/>
      <c r="D175" s="50"/>
      <c r="E175" s="50"/>
      <c r="F175" s="50"/>
      <c r="G175" s="27" t="str">
        <f>VLOOKUP(E175,DropDown!J:K,2,FALSE)</f>
        <v>#N/A</v>
      </c>
      <c r="H175" s="50"/>
      <c r="I175" s="50"/>
      <c r="J175" s="50"/>
      <c r="K175" s="25" t="s">
        <v>116</v>
      </c>
      <c r="L175" s="23"/>
      <c r="M175" s="23"/>
      <c r="N175" s="25" t="str">
        <f>"("""&amp;B175&amp;""") ("&amp;Vlookup(E175,DropDown!J:N,5,FALSE)&amp;" OR """ &amp;YEAR(D175) &amp; """ OR ""All New"" OR Episode OR Watch OR tv OR Show OR Series OR season OR binge OR Stream OR Film OR Movie OR Premiere OR Screening OR Feature OR Trailer OR Teaser OR theater OR release)"</f>
        <v>#N/A</v>
      </c>
      <c r="O175" s="23" t="str">
        <f t="shared" si="1"/>
        <v>#</v>
      </c>
      <c r="P175" s="23" t="str">
        <f t="shared" si="2"/>
        <v>#</v>
      </c>
      <c r="Q175" s="23"/>
      <c r="R175" s="23" t="str">
        <f>"("""&amp;B175&amp;""") ("&amp;Vlookup(E175,DropDown!R:V,5,FALSE)&amp;IF(ISBLANK(D175)," | "," "&amp;"OR """&amp;YEAR(D175)&amp;""" | ") &amp; """All New"" | Episode | Watch | tv | Show | Series | season | binge | Stream | Film | Movie | Premiere | Screening | Feature | Trailer | Teaser | theater | release)"</f>
        <v>#N/A</v>
      </c>
      <c r="S175" s="23"/>
      <c r="T175" s="23"/>
      <c r="U175" s="23"/>
      <c r="V175" s="23"/>
      <c r="W175" s="23"/>
      <c r="X175" s="38"/>
      <c r="Y175" s="38"/>
      <c r="Z175" s="38"/>
      <c r="AA175" s="38"/>
    </row>
    <row r="176">
      <c r="A176" s="31"/>
      <c r="B176" s="38"/>
      <c r="C176" s="38"/>
      <c r="D176" s="50"/>
      <c r="E176" s="50"/>
      <c r="F176" s="50"/>
      <c r="G176" s="27" t="str">
        <f>VLOOKUP(E176,DropDown!J:K,2,FALSE)</f>
        <v>#N/A</v>
      </c>
      <c r="H176" s="50"/>
      <c r="I176" s="50"/>
      <c r="J176" s="50"/>
      <c r="K176" s="25" t="s">
        <v>116</v>
      </c>
      <c r="L176" s="23"/>
      <c r="M176" s="23"/>
      <c r="N176" s="25" t="str">
        <f>"("""&amp;B176&amp;""") ("&amp;Vlookup(E176,DropDown!J:N,5,FALSE)&amp;" OR """ &amp;YEAR(D176) &amp; """ OR ""All New"" OR Episode OR Watch OR tv OR Show OR Series OR season OR binge OR Stream OR Film OR Movie OR Premiere OR Screening OR Feature OR Trailer OR Teaser OR theater OR release)"</f>
        <v>#N/A</v>
      </c>
      <c r="O176" s="23" t="str">
        <f t="shared" si="1"/>
        <v>#</v>
      </c>
      <c r="P176" s="23" t="str">
        <f t="shared" si="2"/>
        <v>#</v>
      </c>
      <c r="Q176" s="23"/>
      <c r="R176" s="23" t="str">
        <f>"("""&amp;B176&amp;""") ("&amp;Vlookup(E176,DropDown!R:V,5,FALSE)&amp;IF(ISBLANK(D176)," | "," "&amp;"OR """&amp;YEAR(D176)&amp;""" | ") &amp; """All New"" | Episode | Watch | tv | Show | Series | season | binge | Stream | Film | Movie | Premiere | Screening | Feature | Trailer | Teaser | theater | release)"</f>
        <v>#N/A</v>
      </c>
      <c r="S176" s="23"/>
      <c r="T176" s="23"/>
      <c r="U176" s="23"/>
      <c r="V176" s="23"/>
      <c r="W176" s="23"/>
      <c r="X176" s="38"/>
      <c r="Y176" s="38"/>
      <c r="Z176" s="38"/>
      <c r="AA176" s="38"/>
    </row>
    <row r="177">
      <c r="A177" s="31"/>
      <c r="B177" s="38"/>
      <c r="C177" s="38"/>
      <c r="D177" s="50"/>
      <c r="E177" s="50"/>
      <c r="F177" s="50"/>
      <c r="G177" s="27" t="str">
        <f>VLOOKUP(E177,DropDown!J:K,2,FALSE)</f>
        <v>#N/A</v>
      </c>
      <c r="H177" s="50"/>
      <c r="I177" s="50"/>
      <c r="J177" s="50"/>
      <c r="K177" s="25" t="s">
        <v>116</v>
      </c>
      <c r="L177" s="23"/>
      <c r="M177" s="23"/>
      <c r="N177" s="25" t="str">
        <f>"("""&amp;B177&amp;""") ("&amp;Vlookup(E177,DropDown!J:N,5,FALSE)&amp;" OR """ &amp;YEAR(D177) &amp; """ OR ""All New"" OR Episode OR Watch OR tv OR Show OR Series OR season OR binge OR Stream OR Film OR Movie OR Premiere OR Screening OR Feature OR Trailer OR Teaser OR theater OR release)"</f>
        <v>#N/A</v>
      </c>
      <c r="O177" s="23" t="str">
        <f t="shared" si="1"/>
        <v>#</v>
      </c>
      <c r="P177" s="23" t="str">
        <f t="shared" si="2"/>
        <v>#</v>
      </c>
      <c r="Q177" s="23"/>
      <c r="R177" s="23" t="str">
        <f>"("""&amp;B177&amp;""") ("&amp;Vlookup(E177,DropDown!R:V,5,FALSE)&amp;IF(ISBLANK(D177)," | "," "&amp;"OR """&amp;YEAR(D177)&amp;""" | ") &amp; """All New"" | Episode | Watch | tv | Show | Series | season | binge | Stream | Film | Movie | Premiere | Screening | Feature | Trailer | Teaser | theater | release)"</f>
        <v>#N/A</v>
      </c>
      <c r="S177" s="23"/>
      <c r="T177" s="23"/>
      <c r="U177" s="23"/>
      <c r="V177" s="23"/>
      <c r="W177" s="23"/>
      <c r="X177" s="38"/>
      <c r="Y177" s="38"/>
      <c r="Z177" s="38"/>
      <c r="AA177" s="38"/>
    </row>
    <row r="178">
      <c r="A178" s="31"/>
      <c r="B178" s="38"/>
      <c r="C178" s="38"/>
      <c r="D178" s="50"/>
      <c r="E178" s="50"/>
      <c r="F178" s="50"/>
      <c r="G178" s="27" t="str">
        <f>VLOOKUP(E178,DropDown!J:K,2,FALSE)</f>
        <v>#N/A</v>
      </c>
      <c r="H178" s="50"/>
      <c r="I178" s="50"/>
      <c r="J178" s="50"/>
      <c r="K178" s="25" t="s">
        <v>116</v>
      </c>
      <c r="L178" s="23"/>
      <c r="M178" s="23"/>
      <c r="N178" s="25" t="str">
        <f>"("""&amp;B178&amp;""") ("&amp;Vlookup(E178,DropDown!J:N,5,FALSE)&amp;" OR """ &amp;YEAR(D178) &amp; """ OR ""All New"" OR Episode OR Watch OR tv OR Show OR Series OR season OR binge OR Stream OR Film OR Movie OR Premiere OR Screening OR Feature OR Trailer OR Teaser OR theater OR release)"</f>
        <v>#N/A</v>
      </c>
      <c r="O178" s="23" t="str">
        <f t="shared" si="1"/>
        <v>#</v>
      </c>
      <c r="P178" s="23" t="str">
        <f t="shared" si="2"/>
        <v>#</v>
      </c>
      <c r="Q178" s="23"/>
      <c r="R178" s="23" t="str">
        <f>"("""&amp;B178&amp;""") ("&amp;Vlookup(E178,DropDown!R:V,5,FALSE)&amp;IF(ISBLANK(D178)," | "," "&amp;"OR """&amp;YEAR(D178)&amp;""" | ") &amp; """All New"" | Episode | Watch | tv | Show | Series | season | binge | Stream | Film | Movie | Premiere | Screening | Feature | Trailer | Teaser | theater | release)"</f>
        <v>#N/A</v>
      </c>
      <c r="S178" s="23"/>
      <c r="T178" s="23"/>
      <c r="U178" s="23"/>
      <c r="V178" s="23"/>
      <c r="W178" s="23"/>
      <c r="X178" s="38"/>
      <c r="Y178" s="38"/>
      <c r="Z178" s="38"/>
      <c r="AA178" s="38"/>
    </row>
    <row r="179">
      <c r="A179" s="31"/>
      <c r="B179" s="38"/>
      <c r="C179" s="38"/>
      <c r="D179" s="50"/>
      <c r="E179" s="50"/>
      <c r="F179" s="50"/>
      <c r="G179" s="27" t="str">
        <f>VLOOKUP(E179,DropDown!J:K,2,FALSE)</f>
        <v>#N/A</v>
      </c>
      <c r="H179" s="50"/>
      <c r="I179" s="50"/>
      <c r="J179" s="50"/>
      <c r="K179" s="25" t="s">
        <v>116</v>
      </c>
      <c r="L179" s="23"/>
      <c r="M179" s="23"/>
      <c r="N179" s="25" t="str">
        <f>"("""&amp;B179&amp;""") ("&amp;Vlookup(E179,DropDown!J:N,5,FALSE)&amp;" OR """ &amp;YEAR(D179) &amp; """ OR ""All New"" OR Episode OR Watch OR tv OR Show OR Series OR season OR binge OR Stream OR Film OR Movie OR Premiere OR Screening OR Feature OR Trailer OR Teaser OR theater OR release)"</f>
        <v>#N/A</v>
      </c>
      <c r="O179" s="23" t="str">
        <f t="shared" si="1"/>
        <v>#</v>
      </c>
      <c r="P179" s="23" t="str">
        <f t="shared" si="2"/>
        <v>#</v>
      </c>
      <c r="Q179" s="23"/>
      <c r="R179" s="23" t="str">
        <f>"("""&amp;B179&amp;""") ("&amp;Vlookup(E179,DropDown!R:V,5,FALSE)&amp;IF(ISBLANK(D179)," | "," "&amp;"OR """&amp;YEAR(D179)&amp;""" | ") &amp; """All New"" | Episode | Watch | tv | Show | Series | season | binge | Stream | Film | Movie | Premiere | Screening | Feature | Trailer | Teaser | theater | release)"</f>
        <v>#N/A</v>
      </c>
      <c r="S179" s="23"/>
      <c r="T179" s="23"/>
      <c r="U179" s="23"/>
      <c r="V179" s="23"/>
      <c r="W179" s="23"/>
      <c r="X179" s="38"/>
      <c r="Y179" s="38"/>
      <c r="Z179" s="38"/>
      <c r="AA179" s="38"/>
    </row>
    <row r="180">
      <c r="A180" s="31"/>
      <c r="B180" s="38"/>
      <c r="C180" s="38"/>
      <c r="D180" s="50"/>
      <c r="E180" s="50"/>
      <c r="F180" s="50"/>
      <c r="G180" s="27" t="str">
        <f>VLOOKUP(E180,DropDown!J:K,2,FALSE)</f>
        <v>#N/A</v>
      </c>
      <c r="H180" s="50"/>
      <c r="I180" s="50"/>
      <c r="J180" s="50"/>
      <c r="K180" s="25" t="s">
        <v>116</v>
      </c>
      <c r="L180" s="23"/>
      <c r="M180" s="23"/>
      <c r="N180" s="25" t="str">
        <f>"("""&amp;B180&amp;""") ("&amp;Vlookup(E180,DropDown!J:N,5,FALSE)&amp;" OR """ &amp;YEAR(D180) &amp; """ OR ""All New"" OR Episode OR Watch OR tv OR Show OR Series OR season OR binge OR Stream OR Film OR Movie OR Premiere OR Screening OR Feature OR Trailer OR Teaser OR theater OR release)"</f>
        <v>#N/A</v>
      </c>
      <c r="O180" s="23" t="str">
        <f t="shared" si="1"/>
        <v>#</v>
      </c>
      <c r="P180" s="23" t="str">
        <f t="shared" si="2"/>
        <v>#</v>
      </c>
      <c r="Q180" s="23"/>
      <c r="R180" s="23" t="str">
        <f>"("""&amp;B180&amp;""") ("&amp;Vlookup(E180,DropDown!R:V,5,FALSE)&amp;IF(ISBLANK(D180)," | "," "&amp;"OR """&amp;YEAR(D180)&amp;""" | ") &amp; """All New"" | Episode | Watch | tv | Show | Series | season | binge | Stream | Film | Movie | Premiere | Screening | Feature | Trailer | Teaser | theater | release)"</f>
        <v>#N/A</v>
      </c>
      <c r="S180" s="23"/>
      <c r="T180" s="23"/>
      <c r="U180" s="23"/>
      <c r="V180" s="23"/>
      <c r="W180" s="23"/>
      <c r="X180" s="38"/>
      <c r="Y180" s="38"/>
      <c r="Z180" s="38"/>
      <c r="AA180" s="38"/>
    </row>
    <row r="181">
      <c r="A181" s="31"/>
      <c r="B181" s="38"/>
      <c r="C181" s="38"/>
      <c r="D181" s="50"/>
      <c r="E181" s="50"/>
      <c r="F181" s="50"/>
      <c r="G181" s="27" t="str">
        <f>VLOOKUP(E181,DropDown!J:K,2,FALSE)</f>
        <v>#N/A</v>
      </c>
      <c r="H181" s="50"/>
      <c r="I181" s="50"/>
      <c r="J181" s="50"/>
      <c r="K181" s="25" t="s">
        <v>116</v>
      </c>
      <c r="L181" s="23"/>
      <c r="M181" s="23"/>
      <c r="N181" s="25" t="str">
        <f>"("""&amp;B181&amp;""") ("&amp;Vlookup(E181,DropDown!J:N,5,FALSE)&amp;" OR """ &amp;YEAR(D181) &amp; """ OR ""All New"" OR Episode OR Watch OR tv OR Show OR Series OR season OR binge OR Stream OR Film OR Movie OR Premiere OR Screening OR Feature OR Trailer OR Teaser OR theater OR release)"</f>
        <v>#N/A</v>
      </c>
      <c r="O181" s="23" t="str">
        <f t="shared" si="1"/>
        <v>#</v>
      </c>
      <c r="P181" s="23" t="str">
        <f t="shared" si="2"/>
        <v>#</v>
      </c>
      <c r="Q181" s="23"/>
      <c r="R181" s="23" t="str">
        <f>"("""&amp;B181&amp;""") ("&amp;Vlookup(E181,DropDown!R:V,5,FALSE)&amp;IF(ISBLANK(D181)," | "," "&amp;"OR """&amp;YEAR(D181)&amp;""" | ") &amp; """All New"" | Episode | Watch | tv | Show | Series | season | binge | Stream | Film | Movie | Premiere | Screening | Feature | Trailer | Teaser | theater | release)"</f>
        <v>#N/A</v>
      </c>
      <c r="S181" s="23"/>
      <c r="T181" s="23"/>
      <c r="U181" s="23"/>
      <c r="V181" s="23"/>
      <c r="W181" s="23"/>
      <c r="X181" s="38"/>
      <c r="Y181" s="38"/>
      <c r="Z181" s="38"/>
      <c r="AA181" s="38"/>
    </row>
    <row r="182">
      <c r="A182" s="31"/>
      <c r="B182" s="38"/>
      <c r="C182" s="38"/>
      <c r="D182" s="50"/>
      <c r="E182" s="50"/>
      <c r="F182" s="50"/>
      <c r="G182" s="27" t="str">
        <f>VLOOKUP(E182,DropDown!J:K,2,FALSE)</f>
        <v>#N/A</v>
      </c>
      <c r="H182" s="50"/>
      <c r="I182" s="50"/>
      <c r="J182" s="50"/>
      <c r="K182" s="25" t="s">
        <v>116</v>
      </c>
      <c r="L182" s="23"/>
      <c r="M182" s="23"/>
      <c r="N182" s="25" t="str">
        <f>"("""&amp;B182&amp;""") ("&amp;Vlookup(E182,DropDown!J:N,5,FALSE)&amp;" OR """ &amp;YEAR(D182) &amp; """ OR ""All New"" OR Episode OR Watch OR tv OR Show OR Series OR season OR binge OR Stream OR Film OR Movie OR Premiere OR Screening OR Feature OR Trailer OR Teaser OR theater OR release)"</f>
        <v>#N/A</v>
      </c>
      <c r="O182" s="23" t="str">
        <f t="shared" si="1"/>
        <v>#</v>
      </c>
      <c r="P182" s="23" t="str">
        <f t="shared" si="2"/>
        <v>#</v>
      </c>
      <c r="Q182" s="23"/>
      <c r="R182" s="23" t="str">
        <f>"("""&amp;B182&amp;""") ("&amp;Vlookup(E182,DropDown!R:V,5,FALSE)&amp;IF(ISBLANK(D182)," | "," "&amp;"OR """&amp;YEAR(D182)&amp;""" | ") &amp; """All New"" | Episode | Watch | tv | Show | Series | season | binge | Stream | Film | Movie | Premiere | Screening | Feature | Trailer | Teaser | theater | release)"</f>
        <v>#N/A</v>
      </c>
      <c r="S182" s="23"/>
      <c r="T182" s="23"/>
      <c r="U182" s="23"/>
      <c r="V182" s="23"/>
      <c r="W182" s="23"/>
      <c r="X182" s="38"/>
      <c r="Y182" s="38"/>
      <c r="Z182" s="38"/>
      <c r="AA182" s="38"/>
    </row>
    <row r="183">
      <c r="A183" s="31"/>
      <c r="B183" s="38"/>
      <c r="C183" s="38"/>
      <c r="D183" s="50"/>
      <c r="E183" s="50"/>
      <c r="F183" s="50"/>
      <c r="G183" s="27" t="str">
        <f>VLOOKUP(E183,DropDown!J:K,2,FALSE)</f>
        <v>#N/A</v>
      </c>
      <c r="H183" s="50"/>
      <c r="I183" s="50"/>
      <c r="J183" s="50"/>
      <c r="K183" s="25" t="s">
        <v>116</v>
      </c>
      <c r="L183" s="23"/>
      <c r="M183" s="23"/>
      <c r="N183" s="25" t="str">
        <f>"("""&amp;B183&amp;""") ("&amp;Vlookup(E183,DropDown!J:N,5,FALSE)&amp;" OR """ &amp;YEAR(D183) &amp; """ OR ""All New"" OR Episode OR Watch OR tv OR Show OR Series OR season OR binge OR Stream OR Film OR Movie OR Premiere OR Screening OR Feature OR Trailer OR Teaser OR theater OR release)"</f>
        <v>#N/A</v>
      </c>
      <c r="O183" s="23" t="str">
        <f t="shared" si="1"/>
        <v>#</v>
      </c>
      <c r="P183" s="23" t="str">
        <f t="shared" si="2"/>
        <v>#</v>
      </c>
      <c r="Q183" s="23"/>
      <c r="R183" s="23" t="str">
        <f>"("""&amp;B183&amp;""") ("&amp;Vlookup(E183,DropDown!R:V,5,FALSE)&amp;IF(ISBLANK(D183)," | "," "&amp;"OR """&amp;YEAR(D183)&amp;""" | ") &amp; """All New"" | Episode | Watch | tv | Show | Series | season | binge | Stream | Film | Movie | Premiere | Screening | Feature | Trailer | Teaser | theater | release)"</f>
        <v>#N/A</v>
      </c>
      <c r="S183" s="23"/>
      <c r="T183" s="23"/>
      <c r="U183" s="23"/>
      <c r="V183" s="23"/>
      <c r="W183" s="23"/>
      <c r="X183" s="38"/>
      <c r="Y183" s="38"/>
      <c r="Z183" s="38"/>
      <c r="AA183" s="38"/>
    </row>
    <row r="184">
      <c r="A184" s="31"/>
      <c r="B184" s="38"/>
      <c r="C184" s="38"/>
      <c r="D184" s="50"/>
      <c r="E184" s="50"/>
      <c r="F184" s="50"/>
      <c r="G184" s="27" t="str">
        <f>VLOOKUP(E184,DropDown!J:K,2,FALSE)</f>
        <v>#N/A</v>
      </c>
      <c r="H184" s="50"/>
      <c r="I184" s="50"/>
      <c r="J184" s="50"/>
      <c r="K184" s="25" t="s">
        <v>116</v>
      </c>
      <c r="L184" s="23"/>
      <c r="M184" s="23"/>
      <c r="N184" s="25" t="str">
        <f>"("""&amp;B184&amp;""") ("&amp;Vlookup(E184,DropDown!J:N,5,FALSE)&amp;" OR """ &amp;YEAR(D184) &amp; """ OR ""All New"" OR Episode OR Watch OR tv OR Show OR Series OR season OR binge OR Stream OR Film OR Movie OR Premiere OR Screening OR Feature OR Trailer OR Teaser OR theater OR release)"</f>
        <v>#N/A</v>
      </c>
      <c r="O184" s="23" t="str">
        <f t="shared" si="1"/>
        <v>#</v>
      </c>
      <c r="P184" s="23" t="str">
        <f t="shared" si="2"/>
        <v>#</v>
      </c>
      <c r="Q184" s="23"/>
      <c r="R184" s="23" t="str">
        <f>"("""&amp;B184&amp;""") ("&amp;Vlookup(E184,DropDown!R:V,5,FALSE)&amp;IF(ISBLANK(D184)," | "," "&amp;"OR """&amp;YEAR(D184)&amp;""" | ") &amp; """All New"" | Episode | Watch | tv | Show | Series | season | binge | Stream | Film | Movie | Premiere | Screening | Feature | Trailer | Teaser | theater | release)"</f>
        <v>#N/A</v>
      </c>
      <c r="S184" s="23"/>
      <c r="T184" s="23"/>
      <c r="U184" s="23"/>
      <c r="V184" s="23"/>
      <c r="W184" s="23"/>
      <c r="X184" s="38"/>
      <c r="Y184" s="38"/>
      <c r="Z184" s="38"/>
      <c r="AA184" s="38"/>
    </row>
    <row r="185">
      <c r="A185" s="31"/>
      <c r="B185" s="38"/>
      <c r="C185" s="38"/>
      <c r="D185" s="50"/>
      <c r="E185" s="50"/>
      <c r="F185" s="50"/>
      <c r="G185" s="27" t="str">
        <f>VLOOKUP(E185,DropDown!J:K,2,FALSE)</f>
        <v>#N/A</v>
      </c>
      <c r="H185" s="50"/>
      <c r="I185" s="50"/>
      <c r="J185" s="50"/>
      <c r="K185" s="25" t="s">
        <v>116</v>
      </c>
      <c r="L185" s="23"/>
      <c r="M185" s="23"/>
      <c r="N185" s="25" t="str">
        <f>"("""&amp;B185&amp;""") ("&amp;Vlookup(E185,DropDown!J:N,5,FALSE)&amp;" OR """ &amp;YEAR(D185) &amp; """ OR ""All New"" OR Episode OR Watch OR tv OR Show OR Series OR season OR binge OR Stream OR Film OR Movie OR Premiere OR Screening OR Feature OR Trailer OR Teaser OR theater OR release)"</f>
        <v>#N/A</v>
      </c>
      <c r="O185" s="23" t="str">
        <f t="shared" si="1"/>
        <v>#</v>
      </c>
      <c r="P185" s="23" t="str">
        <f t="shared" si="2"/>
        <v>#</v>
      </c>
      <c r="Q185" s="23"/>
      <c r="R185" s="23" t="str">
        <f>"("""&amp;B185&amp;""") ("&amp;Vlookup(E185,DropDown!R:V,5,FALSE)&amp;IF(ISBLANK(D185)," | "," "&amp;"OR """&amp;YEAR(D185)&amp;""" | ") &amp; """All New"" | Episode | Watch | tv | Show | Series | season | binge | Stream | Film | Movie | Premiere | Screening | Feature | Trailer | Teaser | theater | release)"</f>
        <v>#N/A</v>
      </c>
      <c r="S185" s="23"/>
      <c r="T185" s="23"/>
      <c r="U185" s="23"/>
      <c r="V185" s="23"/>
      <c r="W185" s="23"/>
      <c r="X185" s="38"/>
      <c r="Y185" s="38"/>
      <c r="Z185" s="38"/>
      <c r="AA185" s="38"/>
    </row>
    <row r="186">
      <c r="A186" s="31"/>
      <c r="B186" s="38"/>
      <c r="C186" s="38"/>
      <c r="D186" s="50"/>
      <c r="E186" s="50"/>
      <c r="F186" s="50"/>
      <c r="G186" s="27" t="str">
        <f>VLOOKUP(E186,DropDown!J:K,2,FALSE)</f>
        <v>#N/A</v>
      </c>
      <c r="H186" s="50"/>
      <c r="I186" s="50"/>
      <c r="J186" s="50"/>
      <c r="K186" s="25" t="s">
        <v>116</v>
      </c>
      <c r="L186" s="23"/>
      <c r="M186" s="23"/>
      <c r="N186" s="25" t="str">
        <f>"("""&amp;B186&amp;""") ("&amp;Vlookup(E186,DropDown!J:N,5,FALSE)&amp;" OR """ &amp;YEAR(D186) &amp; """ OR ""All New"" OR Episode OR Watch OR tv OR Show OR Series OR season OR binge OR Stream OR Film OR Movie OR Premiere OR Screening OR Feature OR Trailer OR Teaser OR theater OR release)"</f>
        <v>#N/A</v>
      </c>
      <c r="O186" s="23" t="str">
        <f t="shared" si="1"/>
        <v>#</v>
      </c>
      <c r="P186" s="23" t="str">
        <f t="shared" si="2"/>
        <v>#</v>
      </c>
      <c r="Q186" s="23"/>
      <c r="R186" s="23" t="str">
        <f>"("""&amp;B186&amp;""") ("&amp;Vlookup(E186,DropDown!R:V,5,FALSE)&amp;IF(ISBLANK(D186)," | "," "&amp;"OR """&amp;YEAR(D186)&amp;""" | ") &amp; """All New"" | Episode | Watch | tv | Show | Series | season | binge | Stream | Film | Movie | Premiere | Screening | Feature | Trailer | Teaser | theater | release)"</f>
        <v>#N/A</v>
      </c>
      <c r="S186" s="23"/>
      <c r="T186" s="23"/>
      <c r="U186" s="23"/>
      <c r="V186" s="23"/>
      <c r="W186" s="23"/>
      <c r="X186" s="38"/>
      <c r="Y186" s="38"/>
      <c r="Z186" s="38"/>
      <c r="AA186" s="38"/>
    </row>
    <row r="187">
      <c r="A187" s="31"/>
      <c r="B187" s="38"/>
      <c r="C187" s="38"/>
      <c r="D187" s="50"/>
      <c r="E187" s="50"/>
      <c r="F187" s="50"/>
      <c r="G187" s="27" t="str">
        <f>VLOOKUP(E187,DropDown!J:K,2,FALSE)</f>
        <v>#N/A</v>
      </c>
      <c r="H187" s="50"/>
      <c r="I187" s="50"/>
      <c r="J187" s="50"/>
      <c r="K187" s="25" t="s">
        <v>116</v>
      </c>
      <c r="L187" s="23"/>
      <c r="M187" s="23"/>
      <c r="N187" s="25" t="str">
        <f>"("""&amp;B187&amp;""") ("&amp;Vlookup(E187,DropDown!J:N,5,FALSE)&amp;" OR """ &amp;YEAR(D187) &amp; """ OR ""All New"" OR Episode OR Watch OR tv OR Show OR Series OR season OR binge OR Stream OR Film OR Movie OR Premiere OR Screening OR Feature OR Trailer OR Teaser OR theater OR release)"</f>
        <v>#N/A</v>
      </c>
      <c r="O187" s="23" t="str">
        <f t="shared" si="1"/>
        <v>#</v>
      </c>
      <c r="P187" s="23" t="str">
        <f t="shared" si="2"/>
        <v>#</v>
      </c>
      <c r="Q187" s="23"/>
      <c r="R187" s="23" t="str">
        <f>"("""&amp;B187&amp;""") ("&amp;Vlookup(E187,DropDown!R:V,5,FALSE)&amp;IF(ISBLANK(D187)," | "," "&amp;"OR """&amp;YEAR(D187)&amp;""" | ") &amp; """All New"" | Episode | Watch | tv | Show | Series | season | binge | Stream | Film | Movie | Premiere | Screening | Feature | Trailer | Teaser | theater | release)"</f>
        <v>#N/A</v>
      </c>
      <c r="S187" s="23"/>
      <c r="T187" s="23"/>
      <c r="U187" s="23"/>
      <c r="V187" s="23"/>
      <c r="W187" s="23"/>
      <c r="X187" s="38"/>
      <c r="Y187" s="38"/>
      <c r="Z187" s="38"/>
      <c r="AA187" s="38"/>
    </row>
    <row r="188">
      <c r="A188" s="31"/>
      <c r="B188" s="38"/>
      <c r="C188" s="38"/>
      <c r="D188" s="50"/>
      <c r="E188" s="50"/>
      <c r="F188" s="50"/>
      <c r="G188" s="27" t="str">
        <f>VLOOKUP(E188,DropDown!J:K,2,FALSE)</f>
        <v>#N/A</v>
      </c>
      <c r="H188" s="50"/>
      <c r="I188" s="50"/>
      <c r="J188" s="50"/>
      <c r="K188" s="25" t="s">
        <v>116</v>
      </c>
      <c r="L188" s="23"/>
      <c r="M188" s="23"/>
      <c r="N188" s="25" t="str">
        <f>"("""&amp;B188&amp;""") ("&amp;Vlookup(E188,DropDown!J:N,5,FALSE)&amp;" OR """ &amp;YEAR(D188) &amp; """ OR ""All New"" OR Episode OR Watch OR tv OR Show OR Series OR season OR binge OR Stream OR Film OR Movie OR Premiere OR Screening OR Feature OR Trailer OR Teaser OR theater OR release)"</f>
        <v>#N/A</v>
      </c>
      <c r="O188" s="23" t="str">
        <f t="shared" si="1"/>
        <v>#</v>
      </c>
      <c r="P188" s="23" t="str">
        <f t="shared" si="2"/>
        <v>#</v>
      </c>
      <c r="Q188" s="23"/>
      <c r="R188" s="23" t="str">
        <f>"("""&amp;B188&amp;""") ("&amp;Vlookup(E188,DropDown!R:V,5,FALSE)&amp;IF(ISBLANK(D188)," | "," "&amp;"OR """&amp;YEAR(D188)&amp;""" | ") &amp; """All New"" | Episode | Watch | tv | Show | Series | season | binge | Stream | Film | Movie | Premiere | Screening | Feature | Trailer | Teaser | theater | release)"</f>
        <v>#N/A</v>
      </c>
      <c r="S188" s="23"/>
      <c r="T188" s="23"/>
      <c r="U188" s="23"/>
      <c r="V188" s="23"/>
      <c r="W188" s="23"/>
      <c r="X188" s="38"/>
      <c r="Y188" s="38"/>
      <c r="Z188" s="38"/>
      <c r="AA188" s="38"/>
    </row>
    <row r="189">
      <c r="A189" s="31"/>
      <c r="B189" s="38"/>
      <c r="C189" s="38"/>
      <c r="D189" s="50"/>
      <c r="E189" s="50"/>
      <c r="F189" s="50"/>
      <c r="G189" s="27" t="str">
        <f>VLOOKUP(E189,DropDown!J:K,2,FALSE)</f>
        <v>#N/A</v>
      </c>
      <c r="H189" s="50"/>
      <c r="I189" s="50"/>
      <c r="J189" s="50"/>
      <c r="K189" s="25" t="s">
        <v>116</v>
      </c>
      <c r="L189" s="23"/>
      <c r="M189" s="23"/>
      <c r="N189" s="25" t="str">
        <f>"("""&amp;B189&amp;""") ("&amp;Vlookup(E189,DropDown!J:N,5,FALSE)&amp;" OR """ &amp;YEAR(D189) &amp; """ OR ""All New"" OR Episode OR Watch OR tv OR Show OR Series OR season OR binge OR Stream OR Film OR Movie OR Premiere OR Screening OR Feature OR Trailer OR Teaser OR theater OR release)"</f>
        <v>#N/A</v>
      </c>
      <c r="O189" s="23" t="str">
        <f t="shared" si="1"/>
        <v>#</v>
      </c>
      <c r="P189" s="23" t="str">
        <f t="shared" si="2"/>
        <v>#</v>
      </c>
      <c r="Q189" s="23"/>
      <c r="R189" s="23" t="str">
        <f>"("""&amp;B189&amp;""") ("&amp;Vlookup(E189,DropDown!R:V,5,FALSE)&amp;IF(ISBLANK(D189)," | "," "&amp;"OR """&amp;YEAR(D189)&amp;""" | ") &amp; """All New"" | Episode | Watch | tv | Show | Series | season | binge | Stream | Film | Movie | Premiere | Screening | Feature | Trailer | Teaser | theater | release)"</f>
        <v>#N/A</v>
      </c>
      <c r="S189" s="23"/>
      <c r="T189" s="23"/>
      <c r="U189" s="23"/>
      <c r="V189" s="23"/>
      <c r="W189" s="23"/>
      <c r="X189" s="38"/>
      <c r="Y189" s="38"/>
      <c r="Z189" s="38"/>
      <c r="AA189" s="38"/>
    </row>
    <row r="190">
      <c r="A190" s="31"/>
      <c r="B190" s="38"/>
      <c r="C190" s="38"/>
      <c r="D190" s="50"/>
      <c r="E190" s="50"/>
      <c r="F190" s="50"/>
      <c r="G190" s="27" t="str">
        <f>VLOOKUP(E190,DropDown!J:K,2,FALSE)</f>
        <v>#N/A</v>
      </c>
      <c r="H190" s="50"/>
      <c r="I190" s="50"/>
      <c r="J190" s="50"/>
      <c r="K190" s="25" t="s">
        <v>116</v>
      </c>
      <c r="L190" s="23"/>
      <c r="M190" s="23"/>
      <c r="N190" s="25" t="str">
        <f>"("""&amp;B190&amp;""") ("&amp;Vlookup(E190,DropDown!J:N,5,FALSE)&amp;" OR """ &amp;YEAR(D190) &amp; """ OR ""All New"" OR Episode OR Watch OR tv OR Show OR Series OR season OR binge OR Stream OR Film OR Movie OR Premiere OR Screening OR Feature OR Trailer OR Teaser OR theater OR release)"</f>
        <v>#N/A</v>
      </c>
      <c r="O190" s="23" t="str">
        <f t="shared" si="1"/>
        <v>#</v>
      </c>
      <c r="P190" s="23" t="str">
        <f t="shared" si="2"/>
        <v>#</v>
      </c>
      <c r="Q190" s="23"/>
      <c r="R190" s="23" t="str">
        <f>"("""&amp;B190&amp;""") ("&amp;Vlookup(E190,DropDown!R:V,5,FALSE)&amp;IF(ISBLANK(D190)," | "," "&amp;"OR """&amp;YEAR(D190)&amp;""" | ") &amp; """All New"" | Episode | Watch | tv | Show | Series | season | binge | Stream | Film | Movie | Premiere | Screening | Feature | Trailer | Teaser | theater | release)"</f>
        <v>#N/A</v>
      </c>
      <c r="S190" s="23"/>
      <c r="T190" s="23"/>
      <c r="U190" s="23"/>
      <c r="V190" s="23"/>
      <c r="W190" s="23"/>
      <c r="X190" s="38"/>
      <c r="Y190" s="38"/>
      <c r="Z190" s="38"/>
      <c r="AA190" s="38"/>
    </row>
    <row r="191">
      <c r="A191" s="31"/>
      <c r="B191" s="38"/>
      <c r="C191" s="38"/>
      <c r="D191" s="50"/>
      <c r="E191" s="50"/>
      <c r="F191" s="50"/>
      <c r="G191" s="27" t="str">
        <f>VLOOKUP(E191,DropDown!J:K,2,FALSE)</f>
        <v>#N/A</v>
      </c>
      <c r="H191" s="50"/>
      <c r="I191" s="50"/>
      <c r="J191" s="50"/>
      <c r="K191" s="25" t="s">
        <v>116</v>
      </c>
      <c r="L191" s="23"/>
      <c r="M191" s="23"/>
      <c r="N191" s="25" t="str">
        <f>"("""&amp;B191&amp;""") ("&amp;Vlookup(E191,DropDown!J:N,5,FALSE)&amp;" OR """ &amp;YEAR(D191) &amp; """ OR ""All New"" OR Episode OR Watch OR tv OR Show OR Series OR season OR binge OR Stream OR Film OR Movie OR Premiere OR Screening OR Feature OR Trailer OR Teaser OR theater OR release)"</f>
        <v>#N/A</v>
      </c>
      <c r="O191" s="23" t="str">
        <f t="shared" si="1"/>
        <v>#</v>
      </c>
      <c r="P191" s="23" t="str">
        <f t="shared" si="2"/>
        <v>#</v>
      </c>
      <c r="Q191" s="23"/>
      <c r="R191" s="23" t="str">
        <f>"("""&amp;B191&amp;""") ("&amp;Vlookup(E191,DropDown!R:V,5,FALSE)&amp;IF(ISBLANK(D191)," | "," "&amp;"OR """&amp;YEAR(D191)&amp;""" | ") &amp; """All New"" | Episode | Watch | tv | Show | Series | season | binge | Stream | Film | Movie | Premiere | Screening | Feature | Trailer | Teaser | theater | release)"</f>
        <v>#N/A</v>
      </c>
      <c r="S191" s="23"/>
      <c r="T191" s="23"/>
      <c r="U191" s="23"/>
      <c r="V191" s="23"/>
      <c r="W191" s="23"/>
      <c r="X191" s="38"/>
      <c r="Y191" s="38"/>
      <c r="Z191" s="38"/>
      <c r="AA191" s="38"/>
    </row>
    <row r="192">
      <c r="A192" s="31"/>
      <c r="B192" s="38"/>
      <c r="C192" s="38"/>
      <c r="D192" s="50"/>
      <c r="E192" s="50"/>
      <c r="F192" s="50"/>
      <c r="G192" s="27" t="str">
        <f>VLOOKUP(E192,DropDown!J:K,2,FALSE)</f>
        <v>#N/A</v>
      </c>
      <c r="H192" s="50"/>
      <c r="I192" s="50"/>
      <c r="J192" s="50"/>
      <c r="K192" s="25" t="s">
        <v>116</v>
      </c>
      <c r="L192" s="23"/>
      <c r="M192" s="23"/>
      <c r="N192" s="25" t="str">
        <f>"("""&amp;B192&amp;""") ("&amp;Vlookup(E192,DropDown!J:N,5,FALSE)&amp;" OR """ &amp;YEAR(D192) &amp; """ OR ""All New"" OR Episode OR Watch OR tv OR Show OR Series OR season OR binge OR Stream OR Film OR Movie OR Premiere OR Screening OR Feature OR Trailer OR Teaser OR theater OR release)"</f>
        <v>#N/A</v>
      </c>
      <c r="O192" s="23" t="str">
        <f t="shared" si="1"/>
        <v>#</v>
      </c>
      <c r="P192" s="23" t="str">
        <f t="shared" si="2"/>
        <v>#</v>
      </c>
      <c r="Q192" s="23"/>
      <c r="R192" s="23" t="str">
        <f>"("""&amp;B192&amp;""") ("&amp;Vlookup(E192,DropDown!R:V,5,FALSE)&amp;IF(ISBLANK(D192)," | "," "&amp;"OR """&amp;YEAR(D192)&amp;""" | ") &amp; """All New"" | Episode | Watch | tv | Show | Series | season | binge | Stream | Film | Movie | Premiere | Screening | Feature | Trailer | Teaser | theater | release)"</f>
        <v>#N/A</v>
      </c>
      <c r="S192" s="23"/>
      <c r="T192" s="23"/>
      <c r="U192" s="23"/>
      <c r="V192" s="23"/>
      <c r="W192" s="23"/>
      <c r="X192" s="38"/>
      <c r="Y192" s="38"/>
      <c r="Z192" s="38"/>
      <c r="AA192" s="38"/>
    </row>
    <row r="193">
      <c r="A193" s="31"/>
      <c r="B193" s="38"/>
      <c r="C193" s="38"/>
      <c r="D193" s="50"/>
      <c r="E193" s="50"/>
      <c r="F193" s="50"/>
      <c r="G193" s="27" t="str">
        <f>VLOOKUP(E193,DropDown!J:K,2,FALSE)</f>
        <v>#N/A</v>
      </c>
      <c r="H193" s="50"/>
      <c r="I193" s="50"/>
      <c r="J193" s="50"/>
      <c r="K193" s="25" t="s">
        <v>116</v>
      </c>
      <c r="L193" s="23"/>
      <c r="M193" s="23"/>
      <c r="N193" s="25" t="str">
        <f>"("""&amp;B193&amp;""") ("&amp;Vlookup(E193,DropDown!J:N,5,FALSE)&amp;" OR """ &amp;YEAR(D193) &amp; """ OR ""All New"" OR Episode OR Watch OR tv OR Show OR Series OR season OR binge OR Stream OR Film OR Movie OR Premiere OR Screening OR Feature OR Trailer OR Teaser OR theater OR release)"</f>
        <v>#N/A</v>
      </c>
      <c r="O193" s="23" t="str">
        <f t="shared" si="1"/>
        <v>#</v>
      </c>
      <c r="P193" s="23" t="str">
        <f t="shared" si="2"/>
        <v>#</v>
      </c>
      <c r="Q193" s="23"/>
      <c r="R193" s="23" t="str">
        <f>"("""&amp;B193&amp;""") ("&amp;Vlookup(E193,DropDown!R:V,5,FALSE)&amp;IF(ISBLANK(D193)," | "," "&amp;"OR """&amp;YEAR(D193)&amp;""" | ") &amp; """All New"" | Episode | Watch | tv | Show | Series | season | binge | Stream | Film | Movie | Premiere | Screening | Feature | Trailer | Teaser | theater | release)"</f>
        <v>#N/A</v>
      </c>
      <c r="S193" s="23"/>
      <c r="T193" s="23"/>
      <c r="U193" s="23"/>
      <c r="V193" s="23"/>
      <c r="W193" s="23"/>
      <c r="X193" s="38"/>
      <c r="Y193" s="38"/>
      <c r="Z193" s="38"/>
      <c r="AA193" s="38"/>
    </row>
    <row r="194">
      <c r="A194" s="31"/>
      <c r="B194" s="38"/>
      <c r="C194" s="38"/>
      <c r="D194" s="50"/>
      <c r="E194" s="50"/>
      <c r="F194" s="50"/>
      <c r="G194" s="27" t="str">
        <f>VLOOKUP(E194,DropDown!J:K,2,FALSE)</f>
        <v>#N/A</v>
      </c>
      <c r="H194" s="50"/>
      <c r="I194" s="50"/>
      <c r="J194" s="50"/>
      <c r="K194" s="25" t="s">
        <v>116</v>
      </c>
      <c r="L194" s="23"/>
      <c r="M194" s="23"/>
      <c r="N194" s="25" t="str">
        <f>"("""&amp;B194&amp;""") ("&amp;Vlookup(E194,DropDown!J:N,5,FALSE)&amp;" OR """ &amp;YEAR(D194) &amp; """ OR ""All New"" OR Episode OR Watch OR tv OR Show OR Series OR season OR binge OR Stream OR Film OR Movie OR Premiere OR Screening OR Feature OR Trailer OR Teaser OR theater OR release)"</f>
        <v>#N/A</v>
      </c>
      <c r="O194" s="23" t="str">
        <f t="shared" si="1"/>
        <v>#</v>
      </c>
      <c r="P194" s="23" t="str">
        <f t="shared" si="2"/>
        <v>#</v>
      </c>
      <c r="Q194" s="23"/>
      <c r="R194" s="23" t="str">
        <f>"("""&amp;B194&amp;""") ("&amp;Vlookup(E194,DropDown!R:V,5,FALSE)&amp;IF(ISBLANK(D194)," | "," "&amp;"OR """&amp;YEAR(D194)&amp;""" | ") &amp; """All New"" | Episode | Watch | tv | Show | Series | season | binge | Stream | Film | Movie | Premiere | Screening | Feature | Trailer | Teaser | theater | release)"</f>
        <v>#N/A</v>
      </c>
      <c r="S194" s="23"/>
      <c r="T194" s="23"/>
      <c r="U194" s="23"/>
      <c r="V194" s="23"/>
      <c r="W194" s="23"/>
      <c r="X194" s="38"/>
      <c r="Y194" s="38"/>
      <c r="Z194" s="38"/>
      <c r="AA194" s="38"/>
    </row>
    <row r="195">
      <c r="A195" s="31"/>
      <c r="B195" s="38"/>
      <c r="C195" s="38"/>
      <c r="D195" s="50"/>
      <c r="E195" s="50"/>
      <c r="F195" s="50"/>
      <c r="G195" s="27" t="str">
        <f>VLOOKUP(E195,DropDown!J:K,2,FALSE)</f>
        <v>#N/A</v>
      </c>
      <c r="H195" s="50"/>
      <c r="I195" s="50"/>
      <c r="J195" s="50"/>
      <c r="K195" s="25" t="s">
        <v>116</v>
      </c>
      <c r="L195" s="23"/>
      <c r="M195" s="23"/>
      <c r="N195" s="25" t="str">
        <f>"("""&amp;B195&amp;""") ("&amp;Vlookup(E195,DropDown!J:N,5,FALSE)&amp;" OR """ &amp;YEAR(D195) &amp; """ OR ""All New"" OR Episode OR Watch OR tv OR Show OR Series OR season OR binge OR Stream OR Film OR Movie OR Premiere OR Screening OR Feature OR Trailer OR Teaser OR theater OR release)"</f>
        <v>#N/A</v>
      </c>
      <c r="O195" s="23" t="str">
        <f t="shared" si="1"/>
        <v>#</v>
      </c>
      <c r="P195" s="23" t="str">
        <f t="shared" si="2"/>
        <v>#</v>
      </c>
      <c r="Q195" s="23"/>
      <c r="R195" s="23" t="str">
        <f>"("""&amp;B195&amp;""") ("&amp;Vlookup(E195,DropDown!R:V,5,FALSE)&amp;IF(ISBLANK(D195)," | "," "&amp;"OR """&amp;YEAR(D195)&amp;""" | ") &amp; """All New"" | Episode | Watch | tv | Show | Series | season | binge | Stream | Film | Movie | Premiere | Screening | Feature | Trailer | Teaser | theater | release)"</f>
        <v>#N/A</v>
      </c>
      <c r="S195" s="23"/>
      <c r="T195" s="23"/>
      <c r="U195" s="23"/>
      <c r="V195" s="23"/>
      <c r="W195" s="23"/>
      <c r="X195" s="38"/>
      <c r="Y195" s="38"/>
      <c r="Z195" s="38"/>
      <c r="AA195" s="38"/>
    </row>
    <row r="196">
      <c r="A196" s="31"/>
      <c r="B196" s="38"/>
      <c r="C196" s="38"/>
      <c r="D196" s="50"/>
      <c r="E196" s="50"/>
      <c r="F196" s="50"/>
      <c r="G196" s="27" t="str">
        <f>VLOOKUP(E196,DropDown!J:K,2,FALSE)</f>
        <v>#N/A</v>
      </c>
      <c r="H196" s="50"/>
      <c r="I196" s="50"/>
      <c r="J196" s="50"/>
      <c r="K196" s="25" t="s">
        <v>116</v>
      </c>
      <c r="L196" s="23"/>
      <c r="M196" s="23"/>
      <c r="N196" s="25" t="str">
        <f>"("""&amp;B196&amp;""") ("&amp;Vlookup(E196,DropDown!J:N,5,FALSE)&amp;" OR """ &amp;YEAR(D196) &amp; """ OR ""All New"" OR Episode OR Watch OR tv OR Show OR Series OR season OR binge OR Stream OR Film OR Movie OR Premiere OR Screening OR Feature OR Trailer OR Teaser OR theater OR release)"</f>
        <v>#N/A</v>
      </c>
      <c r="O196" s="23" t="str">
        <f t="shared" si="1"/>
        <v>#</v>
      </c>
      <c r="P196" s="23" t="str">
        <f t="shared" si="2"/>
        <v>#</v>
      </c>
      <c r="Q196" s="23"/>
      <c r="R196" s="23" t="str">
        <f>"("""&amp;B196&amp;""") ("&amp;Vlookup(E196,DropDown!R:V,5,FALSE)&amp;IF(ISBLANK(D196)," | "," "&amp;"OR """&amp;YEAR(D196)&amp;""" | ") &amp; """All New"" | Episode | Watch | tv | Show | Series | season | binge | Stream | Film | Movie | Premiere | Screening | Feature | Trailer | Teaser | theater | release)"</f>
        <v>#N/A</v>
      </c>
      <c r="S196" s="23"/>
      <c r="T196" s="23"/>
      <c r="U196" s="23"/>
      <c r="V196" s="23"/>
      <c r="W196" s="23"/>
      <c r="X196" s="38"/>
      <c r="Y196" s="38"/>
      <c r="Z196" s="38"/>
      <c r="AA196" s="38"/>
    </row>
    <row r="197">
      <c r="A197" s="31"/>
      <c r="B197" s="38"/>
      <c r="C197" s="38"/>
      <c r="D197" s="50"/>
      <c r="E197" s="50"/>
      <c r="F197" s="50"/>
      <c r="G197" s="27" t="str">
        <f>VLOOKUP(E197,DropDown!J:K,2,FALSE)</f>
        <v>#N/A</v>
      </c>
      <c r="H197" s="50"/>
      <c r="I197" s="50"/>
      <c r="J197" s="50"/>
      <c r="K197" s="25" t="s">
        <v>116</v>
      </c>
      <c r="L197" s="23"/>
      <c r="M197" s="23"/>
      <c r="N197" s="25" t="str">
        <f>"("""&amp;B197&amp;""") ("&amp;Vlookup(E197,DropDown!J:N,5,FALSE)&amp;" OR """ &amp;YEAR(D197) &amp; """ OR ""All New"" OR Episode OR Watch OR tv OR Show OR Series OR season OR binge OR Stream OR Film OR Movie OR Premiere OR Screening OR Feature OR Trailer OR Teaser OR theater OR release)"</f>
        <v>#N/A</v>
      </c>
      <c r="O197" s="23" t="str">
        <f t="shared" si="1"/>
        <v>#</v>
      </c>
      <c r="P197" s="23" t="str">
        <f t="shared" si="2"/>
        <v>#</v>
      </c>
      <c r="Q197" s="23"/>
      <c r="R197" s="23" t="str">
        <f>"("""&amp;B197&amp;""") ("&amp;Vlookup(E197,DropDown!R:V,5,FALSE)&amp;IF(ISBLANK(D197)," | "," "&amp;"OR """&amp;YEAR(D197)&amp;""" | ") &amp; """All New"" | Episode | Watch | tv | Show | Series | season | binge | Stream | Film | Movie | Premiere | Screening | Feature | Trailer | Teaser | theater | release)"</f>
        <v>#N/A</v>
      </c>
      <c r="S197" s="23"/>
      <c r="T197" s="23"/>
      <c r="U197" s="23"/>
      <c r="V197" s="23"/>
      <c r="W197" s="23"/>
      <c r="X197" s="38"/>
      <c r="Y197" s="38"/>
      <c r="Z197" s="38"/>
      <c r="AA197" s="38"/>
    </row>
    <row r="198">
      <c r="A198" s="31"/>
      <c r="B198" s="38"/>
      <c r="C198" s="38"/>
      <c r="D198" s="50"/>
      <c r="E198" s="50"/>
      <c r="F198" s="50"/>
      <c r="G198" s="27" t="str">
        <f>VLOOKUP(E198,DropDown!J:K,2,FALSE)</f>
        <v>#N/A</v>
      </c>
      <c r="H198" s="50"/>
      <c r="I198" s="50"/>
      <c r="J198" s="50"/>
      <c r="K198" s="25" t="s">
        <v>116</v>
      </c>
      <c r="L198" s="23"/>
      <c r="M198" s="23"/>
      <c r="N198" s="25" t="str">
        <f>"("""&amp;B198&amp;""") ("&amp;Vlookup(E198,DropDown!J:N,5,FALSE)&amp;" OR """ &amp;YEAR(D198) &amp; """ OR ""All New"" OR Episode OR Watch OR tv OR Show OR Series OR season OR binge OR Stream OR Film OR Movie OR Premiere OR Screening OR Feature OR Trailer OR Teaser OR theater OR release)"</f>
        <v>#N/A</v>
      </c>
      <c r="O198" s="23" t="str">
        <f t="shared" si="1"/>
        <v>#</v>
      </c>
      <c r="P198" s="23" t="str">
        <f t="shared" si="2"/>
        <v>#</v>
      </c>
      <c r="Q198" s="23"/>
      <c r="R198" s="23" t="str">
        <f>"("""&amp;B198&amp;""") ("&amp;Vlookup(E198,DropDown!R:V,5,FALSE)&amp;IF(ISBLANK(D198)," | "," "&amp;"OR """&amp;YEAR(D198)&amp;""" | ") &amp; """All New"" | Episode | Watch | tv | Show | Series | season | binge | Stream | Film | Movie | Premiere | Screening | Feature | Trailer | Teaser | theater | release)"</f>
        <v>#N/A</v>
      </c>
      <c r="S198" s="23"/>
      <c r="T198" s="23"/>
      <c r="U198" s="23"/>
      <c r="V198" s="23"/>
      <c r="W198" s="23"/>
      <c r="X198" s="38"/>
      <c r="Y198" s="38"/>
      <c r="Z198" s="38"/>
      <c r="AA198" s="38"/>
    </row>
    <row r="199">
      <c r="A199" s="31"/>
      <c r="B199" s="38"/>
      <c r="C199" s="38"/>
      <c r="D199" s="50"/>
      <c r="E199" s="50"/>
      <c r="F199" s="50"/>
      <c r="G199" s="27" t="str">
        <f>VLOOKUP(E199,DropDown!J:K,2,FALSE)</f>
        <v>#N/A</v>
      </c>
      <c r="H199" s="50"/>
      <c r="I199" s="50"/>
      <c r="J199" s="50"/>
      <c r="K199" s="25" t="s">
        <v>116</v>
      </c>
      <c r="L199" s="23"/>
      <c r="M199" s="23"/>
      <c r="N199" s="25" t="str">
        <f>"("""&amp;B199&amp;""") ("&amp;Vlookup(E199,DropDown!J:N,5,FALSE)&amp;" OR """ &amp;YEAR(D199) &amp; """ OR ""All New"" OR Episode OR Watch OR tv OR Show OR Series OR season OR binge OR Stream OR Film OR Movie OR Premiere OR Screening OR Feature OR Trailer OR Teaser OR theater OR release)"</f>
        <v>#N/A</v>
      </c>
      <c r="O199" s="23" t="str">
        <f t="shared" si="1"/>
        <v>#</v>
      </c>
      <c r="P199" s="23" t="str">
        <f t="shared" si="2"/>
        <v>#</v>
      </c>
      <c r="Q199" s="23"/>
      <c r="R199" s="23" t="str">
        <f>"("""&amp;B199&amp;""") ("&amp;Vlookup(E199,DropDown!R:V,5,FALSE)&amp;IF(ISBLANK(D199)," | "," "&amp;"OR """&amp;YEAR(D199)&amp;""" | ") &amp; """All New"" | Episode | Watch | tv | Show | Series | season | binge | Stream | Film | Movie | Premiere | Screening | Feature | Trailer | Teaser | theater | release)"</f>
        <v>#N/A</v>
      </c>
      <c r="S199" s="23"/>
      <c r="T199" s="23"/>
      <c r="U199" s="23"/>
      <c r="V199" s="23"/>
      <c r="W199" s="23"/>
      <c r="X199" s="38"/>
      <c r="Y199" s="38"/>
      <c r="Z199" s="38"/>
      <c r="AA199" s="38"/>
    </row>
    <row r="200">
      <c r="A200" s="31"/>
      <c r="B200" s="38"/>
      <c r="C200" s="38"/>
      <c r="D200" s="50"/>
      <c r="E200" s="50"/>
      <c r="F200" s="50"/>
      <c r="G200" s="27" t="str">
        <f>VLOOKUP(E200,DropDown!J:K,2,FALSE)</f>
        <v>#N/A</v>
      </c>
      <c r="H200" s="50"/>
      <c r="I200" s="50"/>
      <c r="J200" s="50"/>
      <c r="K200" s="25" t="s">
        <v>116</v>
      </c>
      <c r="L200" s="23"/>
      <c r="M200" s="23"/>
      <c r="N200" s="25" t="str">
        <f>"("""&amp;B200&amp;""") ("&amp;Vlookup(E200,DropDown!J:N,5,FALSE)&amp;" OR """ &amp;YEAR(D200) &amp; """ OR ""All New"" OR Episode OR Watch OR tv OR Show OR Series OR season OR binge OR Stream OR Film OR Movie OR Premiere OR Screening OR Feature OR Trailer OR Teaser OR theater OR release)"</f>
        <v>#N/A</v>
      </c>
      <c r="O200" s="23" t="str">
        <f t="shared" si="1"/>
        <v>#</v>
      </c>
      <c r="P200" s="23" t="str">
        <f t="shared" si="2"/>
        <v>#</v>
      </c>
      <c r="Q200" s="23"/>
      <c r="R200" s="23" t="str">
        <f>"("""&amp;B200&amp;""") ("&amp;Vlookup(E200,DropDown!R:V,5,FALSE)&amp;IF(ISBLANK(D200)," | "," "&amp;"OR """&amp;YEAR(D200)&amp;""" | ") &amp; """All New"" | Episode | Watch | tv | Show | Series | season | binge | Stream | Film | Movie | Premiere | Screening | Feature | Trailer | Teaser | theater | release)"</f>
        <v>#N/A</v>
      </c>
      <c r="S200" s="23"/>
      <c r="T200" s="23"/>
      <c r="U200" s="23"/>
      <c r="V200" s="23"/>
      <c r="W200" s="23"/>
      <c r="X200" s="38"/>
      <c r="Y200" s="38"/>
      <c r="Z200" s="38"/>
      <c r="AA200" s="38"/>
    </row>
    <row r="201">
      <c r="A201" s="31"/>
      <c r="B201" s="38"/>
      <c r="C201" s="38"/>
      <c r="D201" s="50"/>
      <c r="E201" s="50"/>
      <c r="F201" s="50"/>
      <c r="G201" s="27" t="str">
        <f>VLOOKUP(E201,DropDown!J:K,2,FALSE)</f>
        <v>#N/A</v>
      </c>
      <c r="H201" s="50"/>
      <c r="I201" s="50"/>
      <c r="J201" s="50"/>
      <c r="K201" s="25" t="s">
        <v>116</v>
      </c>
      <c r="L201" s="23"/>
      <c r="M201" s="23"/>
      <c r="N201" s="25" t="str">
        <f>"("""&amp;B201&amp;""") ("&amp;Vlookup(E201,DropDown!J:N,5,FALSE)&amp;" OR """ &amp;YEAR(D201) &amp; """ OR ""All New"" OR Episode OR Watch OR tv OR Show OR Series OR season OR binge OR Stream OR Film OR Movie OR Premiere OR Screening OR Feature OR Trailer OR Teaser OR theater OR release)"</f>
        <v>#N/A</v>
      </c>
      <c r="O201" s="23" t="str">
        <f t="shared" si="1"/>
        <v>#</v>
      </c>
      <c r="P201" s="23" t="str">
        <f t="shared" si="2"/>
        <v>#</v>
      </c>
      <c r="Q201" s="23"/>
      <c r="R201" s="23" t="str">
        <f>"("""&amp;B201&amp;""") ("&amp;Vlookup(E201,DropDown!R:V,5,FALSE)&amp;IF(ISBLANK(D201)," | "," "&amp;"OR """&amp;YEAR(D201)&amp;""" | ") &amp; """All New"" | Episode | Watch | tv | Show | Series | season | binge | Stream | Film | Movie | Premiere | Screening | Feature | Trailer | Teaser | theater | release)"</f>
        <v>#N/A</v>
      </c>
      <c r="S201" s="23"/>
      <c r="T201" s="23"/>
      <c r="U201" s="23"/>
      <c r="V201" s="23"/>
      <c r="W201" s="23"/>
      <c r="X201" s="38"/>
      <c r="Y201" s="38"/>
      <c r="Z201" s="38"/>
      <c r="AA201" s="38"/>
    </row>
    <row r="202">
      <c r="A202" s="31"/>
      <c r="B202" s="38"/>
      <c r="C202" s="38"/>
      <c r="D202" s="50"/>
      <c r="E202" s="50"/>
      <c r="F202" s="50"/>
      <c r="G202" s="27" t="str">
        <f>VLOOKUP(E202,DropDown!J:K,2,FALSE)</f>
        <v>#N/A</v>
      </c>
      <c r="H202" s="50"/>
      <c r="I202" s="50"/>
      <c r="J202" s="50"/>
      <c r="K202" s="25" t="s">
        <v>116</v>
      </c>
      <c r="L202" s="23"/>
      <c r="M202" s="23"/>
      <c r="N202" s="25" t="str">
        <f>"("""&amp;B202&amp;""") ("&amp;Vlookup(E202,DropDown!J:N,5,FALSE)&amp;" OR """ &amp;YEAR(D202) &amp; """ OR ""All New"" OR Episode OR Watch OR tv OR Show OR Series OR season OR binge OR Stream OR Film OR Movie OR Premiere OR Screening OR Feature OR Trailer OR Teaser OR theater OR release)"</f>
        <v>#N/A</v>
      </c>
      <c r="O202" s="23" t="str">
        <f t="shared" si="1"/>
        <v>#</v>
      </c>
      <c r="P202" s="23" t="str">
        <f t="shared" si="2"/>
        <v>#</v>
      </c>
      <c r="Q202" s="23"/>
      <c r="R202" s="23" t="str">
        <f>"("""&amp;B202&amp;""") ("&amp;Vlookup(E202,DropDown!R:V,5,FALSE)&amp;IF(ISBLANK(D202)," | "," "&amp;"OR """&amp;YEAR(D202)&amp;""" | ") &amp; """All New"" | Episode | Watch | tv | Show | Series | season | binge | Stream | Film | Movie | Premiere | Screening | Feature | Trailer | Teaser | theater | release)"</f>
        <v>#N/A</v>
      </c>
      <c r="S202" s="23"/>
      <c r="T202" s="23"/>
      <c r="U202" s="23"/>
      <c r="V202" s="23"/>
      <c r="W202" s="23"/>
      <c r="X202" s="38"/>
      <c r="Y202" s="38"/>
      <c r="Z202" s="38"/>
      <c r="AA202" s="38"/>
    </row>
    <row r="203">
      <c r="A203" s="31"/>
      <c r="B203" s="38"/>
      <c r="C203" s="38"/>
      <c r="D203" s="50"/>
      <c r="E203" s="50"/>
      <c r="F203" s="50"/>
      <c r="G203" s="27" t="str">
        <f>VLOOKUP(E203,DropDown!J:K,2,FALSE)</f>
        <v>#N/A</v>
      </c>
      <c r="H203" s="50"/>
      <c r="I203" s="50"/>
      <c r="J203" s="50"/>
      <c r="K203" s="25" t="s">
        <v>116</v>
      </c>
      <c r="L203" s="23"/>
      <c r="M203" s="23"/>
      <c r="N203" s="25" t="str">
        <f>"("""&amp;B203&amp;""") ("&amp;Vlookup(E203,DropDown!J:N,5,FALSE)&amp;" OR """ &amp;YEAR(D203) &amp; """ OR ""All New"" OR Episode OR Watch OR tv OR Show OR Series OR season OR binge OR Stream OR Film OR Movie OR Premiere OR Screening OR Feature OR Trailer OR Teaser OR theater OR release)"</f>
        <v>#N/A</v>
      </c>
      <c r="O203" s="23" t="str">
        <f t="shared" si="1"/>
        <v>#</v>
      </c>
      <c r="P203" s="23" t="str">
        <f t="shared" si="2"/>
        <v>#</v>
      </c>
      <c r="Q203" s="23"/>
      <c r="R203" s="23" t="str">
        <f>"("""&amp;B203&amp;""") ("&amp;Vlookup(E203,DropDown!R:V,5,FALSE)&amp;IF(ISBLANK(D203)," | "," "&amp;"OR """&amp;YEAR(D203)&amp;""" | ") &amp; """All New"" | Episode | Watch | tv | Show | Series | season | binge | Stream | Film | Movie | Premiere | Screening | Feature | Trailer | Teaser | theater | release)"</f>
        <v>#N/A</v>
      </c>
      <c r="S203" s="23"/>
      <c r="T203" s="23"/>
      <c r="U203" s="23"/>
      <c r="V203" s="23"/>
      <c r="W203" s="23"/>
      <c r="X203" s="38"/>
      <c r="Y203" s="38"/>
      <c r="Z203" s="38"/>
      <c r="AA203" s="38"/>
    </row>
    <row r="204">
      <c r="A204" s="31"/>
      <c r="B204" s="38"/>
      <c r="C204" s="38"/>
      <c r="D204" s="50"/>
      <c r="E204" s="50"/>
      <c r="F204" s="50"/>
      <c r="G204" s="27" t="str">
        <f>VLOOKUP(E204,DropDown!J:K,2,FALSE)</f>
        <v>#N/A</v>
      </c>
      <c r="H204" s="50"/>
      <c r="I204" s="50"/>
      <c r="J204" s="50"/>
      <c r="K204" s="25" t="s">
        <v>116</v>
      </c>
      <c r="L204" s="23"/>
      <c r="M204" s="23"/>
      <c r="N204" s="25" t="str">
        <f>"("""&amp;B204&amp;""") ("&amp;Vlookup(E204,DropDown!J:N,5,FALSE)&amp;" OR """ &amp;YEAR(D204) &amp; """ OR ""All New"" OR Episode OR Watch OR tv OR Show OR Series OR season OR binge OR Stream OR Film OR Movie OR Premiere OR Screening OR Feature OR Trailer OR Teaser OR theater OR release)"</f>
        <v>#N/A</v>
      </c>
      <c r="O204" s="23" t="str">
        <f t="shared" si="1"/>
        <v>#</v>
      </c>
      <c r="P204" s="23" t="str">
        <f t="shared" si="2"/>
        <v>#</v>
      </c>
      <c r="Q204" s="23"/>
      <c r="R204" s="23" t="str">
        <f>"("""&amp;B204&amp;""") ("&amp;Vlookup(E204,DropDown!R:V,5,FALSE)&amp;IF(ISBLANK(D204)," | "," "&amp;"OR """&amp;YEAR(D204)&amp;""" | ") &amp; """All New"" | Episode | Watch | tv | Show | Series | season | binge | Stream | Film | Movie | Premiere | Screening | Feature | Trailer | Teaser | theater | release)"</f>
        <v>#N/A</v>
      </c>
      <c r="S204" s="23"/>
      <c r="T204" s="23"/>
      <c r="U204" s="23"/>
      <c r="V204" s="23"/>
      <c r="W204" s="23"/>
      <c r="X204" s="38"/>
      <c r="Y204" s="38"/>
      <c r="Z204" s="38"/>
      <c r="AA204" s="38"/>
    </row>
    <row r="205">
      <c r="A205" s="31"/>
      <c r="B205" s="38"/>
      <c r="C205" s="38"/>
      <c r="D205" s="50"/>
      <c r="E205" s="50"/>
      <c r="F205" s="50"/>
      <c r="G205" s="27" t="str">
        <f>VLOOKUP(E205,DropDown!J:K,2,FALSE)</f>
        <v>#N/A</v>
      </c>
      <c r="H205" s="50"/>
      <c r="I205" s="50"/>
      <c r="J205" s="50"/>
      <c r="K205" s="25" t="s">
        <v>116</v>
      </c>
      <c r="L205" s="23"/>
      <c r="M205" s="23"/>
      <c r="N205" s="25" t="str">
        <f>"("""&amp;B205&amp;""") ("&amp;Vlookup(E205,DropDown!J:N,5,FALSE)&amp;" OR """ &amp;YEAR(D205) &amp; """ OR ""All New"" OR Episode OR Watch OR tv OR Show OR Series OR season OR binge OR Stream OR Film OR Movie OR Premiere OR Screening OR Feature OR Trailer OR Teaser OR theater OR release)"</f>
        <v>#N/A</v>
      </c>
      <c r="O205" s="23" t="str">
        <f t="shared" si="1"/>
        <v>#</v>
      </c>
      <c r="P205" s="23" t="str">
        <f t="shared" si="2"/>
        <v>#</v>
      </c>
      <c r="Q205" s="23"/>
      <c r="R205" s="23" t="str">
        <f>"("""&amp;B205&amp;""") ("&amp;Vlookup(E205,DropDown!R:V,5,FALSE)&amp;IF(ISBLANK(D205)," | "," "&amp;"OR """&amp;YEAR(D205)&amp;""" | ") &amp; """All New"" | Episode | Watch | tv | Show | Series | season | binge | Stream | Film | Movie | Premiere | Screening | Feature | Trailer | Teaser | theater | release)"</f>
        <v>#N/A</v>
      </c>
      <c r="S205" s="23"/>
      <c r="T205" s="23"/>
      <c r="U205" s="23"/>
      <c r="V205" s="23"/>
      <c r="W205" s="23"/>
      <c r="X205" s="38"/>
      <c r="Y205" s="38"/>
      <c r="Z205" s="38"/>
      <c r="AA205" s="38"/>
    </row>
    <row r="206">
      <c r="A206" s="31"/>
      <c r="B206" s="38"/>
      <c r="C206" s="38"/>
      <c r="D206" s="50"/>
      <c r="E206" s="50"/>
      <c r="F206" s="50"/>
      <c r="G206" s="27" t="str">
        <f>VLOOKUP(E206,DropDown!J:K,2,FALSE)</f>
        <v>#N/A</v>
      </c>
      <c r="H206" s="50"/>
      <c r="I206" s="50"/>
      <c r="J206" s="50"/>
      <c r="K206" s="25" t="s">
        <v>116</v>
      </c>
      <c r="L206" s="23"/>
      <c r="M206" s="23"/>
      <c r="N206" s="25" t="str">
        <f>"("""&amp;B206&amp;""") ("&amp;Vlookup(E206,DropDown!J:N,5,FALSE)&amp;" OR """ &amp;YEAR(D206) &amp; """ OR ""All New"" OR Episode OR Watch OR tv OR Show OR Series OR season OR binge OR Stream OR Film OR Movie OR Premiere OR Screening OR Feature OR Trailer OR Teaser OR theater OR release)"</f>
        <v>#N/A</v>
      </c>
      <c r="O206" s="23" t="str">
        <f t="shared" si="1"/>
        <v>#</v>
      </c>
      <c r="P206" s="23" t="str">
        <f t="shared" si="2"/>
        <v>#</v>
      </c>
      <c r="Q206" s="23"/>
      <c r="R206" s="23" t="str">
        <f>"("""&amp;B206&amp;""") ("&amp;Vlookup(E206,DropDown!R:V,5,FALSE)&amp;IF(ISBLANK(D206)," | "," "&amp;"OR """&amp;YEAR(D206)&amp;""" | ") &amp; """All New"" | Episode | Watch | tv | Show | Series | season | binge | Stream | Film | Movie | Premiere | Screening | Feature | Trailer | Teaser | theater | release)"</f>
        <v>#N/A</v>
      </c>
      <c r="S206" s="23"/>
      <c r="T206" s="23"/>
      <c r="U206" s="23"/>
      <c r="V206" s="23"/>
      <c r="W206" s="23"/>
      <c r="X206" s="38"/>
      <c r="Y206" s="38"/>
      <c r="Z206" s="38"/>
      <c r="AA206" s="38"/>
    </row>
    <row r="207">
      <c r="A207" s="31"/>
      <c r="B207" s="38"/>
      <c r="C207" s="38"/>
      <c r="D207" s="50"/>
      <c r="E207" s="50"/>
      <c r="F207" s="50"/>
      <c r="G207" s="27" t="str">
        <f>VLOOKUP(E207,DropDown!J:K,2,FALSE)</f>
        <v>#N/A</v>
      </c>
      <c r="H207" s="50"/>
      <c r="I207" s="50"/>
      <c r="J207" s="50"/>
      <c r="K207" s="25" t="s">
        <v>116</v>
      </c>
      <c r="L207" s="23"/>
      <c r="M207" s="23"/>
      <c r="N207" s="25" t="str">
        <f>"("""&amp;B207&amp;""") ("&amp;Vlookup(E207,DropDown!J:N,5,FALSE)&amp;" OR """ &amp;YEAR(D207) &amp; """ OR ""All New"" OR Episode OR Watch OR tv OR Show OR Series OR season OR binge OR Stream OR Film OR Movie OR Premiere OR Screening OR Feature OR Trailer OR Teaser OR theater OR release)"</f>
        <v>#N/A</v>
      </c>
      <c r="O207" s="23" t="str">
        <f t="shared" si="1"/>
        <v>#</v>
      </c>
      <c r="P207" s="23" t="str">
        <f t="shared" si="2"/>
        <v>#</v>
      </c>
      <c r="Q207" s="23"/>
      <c r="R207" s="23" t="str">
        <f>"("""&amp;B207&amp;""") ("&amp;Vlookup(E207,DropDown!R:V,5,FALSE)&amp;IF(ISBLANK(D207)," | "," "&amp;"OR """&amp;YEAR(D207)&amp;""" | ") &amp; """All New"" | Episode | Watch | tv | Show | Series | season | binge | Stream | Film | Movie | Premiere | Screening | Feature | Trailer | Teaser | theater | release)"</f>
        <v>#N/A</v>
      </c>
      <c r="S207" s="23"/>
      <c r="T207" s="23"/>
      <c r="U207" s="23"/>
      <c r="V207" s="23"/>
      <c r="W207" s="23"/>
      <c r="X207" s="38"/>
      <c r="Y207" s="38"/>
      <c r="Z207" s="38"/>
      <c r="AA207" s="38"/>
    </row>
    <row r="208">
      <c r="A208" s="31"/>
      <c r="B208" s="38"/>
      <c r="C208" s="38"/>
      <c r="D208" s="50"/>
      <c r="E208" s="50"/>
      <c r="F208" s="50"/>
      <c r="G208" s="27" t="str">
        <f>VLOOKUP(E208,DropDown!J:K,2,FALSE)</f>
        <v>#N/A</v>
      </c>
      <c r="H208" s="50"/>
      <c r="I208" s="50"/>
      <c r="J208" s="50"/>
      <c r="K208" s="25" t="s">
        <v>116</v>
      </c>
      <c r="L208" s="23"/>
      <c r="M208" s="23"/>
      <c r="N208" s="25" t="str">
        <f>"("""&amp;B208&amp;""") ("&amp;Vlookup(E208,DropDown!J:N,5,FALSE)&amp;" OR """ &amp;YEAR(D208) &amp; """ OR ""All New"" OR Episode OR Watch OR tv OR Show OR Series OR season OR binge OR Stream OR Film OR Movie OR Premiere OR Screening OR Feature OR Trailer OR Teaser OR theater OR release)"</f>
        <v>#N/A</v>
      </c>
      <c r="O208" s="23" t="str">
        <f t="shared" si="1"/>
        <v>#</v>
      </c>
      <c r="P208" s="23" t="str">
        <f t="shared" si="2"/>
        <v>#</v>
      </c>
      <c r="Q208" s="23"/>
      <c r="R208" s="23" t="str">
        <f>"("""&amp;B208&amp;""") ("&amp;Vlookup(E208,DropDown!R:V,5,FALSE)&amp;IF(ISBLANK(D208)," | "," "&amp;"OR """&amp;YEAR(D208)&amp;""" | ") &amp; """All New"" | Episode | Watch | tv | Show | Series | season | binge | Stream | Film | Movie | Premiere | Screening | Feature | Trailer | Teaser | theater | release)"</f>
        <v>#N/A</v>
      </c>
      <c r="S208" s="23"/>
      <c r="T208" s="23"/>
      <c r="U208" s="23"/>
      <c r="V208" s="23"/>
      <c r="W208" s="23"/>
      <c r="X208" s="38"/>
      <c r="Y208" s="38"/>
      <c r="Z208" s="38"/>
      <c r="AA208" s="38"/>
    </row>
    <row r="209">
      <c r="A209" s="31"/>
      <c r="B209" s="38"/>
      <c r="C209" s="38"/>
      <c r="D209" s="50"/>
      <c r="E209" s="50"/>
      <c r="F209" s="50"/>
      <c r="G209" s="27" t="str">
        <f>VLOOKUP(E209,DropDown!J:K,2,FALSE)</f>
        <v>#N/A</v>
      </c>
      <c r="H209" s="50"/>
      <c r="I209" s="50"/>
      <c r="J209" s="50"/>
      <c r="K209" s="25" t="s">
        <v>116</v>
      </c>
      <c r="L209" s="23"/>
      <c r="M209" s="23"/>
      <c r="N209" s="25" t="str">
        <f>"("""&amp;B209&amp;""") ("&amp;Vlookup(E209,DropDown!J:N,5,FALSE)&amp;" OR """ &amp;YEAR(D209) &amp; """ OR ""All New"" OR Episode OR Watch OR tv OR Show OR Series OR season OR binge OR Stream OR Film OR Movie OR Premiere OR Screening OR Feature OR Trailer OR Teaser OR theater OR release)"</f>
        <v>#N/A</v>
      </c>
      <c r="O209" s="23" t="str">
        <f t="shared" si="1"/>
        <v>#</v>
      </c>
      <c r="P209" s="23" t="str">
        <f t="shared" si="2"/>
        <v>#</v>
      </c>
      <c r="Q209" s="23"/>
      <c r="R209" s="23" t="str">
        <f>"("""&amp;B209&amp;""") ("&amp;Vlookup(E209,DropDown!R:V,5,FALSE)&amp;IF(ISBLANK(D209)," | "," "&amp;"OR """&amp;YEAR(D209)&amp;""" | ") &amp; """All New"" | Episode | Watch | tv | Show | Series | season | binge | Stream | Film | Movie | Premiere | Screening | Feature | Trailer | Teaser | theater | release)"</f>
        <v>#N/A</v>
      </c>
      <c r="S209" s="23"/>
      <c r="T209" s="23"/>
      <c r="U209" s="23"/>
      <c r="V209" s="23"/>
      <c r="W209" s="23"/>
      <c r="X209" s="38"/>
      <c r="Y209" s="38"/>
      <c r="Z209" s="38"/>
      <c r="AA209" s="38"/>
    </row>
    <row r="210">
      <c r="A210" s="31"/>
      <c r="B210" s="38"/>
      <c r="C210" s="38"/>
      <c r="D210" s="50"/>
      <c r="E210" s="50"/>
      <c r="F210" s="50"/>
      <c r="G210" s="27" t="str">
        <f>VLOOKUP(E210,DropDown!J:K,2,FALSE)</f>
        <v>#N/A</v>
      </c>
      <c r="H210" s="50"/>
      <c r="I210" s="50"/>
      <c r="J210" s="50"/>
      <c r="K210" s="25" t="s">
        <v>116</v>
      </c>
      <c r="L210" s="23"/>
      <c r="M210" s="23"/>
      <c r="N210" s="25" t="str">
        <f>"("""&amp;B210&amp;""") ("&amp;Vlookup(E210,DropDown!J:N,5,FALSE)&amp;" OR """ &amp;YEAR(D210) &amp; """ OR ""All New"" OR Episode OR Watch OR tv OR Show OR Series OR season OR binge OR Stream OR Film OR Movie OR Premiere OR Screening OR Feature OR Trailer OR Teaser OR theater OR release)"</f>
        <v>#N/A</v>
      </c>
      <c r="O210" s="23" t="str">
        <f t="shared" si="1"/>
        <v>#</v>
      </c>
      <c r="P210" s="23" t="str">
        <f t="shared" si="2"/>
        <v>#</v>
      </c>
      <c r="Q210" s="23"/>
      <c r="R210" s="23" t="str">
        <f>"("""&amp;B210&amp;""") ("&amp;Vlookup(E210,DropDown!R:V,5,FALSE)&amp;IF(ISBLANK(D210)," | "," "&amp;"OR """&amp;YEAR(D210)&amp;""" | ") &amp; """All New"" | Episode | Watch | tv | Show | Series | season | binge | Stream | Film | Movie | Premiere | Screening | Feature | Trailer | Teaser | theater | release)"</f>
        <v>#N/A</v>
      </c>
      <c r="S210" s="23"/>
      <c r="T210" s="23"/>
      <c r="U210" s="23"/>
      <c r="V210" s="23"/>
      <c r="W210" s="23"/>
      <c r="X210" s="38"/>
      <c r="Y210" s="38"/>
      <c r="Z210" s="38"/>
      <c r="AA210" s="38"/>
    </row>
    <row r="211">
      <c r="A211" s="31"/>
      <c r="B211" s="38"/>
      <c r="C211" s="38"/>
      <c r="D211" s="50"/>
      <c r="E211" s="50"/>
      <c r="F211" s="50"/>
      <c r="G211" s="27" t="str">
        <f>VLOOKUP(E211,DropDown!J:K,2,FALSE)</f>
        <v>#N/A</v>
      </c>
      <c r="H211" s="50"/>
      <c r="I211" s="50"/>
      <c r="J211" s="50"/>
      <c r="K211" s="25" t="s">
        <v>116</v>
      </c>
      <c r="L211" s="23"/>
      <c r="M211" s="23"/>
      <c r="N211" s="25" t="str">
        <f>"("""&amp;B211&amp;""") ("&amp;Vlookup(E211,DropDown!J:N,5,FALSE)&amp;" OR """ &amp;YEAR(D211) &amp; """ OR ""All New"" OR Episode OR Watch OR tv OR Show OR Series OR season OR binge OR Stream OR Film OR Movie OR Premiere OR Screening OR Feature OR Trailer OR Teaser OR theater OR release)"</f>
        <v>#N/A</v>
      </c>
      <c r="O211" s="23" t="str">
        <f t="shared" si="1"/>
        <v>#</v>
      </c>
      <c r="P211" s="23" t="str">
        <f t="shared" si="2"/>
        <v>#</v>
      </c>
      <c r="Q211" s="23"/>
      <c r="R211" s="23" t="str">
        <f>"("""&amp;B211&amp;""") ("&amp;Vlookup(E211,DropDown!R:V,5,FALSE)&amp;IF(ISBLANK(D211)," | "," "&amp;"OR """&amp;YEAR(D211)&amp;""" | ") &amp; """All New"" | Episode | Watch | tv | Show | Series | season | binge | Stream | Film | Movie | Premiere | Screening | Feature | Trailer | Teaser | theater | release)"</f>
        <v>#N/A</v>
      </c>
      <c r="S211" s="23"/>
      <c r="T211" s="23"/>
      <c r="U211" s="23"/>
      <c r="V211" s="23"/>
      <c r="W211" s="23"/>
      <c r="X211" s="38"/>
      <c r="Y211" s="38"/>
      <c r="Z211" s="38"/>
      <c r="AA211" s="38"/>
    </row>
    <row r="212">
      <c r="A212" s="31"/>
      <c r="B212" s="38"/>
      <c r="C212" s="38"/>
      <c r="D212" s="50"/>
      <c r="E212" s="50"/>
      <c r="F212" s="50"/>
      <c r="G212" s="27" t="str">
        <f>VLOOKUP(E212,DropDown!J:K,2,FALSE)</f>
        <v>#N/A</v>
      </c>
      <c r="H212" s="50"/>
      <c r="I212" s="50"/>
      <c r="J212" s="50"/>
      <c r="K212" s="25" t="s">
        <v>116</v>
      </c>
      <c r="L212" s="23"/>
      <c r="M212" s="23"/>
      <c r="N212" s="25" t="str">
        <f>"("""&amp;B212&amp;""") ("&amp;Vlookup(E212,DropDown!J:N,5,FALSE)&amp;" OR """ &amp;YEAR(D212) &amp; """ OR ""All New"" OR Episode OR Watch OR tv OR Show OR Series OR season OR binge OR Stream OR Film OR Movie OR Premiere OR Screening OR Feature OR Trailer OR Teaser OR theater OR release)"</f>
        <v>#N/A</v>
      </c>
      <c r="O212" s="23" t="str">
        <f t="shared" si="1"/>
        <v>#</v>
      </c>
      <c r="P212" s="23" t="str">
        <f t="shared" si="2"/>
        <v>#</v>
      </c>
      <c r="Q212" s="23"/>
      <c r="R212" s="23" t="str">
        <f>"("""&amp;B212&amp;""") ("&amp;Vlookup(E212,DropDown!R:V,5,FALSE)&amp;IF(ISBLANK(D212)," | "," "&amp;"OR """&amp;YEAR(D212)&amp;""" | ") &amp; """All New"" | Episode | Watch | tv | Show | Series | season | binge | Stream | Film | Movie | Premiere | Screening | Feature | Trailer | Teaser | theater | release)"</f>
        <v>#N/A</v>
      </c>
      <c r="S212" s="23"/>
      <c r="T212" s="23"/>
      <c r="U212" s="23"/>
      <c r="V212" s="23"/>
      <c r="W212" s="23"/>
      <c r="X212" s="38"/>
      <c r="Y212" s="38"/>
      <c r="Z212" s="38"/>
      <c r="AA212" s="38"/>
    </row>
    <row r="213">
      <c r="A213" s="31"/>
      <c r="B213" s="38"/>
      <c r="C213" s="38"/>
      <c r="D213" s="50"/>
      <c r="E213" s="50"/>
      <c r="F213" s="50"/>
      <c r="G213" s="27" t="str">
        <f>VLOOKUP(E213,DropDown!J:K,2,FALSE)</f>
        <v>#N/A</v>
      </c>
      <c r="H213" s="50"/>
      <c r="I213" s="50"/>
      <c r="J213" s="50"/>
      <c r="K213" s="25" t="s">
        <v>116</v>
      </c>
      <c r="L213" s="23"/>
      <c r="M213" s="23"/>
      <c r="N213" s="25" t="str">
        <f>"("""&amp;B213&amp;""") ("&amp;Vlookup(E213,DropDown!J:N,5,FALSE)&amp;" OR """ &amp;YEAR(D213) &amp; """ OR ""All New"" OR Episode OR Watch OR tv OR Show OR Series OR season OR binge OR Stream OR Film OR Movie OR Premiere OR Screening OR Feature OR Trailer OR Teaser OR theater OR release)"</f>
        <v>#N/A</v>
      </c>
      <c r="O213" s="23" t="str">
        <f t="shared" si="1"/>
        <v>#</v>
      </c>
      <c r="P213" s="23" t="str">
        <f t="shared" si="2"/>
        <v>#</v>
      </c>
      <c r="Q213" s="23"/>
      <c r="R213" s="23" t="str">
        <f>"("""&amp;B213&amp;""") ("&amp;Vlookup(E213,DropDown!R:V,5,FALSE)&amp;IF(ISBLANK(D213)," | "," "&amp;"OR """&amp;YEAR(D213)&amp;""" | ") &amp; """All New"" | Episode | Watch | tv | Show | Series | season | binge | Stream | Film | Movie | Premiere | Screening | Feature | Trailer | Teaser | theater | release)"</f>
        <v>#N/A</v>
      </c>
      <c r="S213" s="23"/>
      <c r="T213" s="23"/>
      <c r="U213" s="23"/>
      <c r="V213" s="23"/>
      <c r="W213" s="23"/>
      <c r="X213" s="38"/>
      <c r="Y213" s="38"/>
      <c r="Z213" s="38"/>
      <c r="AA213" s="38"/>
    </row>
    <row r="214">
      <c r="A214" s="31"/>
      <c r="B214" s="38"/>
      <c r="C214" s="38"/>
      <c r="D214" s="50"/>
      <c r="E214" s="50"/>
      <c r="F214" s="50"/>
      <c r="G214" s="27" t="str">
        <f>VLOOKUP(E214,DropDown!J:K,2,FALSE)</f>
        <v>#N/A</v>
      </c>
      <c r="H214" s="50"/>
      <c r="I214" s="50"/>
      <c r="J214" s="50"/>
      <c r="K214" s="25" t="s">
        <v>116</v>
      </c>
      <c r="L214" s="23"/>
      <c r="M214" s="23"/>
      <c r="N214" s="25" t="str">
        <f>"("""&amp;B214&amp;""") ("&amp;Vlookup(E214,DropDown!J:N,5,FALSE)&amp;" OR """ &amp;YEAR(D214) &amp; """ OR ""All New"" OR Episode OR Watch OR tv OR Show OR Series OR season OR binge OR Stream OR Film OR Movie OR Premiere OR Screening OR Feature OR Trailer OR Teaser OR theater OR release)"</f>
        <v>#N/A</v>
      </c>
      <c r="O214" s="23" t="str">
        <f t="shared" si="1"/>
        <v>#</v>
      </c>
      <c r="P214" s="23" t="str">
        <f t="shared" si="2"/>
        <v>#</v>
      </c>
      <c r="Q214" s="23"/>
      <c r="R214" s="23" t="str">
        <f>"("""&amp;B214&amp;""") ("&amp;Vlookup(E214,DropDown!R:V,5,FALSE)&amp;IF(ISBLANK(D214)," | "," "&amp;"OR """&amp;YEAR(D214)&amp;""" | ") &amp; """All New"" | Episode | Watch | tv | Show | Series | season | binge | Stream | Film | Movie | Premiere | Screening | Feature | Trailer | Teaser | theater | release)"</f>
        <v>#N/A</v>
      </c>
      <c r="S214" s="23"/>
      <c r="T214" s="23"/>
      <c r="U214" s="23"/>
      <c r="V214" s="23"/>
      <c r="W214" s="23"/>
      <c r="X214" s="38"/>
      <c r="Y214" s="38"/>
      <c r="Z214" s="38"/>
      <c r="AA214" s="38"/>
    </row>
    <row r="215">
      <c r="A215" s="31"/>
      <c r="B215" s="38"/>
      <c r="C215" s="38"/>
      <c r="D215" s="50"/>
      <c r="E215" s="50"/>
      <c r="F215" s="50"/>
      <c r="G215" s="27" t="str">
        <f>VLOOKUP(E215,DropDown!J:K,2,FALSE)</f>
        <v>#N/A</v>
      </c>
      <c r="H215" s="50"/>
      <c r="I215" s="50"/>
      <c r="J215" s="50"/>
      <c r="K215" s="25" t="s">
        <v>116</v>
      </c>
      <c r="L215" s="23"/>
      <c r="M215" s="23"/>
      <c r="N215" s="25" t="str">
        <f>"("""&amp;B215&amp;""") ("&amp;Vlookup(E215,DropDown!J:N,5,FALSE)&amp;" OR """ &amp;YEAR(D215) &amp; """ OR ""All New"" OR Episode OR Watch OR tv OR Show OR Series OR season OR binge OR Stream OR Film OR Movie OR Premiere OR Screening OR Feature OR Trailer OR Teaser OR theater OR release)"</f>
        <v>#N/A</v>
      </c>
      <c r="O215" s="23" t="str">
        <f t="shared" si="1"/>
        <v>#</v>
      </c>
      <c r="P215" s="23" t="str">
        <f t="shared" si="2"/>
        <v>#</v>
      </c>
      <c r="Q215" s="23"/>
      <c r="R215" s="23" t="str">
        <f>"("""&amp;B215&amp;""") ("&amp;Vlookup(E215,DropDown!R:V,5,FALSE)&amp;IF(ISBLANK(D215)," | "," "&amp;"OR """&amp;YEAR(D215)&amp;""" | ") &amp; """All New"" | Episode | Watch | tv | Show | Series | season | binge | Stream | Film | Movie | Premiere | Screening | Feature | Trailer | Teaser | theater | release)"</f>
        <v>#N/A</v>
      </c>
      <c r="S215" s="23"/>
      <c r="T215" s="23"/>
      <c r="U215" s="23"/>
      <c r="V215" s="23"/>
      <c r="W215" s="23"/>
      <c r="X215" s="38"/>
      <c r="Y215" s="38"/>
      <c r="Z215" s="38"/>
      <c r="AA215" s="38"/>
    </row>
    <row r="216">
      <c r="A216" s="31"/>
      <c r="B216" s="38"/>
      <c r="C216" s="38"/>
      <c r="D216" s="50"/>
      <c r="E216" s="50"/>
      <c r="F216" s="50"/>
      <c r="G216" s="27" t="str">
        <f>VLOOKUP(E216,DropDown!J:K,2,FALSE)</f>
        <v>#N/A</v>
      </c>
      <c r="H216" s="50"/>
      <c r="I216" s="50"/>
      <c r="J216" s="50"/>
      <c r="K216" s="25" t="s">
        <v>116</v>
      </c>
      <c r="L216" s="23"/>
      <c r="M216" s="23"/>
      <c r="N216" s="25" t="str">
        <f>"("""&amp;B216&amp;""") ("&amp;Vlookup(E216,DropDown!J:N,5,FALSE)&amp;" OR """ &amp;YEAR(D216) &amp; """ OR ""All New"" OR Episode OR Watch OR tv OR Show OR Series OR season OR binge OR Stream OR Film OR Movie OR Premiere OR Screening OR Feature OR Trailer OR Teaser OR theater OR release)"</f>
        <v>#N/A</v>
      </c>
      <c r="O216" s="23" t="str">
        <f t="shared" si="1"/>
        <v>#</v>
      </c>
      <c r="P216" s="23" t="str">
        <f t="shared" si="2"/>
        <v>#</v>
      </c>
      <c r="Q216" s="23"/>
      <c r="R216" s="23" t="str">
        <f>"("""&amp;B216&amp;""") ("&amp;Vlookup(E216,DropDown!R:V,5,FALSE)&amp;IF(ISBLANK(D216)," | "," "&amp;"OR """&amp;YEAR(D216)&amp;""" | ") &amp; """All New"" | Episode | Watch | tv | Show | Series | season | binge | Stream | Film | Movie | Premiere | Screening | Feature | Trailer | Teaser | theater | release)"</f>
        <v>#N/A</v>
      </c>
      <c r="S216" s="23"/>
      <c r="T216" s="23"/>
      <c r="U216" s="23"/>
      <c r="V216" s="23"/>
      <c r="W216" s="23"/>
      <c r="X216" s="38"/>
      <c r="Y216" s="38"/>
      <c r="Z216" s="38"/>
      <c r="AA216" s="38"/>
    </row>
    <row r="217">
      <c r="A217" s="31"/>
      <c r="B217" s="38"/>
      <c r="C217" s="38"/>
      <c r="D217" s="50"/>
      <c r="E217" s="50"/>
      <c r="F217" s="50"/>
      <c r="G217" s="27" t="str">
        <f>VLOOKUP(E217,DropDown!J:K,2,FALSE)</f>
        <v>#N/A</v>
      </c>
      <c r="H217" s="50"/>
      <c r="I217" s="50"/>
      <c r="J217" s="50"/>
      <c r="K217" s="25" t="s">
        <v>116</v>
      </c>
      <c r="L217" s="23"/>
      <c r="M217" s="23"/>
      <c r="N217" s="25" t="str">
        <f>"("""&amp;B217&amp;""") ("&amp;Vlookup(E217,DropDown!J:N,5,FALSE)&amp;" OR """ &amp;YEAR(D217) &amp; """ OR ""All New"" OR Episode OR Watch OR tv OR Show OR Series OR season OR binge OR Stream OR Film OR Movie OR Premiere OR Screening OR Feature OR Trailer OR Teaser OR theater OR release)"</f>
        <v>#N/A</v>
      </c>
      <c r="O217" s="23" t="str">
        <f t="shared" si="1"/>
        <v>#</v>
      </c>
      <c r="P217" s="23" t="str">
        <f t="shared" si="2"/>
        <v>#</v>
      </c>
      <c r="Q217" s="23"/>
      <c r="R217" s="23" t="str">
        <f>"("""&amp;B217&amp;""") ("&amp;Vlookup(E217,DropDown!R:V,5,FALSE)&amp;IF(ISBLANK(D217)," | "," "&amp;"OR """&amp;YEAR(D217)&amp;""" | ") &amp; """All New"" | Episode | Watch | tv | Show | Series | season | binge | Stream | Film | Movie | Premiere | Screening | Feature | Trailer | Teaser | theater | release)"</f>
        <v>#N/A</v>
      </c>
      <c r="S217" s="23"/>
      <c r="T217" s="23"/>
      <c r="U217" s="23"/>
      <c r="V217" s="23"/>
      <c r="W217" s="23"/>
      <c r="X217" s="38"/>
      <c r="Y217" s="38"/>
      <c r="Z217" s="38"/>
      <c r="AA217" s="38"/>
    </row>
    <row r="218">
      <c r="A218" s="31"/>
      <c r="B218" s="38"/>
      <c r="C218" s="38"/>
      <c r="D218" s="50"/>
      <c r="E218" s="50"/>
      <c r="F218" s="50"/>
      <c r="G218" s="27" t="str">
        <f>VLOOKUP(E218,DropDown!J:K,2,FALSE)</f>
        <v>#N/A</v>
      </c>
      <c r="H218" s="50"/>
      <c r="I218" s="50"/>
      <c r="J218" s="50"/>
      <c r="K218" s="25" t="s">
        <v>116</v>
      </c>
      <c r="L218" s="23"/>
      <c r="M218" s="23"/>
      <c r="N218" s="25" t="str">
        <f>"("""&amp;B218&amp;""") ("&amp;Vlookup(E218,DropDown!J:N,5,FALSE)&amp;" OR """ &amp;YEAR(D218) &amp; """ OR ""All New"" OR Episode OR Watch OR tv OR Show OR Series OR season OR binge OR Stream OR Film OR Movie OR Premiere OR Screening OR Feature OR Trailer OR Teaser OR theater OR release)"</f>
        <v>#N/A</v>
      </c>
      <c r="O218" s="23" t="str">
        <f t="shared" si="1"/>
        <v>#</v>
      </c>
      <c r="P218" s="23" t="str">
        <f t="shared" si="2"/>
        <v>#</v>
      </c>
      <c r="Q218" s="23"/>
      <c r="R218" s="23" t="str">
        <f>"("""&amp;B218&amp;""") ("&amp;Vlookup(E218,DropDown!R:V,5,FALSE)&amp;IF(ISBLANK(D218)," | "," "&amp;"OR """&amp;YEAR(D218)&amp;""" | ") &amp; """All New"" | Episode | Watch | tv | Show | Series | season | binge | Stream | Film | Movie | Premiere | Screening | Feature | Trailer | Teaser | theater | release)"</f>
        <v>#N/A</v>
      </c>
      <c r="S218" s="23"/>
      <c r="T218" s="23"/>
      <c r="U218" s="23"/>
      <c r="V218" s="23"/>
      <c r="W218" s="23"/>
      <c r="X218" s="38"/>
      <c r="Y218" s="38"/>
      <c r="Z218" s="38"/>
      <c r="AA218" s="38"/>
    </row>
    <row r="219">
      <c r="A219" s="31"/>
      <c r="B219" s="38"/>
      <c r="C219" s="38"/>
      <c r="D219" s="50"/>
      <c r="E219" s="50"/>
      <c r="F219" s="50"/>
      <c r="G219" s="27" t="str">
        <f>VLOOKUP(E219,DropDown!J:K,2,FALSE)</f>
        <v>#N/A</v>
      </c>
      <c r="H219" s="50"/>
      <c r="I219" s="50"/>
      <c r="J219" s="50"/>
      <c r="K219" s="25" t="s">
        <v>116</v>
      </c>
      <c r="L219" s="23"/>
      <c r="M219" s="23"/>
      <c r="N219" s="25" t="str">
        <f>"("""&amp;B219&amp;""") ("&amp;Vlookup(E219,DropDown!J:N,5,FALSE)&amp;" OR """ &amp;YEAR(D219) &amp; """ OR ""All New"" OR Episode OR Watch OR tv OR Show OR Series OR season OR binge OR Stream OR Film OR Movie OR Premiere OR Screening OR Feature OR Trailer OR Teaser OR theater OR release)"</f>
        <v>#N/A</v>
      </c>
      <c r="O219" s="23" t="str">
        <f t="shared" si="1"/>
        <v>#</v>
      </c>
      <c r="P219" s="23" t="str">
        <f t="shared" si="2"/>
        <v>#</v>
      </c>
      <c r="Q219" s="23"/>
      <c r="R219" s="23" t="str">
        <f>"("""&amp;B219&amp;""") ("&amp;Vlookup(E219,DropDown!R:V,5,FALSE)&amp;IF(ISBLANK(D219)," | "," "&amp;"OR """&amp;YEAR(D219)&amp;""" | ") &amp; """All New"" | Episode | Watch | tv | Show | Series | season | binge | Stream | Film | Movie | Premiere | Screening | Feature | Trailer | Teaser | theater | release)"</f>
        <v>#N/A</v>
      </c>
      <c r="S219" s="23"/>
      <c r="T219" s="23"/>
      <c r="U219" s="23"/>
      <c r="V219" s="23"/>
      <c r="W219" s="23"/>
      <c r="X219" s="38"/>
      <c r="Y219" s="38"/>
      <c r="Z219" s="38"/>
      <c r="AA219" s="38"/>
    </row>
    <row r="220">
      <c r="A220" s="31"/>
      <c r="B220" s="38"/>
      <c r="C220" s="38"/>
      <c r="D220" s="50"/>
      <c r="E220" s="50"/>
      <c r="F220" s="50"/>
      <c r="G220" s="27" t="str">
        <f>VLOOKUP(E220,DropDown!J:K,2,FALSE)</f>
        <v>#N/A</v>
      </c>
      <c r="H220" s="50"/>
      <c r="I220" s="50"/>
      <c r="J220" s="50"/>
      <c r="K220" s="25" t="s">
        <v>116</v>
      </c>
      <c r="L220" s="23"/>
      <c r="M220" s="23"/>
      <c r="N220" s="25" t="str">
        <f>"("""&amp;B220&amp;""") ("&amp;Vlookup(E220,DropDown!J:N,5,FALSE)&amp;" OR """ &amp;YEAR(D220) &amp; """ OR ""All New"" OR Episode OR Watch OR tv OR Show OR Series OR season OR binge OR Stream OR Film OR Movie OR Premiere OR Screening OR Feature OR Trailer OR Teaser OR theater OR release)"</f>
        <v>#N/A</v>
      </c>
      <c r="O220" s="23" t="str">
        <f t="shared" si="1"/>
        <v>#</v>
      </c>
      <c r="P220" s="23" t="str">
        <f t="shared" si="2"/>
        <v>#</v>
      </c>
      <c r="Q220" s="23"/>
      <c r="R220" s="23" t="str">
        <f>"("""&amp;B220&amp;""") ("&amp;Vlookup(E220,DropDown!R:V,5,FALSE)&amp;IF(ISBLANK(D220)," | "," "&amp;"OR """&amp;YEAR(D220)&amp;""" | ") &amp; """All New"" | Episode | Watch | tv | Show | Series | season | binge | Stream | Film | Movie | Premiere | Screening | Feature | Trailer | Teaser | theater | release)"</f>
        <v>#N/A</v>
      </c>
      <c r="S220" s="23"/>
      <c r="T220" s="23"/>
      <c r="U220" s="23"/>
      <c r="V220" s="23"/>
      <c r="W220" s="23"/>
      <c r="X220" s="38"/>
      <c r="Y220" s="38"/>
      <c r="Z220" s="38"/>
      <c r="AA220" s="38"/>
    </row>
    <row r="221">
      <c r="A221" s="31"/>
      <c r="B221" s="38"/>
      <c r="C221" s="38"/>
      <c r="D221" s="50"/>
      <c r="E221" s="50"/>
      <c r="F221" s="50"/>
      <c r="G221" s="27" t="str">
        <f>VLOOKUP(E221,DropDown!J:K,2,FALSE)</f>
        <v>#N/A</v>
      </c>
      <c r="H221" s="50"/>
      <c r="I221" s="50"/>
      <c r="J221" s="50"/>
      <c r="K221" s="25" t="s">
        <v>116</v>
      </c>
      <c r="L221" s="23"/>
      <c r="M221" s="23"/>
      <c r="N221" s="25" t="str">
        <f>"("""&amp;B221&amp;""") ("&amp;Vlookup(E221,DropDown!J:N,5,FALSE)&amp;" OR """ &amp;YEAR(D221) &amp; """ OR ""All New"" OR Episode OR Watch OR tv OR Show OR Series OR season OR binge OR Stream OR Film OR Movie OR Premiere OR Screening OR Feature OR Trailer OR Teaser OR theater OR release)"</f>
        <v>#N/A</v>
      </c>
      <c r="O221" s="23" t="str">
        <f t="shared" si="1"/>
        <v>#</v>
      </c>
      <c r="P221" s="23" t="str">
        <f t="shared" si="2"/>
        <v>#</v>
      </c>
      <c r="Q221" s="23"/>
      <c r="R221" s="23" t="str">
        <f>"("""&amp;B221&amp;""") ("&amp;Vlookup(E221,DropDown!R:V,5,FALSE)&amp;IF(ISBLANK(D221)," | "," "&amp;"OR """&amp;YEAR(D221)&amp;""" | ") &amp; """All New"" | Episode | Watch | tv | Show | Series | season | binge | Stream | Film | Movie | Premiere | Screening | Feature | Trailer | Teaser | theater | release)"</f>
        <v>#N/A</v>
      </c>
      <c r="S221" s="23"/>
      <c r="T221" s="23"/>
      <c r="U221" s="23"/>
      <c r="V221" s="23"/>
      <c r="W221" s="23"/>
      <c r="X221" s="38"/>
      <c r="Y221" s="38"/>
      <c r="Z221" s="38"/>
      <c r="AA221" s="38"/>
    </row>
    <row r="222">
      <c r="A222" s="31"/>
      <c r="B222" s="38"/>
      <c r="C222" s="38"/>
      <c r="D222" s="50"/>
      <c r="E222" s="50"/>
      <c r="F222" s="50"/>
      <c r="G222" s="27" t="str">
        <f>VLOOKUP(E222,DropDown!J:K,2,FALSE)</f>
        <v>#N/A</v>
      </c>
      <c r="H222" s="50"/>
      <c r="I222" s="50"/>
      <c r="J222" s="50"/>
      <c r="K222" s="25" t="s">
        <v>116</v>
      </c>
      <c r="L222" s="23"/>
      <c r="M222" s="23"/>
      <c r="N222" s="25" t="str">
        <f>"("""&amp;B222&amp;""") ("&amp;Vlookup(E222,DropDown!J:N,5,FALSE)&amp;" OR """ &amp;YEAR(D222) &amp; """ OR ""All New"" OR Episode OR Watch OR tv OR Show OR Series OR season OR binge OR Stream OR Film OR Movie OR Premiere OR Screening OR Feature OR Trailer OR Teaser OR theater OR release)"</f>
        <v>#N/A</v>
      </c>
      <c r="O222" s="23" t="str">
        <f t="shared" si="1"/>
        <v>#</v>
      </c>
      <c r="P222" s="23" t="str">
        <f t="shared" si="2"/>
        <v>#</v>
      </c>
      <c r="Q222" s="23"/>
      <c r="R222" s="23" t="str">
        <f>"("""&amp;B222&amp;""") ("&amp;Vlookup(E222,DropDown!R:V,5,FALSE)&amp;IF(ISBLANK(D222)," | "," "&amp;"OR """&amp;YEAR(D222)&amp;""" | ") &amp; """All New"" | Episode | Watch | tv | Show | Series | season | binge | Stream | Film | Movie | Premiere | Screening | Feature | Trailer | Teaser | theater | release)"</f>
        <v>#N/A</v>
      </c>
      <c r="S222" s="23"/>
      <c r="T222" s="23"/>
      <c r="U222" s="23"/>
      <c r="V222" s="23"/>
      <c r="W222" s="23"/>
      <c r="X222" s="38"/>
      <c r="Y222" s="38"/>
      <c r="Z222" s="38"/>
      <c r="AA222" s="38"/>
    </row>
    <row r="223">
      <c r="A223" s="31"/>
      <c r="B223" s="38"/>
      <c r="C223" s="38"/>
      <c r="D223" s="50"/>
      <c r="E223" s="50"/>
      <c r="F223" s="50"/>
      <c r="G223" s="27" t="str">
        <f>VLOOKUP(E223,DropDown!J:K,2,FALSE)</f>
        <v>#N/A</v>
      </c>
      <c r="H223" s="50"/>
      <c r="I223" s="50"/>
      <c r="J223" s="50"/>
      <c r="K223" s="25" t="s">
        <v>116</v>
      </c>
      <c r="L223" s="23"/>
      <c r="M223" s="23"/>
      <c r="N223" s="25" t="str">
        <f>"("""&amp;B223&amp;""") ("&amp;Vlookup(E223,DropDown!J:N,5,FALSE)&amp;" OR """ &amp;YEAR(D223) &amp; """ OR ""All New"" OR Episode OR Watch OR tv OR Show OR Series OR season OR binge OR Stream OR Film OR Movie OR Premiere OR Screening OR Feature OR Trailer OR Teaser OR theater OR release)"</f>
        <v>#N/A</v>
      </c>
      <c r="O223" s="23" t="str">
        <f t="shared" si="1"/>
        <v>#</v>
      </c>
      <c r="P223" s="23" t="str">
        <f t="shared" si="2"/>
        <v>#</v>
      </c>
      <c r="Q223" s="23"/>
      <c r="R223" s="23" t="str">
        <f>"("""&amp;B223&amp;""") ("&amp;Vlookup(E223,DropDown!R:V,5,FALSE)&amp;IF(ISBLANK(D223)," | "," "&amp;"OR """&amp;YEAR(D223)&amp;""" | ") &amp; """All New"" | Episode | Watch | tv | Show | Series | season | binge | Stream | Film | Movie | Premiere | Screening | Feature | Trailer | Teaser | theater | release)"</f>
        <v>#N/A</v>
      </c>
      <c r="S223" s="23"/>
      <c r="T223" s="23"/>
      <c r="U223" s="23"/>
      <c r="V223" s="23"/>
      <c r="W223" s="23"/>
      <c r="X223" s="38"/>
      <c r="Y223" s="38"/>
      <c r="Z223" s="38"/>
      <c r="AA223" s="38"/>
    </row>
    <row r="224">
      <c r="A224" s="31"/>
      <c r="B224" s="38"/>
      <c r="C224" s="38"/>
      <c r="D224" s="50"/>
      <c r="E224" s="50"/>
      <c r="F224" s="50"/>
      <c r="G224" s="27" t="str">
        <f>VLOOKUP(E224,DropDown!J:K,2,FALSE)</f>
        <v>#N/A</v>
      </c>
      <c r="H224" s="50"/>
      <c r="I224" s="50"/>
      <c r="J224" s="50"/>
      <c r="K224" s="25" t="s">
        <v>116</v>
      </c>
      <c r="L224" s="23"/>
      <c r="M224" s="23"/>
      <c r="N224" s="25" t="str">
        <f>"("""&amp;B224&amp;""") ("&amp;Vlookup(E224,DropDown!J:N,5,FALSE)&amp;" OR """ &amp;YEAR(D224) &amp; """ OR ""All New"" OR Episode OR Watch OR tv OR Show OR Series OR season OR binge OR Stream OR Film OR Movie OR Premiere OR Screening OR Feature OR Trailer OR Teaser OR theater OR release)"</f>
        <v>#N/A</v>
      </c>
      <c r="O224" s="23" t="str">
        <f t="shared" si="1"/>
        <v>#</v>
      </c>
      <c r="P224" s="23" t="str">
        <f t="shared" si="2"/>
        <v>#</v>
      </c>
      <c r="Q224" s="23"/>
      <c r="R224" s="23" t="str">
        <f>"("""&amp;B224&amp;""") ("&amp;Vlookup(E224,DropDown!R:V,5,FALSE)&amp;IF(ISBLANK(D224)," | "," "&amp;"OR """&amp;YEAR(D224)&amp;""" | ") &amp; """All New"" | Episode | Watch | tv | Show | Series | season | binge | Stream | Film | Movie | Premiere | Screening | Feature | Trailer | Teaser | theater | release)"</f>
        <v>#N/A</v>
      </c>
      <c r="S224" s="23"/>
      <c r="T224" s="23"/>
      <c r="U224" s="23"/>
      <c r="V224" s="23"/>
      <c r="W224" s="23"/>
      <c r="X224" s="38"/>
      <c r="Y224" s="38"/>
      <c r="Z224" s="38"/>
      <c r="AA224" s="38"/>
    </row>
    <row r="225">
      <c r="A225" s="31"/>
      <c r="B225" s="38"/>
      <c r="C225" s="38"/>
      <c r="D225" s="50"/>
      <c r="E225" s="50"/>
      <c r="F225" s="50"/>
      <c r="G225" s="27" t="str">
        <f>VLOOKUP(E225,DropDown!J:K,2,FALSE)</f>
        <v>#N/A</v>
      </c>
      <c r="H225" s="50"/>
      <c r="I225" s="50"/>
      <c r="J225" s="50"/>
      <c r="K225" s="25" t="s">
        <v>116</v>
      </c>
      <c r="L225" s="23"/>
      <c r="M225" s="23"/>
      <c r="N225" s="25" t="str">
        <f>"("""&amp;B225&amp;""") ("&amp;Vlookup(E225,DropDown!J:N,5,FALSE)&amp;" OR """ &amp;YEAR(D225) &amp; """ OR ""All New"" OR Episode OR Watch OR tv OR Show OR Series OR season OR binge OR Stream OR Film OR Movie OR Premiere OR Screening OR Feature OR Trailer OR Teaser OR theater OR release)"</f>
        <v>#N/A</v>
      </c>
      <c r="O225" s="23" t="str">
        <f t="shared" si="1"/>
        <v>#</v>
      </c>
      <c r="P225" s="23" t="str">
        <f t="shared" si="2"/>
        <v>#</v>
      </c>
      <c r="Q225" s="23"/>
      <c r="R225" s="23" t="str">
        <f>"("""&amp;B225&amp;""") ("&amp;Vlookup(E225,DropDown!R:V,5,FALSE)&amp;IF(ISBLANK(D225)," | "," "&amp;"OR """&amp;YEAR(D225)&amp;""" | ") &amp; """All New"" | Episode | Watch | tv | Show | Series | season | binge | Stream | Film | Movie | Premiere | Screening | Feature | Trailer | Teaser | theater | release)"</f>
        <v>#N/A</v>
      </c>
      <c r="S225" s="23"/>
      <c r="T225" s="23"/>
      <c r="U225" s="23"/>
      <c r="V225" s="23"/>
      <c r="W225" s="23"/>
      <c r="X225" s="38"/>
      <c r="Y225" s="38"/>
      <c r="Z225" s="38"/>
      <c r="AA225" s="38"/>
    </row>
    <row r="226">
      <c r="A226" s="31"/>
      <c r="B226" s="38"/>
      <c r="C226" s="38"/>
      <c r="D226" s="50"/>
      <c r="E226" s="50"/>
      <c r="F226" s="50"/>
      <c r="G226" s="27" t="str">
        <f>VLOOKUP(E226,DropDown!J:K,2,FALSE)</f>
        <v>#N/A</v>
      </c>
      <c r="H226" s="50"/>
      <c r="I226" s="50"/>
      <c r="J226" s="50"/>
      <c r="K226" s="25" t="s">
        <v>116</v>
      </c>
      <c r="L226" s="23"/>
      <c r="M226" s="23"/>
      <c r="N226" s="25" t="str">
        <f>"("""&amp;B226&amp;""") ("&amp;Vlookup(E226,DropDown!J:N,5,FALSE)&amp;" OR """ &amp;YEAR(D226) &amp; """ OR ""All New"" OR Episode OR Watch OR tv OR Show OR Series OR season OR binge OR Stream OR Film OR Movie OR Premiere OR Screening OR Feature OR Trailer OR Teaser OR theater OR release)"</f>
        <v>#N/A</v>
      </c>
      <c r="O226" s="23" t="str">
        <f t="shared" si="1"/>
        <v>#</v>
      </c>
      <c r="P226" s="23" t="str">
        <f t="shared" si="2"/>
        <v>#</v>
      </c>
      <c r="Q226" s="23"/>
      <c r="R226" s="23" t="str">
        <f>"("""&amp;B226&amp;""") ("&amp;Vlookup(E226,DropDown!R:V,5,FALSE)&amp;IF(ISBLANK(D226)," | "," "&amp;"OR """&amp;YEAR(D226)&amp;""" | ") &amp; """All New"" | Episode | Watch | tv | Show | Series | season | binge | Stream | Film | Movie | Premiere | Screening | Feature | Trailer | Teaser | theater | release)"</f>
        <v>#N/A</v>
      </c>
      <c r="S226" s="23"/>
      <c r="T226" s="23"/>
      <c r="U226" s="23"/>
      <c r="V226" s="23"/>
      <c r="W226" s="23"/>
      <c r="X226" s="38"/>
      <c r="Y226" s="38"/>
      <c r="Z226" s="38"/>
      <c r="AA226" s="38"/>
    </row>
    <row r="227">
      <c r="A227" s="31"/>
      <c r="B227" s="38"/>
      <c r="C227" s="38"/>
      <c r="D227" s="50"/>
      <c r="E227" s="50"/>
      <c r="F227" s="50"/>
      <c r="G227" s="27" t="str">
        <f>VLOOKUP(E227,DropDown!J:K,2,FALSE)</f>
        <v>#N/A</v>
      </c>
      <c r="H227" s="50"/>
      <c r="I227" s="50"/>
      <c r="J227" s="50"/>
      <c r="K227" s="25" t="s">
        <v>116</v>
      </c>
      <c r="L227" s="23"/>
      <c r="M227" s="23"/>
      <c r="N227" s="25" t="str">
        <f>"("""&amp;B227&amp;""") ("&amp;Vlookup(E227,DropDown!J:N,5,FALSE)&amp;" OR """ &amp;YEAR(D227) &amp; """ OR ""All New"" OR Episode OR Watch OR tv OR Show OR Series OR season OR binge OR Stream OR Film OR Movie OR Premiere OR Screening OR Feature OR Trailer OR Teaser OR theater OR release)"</f>
        <v>#N/A</v>
      </c>
      <c r="O227" s="23" t="str">
        <f t="shared" si="1"/>
        <v>#</v>
      </c>
      <c r="P227" s="23" t="str">
        <f t="shared" si="2"/>
        <v>#</v>
      </c>
      <c r="Q227" s="23"/>
      <c r="R227" s="23" t="str">
        <f>"("""&amp;B227&amp;""") ("&amp;Vlookup(E227,DropDown!R:V,5,FALSE)&amp;IF(ISBLANK(D227)," | "," "&amp;"OR """&amp;YEAR(D227)&amp;""" | ") &amp; """All New"" | Episode | Watch | tv | Show | Series | season | binge | Stream | Film | Movie | Premiere | Screening | Feature | Trailer | Teaser | theater | release)"</f>
        <v>#N/A</v>
      </c>
      <c r="S227" s="23"/>
      <c r="T227" s="23"/>
      <c r="U227" s="23"/>
      <c r="V227" s="23"/>
      <c r="W227" s="23"/>
      <c r="X227" s="38"/>
      <c r="Y227" s="38"/>
      <c r="Z227" s="38"/>
      <c r="AA227" s="38"/>
    </row>
    <row r="228">
      <c r="A228" s="31"/>
      <c r="B228" s="38"/>
      <c r="C228" s="38"/>
      <c r="D228" s="50"/>
      <c r="E228" s="50"/>
      <c r="F228" s="50"/>
      <c r="G228" s="27" t="str">
        <f>VLOOKUP(E228,DropDown!J:K,2,FALSE)</f>
        <v>#N/A</v>
      </c>
      <c r="H228" s="50"/>
      <c r="I228" s="50"/>
      <c r="J228" s="50"/>
      <c r="K228" s="25" t="s">
        <v>116</v>
      </c>
      <c r="L228" s="23"/>
      <c r="M228" s="23"/>
      <c r="N228" s="25" t="str">
        <f>"("""&amp;B228&amp;""") ("&amp;Vlookup(E228,DropDown!J:N,5,FALSE)&amp;" OR """ &amp;YEAR(D228) &amp; """ OR ""All New"" OR Episode OR Watch OR tv OR Show OR Series OR season OR binge OR Stream OR Film OR Movie OR Premiere OR Screening OR Feature OR Trailer OR Teaser OR theater OR release)"</f>
        <v>#N/A</v>
      </c>
      <c r="O228" s="23" t="str">
        <f t="shared" si="1"/>
        <v>#</v>
      </c>
      <c r="P228" s="23" t="str">
        <f t="shared" si="2"/>
        <v>#</v>
      </c>
      <c r="Q228" s="23"/>
      <c r="R228" s="23" t="str">
        <f>"("""&amp;B228&amp;""") ("&amp;Vlookup(E228,DropDown!R:V,5,FALSE)&amp;IF(ISBLANK(D228)," | "," "&amp;"OR """&amp;YEAR(D228)&amp;""" | ") &amp; """All New"" | Episode | Watch | tv | Show | Series | season | binge | Stream | Film | Movie | Premiere | Screening | Feature | Trailer | Teaser | theater | release)"</f>
        <v>#N/A</v>
      </c>
      <c r="S228" s="23"/>
      <c r="T228" s="23"/>
      <c r="U228" s="23"/>
      <c r="V228" s="23"/>
      <c r="W228" s="23"/>
      <c r="X228" s="38"/>
      <c r="Y228" s="38"/>
      <c r="Z228" s="38"/>
      <c r="AA228" s="38"/>
    </row>
    <row r="229">
      <c r="A229" s="31"/>
      <c r="B229" s="38"/>
      <c r="C229" s="38"/>
      <c r="D229" s="50"/>
      <c r="E229" s="50"/>
      <c r="F229" s="50"/>
      <c r="G229" s="27" t="str">
        <f>VLOOKUP(E229,DropDown!J:K,2,FALSE)</f>
        <v>#N/A</v>
      </c>
      <c r="H229" s="50"/>
      <c r="I229" s="50"/>
      <c r="J229" s="50"/>
      <c r="K229" s="25" t="s">
        <v>116</v>
      </c>
      <c r="L229" s="23"/>
      <c r="M229" s="23"/>
      <c r="N229" s="25" t="str">
        <f>"("""&amp;B229&amp;""") ("&amp;Vlookup(E229,DropDown!J:N,5,FALSE)&amp;" OR """ &amp;YEAR(D229) &amp; """ OR ""All New"" OR Episode OR Watch OR tv OR Show OR Series OR season OR binge OR Stream OR Film OR Movie OR Premiere OR Screening OR Feature OR Trailer OR Teaser OR theater OR release)"</f>
        <v>#N/A</v>
      </c>
      <c r="O229" s="23" t="str">
        <f t="shared" si="1"/>
        <v>#</v>
      </c>
      <c r="P229" s="23" t="str">
        <f t="shared" si="2"/>
        <v>#</v>
      </c>
      <c r="Q229" s="23"/>
      <c r="R229" s="23" t="str">
        <f>"("""&amp;B229&amp;""") ("&amp;Vlookup(E229,DropDown!R:V,5,FALSE)&amp;IF(ISBLANK(D229)," | "," "&amp;"OR """&amp;YEAR(D229)&amp;""" | ") &amp; """All New"" | Episode | Watch | tv | Show | Series | season | binge | Stream | Film | Movie | Premiere | Screening | Feature | Trailer | Teaser | theater | release)"</f>
        <v>#N/A</v>
      </c>
      <c r="S229" s="23"/>
      <c r="T229" s="23"/>
      <c r="U229" s="23"/>
      <c r="V229" s="23"/>
      <c r="W229" s="23"/>
      <c r="X229" s="38"/>
      <c r="Y229" s="38"/>
      <c r="Z229" s="38"/>
      <c r="AA229" s="38"/>
    </row>
    <row r="230">
      <c r="A230" s="31"/>
      <c r="B230" s="38"/>
      <c r="C230" s="38"/>
      <c r="D230" s="50"/>
      <c r="E230" s="50"/>
      <c r="F230" s="50"/>
      <c r="G230" s="27" t="str">
        <f>VLOOKUP(E230,DropDown!J:K,2,FALSE)</f>
        <v>#N/A</v>
      </c>
      <c r="H230" s="50"/>
      <c r="I230" s="50"/>
      <c r="J230" s="50"/>
      <c r="K230" s="25" t="s">
        <v>116</v>
      </c>
      <c r="L230" s="23"/>
      <c r="M230" s="23"/>
      <c r="N230" s="25" t="str">
        <f>"("""&amp;B230&amp;""") ("&amp;Vlookup(E230,DropDown!J:N,5,FALSE)&amp;" OR """ &amp;YEAR(D230) &amp; """ OR ""All New"" OR Episode OR Watch OR tv OR Show OR Series OR season OR binge OR Stream OR Film OR Movie OR Premiere OR Screening OR Feature OR Trailer OR Teaser OR theater OR release)"</f>
        <v>#N/A</v>
      </c>
      <c r="O230" s="23" t="str">
        <f t="shared" si="1"/>
        <v>#</v>
      </c>
      <c r="P230" s="23" t="str">
        <f t="shared" si="2"/>
        <v>#</v>
      </c>
      <c r="Q230" s="23"/>
      <c r="R230" s="23" t="str">
        <f>"("""&amp;B230&amp;""") ("&amp;Vlookup(E230,DropDown!R:V,5,FALSE)&amp;IF(ISBLANK(D230)," | "," "&amp;"OR """&amp;YEAR(D230)&amp;""" | ") &amp; """All New"" | Episode | Watch | tv | Show | Series | season | binge | Stream | Film | Movie | Premiere | Screening | Feature | Trailer | Teaser | theater | release)"</f>
        <v>#N/A</v>
      </c>
      <c r="S230" s="23"/>
      <c r="T230" s="23"/>
      <c r="U230" s="23"/>
      <c r="V230" s="23"/>
      <c r="W230" s="23"/>
      <c r="X230" s="38"/>
      <c r="Y230" s="38"/>
      <c r="Z230" s="38"/>
      <c r="AA230" s="38"/>
    </row>
    <row r="231">
      <c r="A231" s="31"/>
      <c r="B231" s="38"/>
      <c r="C231" s="38"/>
      <c r="D231" s="50"/>
      <c r="E231" s="50"/>
      <c r="F231" s="50"/>
      <c r="G231" s="27" t="str">
        <f>VLOOKUP(E231,DropDown!J:K,2,FALSE)</f>
        <v>#N/A</v>
      </c>
      <c r="H231" s="50"/>
      <c r="I231" s="50"/>
      <c r="J231" s="50"/>
      <c r="K231" s="25" t="s">
        <v>116</v>
      </c>
      <c r="L231" s="23"/>
      <c r="M231" s="23"/>
      <c r="N231" s="25" t="str">
        <f>"("""&amp;B231&amp;""") ("&amp;Vlookup(E231,DropDown!J:N,5,FALSE)&amp;" OR """ &amp;YEAR(D231) &amp; """ OR ""All New"" OR Episode OR Watch OR tv OR Show OR Series OR season OR binge OR Stream OR Film OR Movie OR Premiere OR Screening OR Feature OR Trailer OR Teaser OR theater OR release)"</f>
        <v>#N/A</v>
      </c>
      <c r="O231" s="23" t="str">
        <f t="shared" si="1"/>
        <v>#</v>
      </c>
      <c r="P231" s="23" t="str">
        <f t="shared" si="2"/>
        <v>#</v>
      </c>
      <c r="Q231" s="23"/>
      <c r="R231" s="23" t="str">
        <f>"("""&amp;B231&amp;""") ("&amp;Vlookup(E231,DropDown!R:V,5,FALSE)&amp;IF(ISBLANK(D231)," | "," "&amp;"OR """&amp;YEAR(D231)&amp;""" | ") &amp; """All New"" | Episode | Watch | tv | Show | Series | season | binge | Stream | Film | Movie | Premiere | Screening | Feature | Trailer | Teaser | theater | release)"</f>
        <v>#N/A</v>
      </c>
      <c r="S231" s="23"/>
      <c r="T231" s="23"/>
      <c r="U231" s="23"/>
      <c r="V231" s="23"/>
      <c r="W231" s="23"/>
      <c r="X231" s="38"/>
      <c r="Y231" s="38"/>
      <c r="Z231" s="38"/>
      <c r="AA231" s="38"/>
    </row>
    <row r="232">
      <c r="A232" s="31"/>
      <c r="B232" s="38"/>
      <c r="C232" s="38"/>
      <c r="D232" s="50"/>
      <c r="E232" s="50"/>
      <c r="F232" s="50"/>
      <c r="G232" s="27" t="str">
        <f>VLOOKUP(E232,DropDown!J:K,2,FALSE)</f>
        <v>#N/A</v>
      </c>
      <c r="H232" s="50"/>
      <c r="I232" s="50"/>
      <c r="J232" s="50"/>
      <c r="K232" s="25" t="s">
        <v>116</v>
      </c>
      <c r="L232" s="23"/>
      <c r="M232" s="23"/>
      <c r="N232" s="25" t="str">
        <f>"("""&amp;B232&amp;""") ("&amp;Vlookup(E232,DropDown!J:N,5,FALSE)&amp;" OR """ &amp;YEAR(D232) &amp; """ OR ""All New"" OR Episode OR Watch OR tv OR Show OR Series OR season OR binge OR Stream OR Film OR Movie OR Premiere OR Screening OR Feature OR Trailer OR Teaser OR theater OR release)"</f>
        <v>#N/A</v>
      </c>
      <c r="O232" s="23" t="str">
        <f t="shared" si="1"/>
        <v>#</v>
      </c>
      <c r="P232" s="23" t="str">
        <f t="shared" si="2"/>
        <v>#</v>
      </c>
      <c r="Q232" s="23"/>
      <c r="R232" s="23" t="str">
        <f>"("""&amp;B232&amp;""") ("&amp;Vlookup(E232,DropDown!R:V,5,FALSE)&amp;IF(ISBLANK(D232)," | "," "&amp;"OR """&amp;YEAR(D232)&amp;""" | ") &amp; """All New"" | Episode | Watch | tv | Show | Series | season | binge | Stream | Film | Movie | Premiere | Screening | Feature | Trailer | Teaser | theater | release)"</f>
        <v>#N/A</v>
      </c>
      <c r="S232" s="23"/>
      <c r="T232" s="23"/>
      <c r="U232" s="23"/>
      <c r="V232" s="23"/>
      <c r="W232" s="23"/>
      <c r="X232" s="38"/>
      <c r="Y232" s="38"/>
      <c r="Z232" s="38"/>
      <c r="AA232" s="38"/>
    </row>
    <row r="233">
      <c r="A233" s="31"/>
      <c r="B233" s="38"/>
      <c r="C233" s="38"/>
      <c r="D233" s="50"/>
      <c r="E233" s="50"/>
      <c r="F233" s="50"/>
      <c r="G233" s="27" t="str">
        <f>VLOOKUP(E233,DropDown!J:K,2,FALSE)</f>
        <v>#N/A</v>
      </c>
      <c r="H233" s="50"/>
      <c r="I233" s="50"/>
      <c r="J233" s="50"/>
      <c r="K233" s="25" t="s">
        <v>116</v>
      </c>
      <c r="L233" s="23"/>
      <c r="M233" s="23"/>
      <c r="N233" s="25" t="str">
        <f>"("""&amp;B233&amp;""") ("&amp;Vlookup(E233,DropDown!J:N,5,FALSE)&amp;" OR """ &amp;YEAR(D233) &amp; """ OR ""All New"" OR Episode OR Watch OR tv OR Show OR Series OR season OR binge OR Stream OR Film OR Movie OR Premiere OR Screening OR Feature OR Trailer OR Teaser OR theater OR release)"</f>
        <v>#N/A</v>
      </c>
      <c r="O233" s="23" t="str">
        <f t="shared" si="1"/>
        <v>#</v>
      </c>
      <c r="P233" s="23" t="str">
        <f t="shared" si="2"/>
        <v>#</v>
      </c>
      <c r="Q233" s="23"/>
      <c r="R233" s="23" t="str">
        <f>"("""&amp;B233&amp;""") ("&amp;Vlookup(E233,DropDown!R:V,5,FALSE)&amp;IF(ISBLANK(D233)," | "," "&amp;"OR """&amp;YEAR(D233)&amp;""" | ") &amp; """All New"" | Episode | Watch | tv | Show | Series | season | binge | Stream | Film | Movie | Premiere | Screening | Feature | Trailer | Teaser | theater | release)"</f>
        <v>#N/A</v>
      </c>
      <c r="S233" s="23"/>
      <c r="T233" s="23"/>
      <c r="U233" s="23"/>
      <c r="V233" s="23"/>
      <c r="W233" s="23"/>
      <c r="X233" s="38"/>
      <c r="Y233" s="38"/>
      <c r="Z233" s="38"/>
      <c r="AA233" s="38"/>
    </row>
    <row r="234">
      <c r="A234" s="31"/>
      <c r="B234" s="38"/>
      <c r="C234" s="38"/>
      <c r="D234" s="50"/>
      <c r="E234" s="50"/>
      <c r="F234" s="50"/>
      <c r="G234" s="27" t="str">
        <f>VLOOKUP(E234,DropDown!J:K,2,FALSE)</f>
        <v>#N/A</v>
      </c>
      <c r="H234" s="50"/>
      <c r="I234" s="50"/>
      <c r="J234" s="50"/>
      <c r="K234" s="25" t="s">
        <v>116</v>
      </c>
      <c r="L234" s="23"/>
      <c r="M234" s="23"/>
      <c r="N234" s="25" t="str">
        <f>"("""&amp;B234&amp;""") ("&amp;Vlookup(E234,DropDown!J:N,5,FALSE)&amp;" OR """ &amp;YEAR(D234) &amp; """ OR ""All New"" OR Episode OR Watch OR tv OR Show OR Series OR season OR binge OR Stream OR Film OR Movie OR Premiere OR Screening OR Feature OR Trailer OR Teaser OR theater OR release)"</f>
        <v>#N/A</v>
      </c>
      <c r="O234" s="23" t="str">
        <f t="shared" si="1"/>
        <v>#</v>
      </c>
      <c r="P234" s="23" t="str">
        <f t="shared" si="2"/>
        <v>#</v>
      </c>
      <c r="Q234" s="23"/>
      <c r="R234" s="23" t="str">
        <f>"("""&amp;B234&amp;""") ("&amp;Vlookup(E234,DropDown!R:V,5,FALSE)&amp;IF(ISBLANK(D234)," | "," "&amp;"OR """&amp;YEAR(D234)&amp;""" | ") &amp; """All New"" | Episode | Watch | tv | Show | Series | season | binge | Stream | Film | Movie | Premiere | Screening | Feature | Trailer | Teaser | theater | release)"</f>
        <v>#N/A</v>
      </c>
      <c r="S234" s="23"/>
      <c r="T234" s="23"/>
      <c r="U234" s="23"/>
      <c r="V234" s="23"/>
      <c r="W234" s="23"/>
      <c r="X234" s="38"/>
      <c r="Y234" s="38"/>
      <c r="Z234" s="38"/>
      <c r="AA234" s="38"/>
    </row>
    <row r="235">
      <c r="A235" s="31"/>
      <c r="B235" s="38"/>
      <c r="C235" s="38"/>
      <c r="D235" s="50"/>
      <c r="E235" s="50"/>
      <c r="F235" s="50"/>
      <c r="G235" s="27" t="str">
        <f>VLOOKUP(E235,DropDown!J:K,2,FALSE)</f>
        <v>#N/A</v>
      </c>
      <c r="H235" s="50"/>
      <c r="I235" s="50"/>
      <c r="J235" s="50"/>
      <c r="K235" s="25" t="s">
        <v>116</v>
      </c>
      <c r="L235" s="23"/>
      <c r="M235" s="23"/>
      <c r="N235" s="25" t="str">
        <f>"("""&amp;B235&amp;""") ("&amp;Vlookup(E235,DropDown!J:N,5,FALSE)&amp;" OR """ &amp;YEAR(D235) &amp; """ OR ""All New"" OR Episode OR Watch OR tv OR Show OR Series OR season OR binge OR Stream OR Film OR Movie OR Premiere OR Screening OR Feature OR Trailer OR Teaser OR theater OR release)"</f>
        <v>#N/A</v>
      </c>
      <c r="O235" s="23" t="str">
        <f t="shared" si="1"/>
        <v>#</v>
      </c>
      <c r="P235" s="23" t="str">
        <f t="shared" si="2"/>
        <v>#</v>
      </c>
      <c r="Q235" s="23"/>
      <c r="R235" s="23" t="str">
        <f>"("""&amp;B235&amp;""") ("&amp;Vlookup(E235,DropDown!R:V,5,FALSE)&amp;IF(ISBLANK(D235)," | "," "&amp;"OR """&amp;YEAR(D235)&amp;""" | ") &amp; """All New"" | Episode | Watch | tv | Show | Series | season | binge | Stream | Film | Movie | Premiere | Screening | Feature | Trailer | Teaser | theater | release)"</f>
        <v>#N/A</v>
      </c>
      <c r="S235" s="23"/>
      <c r="T235" s="23"/>
      <c r="U235" s="23"/>
      <c r="V235" s="23"/>
      <c r="W235" s="23"/>
      <c r="X235" s="38"/>
      <c r="Y235" s="38"/>
      <c r="Z235" s="38"/>
      <c r="AA235" s="38"/>
    </row>
    <row r="236">
      <c r="A236" s="31"/>
      <c r="B236" s="38"/>
      <c r="C236" s="38"/>
      <c r="D236" s="50"/>
      <c r="E236" s="50"/>
      <c r="F236" s="50"/>
      <c r="G236" s="27" t="str">
        <f>VLOOKUP(E236,DropDown!J:K,2,FALSE)</f>
        <v>#N/A</v>
      </c>
      <c r="H236" s="50"/>
      <c r="I236" s="50"/>
      <c r="J236" s="50"/>
      <c r="K236" s="25" t="s">
        <v>116</v>
      </c>
      <c r="L236" s="23"/>
      <c r="M236" s="23"/>
      <c r="N236" s="25" t="str">
        <f>"("""&amp;B236&amp;""") ("&amp;Vlookup(E236,DropDown!J:N,5,FALSE)&amp;" OR """ &amp;YEAR(D236) &amp; """ OR ""All New"" OR Episode OR Watch OR tv OR Show OR Series OR season OR binge OR Stream OR Film OR Movie OR Premiere OR Screening OR Feature OR Trailer OR Teaser OR theater OR release)"</f>
        <v>#N/A</v>
      </c>
      <c r="O236" s="23" t="str">
        <f t="shared" si="1"/>
        <v>#</v>
      </c>
      <c r="P236" s="23" t="str">
        <f t="shared" si="2"/>
        <v>#</v>
      </c>
      <c r="Q236" s="23"/>
      <c r="R236" s="23" t="str">
        <f>"("""&amp;B236&amp;""") ("&amp;Vlookup(E236,DropDown!R:V,5,FALSE)&amp;IF(ISBLANK(D236)," | "," "&amp;"OR """&amp;YEAR(D236)&amp;""" | ") &amp; """All New"" | Episode | Watch | tv | Show | Series | season | binge | Stream | Film | Movie | Premiere | Screening | Feature | Trailer | Teaser | theater | release)"</f>
        <v>#N/A</v>
      </c>
      <c r="S236" s="23"/>
      <c r="T236" s="23"/>
      <c r="U236" s="23"/>
      <c r="V236" s="23"/>
      <c r="W236" s="23"/>
      <c r="X236" s="38"/>
      <c r="Y236" s="38"/>
      <c r="Z236" s="38"/>
      <c r="AA236" s="38"/>
    </row>
    <row r="237">
      <c r="A237" s="31"/>
      <c r="B237" s="38"/>
      <c r="C237" s="38"/>
      <c r="D237" s="50"/>
      <c r="E237" s="50"/>
      <c r="F237" s="50"/>
      <c r="G237" s="27" t="str">
        <f>VLOOKUP(E237,DropDown!J:K,2,FALSE)</f>
        <v>#N/A</v>
      </c>
      <c r="H237" s="50"/>
      <c r="I237" s="50"/>
      <c r="J237" s="50"/>
      <c r="K237" s="25" t="s">
        <v>116</v>
      </c>
      <c r="L237" s="23"/>
      <c r="M237" s="23"/>
      <c r="N237" s="25" t="str">
        <f>"("""&amp;B237&amp;""") ("&amp;Vlookup(E237,DropDown!J:N,5,FALSE)&amp;" OR """ &amp;YEAR(D237) &amp; """ OR ""All New"" OR Episode OR Watch OR tv OR Show OR Series OR season OR binge OR Stream OR Film OR Movie OR Premiere OR Screening OR Feature OR Trailer OR Teaser OR theater OR release)"</f>
        <v>#N/A</v>
      </c>
      <c r="O237" s="23" t="str">
        <f t="shared" si="1"/>
        <v>#</v>
      </c>
      <c r="P237" s="23" t="str">
        <f t="shared" si="2"/>
        <v>#</v>
      </c>
      <c r="Q237" s="23"/>
      <c r="R237" s="23" t="str">
        <f>"("""&amp;B237&amp;""") ("&amp;Vlookup(E237,DropDown!R:V,5,FALSE)&amp;IF(ISBLANK(D237)," | "," "&amp;"OR """&amp;YEAR(D237)&amp;""" | ") &amp; """All New"" | Episode | Watch | tv | Show | Series | season | binge | Stream | Film | Movie | Premiere | Screening | Feature | Trailer | Teaser | theater | release)"</f>
        <v>#N/A</v>
      </c>
      <c r="S237" s="23"/>
      <c r="T237" s="23"/>
      <c r="U237" s="23"/>
      <c r="V237" s="23"/>
      <c r="W237" s="23"/>
      <c r="X237" s="38"/>
      <c r="Y237" s="38"/>
      <c r="Z237" s="38"/>
      <c r="AA237" s="38"/>
    </row>
    <row r="238">
      <c r="A238" s="31"/>
      <c r="B238" s="38"/>
      <c r="C238" s="38"/>
      <c r="D238" s="50"/>
      <c r="E238" s="50"/>
      <c r="F238" s="50"/>
      <c r="G238" s="27" t="str">
        <f>VLOOKUP(E238,DropDown!J:K,2,FALSE)</f>
        <v>#N/A</v>
      </c>
      <c r="H238" s="50"/>
      <c r="I238" s="50"/>
      <c r="J238" s="50"/>
      <c r="K238" s="25" t="s">
        <v>116</v>
      </c>
      <c r="L238" s="23"/>
      <c r="M238" s="23"/>
      <c r="N238" s="25" t="str">
        <f>"("""&amp;B238&amp;""") ("&amp;Vlookup(E238,DropDown!J:N,5,FALSE)&amp;" OR """ &amp;YEAR(D238) &amp; """ OR ""All New"" OR Episode OR Watch OR tv OR Show OR Series OR season OR binge OR Stream OR Film OR Movie OR Premiere OR Screening OR Feature OR Trailer OR Teaser OR theater OR release)"</f>
        <v>#N/A</v>
      </c>
      <c r="O238" s="23" t="str">
        <f t="shared" si="1"/>
        <v>#</v>
      </c>
      <c r="P238" s="23" t="str">
        <f t="shared" si="2"/>
        <v>#</v>
      </c>
      <c r="Q238" s="23"/>
      <c r="R238" s="23" t="str">
        <f>"("""&amp;B238&amp;""") ("&amp;Vlookup(E238,DropDown!R:V,5,FALSE)&amp;IF(ISBLANK(D238)," | "," "&amp;"OR """&amp;YEAR(D238)&amp;""" | ") &amp; """All New"" | Episode | Watch | tv | Show | Series | season | binge | Stream | Film | Movie | Premiere | Screening | Feature | Trailer | Teaser | theater | release)"</f>
        <v>#N/A</v>
      </c>
      <c r="S238" s="23"/>
      <c r="T238" s="23"/>
      <c r="U238" s="23"/>
      <c r="V238" s="23"/>
      <c r="W238" s="23"/>
      <c r="X238" s="38"/>
      <c r="Y238" s="38"/>
      <c r="Z238" s="38"/>
      <c r="AA238" s="38"/>
    </row>
    <row r="239">
      <c r="A239" s="31"/>
      <c r="B239" s="38"/>
      <c r="C239" s="38"/>
      <c r="D239" s="50"/>
      <c r="E239" s="50"/>
      <c r="F239" s="50"/>
      <c r="G239" s="27" t="str">
        <f>VLOOKUP(E239,DropDown!J:K,2,FALSE)</f>
        <v>#N/A</v>
      </c>
      <c r="H239" s="50"/>
      <c r="I239" s="50"/>
      <c r="J239" s="50"/>
      <c r="K239" s="25" t="s">
        <v>116</v>
      </c>
      <c r="L239" s="23"/>
      <c r="M239" s="23"/>
      <c r="N239" s="25" t="str">
        <f>"("""&amp;B239&amp;""") ("&amp;Vlookup(E239,DropDown!J:N,5,FALSE)&amp;" OR """ &amp;YEAR(D239) &amp; """ OR ""All New"" OR Episode OR Watch OR tv OR Show OR Series OR season OR binge OR Stream OR Film OR Movie OR Premiere OR Screening OR Feature OR Trailer OR Teaser OR theater OR release)"</f>
        <v>#N/A</v>
      </c>
      <c r="O239" s="23" t="str">
        <f t="shared" si="1"/>
        <v>#</v>
      </c>
      <c r="P239" s="23" t="str">
        <f t="shared" si="2"/>
        <v>#</v>
      </c>
      <c r="Q239" s="23"/>
      <c r="R239" s="23" t="str">
        <f>"("""&amp;B239&amp;""") ("&amp;Vlookup(E239,DropDown!R:V,5,FALSE)&amp;IF(ISBLANK(D239)," | "," "&amp;"OR """&amp;YEAR(D239)&amp;""" | ") &amp; """All New"" | Episode | Watch | tv | Show | Series | season | binge | Stream | Film | Movie | Premiere | Screening | Feature | Trailer | Teaser | theater | release)"</f>
        <v>#N/A</v>
      </c>
      <c r="S239" s="23"/>
      <c r="T239" s="23"/>
      <c r="U239" s="23"/>
      <c r="V239" s="23"/>
      <c r="W239" s="23"/>
      <c r="X239" s="38"/>
      <c r="Y239" s="38"/>
      <c r="Z239" s="38"/>
      <c r="AA239" s="38"/>
    </row>
    <row r="240">
      <c r="A240" s="31"/>
      <c r="B240" s="38"/>
      <c r="C240" s="38"/>
      <c r="D240" s="50"/>
      <c r="E240" s="50"/>
      <c r="F240" s="50"/>
      <c r="G240" s="27" t="str">
        <f>VLOOKUP(E240,DropDown!J:K,2,FALSE)</f>
        <v>#N/A</v>
      </c>
      <c r="H240" s="50"/>
      <c r="I240" s="50"/>
      <c r="J240" s="50"/>
      <c r="K240" s="25" t="s">
        <v>116</v>
      </c>
      <c r="L240" s="23"/>
      <c r="M240" s="23"/>
      <c r="N240" s="25" t="str">
        <f>"("""&amp;B240&amp;""") ("&amp;Vlookup(E240,DropDown!J:N,5,FALSE)&amp;" OR """ &amp;YEAR(D240) &amp; """ OR ""All New"" OR Episode OR Watch OR tv OR Show OR Series OR season OR binge OR Stream OR Film OR Movie OR Premiere OR Screening OR Feature OR Trailer OR Teaser OR theater OR release)"</f>
        <v>#N/A</v>
      </c>
      <c r="O240" s="23" t="str">
        <f t="shared" si="1"/>
        <v>#</v>
      </c>
      <c r="P240" s="23" t="str">
        <f t="shared" si="2"/>
        <v>#</v>
      </c>
      <c r="Q240" s="23"/>
      <c r="R240" s="23" t="str">
        <f>"("""&amp;B240&amp;""") ("&amp;Vlookup(E240,DropDown!R:V,5,FALSE)&amp;IF(ISBLANK(D240)," | "," "&amp;"OR """&amp;YEAR(D240)&amp;""" | ") &amp; """All New"" | Episode | Watch | tv | Show | Series | season | binge | Stream | Film | Movie | Premiere | Screening | Feature | Trailer | Teaser | theater | release)"</f>
        <v>#N/A</v>
      </c>
      <c r="S240" s="23"/>
      <c r="T240" s="23"/>
      <c r="U240" s="23"/>
      <c r="V240" s="23"/>
      <c r="W240" s="23"/>
      <c r="X240" s="38"/>
      <c r="Y240" s="38"/>
      <c r="Z240" s="38"/>
      <c r="AA240" s="38"/>
    </row>
    <row r="241">
      <c r="A241" s="31"/>
      <c r="B241" s="38"/>
      <c r="C241" s="38"/>
      <c r="D241" s="50"/>
      <c r="E241" s="50"/>
      <c r="F241" s="50"/>
      <c r="G241" s="27" t="str">
        <f>VLOOKUP(E241,DropDown!J:K,2,FALSE)</f>
        <v>#N/A</v>
      </c>
      <c r="H241" s="50"/>
      <c r="I241" s="50"/>
      <c r="J241" s="50"/>
      <c r="K241" s="25" t="s">
        <v>116</v>
      </c>
      <c r="L241" s="23"/>
      <c r="M241" s="23"/>
      <c r="N241" s="25" t="str">
        <f>"("""&amp;B241&amp;""") ("&amp;Vlookup(E241,DropDown!J:N,5,FALSE)&amp;" OR """ &amp;YEAR(D241) &amp; """ OR ""All New"" OR Episode OR Watch OR tv OR Show OR Series OR season OR binge OR Stream OR Film OR Movie OR Premiere OR Screening OR Feature OR Trailer OR Teaser OR theater OR release)"</f>
        <v>#N/A</v>
      </c>
      <c r="O241" s="23" t="str">
        <f t="shared" si="1"/>
        <v>#</v>
      </c>
      <c r="P241" s="23" t="str">
        <f t="shared" si="2"/>
        <v>#</v>
      </c>
      <c r="Q241" s="23"/>
      <c r="R241" s="23" t="str">
        <f>"("""&amp;B241&amp;""") ("&amp;Vlookup(E241,DropDown!R:V,5,FALSE)&amp;IF(ISBLANK(D241)," | "," "&amp;"OR """&amp;YEAR(D241)&amp;""" | ") &amp; """All New"" | Episode | Watch | tv | Show | Series | season | binge | Stream | Film | Movie | Premiere | Screening | Feature | Trailer | Teaser | theater | release)"</f>
        <v>#N/A</v>
      </c>
      <c r="S241" s="23"/>
      <c r="T241" s="23"/>
      <c r="U241" s="23"/>
      <c r="V241" s="23"/>
      <c r="W241" s="23"/>
      <c r="X241" s="38"/>
      <c r="Y241" s="38"/>
      <c r="Z241" s="38"/>
      <c r="AA241" s="38"/>
    </row>
    <row r="242">
      <c r="A242" s="31"/>
      <c r="B242" s="38"/>
      <c r="C242" s="38"/>
      <c r="D242" s="50"/>
      <c r="E242" s="50"/>
      <c r="F242" s="50"/>
      <c r="G242" s="27" t="str">
        <f>VLOOKUP(E242,DropDown!J:K,2,FALSE)</f>
        <v>#N/A</v>
      </c>
      <c r="H242" s="50"/>
      <c r="I242" s="50"/>
      <c r="J242" s="50"/>
      <c r="K242" s="25" t="s">
        <v>116</v>
      </c>
      <c r="L242" s="23"/>
      <c r="M242" s="23"/>
      <c r="N242" s="25" t="str">
        <f>"("""&amp;B242&amp;""") ("&amp;Vlookup(E242,DropDown!J:N,5,FALSE)&amp;" OR """ &amp;YEAR(D242) &amp; """ OR ""All New"" OR Episode OR Watch OR tv OR Show OR Series OR season OR binge OR Stream OR Film OR Movie OR Premiere OR Screening OR Feature OR Trailer OR Teaser OR theater OR release)"</f>
        <v>#N/A</v>
      </c>
      <c r="O242" s="23" t="str">
        <f t="shared" si="1"/>
        <v>#</v>
      </c>
      <c r="P242" s="23" t="str">
        <f t="shared" si="2"/>
        <v>#</v>
      </c>
      <c r="Q242" s="23"/>
      <c r="R242" s="23" t="str">
        <f>"("""&amp;B242&amp;""") ("&amp;Vlookup(E242,DropDown!R:V,5,FALSE)&amp;IF(ISBLANK(D242)," | "," "&amp;"OR """&amp;YEAR(D242)&amp;""" | ") &amp; """All New"" | Episode | Watch | tv | Show | Series | season | binge | Stream | Film | Movie | Premiere | Screening | Feature | Trailer | Teaser | theater | release)"</f>
        <v>#N/A</v>
      </c>
      <c r="S242" s="23"/>
      <c r="T242" s="23"/>
      <c r="U242" s="23"/>
      <c r="V242" s="23"/>
      <c r="W242" s="23"/>
      <c r="X242" s="38"/>
      <c r="Y242" s="38"/>
      <c r="Z242" s="38"/>
      <c r="AA242" s="38"/>
    </row>
    <row r="243">
      <c r="A243" s="31"/>
      <c r="B243" s="38"/>
      <c r="C243" s="38"/>
      <c r="D243" s="50"/>
      <c r="E243" s="50"/>
      <c r="F243" s="50"/>
      <c r="G243" s="27" t="str">
        <f>VLOOKUP(E243,DropDown!J:K,2,FALSE)</f>
        <v>#N/A</v>
      </c>
      <c r="H243" s="50"/>
      <c r="I243" s="50"/>
      <c r="J243" s="50"/>
      <c r="K243" s="25" t="s">
        <v>116</v>
      </c>
      <c r="L243" s="23"/>
      <c r="M243" s="23"/>
      <c r="N243" s="25" t="str">
        <f>"("""&amp;B243&amp;""") ("&amp;Vlookup(E243,DropDown!J:N,5,FALSE)&amp;" OR """ &amp;YEAR(D243) &amp; """ OR ""All New"" OR Episode OR Watch OR tv OR Show OR Series OR season OR binge OR Stream OR Film OR Movie OR Premiere OR Screening OR Feature OR Trailer OR Teaser OR theater OR release)"</f>
        <v>#N/A</v>
      </c>
      <c r="O243" s="23" t="str">
        <f t="shared" si="1"/>
        <v>#</v>
      </c>
      <c r="P243" s="23" t="str">
        <f t="shared" si="2"/>
        <v>#</v>
      </c>
      <c r="Q243" s="23"/>
      <c r="R243" s="23" t="str">
        <f>"("""&amp;B243&amp;""") ("&amp;Vlookup(E243,DropDown!R:V,5,FALSE)&amp;IF(ISBLANK(D243)," | "," "&amp;"OR """&amp;YEAR(D243)&amp;""" | ") &amp; """All New"" | Episode | Watch | tv | Show | Series | season | binge | Stream | Film | Movie | Premiere | Screening | Feature | Trailer | Teaser | theater | release)"</f>
        <v>#N/A</v>
      </c>
      <c r="S243" s="23"/>
      <c r="T243" s="23"/>
      <c r="U243" s="23"/>
      <c r="V243" s="23"/>
      <c r="W243" s="23"/>
      <c r="X243" s="38"/>
      <c r="Y243" s="38"/>
      <c r="Z243" s="38"/>
      <c r="AA243" s="38"/>
    </row>
    <row r="244">
      <c r="A244" s="31"/>
      <c r="B244" s="38"/>
      <c r="C244" s="38"/>
      <c r="D244" s="50"/>
      <c r="E244" s="50"/>
      <c r="F244" s="50"/>
      <c r="G244" s="27" t="str">
        <f>VLOOKUP(E244,DropDown!J:K,2,FALSE)</f>
        <v>#N/A</v>
      </c>
      <c r="H244" s="50"/>
      <c r="I244" s="50"/>
      <c r="J244" s="50"/>
      <c r="K244" s="25" t="s">
        <v>116</v>
      </c>
      <c r="L244" s="23"/>
      <c r="M244" s="23"/>
      <c r="N244" s="25" t="str">
        <f>"("""&amp;B244&amp;""") ("&amp;Vlookup(E244,DropDown!J:N,5,FALSE)&amp;" OR """ &amp;YEAR(D244) &amp; """ OR ""All New"" OR Episode OR Watch OR tv OR Show OR Series OR season OR binge OR Stream OR Film OR Movie OR Premiere OR Screening OR Feature OR Trailer OR Teaser OR theater OR release)"</f>
        <v>#N/A</v>
      </c>
      <c r="O244" s="23" t="str">
        <f t="shared" si="1"/>
        <v>#</v>
      </c>
      <c r="P244" s="23" t="str">
        <f t="shared" si="2"/>
        <v>#</v>
      </c>
      <c r="Q244" s="23"/>
      <c r="R244" s="23" t="str">
        <f>"("""&amp;B244&amp;""") ("&amp;Vlookup(E244,DropDown!R:V,5,FALSE)&amp;IF(ISBLANK(D244)," | "," "&amp;"OR """&amp;YEAR(D244)&amp;""" | ") &amp; """All New"" | Episode | Watch | tv | Show | Series | season | binge | Stream | Film | Movie | Premiere | Screening | Feature | Trailer | Teaser | theater | release)"</f>
        <v>#N/A</v>
      </c>
      <c r="S244" s="23"/>
      <c r="T244" s="23"/>
      <c r="U244" s="23"/>
      <c r="V244" s="23"/>
      <c r="W244" s="23"/>
      <c r="X244" s="38"/>
      <c r="Y244" s="38"/>
      <c r="Z244" s="38"/>
      <c r="AA244" s="38"/>
    </row>
    <row r="245">
      <c r="A245" s="31"/>
      <c r="B245" s="38"/>
      <c r="C245" s="38"/>
      <c r="D245" s="50"/>
      <c r="E245" s="50"/>
      <c r="F245" s="50"/>
      <c r="G245" s="27" t="str">
        <f>VLOOKUP(E245,DropDown!J:K,2,FALSE)</f>
        <v>#N/A</v>
      </c>
      <c r="H245" s="50"/>
      <c r="I245" s="50"/>
      <c r="J245" s="50"/>
      <c r="K245" s="25" t="s">
        <v>116</v>
      </c>
      <c r="L245" s="23"/>
      <c r="M245" s="23"/>
      <c r="N245" s="25" t="str">
        <f>"("""&amp;B245&amp;""") ("&amp;Vlookup(E245,DropDown!J:N,5,FALSE)&amp;" OR """ &amp;YEAR(D245) &amp; """ OR ""All New"" OR Episode OR Watch OR tv OR Show OR Series OR season OR binge OR Stream OR Film OR Movie OR Premiere OR Screening OR Feature OR Trailer OR Teaser OR theater OR release)"</f>
        <v>#N/A</v>
      </c>
      <c r="O245" s="23" t="str">
        <f t="shared" si="1"/>
        <v>#</v>
      </c>
      <c r="P245" s="23" t="str">
        <f t="shared" si="2"/>
        <v>#</v>
      </c>
      <c r="Q245" s="23"/>
      <c r="R245" s="23" t="str">
        <f>"("""&amp;B245&amp;""") ("&amp;Vlookup(E245,DropDown!R:V,5,FALSE)&amp;IF(ISBLANK(D245)," | "," "&amp;"OR """&amp;YEAR(D245)&amp;""" | ") &amp; """All New"" | Episode | Watch | tv | Show | Series | season | binge | Stream | Film | Movie | Premiere | Screening | Feature | Trailer | Teaser | theater | release)"</f>
        <v>#N/A</v>
      </c>
      <c r="S245" s="23"/>
      <c r="T245" s="23"/>
      <c r="U245" s="23"/>
      <c r="V245" s="23"/>
      <c r="W245" s="23"/>
      <c r="X245" s="38"/>
      <c r="Y245" s="38"/>
      <c r="Z245" s="38"/>
      <c r="AA245" s="38"/>
    </row>
    <row r="246">
      <c r="A246" s="31"/>
      <c r="B246" s="38"/>
      <c r="C246" s="38"/>
      <c r="D246" s="50"/>
      <c r="E246" s="50"/>
      <c r="F246" s="50"/>
      <c r="G246" s="27" t="str">
        <f>VLOOKUP(E246,DropDown!J:K,2,FALSE)</f>
        <v>#N/A</v>
      </c>
      <c r="H246" s="50"/>
      <c r="I246" s="50"/>
      <c r="J246" s="50"/>
      <c r="K246" s="25" t="s">
        <v>116</v>
      </c>
      <c r="L246" s="23"/>
      <c r="M246" s="23"/>
      <c r="N246" s="25" t="str">
        <f>"("""&amp;B246&amp;""") ("&amp;Vlookup(E246,DropDown!J:N,5,FALSE)&amp;" OR """ &amp;YEAR(D246) &amp; """ OR ""All New"" OR Episode OR Watch OR tv OR Show OR Series OR season OR binge OR Stream OR Film OR Movie OR Premiere OR Screening OR Feature OR Trailer OR Teaser OR theater OR release)"</f>
        <v>#N/A</v>
      </c>
      <c r="O246" s="23" t="str">
        <f t="shared" si="1"/>
        <v>#</v>
      </c>
      <c r="P246" s="23" t="str">
        <f t="shared" si="2"/>
        <v>#</v>
      </c>
      <c r="Q246" s="23"/>
      <c r="R246" s="23" t="str">
        <f>"("""&amp;B246&amp;""") ("&amp;Vlookup(E246,DropDown!R:V,5,FALSE)&amp;IF(ISBLANK(D246)," | "," "&amp;"OR """&amp;YEAR(D246)&amp;""" | ") &amp; """All New"" | Episode | Watch | tv | Show | Series | season | binge | Stream | Film | Movie | Premiere | Screening | Feature | Trailer | Teaser | theater | release)"</f>
        <v>#N/A</v>
      </c>
      <c r="S246" s="23"/>
      <c r="T246" s="23"/>
      <c r="U246" s="23"/>
      <c r="V246" s="23"/>
      <c r="W246" s="23"/>
      <c r="X246" s="38"/>
      <c r="Y246" s="38"/>
      <c r="Z246" s="38"/>
      <c r="AA246" s="38"/>
    </row>
    <row r="247">
      <c r="A247" s="31"/>
      <c r="B247" s="38"/>
      <c r="C247" s="38"/>
      <c r="D247" s="50"/>
      <c r="E247" s="50"/>
      <c r="F247" s="50"/>
      <c r="G247" s="27" t="str">
        <f>VLOOKUP(E247,DropDown!J:K,2,FALSE)</f>
        <v>#N/A</v>
      </c>
      <c r="H247" s="50"/>
      <c r="I247" s="50"/>
      <c r="J247" s="50"/>
      <c r="K247" s="25" t="s">
        <v>116</v>
      </c>
      <c r="L247" s="23"/>
      <c r="M247" s="23"/>
      <c r="N247" s="25" t="str">
        <f>"("""&amp;B247&amp;""") ("&amp;Vlookup(E247,DropDown!J:N,5,FALSE)&amp;" OR """ &amp;YEAR(D247) &amp; """ OR ""All New"" OR Episode OR Watch OR tv OR Show OR Series OR season OR binge OR Stream OR Film OR Movie OR Premiere OR Screening OR Feature OR Trailer OR Teaser OR theater OR release)"</f>
        <v>#N/A</v>
      </c>
      <c r="O247" s="23" t="str">
        <f t="shared" si="1"/>
        <v>#</v>
      </c>
      <c r="P247" s="23" t="str">
        <f t="shared" si="2"/>
        <v>#</v>
      </c>
      <c r="Q247" s="23"/>
      <c r="R247" s="23" t="str">
        <f>"("""&amp;B247&amp;""") ("&amp;Vlookup(E247,DropDown!R:V,5,FALSE)&amp;IF(ISBLANK(D247)," | "," "&amp;"OR """&amp;YEAR(D247)&amp;""" | ") &amp; """All New"" | Episode | Watch | tv | Show | Series | season | binge | Stream | Film | Movie | Premiere | Screening | Feature | Trailer | Teaser | theater | release)"</f>
        <v>#N/A</v>
      </c>
      <c r="S247" s="23"/>
      <c r="T247" s="23"/>
      <c r="U247" s="23"/>
      <c r="V247" s="23"/>
      <c r="W247" s="23"/>
      <c r="X247" s="38"/>
      <c r="Y247" s="38"/>
      <c r="Z247" s="38"/>
      <c r="AA247" s="38"/>
    </row>
    <row r="248">
      <c r="A248" s="31"/>
      <c r="B248" s="38"/>
      <c r="C248" s="38"/>
      <c r="D248" s="50"/>
      <c r="E248" s="50"/>
      <c r="F248" s="50"/>
      <c r="G248" s="27" t="str">
        <f>VLOOKUP(E248,DropDown!J:K,2,FALSE)</f>
        <v>#N/A</v>
      </c>
      <c r="H248" s="50"/>
      <c r="I248" s="50"/>
      <c r="J248" s="50"/>
      <c r="K248" s="25" t="s">
        <v>116</v>
      </c>
      <c r="L248" s="23"/>
      <c r="M248" s="23"/>
      <c r="N248" s="25" t="str">
        <f>"("""&amp;B248&amp;""") ("&amp;Vlookup(E248,DropDown!J:N,5,FALSE)&amp;" OR """ &amp;YEAR(D248) &amp; """ OR ""All New"" OR Episode OR Watch OR tv OR Show OR Series OR season OR binge OR Stream OR Film OR Movie OR Premiere OR Screening OR Feature OR Trailer OR Teaser OR theater OR release)"</f>
        <v>#N/A</v>
      </c>
      <c r="O248" s="23" t="str">
        <f t="shared" si="1"/>
        <v>#</v>
      </c>
      <c r="P248" s="23" t="str">
        <f t="shared" si="2"/>
        <v>#</v>
      </c>
      <c r="Q248" s="23"/>
      <c r="R248" s="23" t="str">
        <f>"("""&amp;B248&amp;""") ("&amp;Vlookup(E248,DropDown!R:V,5,FALSE)&amp;IF(ISBLANK(D248)," | "," "&amp;"OR """&amp;YEAR(D248)&amp;""" | ") &amp; """All New"" | Episode | Watch | tv | Show | Series | season | binge | Stream | Film | Movie | Premiere | Screening | Feature | Trailer | Teaser | theater | release)"</f>
        <v>#N/A</v>
      </c>
      <c r="S248" s="23"/>
      <c r="T248" s="23"/>
      <c r="U248" s="23"/>
      <c r="V248" s="23"/>
      <c r="W248" s="23"/>
      <c r="X248" s="38"/>
      <c r="Y248" s="38"/>
      <c r="Z248" s="38"/>
      <c r="AA248" s="38"/>
    </row>
    <row r="249">
      <c r="A249" s="31"/>
      <c r="B249" s="38"/>
      <c r="C249" s="38"/>
      <c r="D249" s="50"/>
      <c r="E249" s="50"/>
      <c r="F249" s="50"/>
      <c r="G249" s="27" t="str">
        <f>VLOOKUP(E249,DropDown!J:K,2,FALSE)</f>
        <v>#N/A</v>
      </c>
      <c r="H249" s="50"/>
      <c r="I249" s="50"/>
      <c r="J249" s="50"/>
      <c r="K249" s="25" t="s">
        <v>116</v>
      </c>
      <c r="L249" s="23"/>
      <c r="M249" s="23"/>
      <c r="N249" s="25" t="str">
        <f>"("""&amp;B249&amp;""") ("&amp;Vlookup(E249,DropDown!J:N,5,FALSE)&amp;" OR """ &amp;YEAR(D249) &amp; """ OR ""All New"" OR Episode OR Watch OR tv OR Show OR Series OR season OR binge OR Stream OR Film OR Movie OR Premiere OR Screening OR Feature OR Trailer OR Teaser OR theater OR release)"</f>
        <v>#N/A</v>
      </c>
      <c r="O249" s="23" t="str">
        <f t="shared" si="1"/>
        <v>#</v>
      </c>
      <c r="P249" s="23" t="str">
        <f t="shared" si="2"/>
        <v>#</v>
      </c>
      <c r="Q249" s="23"/>
      <c r="R249" s="23" t="str">
        <f>"("""&amp;B249&amp;""") ("&amp;Vlookup(E249,DropDown!R:V,5,FALSE)&amp;IF(ISBLANK(D249)," | "," "&amp;"OR """&amp;YEAR(D249)&amp;""" | ") &amp; """All New"" | Episode | Watch | tv | Show | Series | season | binge | Stream | Film | Movie | Premiere | Screening | Feature | Trailer | Teaser | theater | release)"</f>
        <v>#N/A</v>
      </c>
      <c r="S249" s="23"/>
      <c r="T249" s="23"/>
      <c r="U249" s="23"/>
      <c r="V249" s="23"/>
      <c r="W249" s="23"/>
      <c r="X249" s="38"/>
      <c r="Y249" s="38"/>
      <c r="Z249" s="38"/>
      <c r="AA249" s="38"/>
    </row>
    <row r="250">
      <c r="A250" s="31"/>
      <c r="B250" s="38"/>
      <c r="C250" s="38"/>
      <c r="D250" s="50"/>
      <c r="E250" s="50"/>
      <c r="F250" s="50"/>
      <c r="G250" s="27" t="str">
        <f>VLOOKUP(E250,DropDown!J:K,2,FALSE)</f>
        <v>#N/A</v>
      </c>
      <c r="H250" s="50"/>
      <c r="I250" s="50"/>
      <c r="J250" s="50"/>
      <c r="K250" s="25" t="s">
        <v>116</v>
      </c>
      <c r="L250" s="23"/>
      <c r="M250" s="23"/>
      <c r="N250" s="25" t="str">
        <f>"("""&amp;B250&amp;""") ("&amp;Vlookup(E250,DropDown!J:N,5,FALSE)&amp;" OR """ &amp;YEAR(D250) &amp; """ OR ""All New"" OR Episode OR Watch OR tv OR Show OR Series OR season OR binge OR Stream OR Film OR Movie OR Premiere OR Screening OR Feature OR Trailer OR Teaser OR theater OR release)"</f>
        <v>#N/A</v>
      </c>
      <c r="O250" s="23" t="str">
        <f t="shared" si="1"/>
        <v>#</v>
      </c>
      <c r="P250" s="23" t="str">
        <f t="shared" si="2"/>
        <v>#</v>
      </c>
      <c r="Q250" s="23"/>
      <c r="R250" s="23" t="str">
        <f>"("""&amp;B250&amp;""") ("&amp;Vlookup(E250,DropDown!R:V,5,FALSE)&amp;IF(ISBLANK(D250)," | "," "&amp;"OR """&amp;YEAR(D250)&amp;""" | ") &amp; """All New"" | Episode | Watch | tv | Show | Series | season | binge | Stream | Film | Movie | Premiere | Screening | Feature | Trailer | Teaser | theater | release)"</f>
        <v>#N/A</v>
      </c>
      <c r="S250" s="23"/>
      <c r="T250" s="23"/>
      <c r="U250" s="23"/>
      <c r="V250" s="23"/>
      <c r="W250" s="23"/>
      <c r="X250" s="38"/>
      <c r="Y250" s="38"/>
      <c r="Z250" s="38"/>
      <c r="AA250" s="38"/>
    </row>
    <row r="251">
      <c r="A251" s="31"/>
      <c r="B251" s="38"/>
      <c r="C251" s="38"/>
      <c r="D251" s="50"/>
      <c r="E251" s="50"/>
      <c r="F251" s="50"/>
      <c r="G251" s="27" t="str">
        <f>VLOOKUP(E251,DropDown!J:K,2,FALSE)</f>
        <v>#N/A</v>
      </c>
      <c r="H251" s="50"/>
      <c r="I251" s="50"/>
      <c r="J251" s="50"/>
      <c r="K251" s="25" t="s">
        <v>116</v>
      </c>
      <c r="L251" s="23"/>
      <c r="M251" s="23"/>
      <c r="N251" s="25" t="str">
        <f>"("""&amp;B251&amp;""") ("&amp;Vlookup(E251,DropDown!J:N,5,FALSE)&amp;" OR """ &amp;YEAR(D251) &amp; """ OR ""All New"" OR Episode OR Watch OR tv OR Show OR Series OR season OR binge OR Stream OR Film OR Movie OR Premiere OR Screening OR Feature OR Trailer OR Teaser OR theater OR release)"</f>
        <v>#N/A</v>
      </c>
      <c r="O251" s="23" t="str">
        <f t="shared" si="1"/>
        <v>#</v>
      </c>
      <c r="P251" s="23" t="str">
        <f t="shared" si="2"/>
        <v>#</v>
      </c>
      <c r="Q251" s="23"/>
      <c r="R251" s="23" t="str">
        <f>"("""&amp;B251&amp;""") ("&amp;Vlookup(E251,DropDown!R:V,5,FALSE)&amp;IF(ISBLANK(D251)," | "," "&amp;"OR """&amp;YEAR(D251)&amp;""" | ") &amp; """All New"" | Episode | Watch | tv | Show | Series | season | binge | Stream | Film | Movie | Premiere | Screening | Feature | Trailer | Teaser | theater | release)"</f>
        <v>#N/A</v>
      </c>
      <c r="S251" s="23"/>
      <c r="T251" s="23"/>
      <c r="U251" s="23"/>
      <c r="V251" s="23"/>
      <c r="W251" s="23"/>
      <c r="X251" s="38"/>
      <c r="Y251" s="38"/>
      <c r="Z251" s="38"/>
      <c r="AA251" s="38"/>
    </row>
    <row r="252">
      <c r="A252" s="31"/>
      <c r="B252" s="38"/>
      <c r="C252" s="38"/>
      <c r="D252" s="50"/>
      <c r="E252" s="50"/>
      <c r="F252" s="50"/>
      <c r="G252" s="27" t="str">
        <f>VLOOKUP(E252,DropDown!J:K,2,FALSE)</f>
        <v>#N/A</v>
      </c>
      <c r="H252" s="50"/>
      <c r="I252" s="50"/>
      <c r="J252" s="50"/>
      <c r="K252" s="25" t="s">
        <v>116</v>
      </c>
      <c r="L252" s="23"/>
      <c r="M252" s="23"/>
      <c r="N252" s="25" t="str">
        <f>"("""&amp;B252&amp;""") ("&amp;Vlookup(E252,DropDown!J:N,5,FALSE)&amp;" OR """ &amp;YEAR(D252) &amp; """ OR ""All New"" OR Episode OR Watch OR tv OR Show OR Series OR season OR binge OR Stream OR Film OR Movie OR Premiere OR Screening OR Feature OR Trailer OR Teaser OR theater OR release)"</f>
        <v>#N/A</v>
      </c>
      <c r="O252" s="23" t="str">
        <f t="shared" si="1"/>
        <v>#</v>
      </c>
      <c r="P252" s="23" t="str">
        <f t="shared" si="2"/>
        <v>#</v>
      </c>
      <c r="Q252" s="23"/>
      <c r="R252" s="23" t="str">
        <f>"("""&amp;B252&amp;""") ("&amp;Vlookup(E252,DropDown!R:V,5,FALSE)&amp;IF(ISBLANK(D252)," | "," "&amp;"OR """&amp;YEAR(D252)&amp;""" | ") &amp; """All New"" | Episode | Watch | tv | Show | Series | season | binge | Stream | Film | Movie | Premiere | Screening | Feature | Trailer | Teaser | theater | release)"</f>
        <v>#N/A</v>
      </c>
      <c r="S252" s="23"/>
      <c r="T252" s="23"/>
      <c r="U252" s="23"/>
      <c r="V252" s="23"/>
      <c r="W252" s="23"/>
      <c r="X252" s="38"/>
      <c r="Y252" s="38"/>
      <c r="Z252" s="38"/>
      <c r="AA252" s="38"/>
    </row>
    <row r="253">
      <c r="A253" s="31"/>
      <c r="B253" s="38"/>
      <c r="C253" s="38"/>
      <c r="D253" s="50"/>
      <c r="E253" s="50"/>
      <c r="F253" s="50"/>
      <c r="G253" s="27" t="str">
        <f>VLOOKUP(E253,DropDown!J:K,2,FALSE)</f>
        <v>#N/A</v>
      </c>
      <c r="H253" s="50"/>
      <c r="I253" s="50"/>
      <c r="J253" s="50"/>
      <c r="K253" s="25" t="s">
        <v>116</v>
      </c>
      <c r="L253" s="23"/>
      <c r="M253" s="23"/>
      <c r="N253" s="25" t="str">
        <f>"("""&amp;B253&amp;""") ("&amp;Vlookup(E253,DropDown!J:N,5,FALSE)&amp;" OR """ &amp;YEAR(D253) &amp; """ OR ""All New"" OR Episode OR Watch OR tv OR Show OR Series OR season OR binge OR Stream OR Film OR Movie OR Premiere OR Screening OR Feature OR Trailer OR Teaser OR theater OR release)"</f>
        <v>#N/A</v>
      </c>
      <c r="O253" s="23" t="str">
        <f t="shared" si="1"/>
        <v>#</v>
      </c>
      <c r="P253" s="23" t="str">
        <f t="shared" si="2"/>
        <v>#</v>
      </c>
      <c r="Q253" s="23"/>
      <c r="R253" s="23" t="str">
        <f>"("""&amp;B253&amp;""") ("&amp;Vlookup(E253,DropDown!R:V,5,FALSE)&amp;IF(ISBLANK(D253)," | "," "&amp;"OR """&amp;YEAR(D253)&amp;""" | ") &amp; """All New"" | Episode | Watch | tv | Show | Series | season | binge | Stream | Film | Movie | Premiere | Screening | Feature | Trailer | Teaser | theater | release)"</f>
        <v>#N/A</v>
      </c>
      <c r="S253" s="23"/>
      <c r="T253" s="23"/>
      <c r="U253" s="23"/>
      <c r="V253" s="23"/>
      <c r="W253" s="23"/>
      <c r="X253" s="38"/>
      <c r="Y253" s="38"/>
      <c r="Z253" s="38"/>
      <c r="AA253" s="38"/>
    </row>
    <row r="254">
      <c r="A254" s="31"/>
      <c r="B254" s="38"/>
      <c r="C254" s="38"/>
      <c r="D254" s="50"/>
      <c r="E254" s="50"/>
      <c r="F254" s="50"/>
      <c r="G254" s="27" t="str">
        <f>VLOOKUP(E254,DropDown!J:K,2,FALSE)</f>
        <v>#N/A</v>
      </c>
      <c r="H254" s="50"/>
      <c r="I254" s="50"/>
      <c r="J254" s="50"/>
      <c r="K254" s="25" t="s">
        <v>116</v>
      </c>
      <c r="L254" s="23"/>
      <c r="M254" s="23"/>
      <c r="N254" s="25" t="str">
        <f>"("""&amp;B254&amp;""") ("&amp;Vlookup(E254,DropDown!J:N,5,FALSE)&amp;" OR """ &amp;YEAR(D254) &amp; """ OR ""All New"" OR Episode OR Watch OR tv OR Show OR Series OR season OR binge OR Stream OR Film OR Movie OR Premiere OR Screening OR Feature OR Trailer OR Teaser OR theater OR release)"</f>
        <v>#N/A</v>
      </c>
      <c r="O254" s="23" t="str">
        <f t="shared" si="1"/>
        <v>#</v>
      </c>
      <c r="P254" s="23" t="str">
        <f t="shared" si="2"/>
        <v>#</v>
      </c>
      <c r="Q254" s="23"/>
      <c r="R254" s="23" t="str">
        <f>"("""&amp;B254&amp;""") ("&amp;Vlookup(E254,DropDown!R:V,5,FALSE)&amp;IF(ISBLANK(D254)," | "," "&amp;"OR """&amp;YEAR(D254)&amp;""" | ") &amp; """All New"" | Episode | Watch | tv | Show | Series | season | binge | Stream | Film | Movie | Premiere | Screening | Feature | Trailer | Teaser | theater | release)"</f>
        <v>#N/A</v>
      </c>
      <c r="S254" s="23"/>
      <c r="T254" s="23"/>
      <c r="U254" s="23"/>
      <c r="V254" s="23"/>
      <c r="W254" s="23"/>
      <c r="X254" s="38"/>
      <c r="Y254" s="38"/>
      <c r="Z254" s="38"/>
      <c r="AA254" s="38"/>
    </row>
    <row r="255">
      <c r="A255" s="31"/>
      <c r="B255" s="38"/>
      <c r="C255" s="38"/>
      <c r="D255" s="50"/>
      <c r="E255" s="50"/>
      <c r="F255" s="50"/>
      <c r="G255" s="27" t="str">
        <f>VLOOKUP(E255,DropDown!J:K,2,FALSE)</f>
        <v>#N/A</v>
      </c>
      <c r="H255" s="50"/>
      <c r="I255" s="50"/>
      <c r="J255" s="50"/>
      <c r="K255" s="25" t="s">
        <v>116</v>
      </c>
      <c r="L255" s="23"/>
      <c r="M255" s="23"/>
      <c r="N255" s="25" t="str">
        <f>"("""&amp;B255&amp;""") ("&amp;Vlookup(E255,DropDown!J:N,5,FALSE)&amp;" OR """ &amp;YEAR(D255) &amp; """ OR ""All New"" OR Episode OR Watch OR tv OR Show OR Series OR season OR binge OR Stream OR Film OR Movie OR Premiere OR Screening OR Feature OR Trailer OR Teaser OR theater OR release)"</f>
        <v>#N/A</v>
      </c>
      <c r="O255" s="23" t="str">
        <f t="shared" si="1"/>
        <v>#</v>
      </c>
      <c r="P255" s="23" t="str">
        <f t="shared" si="2"/>
        <v>#</v>
      </c>
      <c r="Q255" s="23"/>
      <c r="R255" s="23" t="str">
        <f>"("""&amp;B255&amp;""") ("&amp;Vlookup(E255,DropDown!R:V,5,FALSE)&amp;IF(ISBLANK(D255)," | "," "&amp;"OR """&amp;YEAR(D255)&amp;""" | ") &amp; """All New"" | Episode | Watch | tv | Show | Series | season | binge | Stream | Film | Movie | Premiere | Screening | Feature | Trailer | Teaser | theater | release)"</f>
        <v>#N/A</v>
      </c>
      <c r="S255" s="23"/>
      <c r="T255" s="23"/>
      <c r="U255" s="23"/>
      <c r="V255" s="23"/>
      <c r="W255" s="23"/>
      <c r="X255" s="38"/>
      <c r="Y255" s="38"/>
      <c r="Z255" s="38"/>
      <c r="AA255" s="38"/>
    </row>
    <row r="256">
      <c r="A256" s="31"/>
      <c r="B256" s="38"/>
      <c r="C256" s="38"/>
      <c r="D256" s="50"/>
      <c r="E256" s="50"/>
      <c r="F256" s="50"/>
      <c r="G256" s="27" t="str">
        <f>VLOOKUP(E256,DropDown!J:K,2,FALSE)</f>
        <v>#N/A</v>
      </c>
      <c r="H256" s="50"/>
      <c r="I256" s="50"/>
      <c r="J256" s="50"/>
      <c r="K256" s="25" t="s">
        <v>116</v>
      </c>
      <c r="L256" s="23"/>
      <c r="M256" s="23"/>
      <c r="N256" s="25" t="str">
        <f>"("""&amp;B256&amp;""") ("&amp;Vlookup(E256,DropDown!J:N,5,FALSE)&amp;" OR """ &amp;YEAR(D256) &amp; """ OR ""All New"" OR Episode OR Watch OR tv OR Show OR Series OR season OR binge OR Stream OR Film OR Movie OR Premiere OR Screening OR Feature OR Trailer OR Teaser OR theater OR release)"</f>
        <v>#N/A</v>
      </c>
      <c r="O256" s="23" t="str">
        <f t="shared" si="1"/>
        <v>#</v>
      </c>
      <c r="P256" s="23" t="str">
        <f t="shared" si="2"/>
        <v>#</v>
      </c>
      <c r="Q256" s="23"/>
      <c r="R256" s="23" t="str">
        <f>"("""&amp;B256&amp;""") ("&amp;Vlookup(E256,DropDown!R:V,5,FALSE)&amp;IF(ISBLANK(D256)," | "," "&amp;"OR """&amp;YEAR(D256)&amp;""" | ") &amp; """All New"" | Episode | Watch | tv | Show | Series | season | binge | Stream | Film | Movie | Premiere | Screening | Feature | Trailer | Teaser | theater | release)"</f>
        <v>#N/A</v>
      </c>
      <c r="S256" s="23"/>
      <c r="T256" s="23"/>
      <c r="U256" s="23"/>
      <c r="V256" s="23"/>
      <c r="W256" s="23"/>
      <c r="X256" s="38"/>
      <c r="Y256" s="38"/>
      <c r="Z256" s="38"/>
      <c r="AA256" s="38"/>
    </row>
    <row r="257">
      <c r="A257" s="31"/>
      <c r="B257" s="38"/>
      <c r="C257" s="38"/>
      <c r="D257" s="50"/>
      <c r="E257" s="50"/>
      <c r="F257" s="50"/>
      <c r="G257" s="27" t="str">
        <f>VLOOKUP(E257,DropDown!J:K,2,FALSE)</f>
        <v>#N/A</v>
      </c>
      <c r="H257" s="50"/>
      <c r="I257" s="50"/>
      <c r="J257" s="50"/>
      <c r="K257" s="25" t="s">
        <v>116</v>
      </c>
      <c r="L257" s="23"/>
      <c r="M257" s="23"/>
      <c r="N257" s="25" t="str">
        <f>"("""&amp;B257&amp;""") ("&amp;Vlookup(E257,DropDown!J:N,5,FALSE)&amp;" OR """ &amp;YEAR(D257) &amp; """ OR ""All New"" OR Episode OR Watch OR tv OR Show OR Series OR season OR binge OR Stream OR Film OR Movie OR Premiere OR Screening OR Feature OR Trailer OR Teaser OR theater OR release)"</f>
        <v>#N/A</v>
      </c>
      <c r="O257" s="23" t="str">
        <f t="shared" si="1"/>
        <v>#</v>
      </c>
      <c r="P257" s="23" t="str">
        <f t="shared" si="2"/>
        <v>#</v>
      </c>
      <c r="Q257" s="23"/>
      <c r="R257" s="23" t="str">
        <f>"("""&amp;B257&amp;""") ("&amp;Vlookup(E257,DropDown!R:V,5,FALSE)&amp;IF(ISBLANK(D257)," | "," "&amp;"OR """&amp;YEAR(D257)&amp;""" | ") &amp; """All New"" | Episode | Watch | tv | Show | Series | season | binge | Stream | Film | Movie | Premiere | Screening | Feature | Trailer | Teaser | theater | release)"</f>
        <v>#N/A</v>
      </c>
      <c r="S257" s="23"/>
      <c r="T257" s="23"/>
      <c r="U257" s="23"/>
      <c r="V257" s="23"/>
      <c r="W257" s="23"/>
      <c r="X257" s="38"/>
      <c r="Y257" s="38"/>
      <c r="Z257" s="38"/>
      <c r="AA257" s="38"/>
    </row>
    <row r="258">
      <c r="A258" s="31"/>
      <c r="B258" s="38"/>
      <c r="C258" s="38"/>
      <c r="D258" s="50"/>
      <c r="E258" s="50"/>
      <c r="F258" s="50"/>
      <c r="G258" s="27" t="str">
        <f>VLOOKUP(E258,DropDown!J:K,2,FALSE)</f>
        <v>#N/A</v>
      </c>
      <c r="H258" s="50"/>
      <c r="I258" s="50"/>
      <c r="J258" s="50"/>
      <c r="K258" s="25" t="s">
        <v>116</v>
      </c>
      <c r="L258" s="23"/>
      <c r="M258" s="23"/>
      <c r="N258" s="25" t="str">
        <f>"("""&amp;B258&amp;""") ("&amp;Vlookup(E258,DropDown!J:N,5,FALSE)&amp;" OR """ &amp;YEAR(D258) &amp; """ OR ""All New"" OR Episode OR Watch OR tv OR Show OR Series OR season OR binge OR Stream OR Film OR Movie OR Premiere OR Screening OR Feature OR Trailer OR Teaser OR theater OR release)"</f>
        <v>#N/A</v>
      </c>
      <c r="O258" s="23" t="str">
        <f t="shared" si="1"/>
        <v>#</v>
      </c>
      <c r="P258" s="23" t="str">
        <f t="shared" si="2"/>
        <v>#</v>
      </c>
      <c r="Q258" s="23"/>
      <c r="R258" s="23" t="str">
        <f>"("""&amp;B258&amp;""") ("&amp;Vlookup(E258,DropDown!R:V,5,FALSE)&amp;IF(ISBLANK(D258)," | "," "&amp;"OR """&amp;YEAR(D258)&amp;""" | ") &amp; """All New"" | Episode | Watch | tv | Show | Series | season | binge | Stream | Film | Movie | Premiere | Screening | Feature | Trailer | Teaser | theater | release)"</f>
        <v>#N/A</v>
      </c>
      <c r="S258" s="23"/>
      <c r="T258" s="23"/>
      <c r="U258" s="23"/>
      <c r="V258" s="23"/>
      <c r="W258" s="23"/>
      <c r="X258" s="38"/>
      <c r="Y258" s="38"/>
      <c r="Z258" s="38"/>
      <c r="AA258" s="38"/>
    </row>
    <row r="259">
      <c r="A259" s="31"/>
      <c r="B259" s="38"/>
      <c r="C259" s="38"/>
      <c r="D259" s="50"/>
      <c r="E259" s="50"/>
      <c r="F259" s="50"/>
      <c r="G259" s="27" t="str">
        <f>VLOOKUP(E259,DropDown!J:K,2,FALSE)</f>
        <v>#N/A</v>
      </c>
      <c r="H259" s="50"/>
      <c r="I259" s="50"/>
      <c r="J259" s="50"/>
      <c r="K259" s="25" t="s">
        <v>116</v>
      </c>
      <c r="L259" s="23"/>
      <c r="M259" s="23"/>
      <c r="N259" s="25" t="str">
        <f>"("""&amp;B259&amp;""") ("&amp;Vlookup(E259,DropDown!J:N,5,FALSE)&amp;" OR """ &amp;YEAR(D259) &amp; """ OR ""All New"" OR Episode OR Watch OR tv OR Show OR Series OR season OR binge OR Stream OR Film OR Movie OR Premiere OR Screening OR Feature OR Trailer OR Teaser OR theater OR release)"</f>
        <v>#N/A</v>
      </c>
      <c r="O259" s="23" t="str">
        <f t="shared" si="1"/>
        <v>#</v>
      </c>
      <c r="P259" s="23" t="str">
        <f t="shared" si="2"/>
        <v>#</v>
      </c>
      <c r="Q259" s="23"/>
      <c r="R259" s="23" t="str">
        <f>"("""&amp;B259&amp;""") ("&amp;Vlookup(E259,DropDown!R:V,5,FALSE)&amp;IF(ISBLANK(D259)," | "," "&amp;"OR """&amp;YEAR(D259)&amp;""" | ") &amp; """All New"" | Episode | Watch | tv | Show | Series | season | binge | Stream | Film | Movie | Premiere | Screening | Feature | Trailer | Teaser | theater | release)"</f>
        <v>#N/A</v>
      </c>
      <c r="S259" s="23"/>
      <c r="T259" s="23"/>
      <c r="U259" s="23"/>
      <c r="V259" s="23"/>
      <c r="W259" s="23"/>
      <c r="X259" s="38"/>
      <c r="Y259" s="38"/>
      <c r="Z259" s="38"/>
      <c r="AA259" s="38"/>
    </row>
    <row r="260">
      <c r="A260" s="31"/>
      <c r="B260" s="38"/>
      <c r="C260" s="38"/>
      <c r="D260" s="50"/>
      <c r="E260" s="50"/>
      <c r="F260" s="50"/>
      <c r="G260" s="27" t="str">
        <f>VLOOKUP(E260,DropDown!J:K,2,FALSE)</f>
        <v>#N/A</v>
      </c>
      <c r="H260" s="50"/>
      <c r="I260" s="50"/>
      <c r="J260" s="50"/>
      <c r="K260" s="25" t="s">
        <v>116</v>
      </c>
      <c r="L260" s="23"/>
      <c r="M260" s="23"/>
      <c r="N260" s="25" t="str">
        <f>"("""&amp;B260&amp;""") ("&amp;Vlookup(E260,DropDown!J:N,5,FALSE)&amp;" OR """ &amp;YEAR(D260) &amp; """ OR ""All New"" OR Episode OR Watch OR tv OR Show OR Series OR season OR binge OR Stream OR Film OR Movie OR Premiere OR Screening OR Feature OR Trailer OR Teaser OR theater OR release)"</f>
        <v>#N/A</v>
      </c>
      <c r="O260" s="23" t="str">
        <f t="shared" si="1"/>
        <v>#</v>
      </c>
      <c r="P260" s="23" t="str">
        <f t="shared" si="2"/>
        <v>#</v>
      </c>
      <c r="Q260" s="23"/>
      <c r="R260" s="23" t="str">
        <f>"("""&amp;B260&amp;""") ("&amp;Vlookup(E260,DropDown!R:V,5,FALSE)&amp;IF(ISBLANK(D260)," | "," "&amp;"OR """&amp;YEAR(D260)&amp;""" | ") &amp; """All New"" | Episode | Watch | tv | Show | Series | season | binge | Stream | Film | Movie | Premiere | Screening | Feature | Trailer | Teaser | theater | release)"</f>
        <v>#N/A</v>
      </c>
      <c r="S260" s="23"/>
      <c r="T260" s="23"/>
      <c r="U260" s="23"/>
      <c r="V260" s="23"/>
      <c r="W260" s="23"/>
      <c r="X260" s="38"/>
      <c r="Y260" s="38"/>
      <c r="Z260" s="38"/>
      <c r="AA260" s="38"/>
    </row>
    <row r="261">
      <c r="A261" s="31"/>
      <c r="B261" s="38"/>
      <c r="C261" s="38"/>
      <c r="D261" s="50"/>
      <c r="E261" s="50"/>
      <c r="F261" s="50"/>
      <c r="G261" s="27" t="str">
        <f>VLOOKUP(E261,DropDown!J:K,2,FALSE)</f>
        <v>#N/A</v>
      </c>
      <c r="H261" s="50"/>
      <c r="I261" s="50"/>
      <c r="J261" s="50"/>
      <c r="K261" s="25" t="s">
        <v>116</v>
      </c>
      <c r="L261" s="23"/>
      <c r="M261" s="23"/>
      <c r="N261" s="25" t="str">
        <f>"("""&amp;B261&amp;""") ("&amp;Vlookup(E261,DropDown!J:N,5,FALSE)&amp;" OR """ &amp;YEAR(D261) &amp; """ OR ""All New"" OR Episode OR Watch OR tv OR Show OR Series OR season OR binge OR Stream OR Film OR Movie OR Premiere OR Screening OR Feature OR Trailer OR Teaser OR theater OR release)"</f>
        <v>#N/A</v>
      </c>
      <c r="O261" s="23" t="str">
        <f t="shared" si="1"/>
        <v>#</v>
      </c>
      <c r="P261" s="23" t="str">
        <f t="shared" si="2"/>
        <v>#</v>
      </c>
      <c r="Q261" s="23"/>
      <c r="R261" s="23" t="str">
        <f>"("""&amp;B261&amp;""") ("&amp;Vlookup(E261,DropDown!R:V,5,FALSE)&amp;IF(ISBLANK(D261)," | "," "&amp;"OR """&amp;YEAR(D261)&amp;""" | ") &amp; """All New"" | Episode | Watch | tv | Show | Series | season | binge | Stream | Film | Movie | Premiere | Screening | Feature | Trailer | Teaser | theater | release)"</f>
        <v>#N/A</v>
      </c>
      <c r="S261" s="23"/>
      <c r="T261" s="23"/>
      <c r="U261" s="23"/>
      <c r="V261" s="23"/>
      <c r="W261" s="23"/>
      <c r="X261" s="38"/>
      <c r="Y261" s="38"/>
      <c r="Z261" s="38"/>
      <c r="AA261" s="38"/>
    </row>
    <row r="262">
      <c r="A262" s="31"/>
      <c r="B262" s="38"/>
      <c r="C262" s="38"/>
      <c r="D262" s="50"/>
      <c r="E262" s="50"/>
      <c r="F262" s="50"/>
      <c r="G262" s="27" t="str">
        <f>VLOOKUP(E262,DropDown!J:K,2,FALSE)</f>
        <v>#N/A</v>
      </c>
      <c r="H262" s="50"/>
      <c r="I262" s="50"/>
      <c r="J262" s="50"/>
      <c r="K262" s="25" t="s">
        <v>116</v>
      </c>
      <c r="L262" s="23"/>
      <c r="M262" s="23"/>
      <c r="N262" s="25" t="str">
        <f>"("""&amp;B262&amp;""") ("&amp;Vlookup(E262,DropDown!J:N,5,FALSE)&amp;" OR """ &amp;YEAR(D262) &amp; """ OR ""All New"" OR Episode OR Watch OR tv OR Show OR Series OR season OR binge OR Stream OR Film OR Movie OR Premiere OR Screening OR Feature OR Trailer OR Teaser OR theater OR release)"</f>
        <v>#N/A</v>
      </c>
      <c r="O262" s="23" t="str">
        <f t="shared" si="1"/>
        <v>#</v>
      </c>
      <c r="P262" s="23" t="str">
        <f t="shared" si="2"/>
        <v>#</v>
      </c>
      <c r="Q262" s="23"/>
      <c r="R262" s="23" t="str">
        <f>"("""&amp;B262&amp;""") ("&amp;Vlookup(E262,DropDown!R:V,5,FALSE)&amp;IF(ISBLANK(D262)," | "," "&amp;"OR """&amp;YEAR(D262)&amp;""" | ") &amp; """All New"" | Episode | Watch | tv | Show | Series | season | binge | Stream | Film | Movie | Premiere | Screening | Feature | Trailer | Teaser | theater | release)"</f>
        <v>#N/A</v>
      </c>
      <c r="S262" s="23"/>
      <c r="T262" s="23"/>
      <c r="U262" s="23"/>
      <c r="V262" s="23"/>
      <c r="W262" s="23"/>
      <c r="X262" s="38"/>
      <c r="Y262" s="38"/>
      <c r="Z262" s="38"/>
      <c r="AA262" s="38"/>
    </row>
    <row r="263">
      <c r="A263" s="31"/>
      <c r="B263" s="38"/>
      <c r="C263" s="38"/>
      <c r="D263" s="50"/>
      <c r="E263" s="50"/>
      <c r="F263" s="50"/>
      <c r="G263" s="27" t="str">
        <f>VLOOKUP(E263,DropDown!J:K,2,FALSE)</f>
        <v>#N/A</v>
      </c>
      <c r="H263" s="50"/>
      <c r="I263" s="50"/>
      <c r="J263" s="50"/>
      <c r="K263" s="25" t="s">
        <v>116</v>
      </c>
      <c r="L263" s="23"/>
      <c r="M263" s="23"/>
      <c r="N263" s="25" t="str">
        <f>"("""&amp;B263&amp;""") ("&amp;Vlookup(E263,DropDown!J:N,5,FALSE)&amp;" OR """ &amp;YEAR(D263) &amp; """ OR ""All New"" OR Episode OR Watch OR tv OR Show OR Series OR season OR binge OR Stream OR Film OR Movie OR Premiere OR Screening OR Feature OR Trailer OR Teaser OR theater OR release)"</f>
        <v>#N/A</v>
      </c>
      <c r="O263" s="23" t="str">
        <f t="shared" si="1"/>
        <v>#</v>
      </c>
      <c r="P263" s="23" t="str">
        <f t="shared" si="2"/>
        <v>#</v>
      </c>
      <c r="Q263" s="23"/>
      <c r="R263" s="23" t="str">
        <f>"("""&amp;B263&amp;""") ("&amp;Vlookup(E263,DropDown!R:V,5,FALSE)&amp;IF(ISBLANK(D263)," | "," "&amp;"OR """&amp;YEAR(D263)&amp;""" | ") &amp; """All New"" | Episode | Watch | tv | Show | Series | season | binge | Stream | Film | Movie | Premiere | Screening | Feature | Trailer | Teaser | theater | release)"</f>
        <v>#N/A</v>
      </c>
      <c r="S263" s="23"/>
      <c r="T263" s="23"/>
      <c r="U263" s="23"/>
      <c r="V263" s="23"/>
      <c r="W263" s="23"/>
      <c r="X263" s="38"/>
      <c r="Y263" s="38"/>
      <c r="Z263" s="38"/>
      <c r="AA263" s="38"/>
    </row>
    <row r="264">
      <c r="A264" s="31"/>
      <c r="B264" s="38"/>
      <c r="C264" s="38"/>
      <c r="D264" s="50"/>
      <c r="E264" s="50"/>
      <c r="F264" s="50"/>
      <c r="G264" s="27" t="str">
        <f>VLOOKUP(E264,DropDown!J:K,2,FALSE)</f>
        <v>#N/A</v>
      </c>
      <c r="H264" s="50"/>
      <c r="I264" s="50"/>
      <c r="J264" s="50"/>
      <c r="K264" s="25" t="s">
        <v>116</v>
      </c>
      <c r="L264" s="23"/>
      <c r="M264" s="23"/>
      <c r="N264" s="25" t="str">
        <f>"("""&amp;B264&amp;""") ("&amp;Vlookup(E264,DropDown!J:N,5,FALSE)&amp;" OR """ &amp;YEAR(D264) &amp; """ OR ""All New"" OR Episode OR Watch OR tv OR Show OR Series OR season OR binge OR Stream OR Film OR Movie OR Premiere OR Screening OR Feature OR Trailer OR Teaser OR theater OR release)"</f>
        <v>#N/A</v>
      </c>
      <c r="O264" s="23" t="str">
        <f t="shared" si="1"/>
        <v>#</v>
      </c>
      <c r="P264" s="23" t="str">
        <f t="shared" si="2"/>
        <v>#</v>
      </c>
      <c r="Q264" s="23"/>
      <c r="R264" s="23" t="str">
        <f>"("""&amp;B264&amp;""") ("&amp;Vlookup(E264,DropDown!R:V,5,FALSE)&amp;IF(ISBLANK(D264)," | "," "&amp;"OR """&amp;YEAR(D264)&amp;""" | ") &amp; """All New"" | Episode | Watch | tv | Show | Series | season | binge | Stream | Film | Movie | Premiere | Screening | Feature | Trailer | Teaser | theater | release)"</f>
        <v>#N/A</v>
      </c>
      <c r="S264" s="23"/>
      <c r="T264" s="23"/>
      <c r="U264" s="23"/>
      <c r="V264" s="23"/>
      <c r="W264" s="23"/>
      <c r="X264" s="38"/>
      <c r="Y264" s="38"/>
      <c r="Z264" s="38"/>
      <c r="AA264" s="38"/>
    </row>
    <row r="265">
      <c r="A265" s="31"/>
      <c r="B265" s="38"/>
      <c r="C265" s="38"/>
      <c r="D265" s="50"/>
      <c r="E265" s="50"/>
      <c r="F265" s="50"/>
      <c r="G265" s="27" t="str">
        <f>VLOOKUP(E265,DropDown!J:K,2,FALSE)</f>
        <v>#N/A</v>
      </c>
      <c r="H265" s="50"/>
      <c r="I265" s="50"/>
      <c r="J265" s="50"/>
      <c r="K265" s="25" t="s">
        <v>116</v>
      </c>
      <c r="L265" s="23"/>
      <c r="M265" s="23"/>
      <c r="N265" s="25" t="str">
        <f>"("""&amp;B265&amp;""") ("&amp;Vlookup(E265,DropDown!J:N,5,FALSE)&amp;" OR """ &amp;YEAR(D265) &amp; """ OR ""All New"" OR Episode OR Watch OR tv OR Show OR Series OR season OR binge OR Stream OR Film OR Movie OR Premiere OR Screening OR Feature OR Trailer OR Teaser OR theater OR release)"</f>
        <v>#N/A</v>
      </c>
      <c r="O265" s="23" t="str">
        <f t="shared" si="1"/>
        <v>#</v>
      </c>
      <c r="P265" s="23" t="str">
        <f t="shared" si="2"/>
        <v>#</v>
      </c>
      <c r="Q265" s="23"/>
      <c r="R265" s="23" t="str">
        <f>"("""&amp;B265&amp;""") ("&amp;Vlookup(E265,DropDown!R:V,5,FALSE)&amp;IF(ISBLANK(D265)," | "," "&amp;"OR """&amp;YEAR(D265)&amp;""" | ") &amp; """All New"" | Episode | Watch | tv | Show | Series | season | binge | Stream | Film | Movie | Premiere | Screening | Feature | Trailer | Teaser | theater | release)"</f>
        <v>#N/A</v>
      </c>
      <c r="S265" s="23"/>
      <c r="T265" s="23"/>
      <c r="U265" s="23"/>
      <c r="V265" s="23"/>
      <c r="W265" s="23"/>
      <c r="X265" s="38"/>
      <c r="Y265" s="38"/>
      <c r="Z265" s="38"/>
      <c r="AA265" s="38"/>
    </row>
    <row r="266">
      <c r="A266" s="31"/>
      <c r="B266" s="38"/>
      <c r="C266" s="38"/>
      <c r="D266" s="50"/>
      <c r="E266" s="50"/>
      <c r="F266" s="50"/>
      <c r="G266" s="27" t="str">
        <f>VLOOKUP(E266,DropDown!J:K,2,FALSE)</f>
        <v>#N/A</v>
      </c>
      <c r="H266" s="50"/>
      <c r="I266" s="50"/>
      <c r="J266" s="50"/>
      <c r="K266" s="25" t="s">
        <v>116</v>
      </c>
      <c r="L266" s="23"/>
      <c r="M266" s="23"/>
      <c r="N266" s="25" t="str">
        <f>"("""&amp;B266&amp;""") ("&amp;Vlookup(E266,DropDown!J:N,5,FALSE)&amp;" OR """ &amp;YEAR(D266) &amp; """ OR ""All New"" OR Episode OR Watch OR tv OR Show OR Series OR season OR binge OR Stream OR Film OR Movie OR Premiere OR Screening OR Feature OR Trailer OR Teaser OR theater OR release)"</f>
        <v>#N/A</v>
      </c>
      <c r="O266" s="23" t="str">
        <f t="shared" si="1"/>
        <v>#</v>
      </c>
      <c r="P266" s="23" t="str">
        <f t="shared" si="2"/>
        <v>#</v>
      </c>
      <c r="Q266" s="23"/>
      <c r="R266" s="23" t="str">
        <f>"("""&amp;B266&amp;""") ("&amp;Vlookup(E266,DropDown!R:V,5,FALSE)&amp;IF(ISBLANK(D266)," | "," "&amp;"OR """&amp;YEAR(D266)&amp;""" | ") &amp; """All New"" | Episode | Watch | tv | Show | Series | season | binge | Stream | Film | Movie | Premiere | Screening | Feature | Trailer | Teaser | theater | release)"</f>
        <v>#N/A</v>
      </c>
      <c r="S266" s="23"/>
      <c r="T266" s="23"/>
      <c r="U266" s="23"/>
      <c r="V266" s="23"/>
      <c r="W266" s="23"/>
      <c r="X266" s="38"/>
      <c r="Y266" s="38"/>
      <c r="Z266" s="38"/>
      <c r="AA266" s="38"/>
    </row>
    <row r="267">
      <c r="A267" s="31"/>
      <c r="B267" s="38"/>
      <c r="C267" s="38"/>
      <c r="D267" s="50"/>
      <c r="E267" s="50"/>
      <c r="F267" s="50"/>
      <c r="G267" s="27" t="str">
        <f>VLOOKUP(E267,DropDown!J:K,2,FALSE)</f>
        <v>#N/A</v>
      </c>
      <c r="H267" s="50"/>
      <c r="I267" s="50"/>
      <c r="J267" s="50"/>
      <c r="K267" s="25" t="s">
        <v>116</v>
      </c>
      <c r="L267" s="23"/>
      <c r="M267" s="23"/>
      <c r="N267" s="25" t="str">
        <f>"("""&amp;B267&amp;""") ("&amp;Vlookup(E267,DropDown!J:N,5,FALSE)&amp;" OR """ &amp;YEAR(D267) &amp; """ OR ""All New"" OR Episode OR Watch OR tv OR Show OR Series OR season OR binge OR Stream OR Film OR Movie OR Premiere OR Screening OR Feature OR Trailer OR Teaser OR theater OR release)"</f>
        <v>#N/A</v>
      </c>
      <c r="O267" s="23" t="str">
        <f t="shared" si="1"/>
        <v>#</v>
      </c>
      <c r="P267" s="23" t="str">
        <f t="shared" si="2"/>
        <v>#</v>
      </c>
      <c r="Q267" s="23"/>
      <c r="R267" s="23" t="str">
        <f>"("""&amp;B267&amp;""") ("&amp;Vlookup(E267,DropDown!R:V,5,FALSE)&amp;IF(ISBLANK(D267)," | "," "&amp;"OR """&amp;YEAR(D267)&amp;""" | ") &amp; """All New"" | Episode | Watch | tv | Show | Series | season | binge | Stream | Film | Movie | Premiere | Screening | Feature | Trailer | Teaser | theater | release)"</f>
        <v>#N/A</v>
      </c>
      <c r="S267" s="23"/>
      <c r="T267" s="23"/>
      <c r="U267" s="23"/>
      <c r="V267" s="23"/>
      <c r="W267" s="23"/>
      <c r="X267" s="38"/>
      <c r="Y267" s="38"/>
      <c r="Z267" s="38"/>
      <c r="AA267" s="38"/>
    </row>
    <row r="268">
      <c r="A268" s="31"/>
      <c r="B268" s="38"/>
      <c r="C268" s="38"/>
      <c r="D268" s="50"/>
      <c r="E268" s="50"/>
      <c r="F268" s="50"/>
      <c r="G268" s="27" t="str">
        <f>VLOOKUP(E268,DropDown!J:K,2,FALSE)</f>
        <v>#N/A</v>
      </c>
      <c r="H268" s="50"/>
      <c r="I268" s="50"/>
      <c r="J268" s="50"/>
      <c r="K268" s="25" t="s">
        <v>116</v>
      </c>
      <c r="L268" s="23"/>
      <c r="M268" s="23"/>
      <c r="N268" s="25" t="str">
        <f>"("""&amp;B268&amp;""") ("&amp;Vlookup(E268,DropDown!J:N,5,FALSE)&amp;" OR """ &amp;YEAR(D268) &amp; """ OR ""All New"" OR Episode OR Watch OR tv OR Show OR Series OR season OR binge OR Stream OR Film OR Movie OR Premiere OR Screening OR Feature OR Trailer OR Teaser OR theater OR release)"</f>
        <v>#N/A</v>
      </c>
      <c r="O268" s="23" t="str">
        <f t="shared" si="1"/>
        <v>#</v>
      </c>
      <c r="P268" s="23" t="str">
        <f t="shared" si="2"/>
        <v>#</v>
      </c>
      <c r="Q268" s="23"/>
      <c r="R268" s="23" t="str">
        <f>"("""&amp;B268&amp;""") ("&amp;Vlookup(E268,DropDown!R:V,5,FALSE)&amp;IF(ISBLANK(D268)," | "," "&amp;"OR """&amp;YEAR(D268)&amp;""" | ") &amp; """All New"" | Episode | Watch | tv | Show | Series | season | binge | Stream | Film | Movie | Premiere | Screening | Feature | Trailer | Teaser | theater | release)"</f>
        <v>#N/A</v>
      </c>
      <c r="S268" s="23"/>
      <c r="T268" s="23"/>
      <c r="U268" s="23"/>
      <c r="V268" s="23"/>
      <c r="W268" s="23"/>
      <c r="X268" s="38"/>
      <c r="Y268" s="38"/>
      <c r="Z268" s="38"/>
      <c r="AA268" s="38"/>
    </row>
    <row r="269">
      <c r="A269" s="31"/>
      <c r="B269" s="38"/>
      <c r="C269" s="38"/>
      <c r="D269" s="50"/>
      <c r="E269" s="50"/>
      <c r="F269" s="50"/>
      <c r="G269" s="27" t="str">
        <f>VLOOKUP(E269,DropDown!J:K,2,FALSE)</f>
        <v>#N/A</v>
      </c>
      <c r="H269" s="50"/>
      <c r="I269" s="50"/>
      <c r="J269" s="50"/>
      <c r="K269" s="25" t="s">
        <v>116</v>
      </c>
      <c r="L269" s="23"/>
      <c r="M269" s="23"/>
      <c r="N269" s="25" t="str">
        <f>"("""&amp;B269&amp;""") ("&amp;Vlookup(E269,DropDown!J:N,5,FALSE)&amp;" OR """ &amp;YEAR(D269) &amp; """ OR ""All New"" OR Episode OR Watch OR tv OR Show OR Series OR season OR binge OR Stream OR Film OR Movie OR Premiere OR Screening OR Feature OR Trailer OR Teaser OR theater OR release)"</f>
        <v>#N/A</v>
      </c>
      <c r="O269" s="23" t="str">
        <f t="shared" si="1"/>
        <v>#</v>
      </c>
      <c r="P269" s="23" t="str">
        <f t="shared" si="2"/>
        <v>#</v>
      </c>
      <c r="Q269" s="23"/>
      <c r="R269" s="23" t="str">
        <f>"("""&amp;B269&amp;""") ("&amp;Vlookup(E269,DropDown!R:V,5,FALSE)&amp;IF(ISBLANK(D269)," | "," "&amp;"OR """&amp;YEAR(D269)&amp;""" | ") &amp; """All New"" | Episode | Watch | tv | Show | Series | season | binge | Stream | Film | Movie | Premiere | Screening | Feature | Trailer | Teaser | theater | release)"</f>
        <v>#N/A</v>
      </c>
      <c r="S269" s="23"/>
      <c r="T269" s="23"/>
      <c r="U269" s="23"/>
      <c r="V269" s="23"/>
      <c r="W269" s="23"/>
      <c r="X269" s="38"/>
      <c r="Y269" s="38"/>
      <c r="Z269" s="38"/>
      <c r="AA269" s="38"/>
    </row>
    <row r="270">
      <c r="A270" s="31"/>
      <c r="B270" s="38"/>
      <c r="C270" s="38"/>
      <c r="D270" s="50"/>
      <c r="E270" s="50"/>
      <c r="F270" s="50"/>
      <c r="G270" s="27" t="str">
        <f>VLOOKUP(E270,DropDown!J:K,2,FALSE)</f>
        <v>#N/A</v>
      </c>
      <c r="H270" s="50"/>
      <c r="I270" s="50"/>
      <c r="J270" s="50"/>
      <c r="K270" s="25" t="s">
        <v>116</v>
      </c>
      <c r="L270" s="23"/>
      <c r="M270" s="23"/>
      <c r="N270" s="25" t="str">
        <f>"("""&amp;B270&amp;""") ("&amp;Vlookup(E270,DropDown!J:N,5,FALSE)&amp;" OR """ &amp;YEAR(D270) &amp; """ OR ""All New"" OR Episode OR Watch OR tv OR Show OR Series OR season OR binge OR Stream OR Film OR Movie OR Premiere OR Screening OR Feature OR Trailer OR Teaser OR theater OR release)"</f>
        <v>#N/A</v>
      </c>
      <c r="O270" s="23" t="str">
        <f t="shared" si="1"/>
        <v>#</v>
      </c>
      <c r="P270" s="23" t="str">
        <f t="shared" si="2"/>
        <v>#</v>
      </c>
      <c r="Q270" s="23"/>
      <c r="R270" s="23" t="str">
        <f>"("""&amp;B270&amp;""") ("&amp;Vlookup(E270,DropDown!R:V,5,FALSE)&amp;IF(ISBLANK(D270)," | "," "&amp;"OR """&amp;YEAR(D270)&amp;""" | ") &amp; """All New"" | Episode | Watch | tv | Show | Series | season | binge | Stream | Film | Movie | Premiere | Screening | Feature | Trailer | Teaser | theater | release)"</f>
        <v>#N/A</v>
      </c>
      <c r="S270" s="23"/>
      <c r="T270" s="23"/>
      <c r="U270" s="23"/>
      <c r="V270" s="23"/>
      <c r="W270" s="23"/>
      <c r="X270" s="38"/>
      <c r="Y270" s="38"/>
      <c r="Z270" s="38"/>
      <c r="AA270" s="38"/>
    </row>
    <row r="271">
      <c r="A271" s="31"/>
      <c r="B271" s="38"/>
      <c r="C271" s="38"/>
      <c r="D271" s="50"/>
      <c r="E271" s="50"/>
      <c r="F271" s="50"/>
      <c r="G271" s="27" t="str">
        <f>VLOOKUP(E271,DropDown!J:K,2,FALSE)</f>
        <v>#N/A</v>
      </c>
      <c r="H271" s="50"/>
      <c r="I271" s="50"/>
      <c r="J271" s="50"/>
      <c r="K271" s="25" t="s">
        <v>116</v>
      </c>
      <c r="L271" s="23"/>
      <c r="M271" s="23"/>
      <c r="N271" s="25" t="str">
        <f>"("""&amp;B271&amp;""") ("&amp;Vlookup(E271,DropDown!J:N,5,FALSE)&amp;" OR """ &amp;YEAR(D271) &amp; """ OR ""All New"" OR Episode OR Watch OR tv OR Show OR Series OR season OR binge OR Stream OR Film OR Movie OR Premiere OR Screening OR Feature OR Trailer OR Teaser OR theater OR release)"</f>
        <v>#N/A</v>
      </c>
      <c r="O271" s="23" t="str">
        <f t="shared" si="1"/>
        <v>#</v>
      </c>
      <c r="P271" s="23" t="str">
        <f t="shared" si="2"/>
        <v>#</v>
      </c>
      <c r="Q271" s="23"/>
      <c r="R271" s="23" t="str">
        <f>"("""&amp;B271&amp;""") ("&amp;Vlookup(E271,DropDown!R:V,5,FALSE)&amp;IF(ISBLANK(D271)," | "," "&amp;"OR """&amp;YEAR(D271)&amp;""" | ") &amp; """All New"" | Episode | Watch | tv | Show | Series | season | binge | Stream | Film | Movie | Premiere | Screening | Feature | Trailer | Teaser | theater | release)"</f>
        <v>#N/A</v>
      </c>
      <c r="S271" s="23"/>
      <c r="T271" s="23"/>
      <c r="U271" s="23"/>
      <c r="V271" s="23"/>
      <c r="W271" s="23"/>
      <c r="X271" s="38"/>
      <c r="Y271" s="38"/>
      <c r="Z271" s="38"/>
      <c r="AA271" s="38"/>
    </row>
    <row r="272">
      <c r="A272" s="31"/>
      <c r="B272" s="38"/>
      <c r="C272" s="38"/>
      <c r="D272" s="50"/>
      <c r="E272" s="50"/>
      <c r="F272" s="50"/>
      <c r="G272" s="27" t="str">
        <f>VLOOKUP(E272,DropDown!J:K,2,FALSE)</f>
        <v>#N/A</v>
      </c>
      <c r="H272" s="50"/>
      <c r="I272" s="50"/>
      <c r="J272" s="50"/>
      <c r="K272" s="25" t="s">
        <v>116</v>
      </c>
      <c r="L272" s="23"/>
      <c r="M272" s="23"/>
      <c r="N272" s="25" t="str">
        <f>"("""&amp;B272&amp;""") ("&amp;Vlookup(E272,DropDown!J:N,5,FALSE)&amp;" OR """ &amp;YEAR(D272) &amp; """ OR ""All New"" OR Episode OR Watch OR tv OR Show OR Series OR season OR binge OR Stream OR Film OR Movie OR Premiere OR Screening OR Feature OR Trailer OR Teaser OR theater OR release)"</f>
        <v>#N/A</v>
      </c>
      <c r="O272" s="23" t="str">
        <f t="shared" si="1"/>
        <v>#</v>
      </c>
      <c r="P272" s="23" t="str">
        <f t="shared" si="2"/>
        <v>#</v>
      </c>
      <c r="Q272" s="23"/>
      <c r="R272" s="23" t="str">
        <f>"("""&amp;B272&amp;""") ("&amp;Vlookup(E272,DropDown!R:V,5,FALSE)&amp;IF(ISBLANK(D272)," | "," "&amp;"OR """&amp;YEAR(D272)&amp;""" | ") &amp; """All New"" | Episode | Watch | tv | Show | Series | season | binge | Stream | Film | Movie | Premiere | Screening | Feature | Trailer | Teaser | theater | release)"</f>
        <v>#N/A</v>
      </c>
      <c r="S272" s="23"/>
      <c r="T272" s="23"/>
      <c r="U272" s="23"/>
      <c r="V272" s="23"/>
      <c r="W272" s="23"/>
      <c r="X272" s="38"/>
      <c r="Y272" s="38"/>
      <c r="Z272" s="38"/>
      <c r="AA272" s="38"/>
    </row>
    <row r="273">
      <c r="A273" s="31"/>
      <c r="B273" s="38"/>
      <c r="C273" s="38"/>
      <c r="D273" s="50"/>
      <c r="E273" s="50"/>
      <c r="F273" s="50"/>
      <c r="G273" s="27" t="str">
        <f>VLOOKUP(E273,DropDown!J:K,2,FALSE)</f>
        <v>#N/A</v>
      </c>
      <c r="H273" s="50"/>
      <c r="I273" s="50"/>
      <c r="J273" s="50"/>
      <c r="K273" s="25" t="s">
        <v>116</v>
      </c>
      <c r="L273" s="23"/>
      <c r="M273" s="23"/>
      <c r="N273" s="25" t="str">
        <f>"("""&amp;B273&amp;""") ("&amp;Vlookup(E273,DropDown!J:N,5,FALSE)&amp;" OR """ &amp;YEAR(D273) &amp; """ OR ""All New"" OR Episode OR Watch OR tv OR Show OR Series OR season OR binge OR Stream OR Film OR Movie OR Premiere OR Screening OR Feature OR Trailer OR Teaser OR theater OR release)"</f>
        <v>#N/A</v>
      </c>
      <c r="O273" s="23" t="str">
        <f t="shared" si="1"/>
        <v>#</v>
      </c>
      <c r="P273" s="23" t="str">
        <f t="shared" si="2"/>
        <v>#</v>
      </c>
      <c r="Q273" s="23"/>
      <c r="R273" s="23" t="str">
        <f>"("""&amp;B273&amp;""") ("&amp;Vlookup(E273,DropDown!R:V,5,FALSE)&amp;IF(ISBLANK(D273)," | "," "&amp;"OR """&amp;YEAR(D273)&amp;""" | ") &amp; """All New"" | Episode | Watch | tv | Show | Series | season | binge | Stream | Film | Movie | Premiere | Screening | Feature | Trailer | Teaser | theater | release)"</f>
        <v>#N/A</v>
      </c>
      <c r="S273" s="23"/>
      <c r="T273" s="23"/>
      <c r="U273" s="23"/>
      <c r="V273" s="23"/>
      <c r="W273" s="23"/>
      <c r="X273" s="38"/>
      <c r="Y273" s="38"/>
      <c r="Z273" s="38"/>
      <c r="AA273" s="38"/>
    </row>
    <row r="274">
      <c r="A274" s="31"/>
      <c r="B274" s="38"/>
      <c r="C274" s="38"/>
      <c r="D274" s="50"/>
      <c r="E274" s="50"/>
      <c r="F274" s="50"/>
      <c r="G274" s="27" t="str">
        <f>VLOOKUP(E274,DropDown!J:K,2,FALSE)</f>
        <v>#N/A</v>
      </c>
      <c r="H274" s="50"/>
      <c r="I274" s="50"/>
      <c r="J274" s="50"/>
      <c r="K274" s="25" t="s">
        <v>116</v>
      </c>
      <c r="L274" s="23"/>
      <c r="M274" s="23"/>
      <c r="N274" s="25" t="str">
        <f>"("""&amp;B274&amp;""") ("&amp;Vlookup(E274,DropDown!J:N,5,FALSE)&amp;" OR """ &amp;YEAR(D274) &amp; """ OR ""All New"" OR Episode OR Watch OR tv OR Show OR Series OR season OR binge OR Stream OR Film OR Movie OR Premiere OR Screening OR Feature OR Trailer OR Teaser OR theater OR release)"</f>
        <v>#N/A</v>
      </c>
      <c r="O274" s="23" t="str">
        <f t="shared" si="1"/>
        <v>#</v>
      </c>
      <c r="P274" s="23" t="str">
        <f t="shared" si="2"/>
        <v>#</v>
      </c>
      <c r="Q274" s="23"/>
      <c r="R274" s="23" t="str">
        <f>"("""&amp;B274&amp;""") ("&amp;Vlookup(E274,DropDown!R:V,5,FALSE)&amp;IF(ISBLANK(D274)," | "," "&amp;"OR """&amp;YEAR(D274)&amp;""" | ") &amp; """All New"" | Episode | Watch | tv | Show | Series | season | binge | Stream | Film | Movie | Premiere | Screening | Feature | Trailer | Teaser | theater | release)"</f>
        <v>#N/A</v>
      </c>
      <c r="S274" s="23"/>
      <c r="T274" s="23"/>
      <c r="U274" s="23"/>
      <c r="V274" s="23"/>
      <c r="W274" s="23"/>
      <c r="X274" s="38"/>
      <c r="Y274" s="38"/>
      <c r="Z274" s="38"/>
      <c r="AA274" s="38"/>
    </row>
    <row r="275">
      <c r="A275" s="31"/>
      <c r="B275" s="38"/>
      <c r="C275" s="38"/>
      <c r="D275" s="50"/>
      <c r="E275" s="50"/>
      <c r="F275" s="50"/>
      <c r="G275" s="27" t="str">
        <f>VLOOKUP(E275,DropDown!J:K,2,FALSE)</f>
        <v>#N/A</v>
      </c>
      <c r="H275" s="50"/>
      <c r="I275" s="50"/>
      <c r="J275" s="50"/>
      <c r="K275" s="25" t="s">
        <v>116</v>
      </c>
      <c r="L275" s="23"/>
      <c r="M275" s="23"/>
      <c r="N275" s="25" t="str">
        <f>"("""&amp;B275&amp;""") ("&amp;Vlookup(E275,DropDown!J:N,5,FALSE)&amp;" OR """ &amp;YEAR(D275) &amp; """ OR ""All New"" OR Episode OR Watch OR tv OR Show OR Series OR season OR binge OR Stream OR Film OR Movie OR Premiere OR Screening OR Feature OR Trailer OR Teaser OR theater OR release)"</f>
        <v>#N/A</v>
      </c>
      <c r="O275" s="23" t="str">
        <f t="shared" si="1"/>
        <v>#</v>
      </c>
      <c r="P275" s="23" t="str">
        <f t="shared" si="2"/>
        <v>#</v>
      </c>
      <c r="Q275" s="23"/>
      <c r="R275" s="23" t="str">
        <f>"("""&amp;B275&amp;""") ("&amp;Vlookup(E275,DropDown!R:V,5,FALSE)&amp;IF(ISBLANK(D275)," | "," "&amp;"OR """&amp;YEAR(D275)&amp;""" | ") &amp; """All New"" | Episode | Watch | tv | Show | Series | season | binge | Stream | Film | Movie | Premiere | Screening | Feature | Trailer | Teaser | theater | release)"</f>
        <v>#N/A</v>
      </c>
      <c r="S275" s="23"/>
      <c r="T275" s="23"/>
      <c r="U275" s="23"/>
      <c r="V275" s="23"/>
      <c r="W275" s="23"/>
      <c r="X275" s="38"/>
      <c r="Y275" s="38"/>
      <c r="Z275" s="38"/>
      <c r="AA275" s="38"/>
    </row>
    <row r="276">
      <c r="A276" s="31"/>
      <c r="B276" s="38"/>
      <c r="C276" s="38"/>
      <c r="D276" s="50"/>
      <c r="E276" s="50"/>
      <c r="F276" s="50"/>
      <c r="G276" s="27" t="str">
        <f>VLOOKUP(E276,DropDown!J:K,2,FALSE)</f>
        <v>#N/A</v>
      </c>
      <c r="H276" s="50"/>
      <c r="I276" s="50"/>
      <c r="J276" s="50"/>
      <c r="K276" s="25" t="s">
        <v>116</v>
      </c>
      <c r="L276" s="23"/>
      <c r="M276" s="23"/>
      <c r="N276" s="25" t="str">
        <f>"("""&amp;B276&amp;""") ("&amp;Vlookup(E276,DropDown!J:N,5,FALSE)&amp;" OR """ &amp;YEAR(D276) &amp; """ OR ""All New"" OR Episode OR Watch OR tv OR Show OR Series OR season OR binge OR Stream OR Film OR Movie OR Premiere OR Screening OR Feature OR Trailer OR Teaser OR theater OR release)"</f>
        <v>#N/A</v>
      </c>
      <c r="O276" s="23" t="str">
        <f t="shared" si="1"/>
        <v>#</v>
      </c>
      <c r="P276" s="23" t="str">
        <f t="shared" si="2"/>
        <v>#</v>
      </c>
      <c r="Q276" s="23"/>
      <c r="R276" s="23" t="str">
        <f>"("""&amp;B276&amp;""") ("&amp;Vlookup(E276,DropDown!R:V,5,FALSE)&amp;IF(ISBLANK(D276)," | "," "&amp;"OR """&amp;YEAR(D276)&amp;""" | ") &amp; """All New"" | Episode | Watch | tv | Show | Series | season | binge | Stream | Film | Movie | Premiere | Screening | Feature | Trailer | Teaser | theater | release)"</f>
        <v>#N/A</v>
      </c>
      <c r="S276" s="23"/>
      <c r="T276" s="23"/>
      <c r="U276" s="23"/>
      <c r="V276" s="23"/>
      <c r="W276" s="23"/>
      <c r="X276" s="38"/>
      <c r="Y276" s="38"/>
      <c r="Z276" s="38"/>
      <c r="AA276" s="38"/>
    </row>
    <row r="277">
      <c r="A277" s="31"/>
      <c r="B277" s="38"/>
      <c r="C277" s="38"/>
      <c r="D277" s="50"/>
      <c r="E277" s="50"/>
      <c r="F277" s="50"/>
      <c r="G277" s="27" t="str">
        <f>VLOOKUP(E277,DropDown!J:K,2,FALSE)</f>
        <v>#N/A</v>
      </c>
      <c r="H277" s="50"/>
      <c r="I277" s="50"/>
      <c r="J277" s="50"/>
      <c r="K277" s="25" t="s">
        <v>116</v>
      </c>
      <c r="L277" s="23"/>
      <c r="M277" s="23"/>
      <c r="N277" s="25" t="str">
        <f>"("""&amp;B277&amp;""") ("&amp;Vlookup(E277,DropDown!J:N,5,FALSE)&amp;" OR """ &amp;YEAR(D277) &amp; """ OR ""All New"" OR Episode OR Watch OR tv OR Show OR Series OR season OR binge OR Stream OR Film OR Movie OR Premiere OR Screening OR Feature OR Trailer OR Teaser OR theater OR release)"</f>
        <v>#N/A</v>
      </c>
      <c r="O277" s="23" t="str">
        <f t="shared" si="1"/>
        <v>#</v>
      </c>
      <c r="P277" s="23" t="str">
        <f t="shared" si="2"/>
        <v>#</v>
      </c>
      <c r="Q277" s="23"/>
      <c r="R277" s="23" t="str">
        <f>"("""&amp;B277&amp;""") ("&amp;Vlookup(E277,DropDown!R:V,5,FALSE)&amp;IF(ISBLANK(D277)," | "," "&amp;"OR """&amp;YEAR(D277)&amp;""" | ") &amp; """All New"" | Episode | Watch | tv | Show | Series | season | binge | Stream | Film | Movie | Premiere | Screening | Feature | Trailer | Teaser | theater | release)"</f>
        <v>#N/A</v>
      </c>
      <c r="S277" s="23"/>
      <c r="T277" s="23"/>
      <c r="U277" s="23"/>
      <c r="V277" s="23"/>
      <c r="W277" s="23"/>
      <c r="X277" s="38"/>
      <c r="Y277" s="38"/>
      <c r="Z277" s="38"/>
      <c r="AA277" s="38"/>
    </row>
    <row r="278">
      <c r="A278" s="31"/>
      <c r="B278" s="38"/>
      <c r="C278" s="38"/>
      <c r="D278" s="50"/>
      <c r="E278" s="50"/>
      <c r="F278" s="50"/>
      <c r="G278" s="27" t="str">
        <f>VLOOKUP(E278,DropDown!J:K,2,FALSE)</f>
        <v>#N/A</v>
      </c>
      <c r="H278" s="50"/>
      <c r="I278" s="50"/>
      <c r="J278" s="50"/>
      <c r="K278" s="25" t="s">
        <v>116</v>
      </c>
      <c r="L278" s="23"/>
      <c r="M278" s="23"/>
      <c r="N278" s="25" t="str">
        <f>"("""&amp;B278&amp;""") ("&amp;Vlookup(E278,DropDown!J:N,5,FALSE)&amp;" OR """ &amp;YEAR(D278) &amp; """ OR ""All New"" OR Episode OR Watch OR tv OR Show OR Series OR season OR binge OR Stream OR Film OR Movie OR Premiere OR Screening OR Feature OR Trailer OR Teaser OR theater OR release)"</f>
        <v>#N/A</v>
      </c>
      <c r="O278" s="23" t="str">
        <f t="shared" si="1"/>
        <v>#</v>
      </c>
      <c r="P278" s="23" t="str">
        <f t="shared" si="2"/>
        <v>#</v>
      </c>
      <c r="Q278" s="23"/>
      <c r="R278" s="23" t="str">
        <f>"("""&amp;B278&amp;""") ("&amp;Vlookup(E278,DropDown!R:V,5,FALSE)&amp;IF(ISBLANK(D278)," | "," "&amp;"OR """&amp;YEAR(D278)&amp;""" | ") &amp; """All New"" | Episode | Watch | tv | Show | Series | season | binge | Stream | Film | Movie | Premiere | Screening | Feature | Trailer | Teaser | theater | release)"</f>
        <v>#N/A</v>
      </c>
      <c r="S278" s="23"/>
      <c r="T278" s="23"/>
      <c r="U278" s="23"/>
      <c r="V278" s="23"/>
      <c r="W278" s="23"/>
      <c r="X278" s="38"/>
      <c r="Y278" s="38"/>
      <c r="Z278" s="38"/>
      <c r="AA278" s="38"/>
    </row>
    <row r="279">
      <c r="A279" s="31"/>
      <c r="B279" s="38"/>
      <c r="C279" s="38"/>
      <c r="D279" s="50"/>
      <c r="E279" s="50"/>
      <c r="F279" s="50"/>
      <c r="G279" s="27" t="str">
        <f>VLOOKUP(E279,DropDown!J:K,2,FALSE)</f>
        <v>#N/A</v>
      </c>
      <c r="H279" s="50"/>
      <c r="I279" s="50"/>
      <c r="J279" s="50"/>
      <c r="K279" s="25" t="s">
        <v>116</v>
      </c>
      <c r="L279" s="23"/>
      <c r="M279" s="23"/>
      <c r="N279" s="25" t="str">
        <f>"("""&amp;B279&amp;""") ("&amp;Vlookup(E279,DropDown!J:N,5,FALSE)&amp;" OR """ &amp;YEAR(D279) &amp; """ OR ""All New"" OR Episode OR Watch OR tv OR Show OR Series OR season OR binge OR Stream OR Film OR Movie OR Premiere OR Screening OR Feature OR Trailer OR Teaser OR theater OR release)"</f>
        <v>#N/A</v>
      </c>
      <c r="O279" s="23" t="str">
        <f t="shared" si="1"/>
        <v>#</v>
      </c>
      <c r="P279" s="23" t="str">
        <f t="shared" si="2"/>
        <v>#</v>
      </c>
      <c r="Q279" s="23"/>
      <c r="R279" s="23" t="str">
        <f>"("""&amp;B279&amp;""") ("&amp;Vlookup(E279,DropDown!R:V,5,FALSE)&amp;IF(ISBLANK(D279)," | "," "&amp;"OR """&amp;YEAR(D279)&amp;""" | ") &amp; """All New"" | Episode | Watch | tv | Show | Series | season | binge | Stream | Film | Movie | Premiere | Screening | Feature | Trailer | Teaser | theater | release)"</f>
        <v>#N/A</v>
      </c>
      <c r="S279" s="23"/>
      <c r="T279" s="23"/>
      <c r="U279" s="23"/>
      <c r="V279" s="23"/>
      <c r="W279" s="23"/>
      <c r="X279" s="38"/>
      <c r="Y279" s="38"/>
      <c r="Z279" s="38"/>
      <c r="AA279" s="38"/>
    </row>
    <row r="280">
      <c r="A280" s="31"/>
      <c r="B280" s="38"/>
      <c r="C280" s="38"/>
      <c r="D280" s="50"/>
      <c r="E280" s="50"/>
      <c r="F280" s="50"/>
      <c r="G280" s="27" t="str">
        <f>VLOOKUP(E280,DropDown!J:K,2,FALSE)</f>
        <v>#N/A</v>
      </c>
      <c r="H280" s="50"/>
      <c r="I280" s="50"/>
      <c r="J280" s="50"/>
      <c r="K280" s="25" t="s">
        <v>116</v>
      </c>
      <c r="L280" s="23"/>
      <c r="M280" s="23"/>
      <c r="N280" s="25" t="str">
        <f>"("""&amp;B280&amp;""") ("&amp;Vlookup(E280,DropDown!J:N,5,FALSE)&amp;" OR """ &amp;YEAR(D280) &amp; """ OR ""All New"" OR Episode OR Watch OR tv OR Show OR Series OR season OR binge OR Stream OR Film OR Movie OR Premiere OR Screening OR Feature OR Trailer OR Teaser OR theater OR release)"</f>
        <v>#N/A</v>
      </c>
      <c r="O280" s="23" t="str">
        <f t="shared" si="1"/>
        <v>#</v>
      </c>
      <c r="P280" s="23" t="str">
        <f t="shared" si="2"/>
        <v>#</v>
      </c>
      <c r="Q280" s="23"/>
      <c r="R280" s="23" t="str">
        <f>"("""&amp;B280&amp;""") ("&amp;Vlookup(E280,DropDown!R:V,5,FALSE)&amp;IF(ISBLANK(D280)," | "," "&amp;"OR """&amp;YEAR(D280)&amp;""" | ") &amp; """All New"" | Episode | Watch | tv | Show | Series | season | binge | Stream | Film | Movie | Premiere | Screening | Feature | Trailer | Teaser | theater | release)"</f>
        <v>#N/A</v>
      </c>
      <c r="S280" s="23"/>
      <c r="T280" s="23"/>
      <c r="U280" s="23"/>
      <c r="V280" s="23"/>
      <c r="W280" s="23"/>
      <c r="X280" s="38"/>
      <c r="Y280" s="38"/>
      <c r="Z280" s="38"/>
      <c r="AA280" s="38"/>
    </row>
    <row r="281">
      <c r="A281" s="31"/>
      <c r="B281" s="38"/>
      <c r="C281" s="38"/>
      <c r="D281" s="50"/>
      <c r="E281" s="50"/>
      <c r="F281" s="50"/>
      <c r="G281" s="27" t="str">
        <f>VLOOKUP(E281,DropDown!J:K,2,FALSE)</f>
        <v>#N/A</v>
      </c>
      <c r="H281" s="50"/>
      <c r="I281" s="50"/>
      <c r="J281" s="50"/>
      <c r="K281" s="25" t="s">
        <v>116</v>
      </c>
      <c r="L281" s="23"/>
      <c r="M281" s="23"/>
      <c r="N281" s="25" t="str">
        <f>"("""&amp;B281&amp;""") ("&amp;Vlookup(E281,DropDown!J:N,5,FALSE)&amp;" OR """ &amp;YEAR(D281) &amp; """ OR ""All New"" OR Episode OR Watch OR tv OR Show OR Series OR season OR binge OR Stream OR Film OR Movie OR Premiere OR Screening OR Feature OR Trailer OR Teaser OR theater OR release)"</f>
        <v>#N/A</v>
      </c>
      <c r="O281" s="23" t="str">
        <f t="shared" si="1"/>
        <v>#</v>
      </c>
      <c r="P281" s="23" t="str">
        <f t="shared" si="2"/>
        <v>#</v>
      </c>
      <c r="Q281" s="23"/>
      <c r="R281" s="23" t="str">
        <f>"("""&amp;B281&amp;""") ("&amp;Vlookup(E281,DropDown!R:V,5,FALSE)&amp;IF(ISBLANK(D281)," | "," "&amp;"OR """&amp;YEAR(D281)&amp;""" | ") &amp; """All New"" | Episode | Watch | tv | Show | Series | season | binge | Stream | Film | Movie | Premiere | Screening | Feature | Trailer | Teaser | theater | release)"</f>
        <v>#N/A</v>
      </c>
      <c r="S281" s="23"/>
      <c r="T281" s="23"/>
      <c r="U281" s="23"/>
      <c r="V281" s="23"/>
      <c r="W281" s="23"/>
      <c r="X281" s="38"/>
      <c r="Y281" s="38"/>
      <c r="Z281" s="38"/>
      <c r="AA281" s="38"/>
    </row>
    <row r="282">
      <c r="A282" s="31"/>
      <c r="B282" s="38"/>
      <c r="C282" s="38"/>
      <c r="D282" s="50"/>
      <c r="E282" s="50"/>
      <c r="F282" s="50"/>
      <c r="G282" s="27" t="str">
        <f>VLOOKUP(E282,DropDown!J:K,2,FALSE)</f>
        <v>#N/A</v>
      </c>
      <c r="H282" s="50"/>
      <c r="I282" s="50"/>
      <c r="J282" s="50"/>
      <c r="K282" s="25" t="s">
        <v>116</v>
      </c>
      <c r="L282" s="23"/>
      <c r="M282" s="23"/>
      <c r="N282" s="25" t="str">
        <f>"("""&amp;B282&amp;""") ("&amp;Vlookup(E282,DropDown!J:N,5,FALSE)&amp;" OR """ &amp;YEAR(D282) &amp; """ OR ""All New"" OR Episode OR Watch OR tv OR Show OR Series OR season OR binge OR Stream OR Film OR Movie OR Premiere OR Screening OR Feature OR Trailer OR Teaser OR theater OR release)"</f>
        <v>#N/A</v>
      </c>
      <c r="O282" s="23" t="str">
        <f t="shared" si="1"/>
        <v>#</v>
      </c>
      <c r="P282" s="23" t="str">
        <f t="shared" si="2"/>
        <v>#</v>
      </c>
      <c r="Q282" s="23"/>
      <c r="R282" s="23" t="str">
        <f>"("""&amp;B282&amp;""") ("&amp;Vlookup(E282,DropDown!R:V,5,FALSE)&amp;IF(ISBLANK(D282)," | "," "&amp;"OR """&amp;YEAR(D282)&amp;""" | ") &amp; """All New"" | Episode | Watch | tv | Show | Series | season | binge | Stream | Film | Movie | Premiere | Screening | Feature | Trailer | Teaser | theater | release)"</f>
        <v>#N/A</v>
      </c>
      <c r="S282" s="23"/>
      <c r="T282" s="23"/>
      <c r="U282" s="23"/>
      <c r="V282" s="23"/>
      <c r="W282" s="23"/>
      <c r="X282" s="38"/>
      <c r="Y282" s="38"/>
      <c r="Z282" s="38"/>
      <c r="AA282" s="38"/>
    </row>
    <row r="283">
      <c r="A283" s="31"/>
      <c r="B283" s="38"/>
      <c r="C283" s="38"/>
      <c r="D283" s="50"/>
      <c r="E283" s="50"/>
      <c r="F283" s="50"/>
      <c r="G283" s="27" t="str">
        <f>VLOOKUP(E283,DropDown!J:K,2,FALSE)</f>
        <v>#N/A</v>
      </c>
      <c r="H283" s="50"/>
      <c r="I283" s="50"/>
      <c r="J283" s="50"/>
      <c r="K283" s="25" t="s">
        <v>116</v>
      </c>
      <c r="L283" s="23"/>
      <c r="M283" s="23"/>
      <c r="N283" s="25" t="str">
        <f>"("""&amp;B283&amp;""") ("&amp;Vlookup(E283,DropDown!J:N,5,FALSE)&amp;" OR """ &amp;YEAR(D283) &amp; """ OR ""All New"" OR Episode OR Watch OR tv OR Show OR Series OR season OR binge OR Stream OR Film OR Movie OR Premiere OR Screening OR Feature OR Trailer OR Teaser OR theater OR release)"</f>
        <v>#N/A</v>
      </c>
      <c r="O283" s="23" t="str">
        <f t="shared" si="1"/>
        <v>#</v>
      </c>
      <c r="P283" s="23" t="str">
        <f t="shared" si="2"/>
        <v>#</v>
      </c>
      <c r="Q283" s="23"/>
      <c r="R283" s="23" t="str">
        <f>"("""&amp;B283&amp;""") ("&amp;Vlookup(E283,DropDown!R:V,5,FALSE)&amp;IF(ISBLANK(D283)," | "," "&amp;"OR """&amp;YEAR(D283)&amp;""" | ") &amp; """All New"" | Episode | Watch | tv | Show | Series | season | binge | Stream | Film | Movie | Premiere | Screening | Feature | Trailer | Teaser | theater | release)"</f>
        <v>#N/A</v>
      </c>
      <c r="S283" s="23"/>
      <c r="T283" s="23"/>
      <c r="U283" s="23"/>
      <c r="V283" s="23"/>
      <c r="W283" s="23"/>
      <c r="X283" s="38"/>
      <c r="Y283" s="38"/>
      <c r="Z283" s="38"/>
      <c r="AA283" s="38"/>
    </row>
    <row r="284">
      <c r="A284" s="31"/>
      <c r="B284" s="38"/>
      <c r="C284" s="38"/>
      <c r="D284" s="50"/>
      <c r="E284" s="50"/>
      <c r="F284" s="50"/>
      <c r="G284" s="27" t="str">
        <f>VLOOKUP(E284,DropDown!J:K,2,FALSE)</f>
        <v>#N/A</v>
      </c>
      <c r="H284" s="50"/>
      <c r="I284" s="50"/>
      <c r="J284" s="50"/>
      <c r="K284" s="25" t="s">
        <v>116</v>
      </c>
      <c r="L284" s="23"/>
      <c r="M284" s="23"/>
      <c r="N284" s="25" t="str">
        <f>"("""&amp;B284&amp;""") ("&amp;Vlookup(E284,DropDown!J:N,5,FALSE)&amp;" OR """ &amp;YEAR(D284) &amp; """ OR ""All New"" OR Episode OR Watch OR tv OR Show OR Series OR season OR binge OR Stream OR Film OR Movie OR Premiere OR Screening OR Feature OR Trailer OR Teaser OR theater OR release)"</f>
        <v>#N/A</v>
      </c>
      <c r="O284" s="23" t="str">
        <f t="shared" si="1"/>
        <v>#</v>
      </c>
      <c r="P284" s="23" t="str">
        <f t="shared" si="2"/>
        <v>#</v>
      </c>
      <c r="Q284" s="23"/>
      <c r="R284" s="23" t="str">
        <f>"("""&amp;B284&amp;""") ("&amp;Vlookup(E284,DropDown!R:V,5,FALSE)&amp;IF(ISBLANK(D284)," | "," "&amp;"OR """&amp;YEAR(D284)&amp;""" | ") &amp; """All New"" | Episode | Watch | tv | Show | Series | season | binge | Stream | Film | Movie | Premiere | Screening | Feature | Trailer | Teaser | theater | release)"</f>
        <v>#N/A</v>
      </c>
      <c r="S284" s="23"/>
      <c r="T284" s="23"/>
      <c r="U284" s="23"/>
      <c r="V284" s="23"/>
      <c r="W284" s="23"/>
      <c r="X284" s="38"/>
      <c r="Y284" s="38"/>
      <c r="Z284" s="38"/>
      <c r="AA284" s="38"/>
    </row>
    <row r="285">
      <c r="A285" s="31"/>
      <c r="B285" s="38"/>
      <c r="C285" s="38"/>
      <c r="D285" s="50"/>
      <c r="E285" s="50"/>
      <c r="F285" s="50"/>
      <c r="G285" s="27" t="str">
        <f>VLOOKUP(E285,DropDown!J:K,2,FALSE)</f>
        <v>#N/A</v>
      </c>
      <c r="H285" s="50"/>
      <c r="I285" s="50"/>
      <c r="J285" s="50"/>
      <c r="K285" s="25" t="s">
        <v>116</v>
      </c>
      <c r="L285" s="23"/>
      <c r="M285" s="23"/>
      <c r="N285" s="25" t="str">
        <f>"("""&amp;B285&amp;""") ("&amp;Vlookup(E285,DropDown!J:N,5,FALSE)&amp;" OR """ &amp;YEAR(D285) &amp; """ OR ""All New"" OR Episode OR Watch OR tv OR Show OR Series OR season OR binge OR Stream OR Film OR Movie OR Premiere OR Screening OR Feature OR Trailer OR Teaser OR theater OR release)"</f>
        <v>#N/A</v>
      </c>
      <c r="O285" s="23" t="str">
        <f t="shared" si="1"/>
        <v>#</v>
      </c>
      <c r="P285" s="23" t="str">
        <f t="shared" si="2"/>
        <v>#</v>
      </c>
      <c r="Q285" s="23"/>
      <c r="R285" s="23" t="str">
        <f>"("""&amp;B285&amp;""") ("&amp;Vlookup(E285,DropDown!R:V,5,FALSE)&amp;IF(ISBLANK(D285)," | "," "&amp;"OR """&amp;YEAR(D285)&amp;""" | ") &amp; """All New"" | Episode | Watch | tv | Show | Series | season | binge | Stream | Film | Movie | Premiere | Screening | Feature | Trailer | Teaser | theater | release)"</f>
        <v>#N/A</v>
      </c>
      <c r="S285" s="23"/>
      <c r="T285" s="23"/>
      <c r="U285" s="23"/>
      <c r="V285" s="23"/>
      <c r="W285" s="23"/>
      <c r="X285" s="38"/>
      <c r="Y285" s="38"/>
      <c r="Z285" s="38"/>
      <c r="AA285" s="38"/>
    </row>
    <row r="286">
      <c r="A286" s="31"/>
      <c r="B286" s="38"/>
      <c r="C286" s="38"/>
      <c r="D286" s="50"/>
      <c r="E286" s="50"/>
      <c r="F286" s="50"/>
      <c r="G286" s="27" t="str">
        <f>VLOOKUP(E286,DropDown!J:K,2,FALSE)</f>
        <v>#N/A</v>
      </c>
      <c r="H286" s="50"/>
      <c r="I286" s="50"/>
      <c r="J286" s="50"/>
      <c r="K286" s="25" t="s">
        <v>116</v>
      </c>
      <c r="L286" s="23"/>
      <c r="M286" s="23"/>
      <c r="N286" s="25" t="str">
        <f>"("""&amp;B286&amp;""") ("&amp;Vlookup(E286,DropDown!J:N,5,FALSE)&amp;" OR """ &amp;YEAR(D286) &amp; """ OR ""All New"" OR Episode OR Watch OR tv OR Show OR Series OR season OR binge OR Stream OR Film OR Movie OR Premiere OR Screening OR Feature OR Trailer OR Teaser OR theater OR release)"</f>
        <v>#N/A</v>
      </c>
      <c r="O286" s="23" t="str">
        <f t="shared" si="1"/>
        <v>#</v>
      </c>
      <c r="P286" s="23" t="str">
        <f t="shared" si="2"/>
        <v>#</v>
      </c>
      <c r="Q286" s="23"/>
      <c r="R286" s="23" t="str">
        <f>"("""&amp;B286&amp;""") ("&amp;Vlookup(E286,DropDown!R:V,5,FALSE)&amp;IF(ISBLANK(D286)," | "," "&amp;"OR """&amp;YEAR(D286)&amp;""" | ") &amp; """All New"" | Episode | Watch | tv | Show | Series | season | binge | Stream | Film | Movie | Premiere | Screening | Feature | Trailer | Teaser | theater | release)"</f>
        <v>#N/A</v>
      </c>
      <c r="S286" s="23"/>
      <c r="T286" s="23"/>
      <c r="U286" s="23"/>
      <c r="V286" s="23"/>
      <c r="W286" s="23"/>
      <c r="X286" s="38"/>
      <c r="Y286" s="38"/>
      <c r="Z286" s="38"/>
      <c r="AA286" s="38"/>
    </row>
    <row r="287">
      <c r="A287" s="31"/>
      <c r="B287" s="38"/>
      <c r="C287" s="38"/>
      <c r="D287" s="50"/>
      <c r="E287" s="50"/>
      <c r="F287" s="50"/>
      <c r="G287" s="27" t="str">
        <f>VLOOKUP(E287,DropDown!J:K,2,FALSE)</f>
        <v>#N/A</v>
      </c>
      <c r="H287" s="50"/>
      <c r="I287" s="50"/>
      <c r="J287" s="50"/>
      <c r="K287" s="25" t="s">
        <v>116</v>
      </c>
      <c r="L287" s="23"/>
      <c r="M287" s="23"/>
      <c r="N287" s="25" t="str">
        <f>"("""&amp;B287&amp;""") ("&amp;Vlookup(E287,DropDown!J:N,5,FALSE)&amp;" OR """ &amp;YEAR(D287) &amp; """ OR ""All New"" OR Episode OR Watch OR tv OR Show OR Series OR season OR binge OR Stream OR Film OR Movie OR Premiere OR Screening OR Feature OR Trailer OR Teaser OR theater OR release)"</f>
        <v>#N/A</v>
      </c>
      <c r="O287" s="23" t="str">
        <f t="shared" si="1"/>
        <v>#</v>
      </c>
      <c r="P287" s="23" t="str">
        <f t="shared" si="2"/>
        <v>#</v>
      </c>
      <c r="Q287" s="23"/>
      <c r="R287" s="23" t="str">
        <f>"("""&amp;B287&amp;""") ("&amp;Vlookup(E287,DropDown!R:V,5,FALSE)&amp;IF(ISBLANK(D287)," | "," "&amp;"OR """&amp;YEAR(D287)&amp;""" | ") &amp; """All New"" | Episode | Watch | tv | Show | Series | season | binge | Stream | Film | Movie | Premiere | Screening | Feature | Trailer | Teaser | theater | release)"</f>
        <v>#N/A</v>
      </c>
      <c r="S287" s="23"/>
      <c r="T287" s="23"/>
      <c r="U287" s="23"/>
      <c r="V287" s="23"/>
      <c r="W287" s="23"/>
      <c r="X287" s="38"/>
      <c r="Y287" s="38"/>
      <c r="Z287" s="38"/>
      <c r="AA287" s="38"/>
    </row>
    <row r="288">
      <c r="A288" s="31"/>
      <c r="B288" s="38"/>
      <c r="C288" s="38"/>
      <c r="D288" s="50"/>
      <c r="E288" s="50"/>
      <c r="F288" s="50"/>
      <c r="G288" s="27" t="str">
        <f>VLOOKUP(E288,DropDown!J:K,2,FALSE)</f>
        <v>#N/A</v>
      </c>
      <c r="H288" s="50"/>
      <c r="I288" s="50"/>
      <c r="J288" s="50"/>
      <c r="K288" s="25" t="s">
        <v>116</v>
      </c>
      <c r="L288" s="23"/>
      <c r="M288" s="23"/>
      <c r="N288" s="25" t="str">
        <f>"("""&amp;B288&amp;""") ("&amp;Vlookup(E288,DropDown!J:N,5,FALSE)&amp;" OR """ &amp;YEAR(D288) &amp; """ OR ""All New"" OR Episode OR Watch OR tv OR Show OR Series OR season OR binge OR Stream OR Film OR Movie OR Premiere OR Screening OR Feature OR Trailer OR Teaser OR theater OR release)"</f>
        <v>#N/A</v>
      </c>
      <c r="O288" s="23" t="str">
        <f t="shared" si="1"/>
        <v>#</v>
      </c>
      <c r="P288" s="23" t="str">
        <f t="shared" si="2"/>
        <v>#</v>
      </c>
      <c r="Q288" s="23"/>
      <c r="R288" s="23" t="str">
        <f>"("""&amp;B288&amp;""") ("&amp;Vlookup(E288,DropDown!R:V,5,FALSE)&amp;IF(ISBLANK(D288)," | "," "&amp;"OR """&amp;YEAR(D288)&amp;""" | ") &amp; """All New"" | Episode | Watch | tv | Show | Series | season | binge | Stream | Film | Movie | Premiere | Screening | Feature | Trailer | Teaser | theater | release)"</f>
        <v>#N/A</v>
      </c>
      <c r="S288" s="23"/>
      <c r="T288" s="23"/>
      <c r="U288" s="23"/>
      <c r="V288" s="23"/>
      <c r="W288" s="23"/>
      <c r="X288" s="38"/>
      <c r="Y288" s="38"/>
      <c r="Z288" s="38"/>
      <c r="AA288" s="38"/>
    </row>
    <row r="289">
      <c r="A289" s="31"/>
      <c r="B289" s="38"/>
      <c r="C289" s="38"/>
      <c r="D289" s="50"/>
      <c r="E289" s="50"/>
      <c r="F289" s="50"/>
      <c r="G289" s="27" t="str">
        <f>VLOOKUP(E289,DropDown!J:K,2,FALSE)</f>
        <v>#N/A</v>
      </c>
      <c r="H289" s="50"/>
      <c r="I289" s="50"/>
      <c r="J289" s="50"/>
      <c r="K289" s="25" t="s">
        <v>116</v>
      </c>
      <c r="L289" s="23"/>
      <c r="M289" s="23"/>
      <c r="N289" s="25" t="str">
        <f>"("""&amp;B289&amp;""") ("&amp;Vlookup(E289,DropDown!J:N,5,FALSE)&amp;" OR """ &amp;YEAR(D289) &amp; """ OR ""All New"" OR Episode OR Watch OR tv OR Show OR Series OR season OR binge OR Stream OR Film OR Movie OR Premiere OR Screening OR Feature OR Trailer OR Teaser OR theater OR release)"</f>
        <v>#N/A</v>
      </c>
      <c r="O289" s="23" t="str">
        <f t="shared" si="1"/>
        <v>#</v>
      </c>
      <c r="P289" s="23" t="str">
        <f t="shared" si="2"/>
        <v>#</v>
      </c>
      <c r="Q289" s="23"/>
      <c r="R289" s="23" t="str">
        <f>"("""&amp;B289&amp;""") ("&amp;Vlookup(E289,DropDown!R:V,5,FALSE)&amp;IF(ISBLANK(D289)," | "," "&amp;"OR """&amp;YEAR(D289)&amp;""" | ") &amp; """All New"" | Episode | Watch | tv | Show | Series | season | binge | Stream | Film | Movie | Premiere | Screening | Feature | Trailer | Teaser | theater | release)"</f>
        <v>#N/A</v>
      </c>
      <c r="S289" s="23"/>
      <c r="T289" s="23"/>
      <c r="U289" s="23"/>
      <c r="V289" s="23"/>
      <c r="W289" s="23"/>
      <c r="X289" s="38"/>
      <c r="Y289" s="38"/>
      <c r="Z289" s="38"/>
      <c r="AA289" s="38"/>
    </row>
    <row r="290">
      <c r="A290" s="31"/>
      <c r="B290" s="38"/>
      <c r="C290" s="38"/>
      <c r="D290" s="50"/>
      <c r="E290" s="50"/>
      <c r="F290" s="50"/>
      <c r="G290" s="27" t="str">
        <f>VLOOKUP(E290,DropDown!J:K,2,FALSE)</f>
        <v>#N/A</v>
      </c>
      <c r="H290" s="50"/>
      <c r="I290" s="50"/>
      <c r="J290" s="50"/>
      <c r="K290" s="25" t="s">
        <v>116</v>
      </c>
      <c r="L290" s="23"/>
      <c r="M290" s="23"/>
      <c r="N290" s="25" t="str">
        <f>"("""&amp;B290&amp;""") ("&amp;Vlookup(E290,DropDown!J:N,5,FALSE)&amp;" OR """ &amp;YEAR(D290) &amp; """ OR ""All New"" OR Episode OR Watch OR tv OR Show OR Series OR season OR binge OR Stream OR Film OR Movie OR Premiere OR Screening OR Feature OR Trailer OR Teaser OR theater OR release)"</f>
        <v>#N/A</v>
      </c>
      <c r="O290" s="23" t="str">
        <f t="shared" si="1"/>
        <v>#</v>
      </c>
      <c r="P290" s="23" t="str">
        <f t="shared" si="2"/>
        <v>#</v>
      </c>
      <c r="Q290" s="23"/>
      <c r="R290" s="23" t="str">
        <f>"("""&amp;B290&amp;""") ("&amp;Vlookup(E290,DropDown!R:V,5,FALSE)&amp;IF(ISBLANK(D290)," | "," "&amp;"OR """&amp;YEAR(D290)&amp;""" | ") &amp; """All New"" | Episode | Watch | tv | Show | Series | season | binge | Stream | Film | Movie | Premiere | Screening | Feature | Trailer | Teaser | theater | release)"</f>
        <v>#N/A</v>
      </c>
      <c r="S290" s="23"/>
      <c r="T290" s="23"/>
      <c r="U290" s="23"/>
      <c r="V290" s="23"/>
      <c r="W290" s="23"/>
      <c r="X290" s="38"/>
      <c r="Y290" s="38"/>
      <c r="Z290" s="38"/>
      <c r="AA290" s="38"/>
    </row>
    <row r="291">
      <c r="A291" s="31"/>
      <c r="B291" s="38"/>
      <c r="C291" s="38"/>
      <c r="D291" s="50"/>
      <c r="E291" s="50"/>
      <c r="F291" s="50"/>
      <c r="G291" s="27" t="str">
        <f>VLOOKUP(E291,DropDown!J:K,2,FALSE)</f>
        <v>#N/A</v>
      </c>
      <c r="H291" s="50"/>
      <c r="I291" s="50"/>
      <c r="J291" s="50"/>
      <c r="K291" s="25" t="s">
        <v>116</v>
      </c>
      <c r="L291" s="23"/>
      <c r="M291" s="23"/>
      <c r="N291" s="25" t="str">
        <f>"("""&amp;B291&amp;""") ("&amp;Vlookup(E291,DropDown!J:N,5,FALSE)&amp;" OR """ &amp;YEAR(D291) &amp; """ OR ""All New"" OR Episode OR Watch OR tv OR Show OR Series OR season OR binge OR Stream OR Film OR Movie OR Premiere OR Screening OR Feature OR Trailer OR Teaser OR theater OR release)"</f>
        <v>#N/A</v>
      </c>
      <c r="O291" s="23" t="str">
        <f t="shared" si="1"/>
        <v>#</v>
      </c>
      <c r="P291" s="23" t="str">
        <f t="shared" si="2"/>
        <v>#</v>
      </c>
      <c r="Q291" s="23"/>
      <c r="R291" s="23" t="str">
        <f>"("""&amp;B291&amp;""") ("&amp;Vlookup(E291,DropDown!R:V,5,FALSE)&amp;IF(ISBLANK(D291)," | "," "&amp;"OR """&amp;YEAR(D291)&amp;""" | ") &amp; """All New"" | Episode | Watch | tv | Show | Series | season | binge | Stream | Film | Movie | Premiere | Screening | Feature | Trailer | Teaser | theater | release)"</f>
        <v>#N/A</v>
      </c>
      <c r="S291" s="23"/>
      <c r="T291" s="23"/>
      <c r="U291" s="23"/>
      <c r="V291" s="23"/>
      <c r="W291" s="23"/>
      <c r="X291" s="38"/>
      <c r="Y291" s="38"/>
      <c r="Z291" s="38"/>
      <c r="AA291" s="38"/>
    </row>
    <row r="292">
      <c r="A292" s="31"/>
      <c r="B292" s="38"/>
      <c r="C292" s="38"/>
      <c r="D292" s="50"/>
      <c r="E292" s="50"/>
      <c r="F292" s="50"/>
      <c r="G292" s="27" t="str">
        <f>VLOOKUP(E292,DropDown!J:K,2,FALSE)</f>
        <v>#N/A</v>
      </c>
      <c r="H292" s="50"/>
      <c r="I292" s="50"/>
      <c r="J292" s="50"/>
      <c r="K292" s="25" t="s">
        <v>116</v>
      </c>
      <c r="L292" s="23"/>
      <c r="M292" s="23"/>
      <c r="N292" s="25" t="str">
        <f>"("""&amp;B292&amp;""") ("&amp;Vlookup(E292,DropDown!J:N,5,FALSE)&amp;" OR """ &amp;YEAR(D292) &amp; """ OR ""All New"" OR Episode OR Watch OR tv OR Show OR Series OR season OR binge OR Stream OR Film OR Movie OR Premiere OR Screening OR Feature OR Trailer OR Teaser OR theater OR release)"</f>
        <v>#N/A</v>
      </c>
      <c r="O292" s="23" t="str">
        <f t="shared" si="1"/>
        <v>#</v>
      </c>
      <c r="P292" s="23" t="str">
        <f t="shared" si="2"/>
        <v>#</v>
      </c>
      <c r="Q292" s="23"/>
      <c r="R292" s="23" t="str">
        <f>"("""&amp;B292&amp;""") ("&amp;Vlookup(E292,DropDown!R:V,5,FALSE)&amp;IF(ISBLANK(D292)," | "," "&amp;"OR """&amp;YEAR(D292)&amp;""" | ") &amp; """All New"" | Episode | Watch | tv | Show | Series | season | binge | Stream | Film | Movie | Premiere | Screening | Feature | Trailer | Teaser | theater | release)"</f>
        <v>#N/A</v>
      </c>
      <c r="S292" s="23"/>
      <c r="T292" s="23"/>
      <c r="U292" s="23"/>
      <c r="V292" s="23"/>
      <c r="W292" s="23"/>
      <c r="X292" s="38"/>
      <c r="Y292" s="38"/>
      <c r="Z292" s="38"/>
      <c r="AA292" s="38"/>
    </row>
    <row r="293">
      <c r="A293" s="31"/>
      <c r="B293" s="38"/>
      <c r="C293" s="38"/>
      <c r="D293" s="50"/>
      <c r="E293" s="50"/>
      <c r="F293" s="50"/>
      <c r="G293" s="27" t="str">
        <f>VLOOKUP(E293,DropDown!J:K,2,FALSE)</f>
        <v>#N/A</v>
      </c>
      <c r="H293" s="50"/>
      <c r="I293" s="50"/>
      <c r="J293" s="50"/>
      <c r="K293" s="25" t="s">
        <v>116</v>
      </c>
      <c r="L293" s="23"/>
      <c r="M293" s="23"/>
      <c r="N293" s="25" t="str">
        <f>"("""&amp;B293&amp;""") ("&amp;Vlookup(E293,DropDown!J:N,5,FALSE)&amp;" OR """ &amp;YEAR(D293) &amp; """ OR ""All New"" OR Episode OR Watch OR tv OR Show OR Series OR season OR binge OR Stream OR Film OR Movie OR Premiere OR Screening OR Feature OR Trailer OR Teaser OR theater OR release)"</f>
        <v>#N/A</v>
      </c>
      <c r="O293" s="23" t="str">
        <f t="shared" si="1"/>
        <v>#</v>
      </c>
      <c r="P293" s="23" t="str">
        <f t="shared" si="2"/>
        <v>#</v>
      </c>
      <c r="Q293" s="23"/>
      <c r="R293" s="23" t="str">
        <f>"("""&amp;B293&amp;""") ("&amp;Vlookup(E293,DropDown!R:V,5,FALSE)&amp;IF(ISBLANK(D293)," | "," "&amp;"OR """&amp;YEAR(D293)&amp;""" | ") &amp; """All New"" | Episode | Watch | tv | Show | Series | season | binge | Stream | Film | Movie | Premiere | Screening | Feature | Trailer | Teaser | theater | release)"</f>
        <v>#N/A</v>
      </c>
      <c r="S293" s="23"/>
      <c r="T293" s="23"/>
      <c r="U293" s="23"/>
      <c r="V293" s="23"/>
      <c r="W293" s="23"/>
      <c r="X293" s="38"/>
      <c r="Y293" s="38"/>
      <c r="Z293" s="38"/>
      <c r="AA293" s="38"/>
    </row>
    <row r="294">
      <c r="A294" s="31"/>
      <c r="B294" s="38"/>
      <c r="C294" s="38"/>
      <c r="D294" s="50"/>
      <c r="E294" s="50"/>
      <c r="F294" s="50"/>
      <c r="G294" s="27" t="str">
        <f>VLOOKUP(E294,DropDown!J:K,2,FALSE)</f>
        <v>#N/A</v>
      </c>
      <c r="H294" s="50"/>
      <c r="I294" s="50"/>
      <c r="J294" s="50"/>
      <c r="K294" s="25" t="s">
        <v>116</v>
      </c>
      <c r="L294" s="23"/>
      <c r="M294" s="23"/>
      <c r="N294" s="25" t="str">
        <f>"("""&amp;B294&amp;""") ("&amp;Vlookup(E294,DropDown!J:N,5,FALSE)&amp;" OR """ &amp;YEAR(D294) &amp; """ OR ""All New"" OR Episode OR Watch OR tv OR Show OR Series OR season OR binge OR Stream OR Film OR Movie OR Premiere OR Screening OR Feature OR Trailer OR Teaser OR theater OR release)"</f>
        <v>#N/A</v>
      </c>
      <c r="O294" s="23" t="str">
        <f t="shared" si="1"/>
        <v>#</v>
      </c>
      <c r="P294" s="23" t="str">
        <f t="shared" si="2"/>
        <v>#</v>
      </c>
      <c r="Q294" s="23"/>
      <c r="R294" s="23" t="str">
        <f>"("""&amp;B294&amp;""") ("&amp;Vlookup(E294,DropDown!R:V,5,FALSE)&amp;IF(ISBLANK(D294)," | "," "&amp;"OR """&amp;YEAR(D294)&amp;""" | ") &amp; """All New"" | Episode | Watch | tv | Show | Series | season | binge | Stream | Film | Movie | Premiere | Screening | Feature | Trailer | Teaser | theater | release)"</f>
        <v>#N/A</v>
      </c>
      <c r="S294" s="23"/>
      <c r="T294" s="23"/>
      <c r="U294" s="23"/>
      <c r="V294" s="23"/>
      <c r="W294" s="23"/>
      <c r="X294" s="38"/>
      <c r="Y294" s="38"/>
      <c r="Z294" s="38"/>
      <c r="AA294" s="38"/>
    </row>
    <row r="295">
      <c r="A295" s="31"/>
      <c r="B295" s="38"/>
      <c r="C295" s="38"/>
      <c r="D295" s="50"/>
      <c r="E295" s="50"/>
      <c r="F295" s="50"/>
      <c r="G295" s="27" t="str">
        <f>VLOOKUP(E295,DropDown!J:K,2,FALSE)</f>
        <v>#N/A</v>
      </c>
      <c r="H295" s="50"/>
      <c r="I295" s="50"/>
      <c r="J295" s="50"/>
      <c r="K295" s="25" t="s">
        <v>116</v>
      </c>
      <c r="L295" s="23"/>
      <c r="M295" s="23"/>
      <c r="N295" s="25" t="str">
        <f>"("""&amp;B295&amp;""") ("&amp;Vlookup(E295,DropDown!J:N,5,FALSE)&amp;" OR """ &amp;YEAR(D295) &amp; """ OR ""All New"" OR Episode OR Watch OR tv OR Show OR Series OR season OR binge OR Stream OR Film OR Movie OR Premiere OR Screening OR Feature OR Trailer OR Teaser OR theater OR release)"</f>
        <v>#N/A</v>
      </c>
      <c r="O295" s="23" t="str">
        <f t="shared" si="1"/>
        <v>#</v>
      </c>
      <c r="P295" s="23" t="str">
        <f t="shared" si="2"/>
        <v>#</v>
      </c>
      <c r="Q295" s="23"/>
      <c r="R295" s="23" t="str">
        <f>"("""&amp;B295&amp;""") ("&amp;Vlookup(E295,DropDown!R:V,5,FALSE)&amp;IF(ISBLANK(D295)," | "," "&amp;"OR """&amp;YEAR(D295)&amp;""" | ") &amp; """All New"" | Episode | Watch | tv | Show | Series | season | binge | Stream | Film | Movie | Premiere | Screening | Feature | Trailer | Teaser | theater | release)"</f>
        <v>#N/A</v>
      </c>
      <c r="S295" s="23"/>
      <c r="T295" s="23"/>
      <c r="U295" s="23"/>
      <c r="V295" s="23"/>
      <c r="W295" s="23"/>
      <c r="X295" s="38"/>
      <c r="Y295" s="38"/>
      <c r="Z295" s="38"/>
      <c r="AA295" s="38"/>
    </row>
    <row r="296">
      <c r="A296" s="31"/>
      <c r="B296" s="38"/>
      <c r="C296" s="38"/>
      <c r="D296" s="50"/>
      <c r="E296" s="50"/>
      <c r="F296" s="50"/>
      <c r="G296" s="27" t="str">
        <f>VLOOKUP(E296,DropDown!J:K,2,FALSE)</f>
        <v>#N/A</v>
      </c>
      <c r="H296" s="50"/>
      <c r="I296" s="50"/>
      <c r="J296" s="50"/>
      <c r="K296" s="25" t="s">
        <v>116</v>
      </c>
      <c r="L296" s="23"/>
      <c r="M296" s="23"/>
      <c r="N296" s="25" t="str">
        <f>"("""&amp;B296&amp;""") ("&amp;Vlookup(E296,DropDown!J:N,5,FALSE)&amp;" OR """ &amp;YEAR(D296) &amp; """ OR ""All New"" OR Episode OR Watch OR tv OR Show OR Series OR season OR binge OR Stream OR Film OR Movie OR Premiere OR Screening OR Feature OR Trailer OR Teaser OR theater OR release)"</f>
        <v>#N/A</v>
      </c>
      <c r="O296" s="23" t="str">
        <f t="shared" si="1"/>
        <v>#</v>
      </c>
      <c r="P296" s="23" t="str">
        <f t="shared" si="2"/>
        <v>#</v>
      </c>
      <c r="Q296" s="23"/>
      <c r="R296" s="23" t="str">
        <f>"("""&amp;B296&amp;""") ("&amp;Vlookup(E296,DropDown!R:V,5,FALSE)&amp;IF(ISBLANK(D296)," | "," "&amp;"OR """&amp;YEAR(D296)&amp;""" | ") &amp; """All New"" | Episode | Watch | tv | Show | Series | season | binge | Stream | Film | Movie | Premiere | Screening | Feature | Trailer | Teaser | theater | release)"</f>
        <v>#N/A</v>
      </c>
      <c r="S296" s="23"/>
      <c r="T296" s="23"/>
      <c r="U296" s="23"/>
      <c r="V296" s="23"/>
      <c r="W296" s="23"/>
      <c r="X296" s="38"/>
      <c r="Y296" s="38"/>
      <c r="Z296" s="38"/>
      <c r="AA296" s="38"/>
    </row>
    <row r="297">
      <c r="A297" s="31"/>
      <c r="B297" s="38"/>
      <c r="C297" s="38"/>
      <c r="D297" s="50"/>
      <c r="E297" s="50"/>
      <c r="F297" s="50"/>
      <c r="G297" s="27" t="str">
        <f>VLOOKUP(E297,DropDown!J:K,2,FALSE)</f>
        <v>#N/A</v>
      </c>
      <c r="H297" s="50"/>
      <c r="I297" s="50"/>
      <c r="J297" s="50"/>
      <c r="K297" s="25" t="s">
        <v>116</v>
      </c>
      <c r="L297" s="23"/>
      <c r="M297" s="23"/>
      <c r="N297" s="25" t="str">
        <f>"("""&amp;B297&amp;""") ("&amp;Vlookup(E297,DropDown!J:N,5,FALSE)&amp;" OR """ &amp;YEAR(D297) &amp; """ OR ""All New"" OR Episode OR Watch OR tv OR Show OR Series OR season OR binge OR Stream OR Film OR Movie OR Premiere OR Screening OR Feature OR Trailer OR Teaser OR theater OR release)"</f>
        <v>#N/A</v>
      </c>
      <c r="O297" s="23" t="str">
        <f t="shared" si="1"/>
        <v>#</v>
      </c>
      <c r="P297" s="23" t="str">
        <f t="shared" si="2"/>
        <v>#</v>
      </c>
      <c r="Q297" s="23"/>
      <c r="R297" s="23" t="str">
        <f>"("""&amp;B297&amp;""") ("&amp;Vlookup(E297,DropDown!R:V,5,FALSE)&amp;IF(ISBLANK(D297)," | "," "&amp;"OR """&amp;YEAR(D297)&amp;""" | ") &amp; """All New"" | Episode | Watch | tv | Show | Series | season | binge | Stream | Film | Movie | Premiere | Screening | Feature | Trailer | Teaser | theater | release)"</f>
        <v>#N/A</v>
      </c>
      <c r="S297" s="23"/>
      <c r="T297" s="23"/>
      <c r="U297" s="23"/>
      <c r="V297" s="23"/>
      <c r="W297" s="23"/>
      <c r="X297" s="38"/>
      <c r="Y297" s="38"/>
      <c r="Z297" s="38"/>
      <c r="AA297" s="38"/>
    </row>
    <row r="298">
      <c r="A298" s="31"/>
      <c r="B298" s="38"/>
      <c r="C298" s="38"/>
      <c r="D298" s="50"/>
      <c r="E298" s="50"/>
      <c r="F298" s="50"/>
      <c r="G298" s="27" t="str">
        <f>VLOOKUP(E298,DropDown!J:K,2,FALSE)</f>
        <v>#N/A</v>
      </c>
      <c r="H298" s="50"/>
      <c r="I298" s="50"/>
      <c r="J298" s="50"/>
      <c r="K298" s="25" t="s">
        <v>116</v>
      </c>
      <c r="L298" s="23"/>
      <c r="M298" s="23"/>
      <c r="N298" s="25" t="str">
        <f>"("""&amp;B298&amp;""") ("&amp;Vlookup(E298,DropDown!J:N,5,FALSE)&amp;" OR """ &amp;YEAR(D298) &amp; """ OR ""All New"" OR Episode OR Watch OR tv OR Show OR Series OR season OR binge OR Stream OR Film OR Movie OR Premiere OR Screening OR Feature OR Trailer OR Teaser OR theater OR release)"</f>
        <v>#N/A</v>
      </c>
      <c r="O298" s="23" t="str">
        <f t="shared" si="1"/>
        <v>#</v>
      </c>
      <c r="P298" s="23" t="str">
        <f t="shared" si="2"/>
        <v>#</v>
      </c>
      <c r="Q298" s="23"/>
      <c r="R298" s="23" t="str">
        <f>"("""&amp;B298&amp;""") ("&amp;Vlookup(E298,DropDown!R:V,5,FALSE)&amp;IF(ISBLANK(D298)," | "," "&amp;"OR """&amp;YEAR(D298)&amp;""" | ") &amp; """All New"" | Episode | Watch | tv | Show | Series | season | binge | Stream | Film | Movie | Premiere | Screening | Feature | Trailer | Teaser | theater | release)"</f>
        <v>#N/A</v>
      </c>
      <c r="S298" s="23"/>
      <c r="T298" s="23"/>
      <c r="U298" s="23"/>
      <c r="V298" s="23"/>
      <c r="W298" s="23"/>
      <c r="X298" s="38"/>
      <c r="Y298" s="38"/>
      <c r="Z298" s="38"/>
      <c r="AA298" s="38"/>
    </row>
    <row r="299">
      <c r="A299" s="31"/>
      <c r="B299" s="38"/>
      <c r="C299" s="38"/>
      <c r="D299" s="50"/>
      <c r="E299" s="50"/>
      <c r="F299" s="50"/>
      <c r="G299" s="27" t="str">
        <f>VLOOKUP(E299,DropDown!J:K,2,FALSE)</f>
        <v>#N/A</v>
      </c>
      <c r="H299" s="50"/>
      <c r="I299" s="50"/>
      <c r="J299" s="50"/>
      <c r="K299" s="25" t="s">
        <v>116</v>
      </c>
      <c r="L299" s="23"/>
      <c r="M299" s="23"/>
      <c r="N299" s="25" t="str">
        <f>"("""&amp;B299&amp;""") ("&amp;Vlookup(E299,DropDown!J:N,5,FALSE)&amp;" OR """ &amp;YEAR(D299) &amp; """ OR ""All New"" OR Episode OR Watch OR tv OR Show OR Series OR season OR binge OR Stream OR Film OR Movie OR Premiere OR Screening OR Feature OR Trailer OR Teaser OR theater OR release)"</f>
        <v>#N/A</v>
      </c>
      <c r="O299" s="23" t="str">
        <f t="shared" si="1"/>
        <v>#</v>
      </c>
      <c r="P299" s="23" t="str">
        <f t="shared" si="2"/>
        <v>#</v>
      </c>
      <c r="Q299" s="23"/>
      <c r="R299" s="23" t="str">
        <f>"("""&amp;B299&amp;""") ("&amp;Vlookup(E299,DropDown!R:V,5,FALSE)&amp;IF(ISBLANK(D299)," | "," "&amp;"OR """&amp;YEAR(D299)&amp;""" | ") &amp; """All New"" | Episode | Watch | tv | Show | Series | season | binge | Stream | Film | Movie | Premiere | Screening | Feature | Trailer | Teaser | theater | release)"</f>
        <v>#N/A</v>
      </c>
      <c r="S299" s="23"/>
      <c r="T299" s="23"/>
      <c r="U299" s="23"/>
      <c r="V299" s="23"/>
      <c r="W299" s="23"/>
      <c r="X299" s="38"/>
      <c r="Y299" s="38"/>
      <c r="Z299" s="38"/>
      <c r="AA299" s="38"/>
    </row>
    <row r="300">
      <c r="A300" s="31"/>
      <c r="B300" s="38"/>
      <c r="C300" s="38"/>
      <c r="D300" s="50"/>
      <c r="E300" s="50"/>
      <c r="F300" s="50"/>
      <c r="G300" s="27" t="str">
        <f>VLOOKUP(E300,DropDown!J:K,2,FALSE)</f>
        <v>#N/A</v>
      </c>
      <c r="H300" s="50"/>
      <c r="I300" s="50"/>
      <c r="J300" s="50"/>
      <c r="K300" s="25" t="s">
        <v>116</v>
      </c>
      <c r="L300" s="23"/>
      <c r="M300" s="23"/>
      <c r="N300" s="25" t="str">
        <f>"("""&amp;B300&amp;""") ("&amp;Vlookup(E300,DropDown!J:N,5,FALSE)&amp;" OR """ &amp;YEAR(D300) &amp; """ OR ""All New"" OR Episode OR Watch OR tv OR Show OR Series OR season OR binge OR Stream OR Film OR Movie OR Premiere OR Screening OR Feature OR Trailer OR Teaser OR theater OR release)"</f>
        <v>#N/A</v>
      </c>
      <c r="O300" s="23" t="str">
        <f t="shared" si="1"/>
        <v>#</v>
      </c>
      <c r="P300" s="23" t="str">
        <f t="shared" si="2"/>
        <v>#</v>
      </c>
      <c r="Q300" s="23"/>
      <c r="R300" s="23" t="str">
        <f>"("""&amp;B300&amp;""") ("&amp;Vlookup(E300,DropDown!R:V,5,FALSE)&amp;IF(ISBLANK(D300)," | "," "&amp;"OR """&amp;YEAR(D300)&amp;""" | ") &amp; """All New"" | Episode | Watch | tv | Show | Series | season | binge | Stream | Film | Movie | Premiere | Screening | Feature | Trailer | Teaser | theater | release)"</f>
        <v>#N/A</v>
      </c>
      <c r="S300" s="23"/>
      <c r="T300" s="23"/>
      <c r="U300" s="23"/>
      <c r="V300" s="23"/>
      <c r="W300" s="23"/>
      <c r="X300" s="38"/>
      <c r="Y300" s="38"/>
      <c r="Z300" s="38"/>
      <c r="AA300" s="38"/>
    </row>
    <row r="301">
      <c r="A301" s="31"/>
      <c r="B301" s="38"/>
      <c r="C301" s="38"/>
      <c r="D301" s="50"/>
      <c r="E301" s="50"/>
      <c r="F301" s="50"/>
      <c r="G301" s="27" t="str">
        <f>VLOOKUP(E301,DropDown!J:K,2,FALSE)</f>
        <v>#N/A</v>
      </c>
      <c r="H301" s="50"/>
      <c r="I301" s="50"/>
      <c r="J301" s="50"/>
      <c r="K301" s="25" t="s">
        <v>116</v>
      </c>
      <c r="L301" s="23"/>
      <c r="M301" s="23"/>
      <c r="N301" s="25" t="str">
        <f>"("""&amp;B301&amp;""") ("&amp;Vlookup(E301,DropDown!J:N,5,FALSE)&amp;" OR """ &amp;YEAR(D301) &amp; """ OR ""All New"" OR Episode OR Watch OR tv OR Show OR Series OR season OR binge OR Stream OR Film OR Movie OR Premiere OR Screening OR Feature OR Trailer OR Teaser OR theater OR release)"</f>
        <v>#N/A</v>
      </c>
      <c r="O301" s="23" t="str">
        <f t="shared" si="1"/>
        <v>#</v>
      </c>
      <c r="P301" s="23" t="str">
        <f t="shared" si="2"/>
        <v>#</v>
      </c>
      <c r="Q301" s="23"/>
      <c r="R301" s="23" t="str">
        <f>"("""&amp;B301&amp;""") ("&amp;Vlookup(E301,DropDown!R:V,5,FALSE)&amp;IF(ISBLANK(D301)," | "," "&amp;"OR """&amp;YEAR(D301)&amp;""" | ") &amp; """All New"" | Episode | Watch | tv | Show | Series | season | binge | Stream | Film | Movie | Premiere | Screening | Feature | Trailer | Teaser | theater | release)"</f>
        <v>#N/A</v>
      </c>
      <c r="S301" s="23"/>
      <c r="T301" s="23"/>
      <c r="U301" s="23"/>
      <c r="V301" s="23"/>
      <c r="W301" s="23"/>
      <c r="X301" s="38"/>
      <c r="Y301" s="38"/>
      <c r="Z301" s="38"/>
      <c r="AA301" s="38"/>
    </row>
    <row r="302">
      <c r="A302" s="31"/>
      <c r="B302" s="38"/>
      <c r="C302" s="38"/>
      <c r="D302" s="50"/>
      <c r="E302" s="50"/>
      <c r="F302" s="50"/>
      <c r="G302" s="27" t="str">
        <f>VLOOKUP(E302,DropDown!J:K,2,FALSE)</f>
        <v>#N/A</v>
      </c>
      <c r="H302" s="50"/>
      <c r="I302" s="50"/>
      <c r="J302" s="50"/>
      <c r="K302" s="25" t="s">
        <v>116</v>
      </c>
      <c r="L302" s="23"/>
      <c r="M302" s="23"/>
      <c r="N302" s="25" t="str">
        <f>"("""&amp;B302&amp;""") ("&amp;Vlookup(E302,DropDown!J:N,5,FALSE)&amp;" OR """ &amp;YEAR(D302) &amp; """ OR ""All New"" OR Episode OR Watch OR tv OR Show OR Series OR season OR binge OR Stream OR Film OR Movie OR Premiere OR Screening OR Feature OR Trailer OR Teaser OR theater OR release)"</f>
        <v>#N/A</v>
      </c>
      <c r="O302" s="23" t="str">
        <f t="shared" si="1"/>
        <v>#</v>
      </c>
      <c r="P302" s="23" t="str">
        <f t="shared" si="2"/>
        <v>#</v>
      </c>
      <c r="Q302" s="23"/>
      <c r="R302" s="23" t="str">
        <f>"("""&amp;B302&amp;""") ("&amp;Vlookup(E302,DropDown!R:V,5,FALSE)&amp;IF(ISBLANK(D302)," | "," "&amp;"OR """&amp;YEAR(D302)&amp;""" | ") &amp; """All New"" | Episode | Watch | tv | Show | Series | season | binge | Stream | Film | Movie | Premiere | Screening | Feature | Trailer | Teaser | theater | release)"</f>
        <v>#N/A</v>
      </c>
      <c r="S302" s="23"/>
      <c r="T302" s="23"/>
      <c r="U302" s="23"/>
      <c r="V302" s="23"/>
      <c r="W302" s="23"/>
      <c r="X302" s="38"/>
      <c r="Y302" s="38"/>
      <c r="Z302" s="38"/>
      <c r="AA302" s="38"/>
    </row>
    <row r="303">
      <c r="A303" s="31"/>
      <c r="B303" s="38"/>
      <c r="C303" s="38"/>
      <c r="D303" s="50"/>
      <c r="E303" s="50"/>
      <c r="F303" s="50"/>
      <c r="G303" s="27" t="str">
        <f>VLOOKUP(E303,DropDown!J:K,2,FALSE)</f>
        <v>#N/A</v>
      </c>
      <c r="H303" s="50"/>
      <c r="I303" s="50"/>
      <c r="J303" s="50"/>
      <c r="K303" s="25" t="s">
        <v>116</v>
      </c>
      <c r="L303" s="23"/>
      <c r="M303" s="23"/>
      <c r="N303" s="25" t="str">
        <f>"("""&amp;B303&amp;""") ("&amp;Vlookup(E303,DropDown!J:N,5,FALSE)&amp;" OR """ &amp;YEAR(D303) &amp; """ OR ""All New"" OR Episode OR Watch OR tv OR Show OR Series OR season OR binge OR Stream OR Film OR Movie OR Premiere OR Screening OR Feature OR Trailer OR Teaser OR theater OR release)"</f>
        <v>#N/A</v>
      </c>
      <c r="O303" s="23" t="str">
        <f t="shared" si="1"/>
        <v>#</v>
      </c>
      <c r="P303" s="23" t="str">
        <f t="shared" si="2"/>
        <v>#</v>
      </c>
      <c r="Q303" s="23"/>
      <c r="R303" s="23" t="str">
        <f>"("""&amp;B303&amp;""") ("&amp;Vlookup(E303,DropDown!R:V,5,FALSE)&amp;IF(ISBLANK(D303)," | "," "&amp;"OR """&amp;YEAR(D303)&amp;""" | ") &amp; """All New"" | Episode | Watch | tv | Show | Series | season | binge | Stream | Film | Movie | Premiere | Screening | Feature | Trailer | Teaser | theater | release)"</f>
        <v>#N/A</v>
      </c>
      <c r="S303" s="23"/>
      <c r="T303" s="23"/>
      <c r="U303" s="23"/>
      <c r="V303" s="23"/>
      <c r="W303" s="23"/>
      <c r="X303" s="38"/>
      <c r="Y303" s="38"/>
      <c r="Z303" s="38"/>
      <c r="AA303" s="38"/>
    </row>
    <row r="304">
      <c r="A304" s="31"/>
      <c r="B304" s="38"/>
      <c r="C304" s="38"/>
      <c r="D304" s="50"/>
      <c r="E304" s="50"/>
      <c r="F304" s="50"/>
      <c r="G304" s="27" t="str">
        <f>VLOOKUP(E304,DropDown!J:K,2,FALSE)</f>
        <v>#N/A</v>
      </c>
      <c r="H304" s="50"/>
      <c r="I304" s="50"/>
      <c r="J304" s="50"/>
      <c r="K304" s="25" t="s">
        <v>116</v>
      </c>
      <c r="L304" s="23"/>
      <c r="M304" s="23"/>
      <c r="N304" s="25" t="str">
        <f>"("""&amp;B304&amp;""") ("&amp;Vlookup(E304,DropDown!J:N,5,FALSE)&amp;" OR """ &amp;YEAR(D304) &amp; """ OR ""All New"" OR Episode OR Watch OR tv OR Show OR Series OR season OR binge OR Stream OR Film OR Movie OR Premiere OR Screening OR Feature OR Trailer OR Teaser OR theater OR release)"</f>
        <v>#N/A</v>
      </c>
      <c r="O304" s="23" t="str">
        <f t="shared" si="1"/>
        <v>#</v>
      </c>
      <c r="P304" s="23" t="str">
        <f t="shared" si="2"/>
        <v>#</v>
      </c>
      <c r="Q304" s="23"/>
      <c r="R304" s="23" t="str">
        <f>"("""&amp;B304&amp;""") ("&amp;Vlookup(E304,DropDown!R:V,5,FALSE)&amp;IF(ISBLANK(D304)," | "," "&amp;"OR """&amp;YEAR(D304)&amp;""" | ") &amp; """All New"" | Episode | Watch | tv | Show | Series | season | binge | Stream | Film | Movie | Premiere | Screening | Feature | Trailer | Teaser | theater | release)"</f>
        <v>#N/A</v>
      </c>
      <c r="S304" s="23"/>
      <c r="T304" s="23"/>
      <c r="U304" s="23"/>
      <c r="V304" s="23"/>
      <c r="W304" s="23"/>
      <c r="X304" s="38"/>
      <c r="Y304" s="38"/>
      <c r="Z304" s="38"/>
      <c r="AA304" s="38"/>
    </row>
    <row r="305">
      <c r="A305" s="31"/>
      <c r="B305" s="38"/>
      <c r="C305" s="38"/>
      <c r="D305" s="50"/>
      <c r="E305" s="50"/>
      <c r="F305" s="50"/>
      <c r="G305" s="27" t="str">
        <f>VLOOKUP(E305,DropDown!J:K,2,FALSE)</f>
        <v>#N/A</v>
      </c>
      <c r="H305" s="50"/>
      <c r="I305" s="50"/>
      <c r="J305" s="50"/>
      <c r="K305" s="25" t="s">
        <v>116</v>
      </c>
      <c r="L305" s="23"/>
      <c r="M305" s="23"/>
      <c r="N305" s="25" t="str">
        <f>"("""&amp;B305&amp;""") ("&amp;Vlookup(E305,DropDown!J:N,5,FALSE)&amp;" OR """ &amp;YEAR(D305) &amp; """ OR ""All New"" OR Episode OR Watch OR tv OR Show OR Series OR season OR binge OR Stream OR Film OR Movie OR Premiere OR Screening OR Feature OR Trailer OR Teaser OR theater OR release)"</f>
        <v>#N/A</v>
      </c>
      <c r="O305" s="23" t="str">
        <f t="shared" si="1"/>
        <v>#</v>
      </c>
      <c r="P305" s="23" t="str">
        <f t="shared" si="2"/>
        <v>#</v>
      </c>
      <c r="Q305" s="23"/>
      <c r="R305" s="23" t="str">
        <f>"("""&amp;B305&amp;""") ("&amp;Vlookup(E305,DropDown!R:V,5,FALSE)&amp;IF(ISBLANK(D305)," | "," "&amp;"OR """&amp;YEAR(D305)&amp;""" | ") &amp; """All New"" | Episode | Watch | tv | Show | Series | season | binge | Stream | Film | Movie | Premiere | Screening | Feature | Trailer | Teaser | theater | release)"</f>
        <v>#N/A</v>
      </c>
      <c r="S305" s="23"/>
      <c r="T305" s="23"/>
      <c r="U305" s="23"/>
      <c r="V305" s="23"/>
      <c r="W305" s="23"/>
      <c r="X305" s="38"/>
      <c r="Y305" s="38"/>
      <c r="Z305" s="38"/>
      <c r="AA305" s="38"/>
    </row>
    <row r="306">
      <c r="A306" s="31"/>
      <c r="B306" s="38"/>
      <c r="C306" s="38"/>
      <c r="D306" s="50"/>
      <c r="E306" s="50"/>
      <c r="F306" s="50"/>
      <c r="G306" s="27" t="str">
        <f>VLOOKUP(E306,DropDown!J:K,2,FALSE)</f>
        <v>#N/A</v>
      </c>
      <c r="H306" s="50"/>
      <c r="I306" s="50"/>
      <c r="J306" s="50"/>
      <c r="K306" s="25" t="s">
        <v>116</v>
      </c>
      <c r="L306" s="23"/>
      <c r="M306" s="23"/>
      <c r="N306" s="25" t="str">
        <f>"("""&amp;B306&amp;""") ("&amp;Vlookup(E306,DropDown!J:N,5,FALSE)&amp;" OR """ &amp;YEAR(D306) &amp; """ OR ""All New"" OR Episode OR Watch OR tv OR Show OR Series OR season OR binge OR Stream OR Film OR Movie OR Premiere OR Screening OR Feature OR Trailer OR Teaser OR theater OR release)"</f>
        <v>#N/A</v>
      </c>
      <c r="O306" s="23" t="str">
        <f t="shared" si="1"/>
        <v>#</v>
      </c>
      <c r="P306" s="23" t="str">
        <f t="shared" si="2"/>
        <v>#</v>
      </c>
      <c r="Q306" s="23"/>
      <c r="R306" s="23" t="str">
        <f>"("""&amp;B306&amp;""") ("&amp;Vlookup(E306,DropDown!R:V,5,FALSE)&amp;IF(ISBLANK(D306)," | "," "&amp;"OR """&amp;YEAR(D306)&amp;""" | ") &amp; """All New"" | Episode | Watch | tv | Show | Series | season | binge | Stream | Film | Movie | Premiere | Screening | Feature | Trailer | Teaser | theater | release)"</f>
        <v>#N/A</v>
      </c>
      <c r="S306" s="23"/>
      <c r="T306" s="23"/>
      <c r="U306" s="23"/>
      <c r="V306" s="23"/>
      <c r="W306" s="23"/>
      <c r="X306" s="38"/>
      <c r="Y306" s="38"/>
      <c r="Z306" s="38"/>
      <c r="AA306" s="38"/>
    </row>
    <row r="307">
      <c r="A307" s="31"/>
      <c r="B307" s="38"/>
      <c r="C307" s="38"/>
      <c r="D307" s="50"/>
      <c r="E307" s="50"/>
      <c r="F307" s="50"/>
      <c r="G307" s="27" t="str">
        <f>VLOOKUP(E307,DropDown!J:K,2,FALSE)</f>
        <v>#N/A</v>
      </c>
      <c r="H307" s="50"/>
      <c r="I307" s="50"/>
      <c r="J307" s="50"/>
      <c r="K307" s="25" t="s">
        <v>116</v>
      </c>
      <c r="L307" s="23"/>
      <c r="M307" s="23"/>
      <c r="N307" s="25" t="str">
        <f>"("""&amp;B307&amp;""") ("&amp;Vlookup(E307,DropDown!J:N,5,FALSE)&amp;" OR """ &amp;YEAR(D307) &amp; """ OR ""All New"" OR Episode OR Watch OR tv OR Show OR Series OR season OR binge OR Stream OR Film OR Movie OR Premiere OR Screening OR Feature OR Trailer OR Teaser OR theater OR release)"</f>
        <v>#N/A</v>
      </c>
      <c r="O307" s="23" t="str">
        <f t="shared" si="1"/>
        <v>#</v>
      </c>
      <c r="P307" s="23" t="str">
        <f t="shared" si="2"/>
        <v>#</v>
      </c>
      <c r="Q307" s="23"/>
      <c r="R307" s="23" t="str">
        <f>"("""&amp;B307&amp;""") ("&amp;Vlookup(E307,DropDown!R:V,5,FALSE)&amp;IF(ISBLANK(D307)," | "," "&amp;"OR """&amp;YEAR(D307)&amp;""" | ") &amp; """All New"" | Episode | Watch | tv | Show | Series | season | binge | Stream | Film | Movie | Premiere | Screening | Feature | Trailer | Teaser | theater | release)"</f>
        <v>#N/A</v>
      </c>
      <c r="S307" s="23"/>
      <c r="T307" s="23"/>
      <c r="U307" s="23"/>
      <c r="V307" s="23"/>
      <c r="W307" s="23"/>
      <c r="X307" s="38"/>
      <c r="Y307" s="38"/>
      <c r="Z307" s="38"/>
      <c r="AA307" s="38"/>
    </row>
    <row r="308">
      <c r="A308" s="31"/>
      <c r="B308" s="38"/>
      <c r="C308" s="38"/>
      <c r="D308" s="50"/>
      <c r="E308" s="50"/>
      <c r="F308" s="50"/>
      <c r="G308" s="27" t="str">
        <f>VLOOKUP(E308,DropDown!J:K,2,FALSE)</f>
        <v>#N/A</v>
      </c>
      <c r="H308" s="50"/>
      <c r="I308" s="50"/>
      <c r="J308" s="50"/>
      <c r="K308" s="25" t="s">
        <v>116</v>
      </c>
      <c r="L308" s="23"/>
      <c r="M308" s="23"/>
      <c r="N308" s="25" t="str">
        <f>"("""&amp;B308&amp;""") ("&amp;Vlookup(E308,DropDown!J:N,5,FALSE)&amp;" OR """ &amp;YEAR(D308) &amp; """ OR ""All New"" OR Episode OR Watch OR tv OR Show OR Series OR season OR binge OR Stream OR Film OR Movie OR Premiere OR Screening OR Feature OR Trailer OR Teaser OR theater OR release)"</f>
        <v>#N/A</v>
      </c>
      <c r="O308" s="23" t="str">
        <f t="shared" si="1"/>
        <v>#</v>
      </c>
      <c r="P308" s="23" t="str">
        <f t="shared" si="2"/>
        <v>#</v>
      </c>
      <c r="Q308" s="23"/>
      <c r="R308" s="23" t="str">
        <f>"("""&amp;B308&amp;""") ("&amp;Vlookup(E308,DropDown!R:V,5,FALSE)&amp;IF(ISBLANK(D308)," | "," "&amp;"OR """&amp;YEAR(D308)&amp;""" | ") &amp; """All New"" | Episode | Watch | tv | Show | Series | season | binge | Stream | Film | Movie | Premiere | Screening | Feature | Trailer | Teaser | theater | release)"</f>
        <v>#N/A</v>
      </c>
      <c r="S308" s="23"/>
      <c r="T308" s="23"/>
      <c r="U308" s="23"/>
      <c r="V308" s="23"/>
      <c r="W308" s="23"/>
      <c r="X308" s="38"/>
      <c r="Y308" s="38"/>
      <c r="Z308" s="38"/>
      <c r="AA308" s="38"/>
    </row>
    <row r="309">
      <c r="A309" s="31"/>
      <c r="B309" s="38"/>
      <c r="C309" s="38"/>
      <c r="D309" s="50"/>
      <c r="E309" s="50"/>
      <c r="F309" s="50"/>
      <c r="G309" s="27" t="str">
        <f>VLOOKUP(E309,DropDown!J:K,2,FALSE)</f>
        <v>#N/A</v>
      </c>
      <c r="H309" s="50"/>
      <c r="I309" s="50"/>
      <c r="J309" s="50"/>
      <c r="K309" s="25" t="s">
        <v>116</v>
      </c>
      <c r="L309" s="23"/>
      <c r="M309" s="23"/>
      <c r="N309" s="25" t="str">
        <f>"("""&amp;B309&amp;""") ("&amp;Vlookup(E309,DropDown!J:N,5,FALSE)&amp;" OR """ &amp;YEAR(D309) &amp; """ OR ""All New"" OR Episode OR Watch OR tv OR Show OR Series OR season OR binge OR Stream OR Film OR Movie OR Premiere OR Screening OR Feature OR Trailer OR Teaser OR theater OR release)"</f>
        <v>#N/A</v>
      </c>
      <c r="O309" s="23" t="str">
        <f t="shared" si="1"/>
        <v>#</v>
      </c>
      <c r="P309" s="23" t="str">
        <f t="shared" si="2"/>
        <v>#</v>
      </c>
      <c r="Q309" s="23"/>
      <c r="R309" s="23" t="str">
        <f>"("""&amp;B309&amp;""") ("&amp;Vlookup(E309,DropDown!R:V,5,FALSE)&amp;IF(ISBLANK(D309)," | "," "&amp;"OR """&amp;YEAR(D309)&amp;""" | ") &amp; """All New"" | Episode | Watch | tv | Show | Series | season | binge | Stream | Film | Movie | Premiere | Screening | Feature | Trailer | Teaser | theater | release)"</f>
        <v>#N/A</v>
      </c>
      <c r="S309" s="23"/>
      <c r="T309" s="23"/>
      <c r="U309" s="23"/>
      <c r="V309" s="23"/>
      <c r="W309" s="23"/>
      <c r="X309" s="38"/>
      <c r="Y309" s="38"/>
      <c r="Z309" s="38"/>
      <c r="AA309" s="38"/>
    </row>
    <row r="310">
      <c r="A310" s="31"/>
      <c r="B310" s="38"/>
      <c r="C310" s="38"/>
      <c r="D310" s="50"/>
      <c r="E310" s="50"/>
      <c r="F310" s="50"/>
      <c r="G310" s="27" t="str">
        <f>VLOOKUP(E310,DropDown!J:K,2,FALSE)</f>
        <v>#N/A</v>
      </c>
      <c r="H310" s="50"/>
      <c r="I310" s="50"/>
      <c r="J310" s="50"/>
      <c r="K310" s="25" t="s">
        <v>116</v>
      </c>
      <c r="L310" s="23"/>
      <c r="M310" s="23"/>
      <c r="N310" s="25" t="str">
        <f>"("""&amp;B310&amp;""") ("&amp;Vlookup(E310,DropDown!J:N,5,FALSE)&amp;" OR """ &amp;YEAR(D310) &amp; """ OR ""All New"" OR Episode OR Watch OR tv OR Show OR Series OR season OR binge OR Stream OR Film OR Movie OR Premiere OR Screening OR Feature OR Trailer OR Teaser OR theater OR release)"</f>
        <v>#N/A</v>
      </c>
      <c r="O310" s="23" t="str">
        <f t="shared" si="1"/>
        <v>#</v>
      </c>
      <c r="P310" s="23" t="str">
        <f t="shared" si="2"/>
        <v>#</v>
      </c>
      <c r="Q310" s="23"/>
      <c r="R310" s="23" t="str">
        <f>"("""&amp;B310&amp;""") ("&amp;Vlookup(E310,DropDown!R:V,5,FALSE)&amp;IF(ISBLANK(D310)," | "," "&amp;"OR """&amp;YEAR(D310)&amp;""" | ") &amp; """All New"" | Episode | Watch | tv | Show | Series | season | binge | Stream | Film | Movie | Premiere | Screening | Feature | Trailer | Teaser | theater | release)"</f>
        <v>#N/A</v>
      </c>
      <c r="S310" s="23"/>
      <c r="T310" s="23"/>
      <c r="U310" s="23"/>
      <c r="V310" s="23"/>
      <c r="W310" s="23"/>
      <c r="X310" s="38"/>
      <c r="Y310" s="38"/>
      <c r="Z310" s="38"/>
      <c r="AA310" s="38"/>
    </row>
    <row r="311">
      <c r="A311" s="31"/>
      <c r="B311" s="38"/>
      <c r="C311" s="38"/>
      <c r="D311" s="50"/>
      <c r="E311" s="50"/>
      <c r="F311" s="50"/>
      <c r="G311" s="27" t="str">
        <f>VLOOKUP(E311,DropDown!J:K,2,FALSE)</f>
        <v>#N/A</v>
      </c>
      <c r="H311" s="50"/>
      <c r="I311" s="50"/>
      <c r="J311" s="50"/>
      <c r="K311" s="25" t="s">
        <v>116</v>
      </c>
      <c r="L311" s="23"/>
      <c r="M311" s="23"/>
      <c r="N311" s="25" t="str">
        <f>"("""&amp;B311&amp;""") ("&amp;Vlookup(E311,DropDown!J:N,5,FALSE)&amp;" OR """ &amp;YEAR(D311) &amp; """ OR ""All New"" OR Episode OR Watch OR tv OR Show OR Series OR season OR binge OR Stream OR Film OR Movie OR Premiere OR Screening OR Feature OR Trailer OR Teaser OR theater OR release)"</f>
        <v>#N/A</v>
      </c>
      <c r="O311" s="23" t="str">
        <f t="shared" si="1"/>
        <v>#</v>
      </c>
      <c r="P311" s="23" t="str">
        <f t="shared" si="2"/>
        <v>#</v>
      </c>
      <c r="Q311" s="23"/>
      <c r="R311" s="23" t="str">
        <f>"("""&amp;B311&amp;""") ("&amp;Vlookup(E311,DropDown!R:V,5,FALSE)&amp;IF(ISBLANK(D311)," | "," "&amp;"OR """&amp;YEAR(D311)&amp;""" | ") &amp; """All New"" | Episode | Watch | tv | Show | Series | season | binge | Stream | Film | Movie | Premiere | Screening | Feature | Trailer | Teaser | theater | release)"</f>
        <v>#N/A</v>
      </c>
      <c r="S311" s="23"/>
      <c r="T311" s="23"/>
      <c r="U311" s="23"/>
      <c r="V311" s="23"/>
      <c r="W311" s="23"/>
      <c r="X311" s="38"/>
      <c r="Y311" s="38"/>
      <c r="Z311" s="38"/>
      <c r="AA311" s="38"/>
    </row>
    <row r="312">
      <c r="A312" s="31"/>
      <c r="B312" s="38"/>
      <c r="C312" s="38"/>
      <c r="D312" s="50"/>
      <c r="E312" s="50"/>
      <c r="F312" s="50"/>
      <c r="G312" s="27" t="str">
        <f>VLOOKUP(E312,DropDown!J:K,2,FALSE)</f>
        <v>#N/A</v>
      </c>
      <c r="H312" s="50"/>
      <c r="I312" s="50"/>
      <c r="J312" s="50"/>
      <c r="K312" s="25" t="s">
        <v>116</v>
      </c>
      <c r="L312" s="23"/>
      <c r="M312" s="23"/>
      <c r="N312" s="25" t="str">
        <f>"("""&amp;B312&amp;""") ("&amp;Vlookup(E312,DropDown!J:N,5,FALSE)&amp;" OR """ &amp;YEAR(D312) &amp; """ OR ""All New"" OR Episode OR Watch OR tv OR Show OR Series OR season OR binge OR Stream OR Film OR Movie OR Premiere OR Screening OR Feature OR Trailer OR Teaser OR theater OR release)"</f>
        <v>#N/A</v>
      </c>
      <c r="O312" s="23" t="str">
        <f t="shared" si="1"/>
        <v>#</v>
      </c>
      <c r="P312" s="23" t="str">
        <f t="shared" si="2"/>
        <v>#</v>
      </c>
      <c r="Q312" s="23"/>
      <c r="R312" s="23" t="str">
        <f>"("""&amp;B312&amp;""") ("&amp;Vlookup(E312,DropDown!R:V,5,FALSE)&amp;IF(ISBLANK(D312)," | "," "&amp;"OR """&amp;YEAR(D312)&amp;""" | ") &amp; """All New"" | Episode | Watch | tv | Show | Series | season | binge | Stream | Film | Movie | Premiere | Screening | Feature | Trailer | Teaser | theater | release)"</f>
        <v>#N/A</v>
      </c>
      <c r="S312" s="23"/>
      <c r="T312" s="23"/>
      <c r="U312" s="23"/>
      <c r="V312" s="23"/>
      <c r="W312" s="23"/>
      <c r="X312" s="38"/>
      <c r="Y312" s="38"/>
      <c r="Z312" s="38"/>
      <c r="AA312" s="38"/>
    </row>
    <row r="313">
      <c r="A313" s="31"/>
      <c r="B313" s="38"/>
      <c r="C313" s="38"/>
      <c r="D313" s="50"/>
      <c r="E313" s="50"/>
      <c r="F313" s="50"/>
      <c r="G313" s="27" t="str">
        <f>VLOOKUP(E313,DropDown!J:K,2,FALSE)</f>
        <v>#N/A</v>
      </c>
      <c r="H313" s="50"/>
      <c r="I313" s="50"/>
      <c r="J313" s="50"/>
      <c r="K313" s="25" t="s">
        <v>116</v>
      </c>
      <c r="L313" s="23"/>
      <c r="M313" s="23"/>
      <c r="N313" s="25" t="str">
        <f>"("""&amp;B313&amp;""") ("&amp;Vlookup(E313,DropDown!J:N,5,FALSE)&amp;" OR """ &amp;YEAR(D313) &amp; """ OR ""All New"" OR Episode OR Watch OR tv OR Show OR Series OR season OR binge OR Stream OR Film OR Movie OR Premiere OR Screening OR Feature OR Trailer OR Teaser OR theater OR release)"</f>
        <v>#N/A</v>
      </c>
      <c r="O313" s="23" t="str">
        <f t="shared" si="1"/>
        <v>#</v>
      </c>
      <c r="P313" s="23" t="str">
        <f t="shared" si="2"/>
        <v>#</v>
      </c>
      <c r="Q313" s="23"/>
      <c r="R313" s="23" t="str">
        <f>"("""&amp;B313&amp;""") ("&amp;Vlookup(E313,DropDown!R:V,5,FALSE)&amp;IF(ISBLANK(D313)," | "," "&amp;"OR """&amp;YEAR(D313)&amp;""" | ") &amp; """All New"" | Episode | Watch | tv | Show | Series | season | binge | Stream | Film | Movie | Premiere | Screening | Feature | Trailer | Teaser | theater | release)"</f>
        <v>#N/A</v>
      </c>
      <c r="S313" s="23"/>
      <c r="T313" s="23"/>
      <c r="U313" s="23"/>
      <c r="V313" s="23"/>
      <c r="W313" s="23"/>
      <c r="X313" s="38"/>
      <c r="Y313" s="38"/>
      <c r="Z313" s="38"/>
      <c r="AA313" s="38"/>
    </row>
    <row r="314">
      <c r="A314" s="31"/>
      <c r="B314" s="38"/>
      <c r="C314" s="38"/>
      <c r="D314" s="50"/>
      <c r="E314" s="50"/>
      <c r="F314" s="50"/>
      <c r="G314" s="27" t="str">
        <f>VLOOKUP(E314,DropDown!J:K,2,FALSE)</f>
        <v>#N/A</v>
      </c>
      <c r="H314" s="50"/>
      <c r="I314" s="50"/>
      <c r="J314" s="50"/>
      <c r="K314" s="25" t="s">
        <v>116</v>
      </c>
      <c r="L314" s="23"/>
      <c r="M314" s="23"/>
      <c r="N314" s="25" t="str">
        <f>"("""&amp;B314&amp;""") ("&amp;Vlookup(E314,DropDown!J:N,5,FALSE)&amp;" OR """ &amp;YEAR(D314) &amp; """ OR ""All New"" OR Episode OR Watch OR tv OR Show OR Series OR season OR binge OR Stream OR Film OR Movie OR Premiere OR Screening OR Feature OR Trailer OR Teaser OR theater OR release)"</f>
        <v>#N/A</v>
      </c>
      <c r="O314" s="23" t="str">
        <f t="shared" si="1"/>
        <v>#</v>
      </c>
      <c r="P314" s="23" t="str">
        <f t="shared" si="2"/>
        <v>#</v>
      </c>
      <c r="Q314" s="23"/>
      <c r="R314" s="23" t="str">
        <f>"("""&amp;B314&amp;""") ("&amp;Vlookup(E314,DropDown!R:V,5,FALSE)&amp;IF(ISBLANK(D314)," | "," "&amp;"OR """&amp;YEAR(D314)&amp;""" | ") &amp; """All New"" | Episode | Watch | tv | Show | Series | season | binge | Stream | Film | Movie | Premiere | Screening | Feature | Trailer | Teaser | theater | release)"</f>
        <v>#N/A</v>
      </c>
      <c r="S314" s="23"/>
      <c r="T314" s="23"/>
      <c r="U314" s="23"/>
      <c r="V314" s="23"/>
      <c r="W314" s="23"/>
      <c r="X314" s="38"/>
      <c r="Y314" s="38"/>
      <c r="Z314" s="38"/>
      <c r="AA314" s="38"/>
    </row>
    <row r="315">
      <c r="A315" s="31"/>
      <c r="B315" s="38"/>
      <c r="C315" s="38"/>
      <c r="D315" s="50"/>
      <c r="E315" s="50"/>
      <c r="F315" s="50"/>
      <c r="G315" s="27" t="str">
        <f>VLOOKUP(E315,DropDown!J:K,2,FALSE)</f>
        <v>#N/A</v>
      </c>
      <c r="H315" s="50"/>
      <c r="I315" s="50"/>
      <c r="J315" s="50"/>
      <c r="K315" s="25" t="s">
        <v>116</v>
      </c>
      <c r="L315" s="23"/>
      <c r="M315" s="23"/>
      <c r="N315" s="25" t="str">
        <f>"("""&amp;B315&amp;""") ("&amp;Vlookup(E315,DropDown!J:N,5,FALSE)&amp;" OR """ &amp;YEAR(D315) &amp; """ OR ""All New"" OR Episode OR Watch OR tv OR Show OR Series OR season OR binge OR Stream OR Film OR Movie OR Premiere OR Screening OR Feature OR Trailer OR Teaser OR theater OR release)"</f>
        <v>#N/A</v>
      </c>
      <c r="O315" s="23" t="str">
        <f t="shared" si="1"/>
        <v>#</v>
      </c>
      <c r="P315" s="23" t="str">
        <f t="shared" si="2"/>
        <v>#</v>
      </c>
      <c r="Q315" s="23"/>
      <c r="R315" s="23" t="str">
        <f>"("""&amp;B315&amp;""") ("&amp;Vlookup(E315,DropDown!R:V,5,FALSE)&amp;IF(ISBLANK(D315)," | "," "&amp;"OR """&amp;YEAR(D315)&amp;""" | ") &amp; """All New"" | Episode | Watch | tv | Show | Series | season | binge | Stream | Film | Movie | Premiere | Screening | Feature | Trailer | Teaser | theater | release)"</f>
        <v>#N/A</v>
      </c>
      <c r="S315" s="23"/>
      <c r="T315" s="23"/>
      <c r="U315" s="23"/>
      <c r="V315" s="23"/>
      <c r="W315" s="23"/>
      <c r="X315" s="38"/>
      <c r="Y315" s="38"/>
      <c r="Z315" s="38"/>
      <c r="AA315" s="38"/>
    </row>
    <row r="316">
      <c r="A316" s="31"/>
      <c r="B316" s="38"/>
      <c r="C316" s="38"/>
      <c r="D316" s="50"/>
      <c r="E316" s="50"/>
      <c r="F316" s="50"/>
      <c r="G316" s="27" t="str">
        <f>VLOOKUP(E316,DropDown!J:K,2,FALSE)</f>
        <v>#N/A</v>
      </c>
      <c r="H316" s="50"/>
      <c r="I316" s="50"/>
      <c r="J316" s="50"/>
      <c r="K316" s="25" t="s">
        <v>116</v>
      </c>
      <c r="L316" s="23"/>
      <c r="M316" s="23"/>
      <c r="N316" s="25" t="str">
        <f>"("""&amp;B316&amp;""") ("&amp;Vlookup(E316,DropDown!J:N,5,FALSE)&amp;" OR """ &amp;YEAR(D316) &amp; """ OR ""All New"" OR Episode OR Watch OR tv OR Show OR Series OR season OR binge OR Stream OR Film OR Movie OR Premiere OR Screening OR Feature OR Trailer OR Teaser OR theater OR release)"</f>
        <v>#N/A</v>
      </c>
      <c r="O316" s="23" t="str">
        <f t="shared" si="1"/>
        <v>#</v>
      </c>
      <c r="P316" s="23" t="str">
        <f t="shared" si="2"/>
        <v>#</v>
      </c>
      <c r="Q316" s="23"/>
      <c r="R316" s="23" t="str">
        <f>"("""&amp;B316&amp;""") ("&amp;Vlookup(E316,DropDown!R:V,5,FALSE)&amp;IF(ISBLANK(D316)," | "," "&amp;"OR """&amp;YEAR(D316)&amp;""" | ") &amp; """All New"" | Episode | Watch | tv | Show | Series | season | binge | Stream | Film | Movie | Premiere | Screening | Feature | Trailer | Teaser | theater | release)"</f>
        <v>#N/A</v>
      </c>
      <c r="S316" s="23"/>
      <c r="T316" s="23"/>
      <c r="U316" s="23"/>
      <c r="V316" s="23"/>
      <c r="W316" s="23"/>
      <c r="X316" s="38"/>
      <c r="Y316" s="38"/>
      <c r="Z316" s="38"/>
      <c r="AA316" s="38"/>
    </row>
    <row r="317">
      <c r="A317" s="31"/>
      <c r="B317" s="38"/>
      <c r="C317" s="38"/>
      <c r="D317" s="50"/>
      <c r="E317" s="50"/>
      <c r="F317" s="50"/>
      <c r="G317" s="27" t="str">
        <f>VLOOKUP(E317,DropDown!J:K,2,FALSE)</f>
        <v>#N/A</v>
      </c>
      <c r="H317" s="50"/>
      <c r="I317" s="50"/>
      <c r="J317" s="50"/>
      <c r="K317" s="25" t="s">
        <v>116</v>
      </c>
      <c r="L317" s="23"/>
      <c r="M317" s="23"/>
      <c r="N317" s="25" t="str">
        <f>"("""&amp;B317&amp;""") ("&amp;Vlookup(E317,DropDown!J:N,5,FALSE)&amp;" OR """ &amp;YEAR(D317) &amp; """ OR ""All New"" OR Episode OR Watch OR tv OR Show OR Series OR season OR binge OR Stream OR Film OR Movie OR Premiere OR Screening OR Feature OR Trailer OR Teaser OR theater OR release)"</f>
        <v>#N/A</v>
      </c>
      <c r="O317" s="23" t="str">
        <f t="shared" si="1"/>
        <v>#</v>
      </c>
      <c r="P317" s="23" t="str">
        <f t="shared" si="2"/>
        <v>#</v>
      </c>
      <c r="Q317" s="23"/>
      <c r="R317" s="23" t="str">
        <f>"("""&amp;B317&amp;""") ("&amp;Vlookup(E317,DropDown!R:V,5,FALSE)&amp;IF(ISBLANK(D317)," | "," "&amp;"OR """&amp;YEAR(D317)&amp;""" | ") &amp; """All New"" | Episode | Watch | tv | Show | Series | season | binge | Stream | Film | Movie | Premiere | Screening | Feature | Trailer | Teaser | theater | release)"</f>
        <v>#N/A</v>
      </c>
      <c r="S317" s="23"/>
      <c r="T317" s="23"/>
      <c r="U317" s="23"/>
      <c r="V317" s="23"/>
      <c r="W317" s="23"/>
      <c r="X317" s="38"/>
      <c r="Y317" s="38"/>
      <c r="Z317" s="38"/>
      <c r="AA317" s="38"/>
    </row>
    <row r="318">
      <c r="A318" s="31"/>
      <c r="B318" s="38"/>
      <c r="C318" s="38"/>
      <c r="D318" s="50"/>
      <c r="E318" s="50"/>
      <c r="F318" s="50"/>
      <c r="G318" s="27" t="str">
        <f>VLOOKUP(E318,DropDown!J:K,2,FALSE)</f>
        <v>#N/A</v>
      </c>
      <c r="H318" s="50"/>
      <c r="I318" s="50"/>
      <c r="J318" s="50"/>
      <c r="K318" s="25" t="s">
        <v>116</v>
      </c>
      <c r="L318" s="23"/>
      <c r="M318" s="23"/>
      <c r="N318" s="25" t="str">
        <f>"("""&amp;B318&amp;""") ("&amp;Vlookup(E318,DropDown!J:N,5,FALSE)&amp;" OR """ &amp;YEAR(D318) &amp; """ OR ""All New"" OR Episode OR Watch OR tv OR Show OR Series OR season OR binge OR Stream OR Film OR Movie OR Premiere OR Screening OR Feature OR Trailer OR Teaser OR theater OR release)"</f>
        <v>#N/A</v>
      </c>
      <c r="O318" s="23" t="str">
        <f t="shared" si="1"/>
        <v>#</v>
      </c>
      <c r="P318" s="23" t="str">
        <f t="shared" si="2"/>
        <v>#</v>
      </c>
      <c r="Q318" s="23"/>
      <c r="R318" s="23" t="str">
        <f>"("""&amp;B318&amp;""") ("&amp;Vlookup(E318,DropDown!R:V,5,FALSE)&amp;IF(ISBLANK(D318)," | "," "&amp;"OR """&amp;YEAR(D318)&amp;""" | ") &amp; """All New"" | Episode | Watch | tv | Show | Series | season | binge | Stream | Film | Movie | Premiere | Screening | Feature | Trailer | Teaser | theater | release)"</f>
        <v>#N/A</v>
      </c>
      <c r="S318" s="23"/>
      <c r="T318" s="23"/>
      <c r="U318" s="23"/>
      <c r="V318" s="23"/>
      <c r="W318" s="23"/>
      <c r="X318" s="38"/>
      <c r="Y318" s="38"/>
      <c r="Z318" s="38"/>
      <c r="AA318" s="38"/>
    </row>
    <row r="319">
      <c r="A319" s="31"/>
      <c r="B319" s="38"/>
      <c r="C319" s="38"/>
      <c r="D319" s="50"/>
      <c r="E319" s="50"/>
      <c r="F319" s="50"/>
      <c r="G319" s="27" t="str">
        <f>VLOOKUP(E319,DropDown!J:K,2,FALSE)</f>
        <v>#N/A</v>
      </c>
      <c r="H319" s="50"/>
      <c r="I319" s="50"/>
      <c r="J319" s="50"/>
      <c r="K319" s="25" t="s">
        <v>116</v>
      </c>
      <c r="L319" s="23"/>
      <c r="M319" s="23"/>
      <c r="N319" s="25" t="str">
        <f>"("""&amp;B319&amp;""") ("&amp;Vlookup(E319,DropDown!J:N,5,FALSE)&amp;" OR """ &amp;YEAR(D319) &amp; """ OR ""All New"" OR Episode OR Watch OR tv OR Show OR Series OR season OR binge OR Stream OR Film OR Movie OR Premiere OR Screening OR Feature OR Trailer OR Teaser OR theater OR release)"</f>
        <v>#N/A</v>
      </c>
      <c r="O319" s="23" t="str">
        <f t="shared" si="1"/>
        <v>#</v>
      </c>
      <c r="P319" s="23" t="str">
        <f t="shared" si="2"/>
        <v>#</v>
      </c>
      <c r="Q319" s="23"/>
      <c r="R319" s="23" t="str">
        <f>"("""&amp;B319&amp;""") ("&amp;Vlookup(E319,DropDown!R:V,5,FALSE)&amp;IF(ISBLANK(D319)," | "," "&amp;"OR """&amp;YEAR(D319)&amp;""" | ") &amp; """All New"" | Episode | Watch | tv | Show | Series | season | binge | Stream | Film | Movie | Premiere | Screening | Feature | Trailer | Teaser | theater | release)"</f>
        <v>#N/A</v>
      </c>
      <c r="S319" s="23"/>
      <c r="T319" s="23"/>
      <c r="U319" s="23"/>
      <c r="V319" s="23"/>
      <c r="W319" s="23"/>
      <c r="X319" s="38"/>
      <c r="Y319" s="38"/>
      <c r="Z319" s="38"/>
      <c r="AA319" s="38"/>
    </row>
    <row r="320">
      <c r="A320" s="31"/>
      <c r="B320" s="38"/>
      <c r="C320" s="38"/>
      <c r="D320" s="50"/>
      <c r="E320" s="50"/>
      <c r="F320" s="50"/>
      <c r="G320" s="27" t="str">
        <f>VLOOKUP(E320,DropDown!J:K,2,FALSE)</f>
        <v>#N/A</v>
      </c>
      <c r="H320" s="50"/>
      <c r="I320" s="50"/>
      <c r="J320" s="50"/>
      <c r="K320" s="25" t="s">
        <v>116</v>
      </c>
      <c r="L320" s="23"/>
      <c r="M320" s="23"/>
      <c r="N320" s="25" t="str">
        <f>"("""&amp;B320&amp;""") ("&amp;Vlookup(E320,DropDown!J:N,5,FALSE)&amp;" OR """ &amp;YEAR(D320) &amp; """ OR ""All New"" OR Episode OR Watch OR tv OR Show OR Series OR season OR binge OR Stream OR Film OR Movie OR Premiere OR Screening OR Feature OR Trailer OR Teaser OR theater OR release)"</f>
        <v>#N/A</v>
      </c>
      <c r="O320" s="23" t="str">
        <f t="shared" si="1"/>
        <v>#</v>
      </c>
      <c r="P320" s="23" t="str">
        <f t="shared" si="2"/>
        <v>#</v>
      </c>
      <c r="Q320" s="23"/>
      <c r="R320" s="23" t="str">
        <f>"("""&amp;B320&amp;""") ("&amp;Vlookup(E320,DropDown!R:V,5,FALSE)&amp;IF(ISBLANK(D320)," | "," "&amp;"OR """&amp;YEAR(D320)&amp;""" | ") &amp; """All New"" | Episode | Watch | tv | Show | Series | season | binge | Stream | Film | Movie | Premiere | Screening | Feature | Trailer | Teaser | theater | release)"</f>
        <v>#N/A</v>
      </c>
      <c r="S320" s="23"/>
      <c r="T320" s="23"/>
      <c r="U320" s="23"/>
      <c r="V320" s="23"/>
      <c r="W320" s="23"/>
      <c r="X320" s="38"/>
      <c r="Y320" s="38"/>
      <c r="Z320" s="38"/>
      <c r="AA320" s="38"/>
    </row>
    <row r="321">
      <c r="A321" s="31"/>
      <c r="B321" s="38"/>
      <c r="C321" s="38"/>
      <c r="D321" s="50"/>
      <c r="E321" s="50"/>
      <c r="F321" s="50"/>
      <c r="G321" s="27" t="str">
        <f>VLOOKUP(E321,DropDown!J:K,2,FALSE)</f>
        <v>#N/A</v>
      </c>
      <c r="H321" s="50"/>
      <c r="I321" s="50"/>
      <c r="J321" s="50"/>
      <c r="K321" s="25" t="s">
        <v>116</v>
      </c>
      <c r="L321" s="23"/>
      <c r="M321" s="23"/>
      <c r="N321" s="25" t="str">
        <f>"("""&amp;B321&amp;""") ("&amp;Vlookup(E321,DropDown!J:N,5,FALSE)&amp;" OR """ &amp;YEAR(D321) &amp; """ OR ""All New"" OR Episode OR Watch OR tv OR Show OR Series OR season OR binge OR Stream OR Film OR Movie OR Premiere OR Screening OR Feature OR Trailer OR Teaser OR theater OR release)"</f>
        <v>#N/A</v>
      </c>
      <c r="O321" s="23" t="str">
        <f t="shared" si="1"/>
        <v>#</v>
      </c>
      <c r="P321" s="23" t="str">
        <f t="shared" si="2"/>
        <v>#</v>
      </c>
      <c r="Q321" s="23"/>
      <c r="R321" s="23" t="str">
        <f>"("""&amp;B321&amp;""") ("&amp;Vlookup(E321,DropDown!R:V,5,FALSE)&amp;IF(ISBLANK(D321)," | "," "&amp;"OR """&amp;YEAR(D321)&amp;""" | ") &amp; """All New"" | Episode | Watch | tv | Show | Series | season | binge | Stream | Film | Movie | Premiere | Screening | Feature | Trailer | Teaser | theater | release)"</f>
        <v>#N/A</v>
      </c>
      <c r="S321" s="23"/>
      <c r="T321" s="23"/>
      <c r="U321" s="23"/>
      <c r="V321" s="23"/>
      <c r="W321" s="23"/>
      <c r="X321" s="38"/>
      <c r="Y321" s="38"/>
      <c r="Z321" s="38"/>
      <c r="AA321" s="38"/>
    </row>
    <row r="322">
      <c r="A322" s="31"/>
      <c r="B322" s="38"/>
      <c r="C322" s="38"/>
      <c r="D322" s="50"/>
      <c r="E322" s="50"/>
      <c r="F322" s="50"/>
      <c r="G322" s="27" t="str">
        <f>VLOOKUP(E322,DropDown!J:K,2,FALSE)</f>
        <v>#N/A</v>
      </c>
      <c r="H322" s="50"/>
      <c r="I322" s="50"/>
      <c r="J322" s="50"/>
      <c r="K322" s="25" t="s">
        <v>116</v>
      </c>
      <c r="L322" s="23"/>
      <c r="M322" s="23"/>
      <c r="N322" s="25" t="str">
        <f>"("""&amp;B322&amp;""") ("&amp;Vlookup(E322,DropDown!J:N,5,FALSE)&amp;" OR """ &amp;YEAR(D322) &amp; """ OR ""All New"" OR Episode OR Watch OR tv OR Show OR Series OR season OR binge OR Stream OR Film OR Movie OR Premiere OR Screening OR Feature OR Trailer OR Teaser OR theater OR release)"</f>
        <v>#N/A</v>
      </c>
      <c r="O322" s="23" t="str">
        <f t="shared" si="1"/>
        <v>#</v>
      </c>
      <c r="P322" s="23" t="str">
        <f t="shared" si="2"/>
        <v>#</v>
      </c>
      <c r="Q322" s="23"/>
      <c r="R322" s="23" t="str">
        <f>"("""&amp;B322&amp;""") ("&amp;Vlookup(E322,DropDown!R:V,5,FALSE)&amp;IF(ISBLANK(D322)," | "," "&amp;"OR """&amp;YEAR(D322)&amp;""" | ") &amp; """All New"" | Episode | Watch | tv | Show | Series | season | binge | Stream | Film | Movie | Premiere | Screening | Feature | Trailer | Teaser | theater | release)"</f>
        <v>#N/A</v>
      </c>
      <c r="S322" s="23"/>
      <c r="T322" s="23"/>
      <c r="U322" s="23"/>
      <c r="V322" s="23"/>
      <c r="W322" s="23"/>
      <c r="X322" s="38"/>
      <c r="Y322" s="38"/>
      <c r="Z322" s="38"/>
      <c r="AA322" s="38"/>
    </row>
    <row r="323">
      <c r="A323" s="31"/>
      <c r="B323" s="38"/>
      <c r="C323" s="38"/>
      <c r="D323" s="50"/>
      <c r="E323" s="50"/>
      <c r="F323" s="50"/>
      <c r="G323" s="27" t="str">
        <f>VLOOKUP(E323,DropDown!J:K,2,FALSE)</f>
        <v>#N/A</v>
      </c>
      <c r="H323" s="50"/>
      <c r="I323" s="50"/>
      <c r="J323" s="50"/>
      <c r="K323" s="25" t="s">
        <v>116</v>
      </c>
      <c r="L323" s="23"/>
      <c r="M323" s="23"/>
      <c r="N323" s="25" t="str">
        <f>"("""&amp;B323&amp;""") ("&amp;Vlookup(E323,DropDown!J:N,5,FALSE)&amp;" OR """ &amp;YEAR(D323) &amp; """ OR ""All New"" OR Episode OR Watch OR tv OR Show OR Series OR season OR binge OR Stream OR Film OR Movie OR Premiere OR Screening OR Feature OR Trailer OR Teaser OR theater OR release)"</f>
        <v>#N/A</v>
      </c>
      <c r="O323" s="23" t="str">
        <f t="shared" si="1"/>
        <v>#</v>
      </c>
      <c r="P323" s="23" t="str">
        <f t="shared" si="2"/>
        <v>#</v>
      </c>
      <c r="Q323" s="23"/>
      <c r="R323" s="23" t="str">
        <f>"("""&amp;B323&amp;""") ("&amp;Vlookup(E323,DropDown!R:V,5,FALSE)&amp;IF(ISBLANK(D323)," | "," "&amp;"OR """&amp;YEAR(D323)&amp;""" | ") &amp; """All New"" | Episode | Watch | tv | Show | Series | season | binge | Stream | Film | Movie | Premiere | Screening | Feature | Trailer | Teaser | theater | release)"</f>
        <v>#N/A</v>
      </c>
      <c r="S323" s="23"/>
      <c r="T323" s="23"/>
      <c r="U323" s="23"/>
      <c r="V323" s="23"/>
      <c r="W323" s="23"/>
      <c r="X323" s="38"/>
      <c r="Y323" s="38"/>
      <c r="Z323" s="38"/>
      <c r="AA323" s="38"/>
    </row>
    <row r="324">
      <c r="A324" s="31"/>
      <c r="B324" s="38"/>
      <c r="C324" s="38"/>
      <c r="D324" s="50"/>
      <c r="E324" s="50"/>
      <c r="F324" s="50"/>
      <c r="G324" s="27" t="str">
        <f>VLOOKUP(E324,DropDown!J:K,2,FALSE)</f>
        <v>#N/A</v>
      </c>
      <c r="H324" s="50"/>
      <c r="I324" s="50"/>
      <c r="J324" s="50"/>
      <c r="K324" s="25" t="s">
        <v>116</v>
      </c>
      <c r="L324" s="23"/>
      <c r="M324" s="23"/>
      <c r="N324" s="25" t="str">
        <f>"("""&amp;B324&amp;""") ("&amp;Vlookup(E324,DropDown!J:N,5,FALSE)&amp;" OR """ &amp;YEAR(D324) &amp; """ OR ""All New"" OR Episode OR Watch OR tv OR Show OR Series OR season OR binge OR Stream OR Film OR Movie OR Premiere OR Screening OR Feature OR Trailer OR Teaser OR theater OR release)"</f>
        <v>#N/A</v>
      </c>
      <c r="O324" s="23" t="str">
        <f t="shared" si="1"/>
        <v>#</v>
      </c>
      <c r="P324" s="23" t="str">
        <f t="shared" si="2"/>
        <v>#</v>
      </c>
      <c r="Q324" s="23"/>
      <c r="R324" s="23" t="str">
        <f>"("""&amp;B324&amp;""") ("&amp;Vlookup(E324,DropDown!R:V,5,FALSE)&amp;IF(ISBLANK(D324)," | "," "&amp;"OR """&amp;YEAR(D324)&amp;""" | ") &amp; """All New"" | Episode | Watch | tv | Show | Series | season | binge | Stream | Film | Movie | Premiere | Screening | Feature | Trailer | Teaser | theater | release)"</f>
        <v>#N/A</v>
      </c>
      <c r="S324" s="23"/>
      <c r="T324" s="23"/>
      <c r="U324" s="23"/>
      <c r="V324" s="23"/>
      <c r="W324" s="23"/>
      <c r="X324" s="38"/>
      <c r="Y324" s="38"/>
      <c r="Z324" s="38"/>
      <c r="AA324" s="38"/>
    </row>
    <row r="325">
      <c r="A325" s="31"/>
      <c r="B325" s="38"/>
      <c r="C325" s="38"/>
      <c r="D325" s="50"/>
      <c r="E325" s="50"/>
      <c r="F325" s="50"/>
      <c r="G325" s="27" t="str">
        <f>VLOOKUP(E325,DropDown!J:K,2,FALSE)</f>
        <v>#N/A</v>
      </c>
      <c r="H325" s="50"/>
      <c r="I325" s="50"/>
      <c r="J325" s="50"/>
      <c r="K325" s="25" t="s">
        <v>116</v>
      </c>
      <c r="L325" s="23"/>
      <c r="M325" s="23"/>
      <c r="N325" s="25" t="str">
        <f>"("""&amp;B325&amp;""") ("&amp;Vlookup(E325,DropDown!J:N,5,FALSE)&amp;" OR """ &amp;YEAR(D325) &amp; """ OR ""All New"" OR Episode OR Watch OR tv OR Show OR Series OR season OR binge OR Stream OR Film OR Movie OR Premiere OR Screening OR Feature OR Trailer OR Teaser OR theater OR release)"</f>
        <v>#N/A</v>
      </c>
      <c r="O325" s="23" t="str">
        <f t="shared" si="1"/>
        <v>#</v>
      </c>
      <c r="P325" s="23" t="str">
        <f t="shared" si="2"/>
        <v>#</v>
      </c>
      <c r="Q325" s="23"/>
      <c r="R325" s="23" t="str">
        <f>"("""&amp;B325&amp;""") ("&amp;Vlookup(E325,DropDown!R:V,5,FALSE)&amp;IF(ISBLANK(D325)," | "," "&amp;"OR """&amp;YEAR(D325)&amp;""" | ") &amp; """All New"" | Episode | Watch | tv | Show | Series | season | binge | Stream | Film | Movie | Premiere | Screening | Feature | Trailer | Teaser | theater | release)"</f>
        <v>#N/A</v>
      </c>
      <c r="S325" s="23"/>
      <c r="T325" s="23"/>
      <c r="U325" s="23"/>
      <c r="V325" s="23"/>
      <c r="W325" s="23"/>
      <c r="X325" s="38"/>
      <c r="Y325" s="38"/>
      <c r="Z325" s="38"/>
      <c r="AA325" s="38"/>
    </row>
    <row r="326">
      <c r="A326" s="31"/>
      <c r="B326" s="38"/>
      <c r="C326" s="38"/>
      <c r="D326" s="50"/>
      <c r="E326" s="50"/>
      <c r="F326" s="50"/>
      <c r="G326" s="27" t="str">
        <f>VLOOKUP(E326,DropDown!J:K,2,FALSE)</f>
        <v>#N/A</v>
      </c>
      <c r="H326" s="50"/>
      <c r="I326" s="50"/>
      <c r="J326" s="50"/>
      <c r="K326" s="25" t="s">
        <v>116</v>
      </c>
      <c r="L326" s="23"/>
      <c r="M326" s="23"/>
      <c r="N326" s="25" t="str">
        <f>"("""&amp;B326&amp;""") ("&amp;Vlookup(E326,DropDown!J:N,5,FALSE)&amp;" OR """ &amp;YEAR(D326) &amp; """ OR ""All New"" OR Episode OR Watch OR tv OR Show OR Series OR season OR binge OR Stream OR Film OR Movie OR Premiere OR Screening OR Feature OR Trailer OR Teaser OR theater OR release)"</f>
        <v>#N/A</v>
      </c>
      <c r="O326" s="23" t="str">
        <f t="shared" si="1"/>
        <v>#</v>
      </c>
      <c r="P326" s="23" t="str">
        <f t="shared" si="2"/>
        <v>#</v>
      </c>
      <c r="Q326" s="23"/>
      <c r="R326" s="23" t="str">
        <f>"("""&amp;B326&amp;""") ("&amp;Vlookup(E326,DropDown!R:V,5,FALSE)&amp;IF(ISBLANK(D326)," | "," "&amp;"OR """&amp;YEAR(D326)&amp;""" | ") &amp; """All New"" | Episode | Watch | tv | Show | Series | season | binge | Stream | Film | Movie | Premiere | Screening | Feature | Trailer | Teaser | theater | release)"</f>
        <v>#N/A</v>
      </c>
      <c r="S326" s="23"/>
      <c r="T326" s="23"/>
      <c r="U326" s="23"/>
      <c r="V326" s="23"/>
      <c r="W326" s="23"/>
      <c r="X326" s="38"/>
      <c r="Y326" s="38"/>
      <c r="Z326" s="38"/>
      <c r="AA326" s="38"/>
    </row>
    <row r="327">
      <c r="A327" s="31"/>
      <c r="B327" s="38"/>
      <c r="C327" s="38"/>
      <c r="D327" s="50"/>
      <c r="E327" s="50"/>
      <c r="F327" s="50"/>
      <c r="G327" s="27" t="str">
        <f>VLOOKUP(E327,DropDown!J:K,2,FALSE)</f>
        <v>#N/A</v>
      </c>
      <c r="H327" s="50"/>
      <c r="I327" s="50"/>
      <c r="J327" s="50"/>
      <c r="K327" s="25" t="s">
        <v>116</v>
      </c>
      <c r="L327" s="23"/>
      <c r="M327" s="23"/>
      <c r="N327" s="25" t="str">
        <f>"("""&amp;B327&amp;""") ("&amp;Vlookup(E327,DropDown!J:N,5,FALSE)&amp;" OR """ &amp;YEAR(D327) &amp; """ OR ""All New"" OR Episode OR Watch OR tv OR Show OR Series OR season OR binge OR Stream OR Film OR Movie OR Premiere OR Screening OR Feature OR Trailer OR Teaser OR theater OR release)"</f>
        <v>#N/A</v>
      </c>
      <c r="O327" s="23" t="str">
        <f t="shared" si="1"/>
        <v>#</v>
      </c>
      <c r="P327" s="23" t="str">
        <f t="shared" si="2"/>
        <v>#</v>
      </c>
      <c r="Q327" s="23"/>
      <c r="R327" s="23" t="str">
        <f>"("""&amp;B327&amp;""") ("&amp;Vlookup(E327,DropDown!R:V,5,FALSE)&amp;IF(ISBLANK(D327)," | "," "&amp;"OR """&amp;YEAR(D327)&amp;""" | ") &amp; """All New"" | Episode | Watch | tv | Show | Series | season | binge | Stream | Film | Movie | Premiere | Screening | Feature | Trailer | Teaser | theater | release)"</f>
        <v>#N/A</v>
      </c>
      <c r="S327" s="23"/>
      <c r="T327" s="23"/>
      <c r="U327" s="23"/>
      <c r="V327" s="23"/>
      <c r="W327" s="23"/>
      <c r="X327" s="38"/>
      <c r="Y327" s="38"/>
      <c r="Z327" s="38"/>
      <c r="AA327" s="38"/>
    </row>
    <row r="328">
      <c r="A328" s="31"/>
      <c r="B328" s="38"/>
      <c r="C328" s="38"/>
      <c r="D328" s="50"/>
      <c r="E328" s="50"/>
      <c r="F328" s="50"/>
      <c r="G328" s="27" t="str">
        <f>VLOOKUP(E328,DropDown!J:K,2,FALSE)</f>
        <v>#N/A</v>
      </c>
      <c r="H328" s="50"/>
      <c r="I328" s="50"/>
      <c r="J328" s="50"/>
      <c r="K328" s="25" t="s">
        <v>116</v>
      </c>
      <c r="L328" s="23"/>
      <c r="M328" s="23"/>
      <c r="N328" s="25" t="str">
        <f>"("""&amp;B328&amp;""") ("&amp;Vlookup(E328,DropDown!J:N,5,FALSE)&amp;" OR """ &amp;YEAR(D328) &amp; """ OR ""All New"" OR Episode OR Watch OR tv OR Show OR Series OR season OR binge OR Stream OR Film OR Movie OR Premiere OR Screening OR Feature OR Trailer OR Teaser OR theater OR release)"</f>
        <v>#N/A</v>
      </c>
      <c r="O328" s="23" t="str">
        <f t="shared" si="1"/>
        <v>#</v>
      </c>
      <c r="P328" s="23" t="str">
        <f t="shared" si="2"/>
        <v>#</v>
      </c>
      <c r="Q328" s="23"/>
      <c r="R328" s="23" t="str">
        <f>"("""&amp;B328&amp;""") ("&amp;Vlookup(E328,DropDown!R:V,5,FALSE)&amp;IF(ISBLANK(D328)," | "," "&amp;"OR """&amp;YEAR(D328)&amp;""" | ") &amp; """All New"" | Episode | Watch | tv | Show | Series | season | binge | Stream | Film | Movie | Premiere | Screening | Feature | Trailer | Teaser | theater | release)"</f>
        <v>#N/A</v>
      </c>
      <c r="S328" s="23"/>
      <c r="T328" s="23"/>
      <c r="U328" s="23"/>
      <c r="V328" s="23"/>
      <c r="W328" s="23"/>
      <c r="X328" s="38"/>
      <c r="Y328" s="38"/>
      <c r="Z328" s="38"/>
      <c r="AA328" s="38"/>
    </row>
    <row r="329">
      <c r="A329" s="31"/>
      <c r="B329" s="38"/>
      <c r="C329" s="38"/>
      <c r="D329" s="50"/>
      <c r="E329" s="50"/>
      <c r="F329" s="50"/>
      <c r="G329" s="27" t="str">
        <f>VLOOKUP(E329,DropDown!J:K,2,FALSE)</f>
        <v>#N/A</v>
      </c>
      <c r="H329" s="50"/>
      <c r="I329" s="50"/>
      <c r="J329" s="50"/>
      <c r="K329" s="25" t="s">
        <v>116</v>
      </c>
      <c r="L329" s="23"/>
      <c r="M329" s="23"/>
      <c r="N329" s="25" t="str">
        <f>"("""&amp;B329&amp;""") ("&amp;Vlookup(E329,DropDown!J:N,5,FALSE)&amp;" OR """ &amp;YEAR(D329) &amp; """ OR ""All New"" OR Episode OR Watch OR tv OR Show OR Series OR season OR binge OR Stream OR Film OR Movie OR Premiere OR Screening OR Feature OR Trailer OR Teaser OR theater OR release)"</f>
        <v>#N/A</v>
      </c>
      <c r="O329" s="23" t="str">
        <f t="shared" si="1"/>
        <v>#</v>
      </c>
      <c r="P329" s="23" t="str">
        <f t="shared" si="2"/>
        <v>#</v>
      </c>
      <c r="Q329" s="23"/>
      <c r="R329" s="23" t="str">
        <f>"("""&amp;B329&amp;""") ("&amp;Vlookup(E329,DropDown!R:V,5,FALSE)&amp;IF(ISBLANK(D329)," | "," "&amp;"OR """&amp;YEAR(D329)&amp;""" | ") &amp; """All New"" | Episode | Watch | tv | Show | Series | season | binge | Stream | Film | Movie | Premiere | Screening | Feature | Trailer | Teaser | theater | release)"</f>
        <v>#N/A</v>
      </c>
      <c r="S329" s="23"/>
      <c r="T329" s="23"/>
      <c r="U329" s="23"/>
      <c r="V329" s="23"/>
      <c r="W329" s="23"/>
      <c r="X329" s="38"/>
      <c r="Y329" s="38"/>
      <c r="Z329" s="38"/>
      <c r="AA329" s="38"/>
    </row>
    <row r="330">
      <c r="A330" s="31"/>
      <c r="B330" s="38"/>
      <c r="C330" s="38"/>
      <c r="D330" s="50"/>
      <c r="E330" s="50"/>
      <c r="F330" s="50"/>
      <c r="G330" s="27" t="str">
        <f>VLOOKUP(E330,DropDown!J:K,2,FALSE)</f>
        <v>#N/A</v>
      </c>
      <c r="H330" s="50"/>
      <c r="I330" s="50"/>
      <c r="J330" s="50"/>
      <c r="K330" s="25" t="s">
        <v>116</v>
      </c>
      <c r="L330" s="23"/>
      <c r="M330" s="23"/>
      <c r="N330" s="25" t="str">
        <f>"("""&amp;B330&amp;""") ("&amp;Vlookup(E330,DropDown!J:N,5,FALSE)&amp;" OR """ &amp;YEAR(D330) &amp; """ OR ""All New"" OR Episode OR Watch OR tv OR Show OR Series OR season OR binge OR Stream OR Film OR Movie OR Premiere OR Screening OR Feature OR Trailer OR Teaser OR theater OR release)"</f>
        <v>#N/A</v>
      </c>
      <c r="O330" s="23" t="str">
        <f t="shared" si="1"/>
        <v>#</v>
      </c>
      <c r="P330" s="23" t="str">
        <f t="shared" si="2"/>
        <v>#</v>
      </c>
      <c r="Q330" s="23"/>
      <c r="R330" s="23" t="str">
        <f>"("""&amp;B330&amp;""") ("&amp;Vlookup(E330,DropDown!R:V,5,FALSE)&amp;IF(ISBLANK(D330)," | "," "&amp;"OR """&amp;YEAR(D330)&amp;""" | ") &amp; """All New"" | Episode | Watch | tv | Show | Series | season | binge | Stream | Film | Movie | Premiere | Screening | Feature | Trailer | Teaser | theater | release)"</f>
        <v>#N/A</v>
      </c>
      <c r="S330" s="23"/>
      <c r="T330" s="23"/>
      <c r="U330" s="23"/>
      <c r="V330" s="23"/>
      <c r="W330" s="23"/>
      <c r="X330" s="38"/>
      <c r="Y330" s="38"/>
      <c r="Z330" s="38"/>
      <c r="AA330" s="38"/>
    </row>
    <row r="331">
      <c r="A331" s="31"/>
      <c r="B331" s="38"/>
      <c r="C331" s="38"/>
      <c r="D331" s="50"/>
      <c r="E331" s="50"/>
      <c r="F331" s="50"/>
      <c r="G331" s="27" t="str">
        <f>VLOOKUP(E331,DropDown!J:K,2,FALSE)</f>
        <v>#N/A</v>
      </c>
      <c r="H331" s="50"/>
      <c r="I331" s="50"/>
      <c r="J331" s="50"/>
      <c r="K331" s="25" t="s">
        <v>116</v>
      </c>
      <c r="L331" s="23"/>
      <c r="M331" s="23"/>
      <c r="N331" s="25" t="str">
        <f>"("""&amp;B331&amp;""") ("&amp;Vlookup(E331,DropDown!J:N,5,FALSE)&amp;" OR """ &amp;YEAR(D331) &amp; """ OR ""All New"" OR Episode OR Watch OR tv OR Show OR Series OR season OR binge OR Stream OR Film OR Movie OR Premiere OR Screening OR Feature OR Trailer OR Teaser OR theater OR release)"</f>
        <v>#N/A</v>
      </c>
      <c r="O331" s="23" t="str">
        <f t="shared" si="1"/>
        <v>#</v>
      </c>
      <c r="P331" s="23" t="str">
        <f t="shared" si="2"/>
        <v>#</v>
      </c>
      <c r="Q331" s="23"/>
      <c r="R331" s="23" t="str">
        <f>"("""&amp;B331&amp;""") ("&amp;Vlookup(E331,DropDown!R:V,5,FALSE)&amp;IF(ISBLANK(D331)," | "," "&amp;"OR """&amp;YEAR(D331)&amp;""" | ") &amp; """All New"" | Episode | Watch | tv | Show | Series | season | binge | Stream | Film | Movie | Premiere | Screening | Feature | Trailer | Teaser | theater | release)"</f>
        <v>#N/A</v>
      </c>
      <c r="S331" s="23"/>
      <c r="T331" s="23"/>
      <c r="U331" s="23"/>
      <c r="V331" s="23"/>
      <c r="W331" s="23"/>
      <c r="X331" s="38"/>
      <c r="Y331" s="38"/>
      <c r="Z331" s="38"/>
      <c r="AA331" s="38"/>
    </row>
    <row r="332">
      <c r="A332" s="31"/>
      <c r="B332" s="38"/>
      <c r="C332" s="38"/>
      <c r="D332" s="50"/>
      <c r="E332" s="50"/>
      <c r="F332" s="50"/>
      <c r="G332" s="27" t="str">
        <f>VLOOKUP(E332,DropDown!J:K,2,FALSE)</f>
        <v>#N/A</v>
      </c>
      <c r="H332" s="50"/>
      <c r="I332" s="50"/>
      <c r="J332" s="50"/>
      <c r="K332" s="25" t="s">
        <v>116</v>
      </c>
      <c r="L332" s="23"/>
      <c r="M332" s="23"/>
      <c r="N332" s="25" t="str">
        <f>"("""&amp;B332&amp;""") ("&amp;Vlookup(E332,DropDown!J:N,5,FALSE)&amp;" OR """ &amp;YEAR(D332) &amp; """ OR ""All New"" OR Episode OR Watch OR tv OR Show OR Series OR season OR binge OR Stream OR Film OR Movie OR Premiere OR Screening OR Feature OR Trailer OR Teaser OR theater OR release)"</f>
        <v>#N/A</v>
      </c>
      <c r="O332" s="23" t="str">
        <f t="shared" si="1"/>
        <v>#</v>
      </c>
      <c r="P332" s="23" t="str">
        <f t="shared" si="2"/>
        <v>#</v>
      </c>
      <c r="Q332" s="23"/>
      <c r="R332" s="23" t="str">
        <f>"("""&amp;B332&amp;""") ("&amp;Vlookup(E332,DropDown!R:V,5,FALSE)&amp;IF(ISBLANK(D332)," | "," "&amp;"OR """&amp;YEAR(D332)&amp;""" | ") &amp; """All New"" | Episode | Watch | tv | Show | Series | season | binge | Stream | Film | Movie | Premiere | Screening | Feature | Trailer | Teaser | theater | release)"</f>
        <v>#N/A</v>
      </c>
      <c r="S332" s="23"/>
      <c r="T332" s="23"/>
      <c r="U332" s="23"/>
      <c r="V332" s="23"/>
      <c r="W332" s="23"/>
      <c r="X332" s="38"/>
      <c r="Y332" s="38"/>
      <c r="Z332" s="38"/>
      <c r="AA332" s="38"/>
    </row>
    <row r="333">
      <c r="A333" s="31"/>
      <c r="B333" s="38"/>
      <c r="C333" s="38"/>
      <c r="D333" s="50"/>
      <c r="E333" s="50"/>
      <c r="F333" s="50"/>
      <c r="G333" s="27" t="str">
        <f>VLOOKUP(E333,DropDown!J:K,2,FALSE)</f>
        <v>#N/A</v>
      </c>
      <c r="H333" s="50"/>
      <c r="I333" s="50"/>
      <c r="J333" s="50"/>
      <c r="K333" s="25" t="s">
        <v>116</v>
      </c>
      <c r="L333" s="23"/>
      <c r="M333" s="23"/>
      <c r="N333" s="25" t="str">
        <f>"("""&amp;B333&amp;""") ("&amp;Vlookup(E333,DropDown!J:N,5,FALSE)&amp;" OR """ &amp;YEAR(D333) &amp; """ OR ""All New"" OR Episode OR Watch OR tv OR Show OR Series OR season OR binge OR Stream OR Film OR Movie OR Premiere OR Screening OR Feature OR Trailer OR Teaser OR theater OR release)"</f>
        <v>#N/A</v>
      </c>
      <c r="O333" s="23" t="str">
        <f t="shared" si="1"/>
        <v>#</v>
      </c>
      <c r="P333" s="23" t="str">
        <f t="shared" si="2"/>
        <v>#</v>
      </c>
      <c r="Q333" s="23"/>
      <c r="R333" s="23" t="str">
        <f>"("""&amp;B333&amp;""") ("&amp;Vlookup(E333,DropDown!R:V,5,FALSE)&amp;IF(ISBLANK(D333)," | "," "&amp;"OR """&amp;YEAR(D333)&amp;""" | ") &amp; """All New"" | Episode | Watch | tv | Show | Series | season | binge | Stream | Film | Movie | Premiere | Screening | Feature | Trailer | Teaser | theater | release)"</f>
        <v>#N/A</v>
      </c>
      <c r="S333" s="23"/>
      <c r="T333" s="23"/>
      <c r="U333" s="23"/>
      <c r="V333" s="23"/>
      <c r="W333" s="23"/>
      <c r="X333" s="38"/>
      <c r="Y333" s="38"/>
      <c r="Z333" s="38"/>
      <c r="AA333" s="38"/>
    </row>
    <row r="334">
      <c r="A334" s="31"/>
      <c r="B334" s="38"/>
      <c r="C334" s="38"/>
      <c r="D334" s="50"/>
      <c r="E334" s="50"/>
      <c r="F334" s="50"/>
      <c r="G334" s="27" t="str">
        <f>VLOOKUP(E334,DropDown!J:K,2,FALSE)</f>
        <v>#N/A</v>
      </c>
      <c r="H334" s="50"/>
      <c r="I334" s="50"/>
      <c r="J334" s="50"/>
      <c r="K334" s="25" t="s">
        <v>116</v>
      </c>
      <c r="L334" s="23"/>
      <c r="M334" s="23"/>
      <c r="N334" s="25" t="str">
        <f>"("""&amp;B334&amp;""") ("&amp;Vlookup(E334,DropDown!J:N,5,FALSE)&amp;" OR """ &amp;YEAR(D334) &amp; """ OR ""All New"" OR Episode OR Watch OR tv OR Show OR Series OR season OR binge OR Stream OR Film OR Movie OR Premiere OR Screening OR Feature OR Trailer OR Teaser OR theater OR release)"</f>
        <v>#N/A</v>
      </c>
      <c r="O334" s="23" t="str">
        <f t="shared" si="1"/>
        <v>#</v>
      </c>
      <c r="P334" s="23" t="str">
        <f t="shared" si="2"/>
        <v>#</v>
      </c>
      <c r="Q334" s="23"/>
      <c r="R334" s="23" t="str">
        <f>"("""&amp;B334&amp;""") ("&amp;Vlookup(E334,DropDown!R:V,5,FALSE)&amp;IF(ISBLANK(D334)," | "," "&amp;"OR """&amp;YEAR(D334)&amp;""" | ") &amp; """All New"" | Episode | Watch | tv | Show | Series | season | binge | Stream | Film | Movie | Premiere | Screening | Feature | Trailer | Teaser | theater | release)"</f>
        <v>#N/A</v>
      </c>
      <c r="S334" s="23"/>
      <c r="T334" s="23"/>
      <c r="U334" s="23"/>
      <c r="V334" s="23"/>
      <c r="W334" s="23"/>
      <c r="X334" s="38"/>
      <c r="Y334" s="38"/>
      <c r="Z334" s="38"/>
      <c r="AA334" s="38"/>
    </row>
    <row r="335">
      <c r="A335" s="31"/>
      <c r="B335" s="38"/>
      <c r="C335" s="38"/>
      <c r="D335" s="50"/>
      <c r="E335" s="50"/>
      <c r="F335" s="50"/>
      <c r="G335" s="27" t="str">
        <f>VLOOKUP(E335,DropDown!J:K,2,FALSE)</f>
        <v>#N/A</v>
      </c>
      <c r="H335" s="50"/>
      <c r="I335" s="50"/>
      <c r="J335" s="50"/>
      <c r="K335" s="25" t="s">
        <v>116</v>
      </c>
      <c r="L335" s="23"/>
      <c r="M335" s="23"/>
      <c r="N335" s="25" t="str">
        <f>"("""&amp;B335&amp;""") ("&amp;Vlookup(E335,DropDown!J:N,5,FALSE)&amp;" OR """ &amp;YEAR(D335) &amp; """ OR ""All New"" OR Episode OR Watch OR tv OR Show OR Series OR season OR binge OR Stream OR Film OR Movie OR Premiere OR Screening OR Feature OR Trailer OR Teaser OR theater OR release)"</f>
        <v>#N/A</v>
      </c>
      <c r="O335" s="23" t="str">
        <f t="shared" si="1"/>
        <v>#</v>
      </c>
      <c r="P335" s="23" t="str">
        <f t="shared" si="2"/>
        <v>#</v>
      </c>
      <c r="Q335" s="23"/>
      <c r="R335" s="23" t="str">
        <f>"("""&amp;B335&amp;""") ("&amp;Vlookup(E335,DropDown!R:V,5,FALSE)&amp;IF(ISBLANK(D335)," | "," "&amp;"OR """&amp;YEAR(D335)&amp;""" | ") &amp; """All New"" | Episode | Watch | tv | Show | Series | season | binge | Stream | Film | Movie | Premiere | Screening | Feature | Trailer | Teaser | theater | release)"</f>
        <v>#N/A</v>
      </c>
      <c r="S335" s="23"/>
      <c r="T335" s="23"/>
      <c r="U335" s="23"/>
      <c r="V335" s="23"/>
      <c r="W335" s="23"/>
      <c r="X335" s="38"/>
      <c r="Y335" s="38"/>
      <c r="Z335" s="38"/>
      <c r="AA335" s="38"/>
    </row>
    <row r="336">
      <c r="A336" s="31"/>
      <c r="B336" s="38"/>
      <c r="C336" s="38"/>
      <c r="D336" s="50"/>
      <c r="E336" s="50"/>
      <c r="F336" s="50"/>
      <c r="G336" s="27" t="str">
        <f>VLOOKUP(E336,DropDown!J:K,2,FALSE)</f>
        <v>#N/A</v>
      </c>
      <c r="H336" s="50"/>
      <c r="I336" s="50"/>
      <c r="J336" s="50"/>
      <c r="K336" s="25" t="s">
        <v>116</v>
      </c>
      <c r="L336" s="23"/>
      <c r="M336" s="23"/>
      <c r="N336" s="25" t="str">
        <f>"("""&amp;B336&amp;""") ("&amp;Vlookup(E336,DropDown!J:N,5,FALSE)&amp;" OR """ &amp;YEAR(D336) &amp; """ OR ""All New"" OR Episode OR Watch OR tv OR Show OR Series OR season OR binge OR Stream OR Film OR Movie OR Premiere OR Screening OR Feature OR Trailer OR Teaser OR theater OR release)"</f>
        <v>#N/A</v>
      </c>
      <c r="O336" s="23" t="str">
        <f t="shared" si="1"/>
        <v>#</v>
      </c>
      <c r="P336" s="23" t="str">
        <f t="shared" si="2"/>
        <v>#</v>
      </c>
      <c r="Q336" s="23"/>
      <c r="R336" s="23" t="str">
        <f>"("""&amp;B336&amp;""") ("&amp;Vlookup(E336,DropDown!R:V,5,FALSE)&amp;IF(ISBLANK(D336)," | "," "&amp;"OR """&amp;YEAR(D336)&amp;""" | ") &amp; """All New"" | Episode | Watch | tv | Show | Series | season | binge | Stream | Film | Movie | Premiere | Screening | Feature | Trailer | Teaser | theater | release)"</f>
        <v>#N/A</v>
      </c>
      <c r="S336" s="23"/>
      <c r="T336" s="23"/>
      <c r="U336" s="23"/>
      <c r="V336" s="23"/>
      <c r="W336" s="23"/>
      <c r="X336" s="38"/>
      <c r="Y336" s="38"/>
      <c r="Z336" s="38"/>
      <c r="AA336" s="38"/>
    </row>
    <row r="337">
      <c r="A337" s="31"/>
      <c r="B337" s="38"/>
      <c r="C337" s="38"/>
      <c r="D337" s="50"/>
      <c r="E337" s="50"/>
      <c r="F337" s="50"/>
      <c r="G337" s="27" t="str">
        <f>VLOOKUP(E337,DropDown!J:K,2,FALSE)</f>
        <v>#N/A</v>
      </c>
      <c r="H337" s="50"/>
      <c r="I337" s="50"/>
      <c r="J337" s="50"/>
      <c r="K337" s="25" t="s">
        <v>116</v>
      </c>
      <c r="L337" s="23"/>
      <c r="M337" s="23"/>
      <c r="N337" s="25" t="str">
        <f>"("""&amp;B337&amp;""") ("&amp;Vlookup(E337,DropDown!J:N,5,FALSE)&amp;" OR """ &amp;YEAR(D337) &amp; """ OR ""All New"" OR Episode OR Watch OR tv OR Show OR Series OR season OR binge OR Stream OR Film OR Movie OR Premiere OR Screening OR Feature OR Trailer OR Teaser OR theater OR release)"</f>
        <v>#N/A</v>
      </c>
      <c r="O337" s="23" t="str">
        <f t="shared" si="1"/>
        <v>#</v>
      </c>
      <c r="P337" s="23" t="str">
        <f t="shared" si="2"/>
        <v>#</v>
      </c>
      <c r="Q337" s="23"/>
      <c r="R337" s="23" t="str">
        <f>"("""&amp;B337&amp;""") ("&amp;Vlookup(E337,DropDown!R:V,5,FALSE)&amp;IF(ISBLANK(D337)," | "," "&amp;"OR """&amp;YEAR(D337)&amp;""" | ") &amp; """All New"" | Episode | Watch | tv | Show | Series | season | binge | Stream | Film | Movie | Premiere | Screening | Feature | Trailer | Teaser | theater | release)"</f>
        <v>#N/A</v>
      </c>
      <c r="S337" s="23"/>
      <c r="T337" s="23"/>
      <c r="U337" s="23"/>
      <c r="V337" s="23"/>
      <c r="W337" s="23"/>
      <c r="X337" s="38"/>
      <c r="Y337" s="38"/>
      <c r="Z337" s="38"/>
      <c r="AA337" s="38"/>
    </row>
    <row r="338">
      <c r="A338" s="31"/>
      <c r="B338" s="38"/>
      <c r="C338" s="38"/>
      <c r="D338" s="50"/>
      <c r="E338" s="50"/>
      <c r="F338" s="50"/>
      <c r="G338" s="27" t="str">
        <f>VLOOKUP(E338,DropDown!J:K,2,FALSE)</f>
        <v>#N/A</v>
      </c>
      <c r="H338" s="50"/>
      <c r="I338" s="50"/>
      <c r="J338" s="50"/>
      <c r="K338" s="25" t="s">
        <v>116</v>
      </c>
      <c r="L338" s="23"/>
      <c r="M338" s="23"/>
      <c r="N338" s="25" t="str">
        <f>"("""&amp;B338&amp;""") ("&amp;Vlookup(E338,DropDown!J:N,5,FALSE)&amp;" OR """ &amp;YEAR(D338) &amp; """ OR ""All New"" OR Episode OR Watch OR tv OR Show OR Series OR season OR binge OR Stream OR Film OR Movie OR Premiere OR Screening OR Feature OR Trailer OR Teaser OR theater OR release)"</f>
        <v>#N/A</v>
      </c>
      <c r="O338" s="23" t="str">
        <f t="shared" si="1"/>
        <v>#</v>
      </c>
      <c r="P338" s="23" t="str">
        <f t="shared" si="2"/>
        <v>#</v>
      </c>
      <c r="Q338" s="23"/>
      <c r="R338" s="23" t="str">
        <f>"("""&amp;B338&amp;""") ("&amp;Vlookup(E338,DropDown!R:V,5,FALSE)&amp;IF(ISBLANK(D338)," | "," "&amp;"OR """&amp;YEAR(D338)&amp;""" | ") &amp; """All New"" | Episode | Watch | tv | Show | Series | season | binge | Stream | Film | Movie | Premiere | Screening | Feature | Trailer | Teaser | theater | release)"</f>
        <v>#N/A</v>
      </c>
      <c r="S338" s="23"/>
      <c r="T338" s="23"/>
      <c r="U338" s="23"/>
      <c r="V338" s="23"/>
      <c r="W338" s="23"/>
      <c r="X338" s="38"/>
      <c r="Y338" s="38"/>
      <c r="Z338" s="38"/>
      <c r="AA338" s="38"/>
    </row>
    <row r="339">
      <c r="A339" s="31"/>
      <c r="B339" s="38"/>
      <c r="C339" s="38"/>
      <c r="D339" s="50"/>
      <c r="E339" s="50"/>
      <c r="F339" s="50"/>
      <c r="G339" s="27" t="str">
        <f>VLOOKUP(E339,DropDown!J:K,2,FALSE)</f>
        <v>#N/A</v>
      </c>
      <c r="H339" s="50"/>
      <c r="I339" s="50"/>
      <c r="J339" s="50"/>
      <c r="K339" s="25" t="s">
        <v>116</v>
      </c>
      <c r="L339" s="23"/>
      <c r="M339" s="23"/>
      <c r="N339" s="25" t="str">
        <f>"("""&amp;B339&amp;""") ("&amp;Vlookup(E339,DropDown!J:N,5,FALSE)&amp;" OR """ &amp;YEAR(D339) &amp; """ OR ""All New"" OR Episode OR Watch OR tv OR Show OR Series OR season OR binge OR Stream OR Film OR Movie OR Premiere OR Screening OR Feature OR Trailer OR Teaser OR theater OR release)"</f>
        <v>#N/A</v>
      </c>
      <c r="O339" s="23" t="str">
        <f t="shared" si="1"/>
        <v>#</v>
      </c>
      <c r="P339" s="23" t="str">
        <f t="shared" si="2"/>
        <v>#</v>
      </c>
      <c r="Q339" s="23"/>
      <c r="R339" s="23" t="str">
        <f>"("""&amp;B339&amp;""") ("&amp;Vlookup(E339,DropDown!R:V,5,FALSE)&amp;IF(ISBLANK(D339)," | "," "&amp;"OR """&amp;YEAR(D339)&amp;""" | ") &amp; """All New"" | Episode | Watch | tv | Show | Series | season | binge | Stream | Film | Movie | Premiere | Screening | Feature | Trailer | Teaser | theater | release)"</f>
        <v>#N/A</v>
      </c>
      <c r="S339" s="23"/>
      <c r="T339" s="23"/>
      <c r="U339" s="23"/>
      <c r="V339" s="23"/>
      <c r="W339" s="23"/>
      <c r="X339" s="38"/>
      <c r="Y339" s="38"/>
      <c r="Z339" s="38"/>
      <c r="AA339" s="38"/>
    </row>
    <row r="340">
      <c r="A340" s="31"/>
      <c r="B340" s="38"/>
      <c r="C340" s="38"/>
      <c r="D340" s="50"/>
      <c r="E340" s="50"/>
      <c r="F340" s="50"/>
      <c r="G340" s="27" t="str">
        <f>VLOOKUP(E340,DropDown!J:K,2,FALSE)</f>
        <v>#N/A</v>
      </c>
      <c r="H340" s="50"/>
      <c r="I340" s="50"/>
      <c r="J340" s="50"/>
      <c r="K340" s="25" t="s">
        <v>116</v>
      </c>
      <c r="L340" s="23"/>
      <c r="M340" s="23"/>
      <c r="N340" s="25" t="str">
        <f>"("""&amp;B340&amp;""") ("&amp;Vlookup(E340,DropDown!J:N,5,FALSE)&amp;" OR """ &amp;YEAR(D340) &amp; """ OR ""All New"" OR Episode OR Watch OR tv OR Show OR Series OR season OR binge OR Stream OR Film OR Movie OR Premiere OR Screening OR Feature OR Trailer OR Teaser OR theater OR release)"</f>
        <v>#N/A</v>
      </c>
      <c r="O340" s="23" t="str">
        <f t="shared" si="1"/>
        <v>#</v>
      </c>
      <c r="P340" s="23" t="str">
        <f t="shared" si="2"/>
        <v>#</v>
      </c>
      <c r="Q340" s="23"/>
      <c r="R340" s="23" t="str">
        <f>"("""&amp;B340&amp;""") ("&amp;Vlookup(E340,DropDown!R:V,5,FALSE)&amp;IF(ISBLANK(D340)," | "," "&amp;"OR """&amp;YEAR(D340)&amp;""" | ") &amp; """All New"" | Episode | Watch | tv | Show | Series | season | binge | Stream | Film | Movie | Premiere | Screening | Feature | Trailer | Teaser | theater | release)"</f>
        <v>#N/A</v>
      </c>
      <c r="S340" s="23"/>
      <c r="T340" s="23"/>
      <c r="U340" s="23"/>
      <c r="V340" s="23"/>
      <c r="W340" s="23"/>
      <c r="X340" s="38"/>
      <c r="Y340" s="38"/>
      <c r="Z340" s="38"/>
      <c r="AA340" s="38"/>
    </row>
    <row r="341">
      <c r="A341" s="31"/>
      <c r="B341" s="38"/>
      <c r="C341" s="38"/>
      <c r="D341" s="50"/>
      <c r="E341" s="50"/>
      <c r="F341" s="50"/>
      <c r="G341" s="27" t="str">
        <f>VLOOKUP(E341,DropDown!J:K,2,FALSE)</f>
        <v>#N/A</v>
      </c>
      <c r="H341" s="50"/>
      <c r="I341" s="50"/>
      <c r="J341" s="50"/>
      <c r="K341" s="25" t="s">
        <v>116</v>
      </c>
      <c r="L341" s="23"/>
      <c r="M341" s="23"/>
      <c r="N341" s="25" t="str">
        <f>"("""&amp;B341&amp;""") ("&amp;Vlookup(E341,DropDown!J:N,5,FALSE)&amp;" OR """ &amp;YEAR(D341) &amp; """ OR ""All New"" OR Episode OR Watch OR tv OR Show OR Series OR season OR binge OR Stream OR Film OR Movie OR Premiere OR Screening OR Feature OR Trailer OR Teaser OR theater OR release)"</f>
        <v>#N/A</v>
      </c>
      <c r="O341" s="23" t="str">
        <f t="shared" si="1"/>
        <v>#</v>
      </c>
      <c r="P341" s="23" t="str">
        <f t="shared" si="2"/>
        <v>#</v>
      </c>
      <c r="Q341" s="23"/>
      <c r="R341" s="23" t="str">
        <f>"("""&amp;B341&amp;""") ("&amp;Vlookup(E341,DropDown!R:V,5,FALSE)&amp;IF(ISBLANK(D341)," | "," "&amp;"OR """&amp;YEAR(D341)&amp;""" | ") &amp; """All New"" | Episode | Watch | tv | Show | Series | season | binge | Stream | Film | Movie | Premiere | Screening | Feature | Trailer | Teaser | theater | release)"</f>
        <v>#N/A</v>
      </c>
      <c r="S341" s="23"/>
      <c r="T341" s="23"/>
      <c r="U341" s="23"/>
      <c r="V341" s="23"/>
      <c r="W341" s="23"/>
      <c r="X341" s="38"/>
      <c r="Y341" s="38"/>
      <c r="Z341" s="38"/>
      <c r="AA341" s="38"/>
    </row>
    <row r="342">
      <c r="A342" s="31"/>
      <c r="B342" s="38"/>
      <c r="C342" s="38"/>
      <c r="D342" s="50"/>
      <c r="E342" s="50"/>
      <c r="F342" s="50"/>
      <c r="G342" s="27" t="str">
        <f>VLOOKUP(E342,DropDown!J:K,2,FALSE)</f>
        <v>#N/A</v>
      </c>
      <c r="H342" s="50"/>
      <c r="I342" s="50"/>
      <c r="J342" s="50"/>
      <c r="K342" s="25" t="s">
        <v>116</v>
      </c>
      <c r="L342" s="23"/>
      <c r="M342" s="23"/>
      <c r="N342" s="25" t="str">
        <f>"("""&amp;B342&amp;""") ("&amp;Vlookup(E342,DropDown!J:N,5,FALSE)&amp;" OR """ &amp;YEAR(D342) &amp; """ OR ""All New"" OR Episode OR Watch OR tv OR Show OR Series OR season OR binge OR Stream OR Film OR Movie OR Premiere OR Screening OR Feature OR Trailer OR Teaser OR theater OR release)"</f>
        <v>#N/A</v>
      </c>
      <c r="O342" s="23" t="str">
        <f t="shared" si="1"/>
        <v>#</v>
      </c>
      <c r="P342" s="23" t="str">
        <f t="shared" si="2"/>
        <v>#</v>
      </c>
      <c r="Q342" s="23"/>
      <c r="R342" s="23" t="str">
        <f>"("""&amp;B342&amp;""") ("&amp;Vlookup(E342,DropDown!R:V,5,FALSE)&amp;IF(ISBLANK(D342)," | "," "&amp;"OR """&amp;YEAR(D342)&amp;""" | ") &amp; """All New"" | Episode | Watch | tv | Show | Series | season | binge | Stream | Film | Movie | Premiere | Screening | Feature | Trailer | Teaser | theater | release)"</f>
        <v>#N/A</v>
      </c>
      <c r="S342" s="23"/>
      <c r="T342" s="23"/>
      <c r="U342" s="23"/>
      <c r="V342" s="23"/>
      <c r="W342" s="23"/>
      <c r="X342" s="38"/>
      <c r="Y342" s="38"/>
      <c r="Z342" s="38"/>
      <c r="AA342" s="38"/>
    </row>
    <row r="343">
      <c r="A343" s="31"/>
      <c r="B343" s="38"/>
      <c r="C343" s="38"/>
      <c r="D343" s="50"/>
      <c r="E343" s="50"/>
      <c r="F343" s="50"/>
      <c r="G343" s="27" t="str">
        <f>VLOOKUP(E343,DropDown!J:K,2,FALSE)</f>
        <v>#N/A</v>
      </c>
      <c r="H343" s="50"/>
      <c r="I343" s="50"/>
      <c r="J343" s="50"/>
      <c r="K343" s="25" t="s">
        <v>116</v>
      </c>
      <c r="L343" s="23"/>
      <c r="M343" s="23"/>
      <c r="N343" s="25" t="str">
        <f>"("""&amp;B343&amp;""") ("&amp;Vlookup(E343,DropDown!J:N,5,FALSE)&amp;" OR """ &amp;YEAR(D343) &amp; """ OR ""All New"" OR Episode OR Watch OR tv OR Show OR Series OR season OR binge OR Stream OR Film OR Movie OR Premiere OR Screening OR Feature OR Trailer OR Teaser OR theater OR release)"</f>
        <v>#N/A</v>
      </c>
      <c r="O343" s="23" t="str">
        <f t="shared" si="1"/>
        <v>#</v>
      </c>
      <c r="P343" s="23" t="str">
        <f t="shared" si="2"/>
        <v>#</v>
      </c>
      <c r="Q343" s="23"/>
      <c r="R343" s="23" t="str">
        <f>"("""&amp;B343&amp;""") ("&amp;Vlookup(E343,DropDown!R:V,5,FALSE)&amp;IF(ISBLANK(D343)," | "," "&amp;"OR """&amp;YEAR(D343)&amp;""" | ") &amp; """All New"" | Episode | Watch | tv | Show | Series | season | binge | Stream | Film | Movie | Premiere | Screening | Feature | Trailer | Teaser | theater | release)"</f>
        <v>#N/A</v>
      </c>
      <c r="S343" s="23"/>
      <c r="T343" s="23"/>
      <c r="U343" s="23"/>
      <c r="V343" s="23"/>
      <c r="W343" s="23"/>
      <c r="X343" s="38"/>
      <c r="Y343" s="38"/>
      <c r="Z343" s="38"/>
      <c r="AA343" s="38"/>
    </row>
    <row r="344">
      <c r="A344" s="31"/>
      <c r="B344" s="38"/>
      <c r="C344" s="38"/>
      <c r="D344" s="50"/>
      <c r="E344" s="50"/>
      <c r="F344" s="50"/>
      <c r="G344" s="27" t="str">
        <f>VLOOKUP(E344,DropDown!J:K,2,FALSE)</f>
        <v>#N/A</v>
      </c>
      <c r="H344" s="50"/>
      <c r="I344" s="50"/>
      <c r="J344" s="50"/>
      <c r="K344" s="25" t="s">
        <v>116</v>
      </c>
      <c r="L344" s="23"/>
      <c r="M344" s="23"/>
      <c r="N344" s="25" t="str">
        <f>"("""&amp;B344&amp;""") ("&amp;Vlookup(E344,DropDown!J:N,5,FALSE)&amp;" OR """ &amp;YEAR(D344) &amp; """ OR ""All New"" OR Episode OR Watch OR tv OR Show OR Series OR season OR binge OR Stream OR Film OR Movie OR Premiere OR Screening OR Feature OR Trailer OR Teaser OR theater OR release)"</f>
        <v>#N/A</v>
      </c>
      <c r="O344" s="23" t="str">
        <f t="shared" si="1"/>
        <v>#</v>
      </c>
      <c r="P344" s="23" t="str">
        <f t="shared" si="2"/>
        <v>#</v>
      </c>
      <c r="Q344" s="23"/>
      <c r="R344" s="23" t="str">
        <f>"("""&amp;B344&amp;""") ("&amp;Vlookup(E344,DropDown!R:V,5,FALSE)&amp;IF(ISBLANK(D344)," | "," "&amp;"OR """&amp;YEAR(D344)&amp;""" | ") &amp; """All New"" | Episode | Watch | tv | Show | Series | season | binge | Stream | Film | Movie | Premiere | Screening | Feature | Trailer | Teaser | theater | release)"</f>
        <v>#N/A</v>
      </c>
      <c r="S344" s="23"/>
      <c r="T344" s="23"/>
      <c r="U344" s="23"/>
      <c r="V344" s="23"/>
      <c r="W344" s="23"/>
      <c r="X344" s="38"/>
      <c r="Y344" s="38"/>
      <c r="Z344" s="38"/>
      <c r="AA344" s="38"/>
    </row>
    <row r="345">
      <c r="A345" s="31"/>
      <c r="B345" s="38"/>
      <c r="C345" s="38"/>
      <c r="D345" s="50"/>
      <c r="E345" s="50"/>
      <c r="F345" s="50"/>
      <c r="G345" s="27" t="str">
        <f>VLOOKUP(E345,DropDown!J:K,2,FALSE)</f>
        <v>#N/A</v>
      </c>
      <c r="H345" s="50"/>
      <c r="I345" s="50"/>
      <c r="J345" s="50"/>
      <c r="K345" s="25" t="s">
        <v>116</v>
      </c>
      <c r="L345" s="23"/>
      <c r="M345" s="23"/>
      <c r="N345" s="25" t="str">
        <f>"("""&amp;B345&amp;""") ("&amp;Vlookup(E345,DropDown!J:N,5,FALSE)&amp;" OR """ &amp;YEAR(D345) &amp; """ OR ""All New"" OR Episode OR Watch OR tv OR Show OR Series OR season OR binge OR Stream OR Film OR Movie OR Premiere OR Screening OR Feature OR Trailer OR Teaser OR theater OR release)"</f>
        <v>#N/A</v>
      </c>
      <c r="O345" s="23" t="str">
        <f t="shared" si="1"/>
        <v>#</v>
      </c>
      <c r="P345" s="23" t="str">
        <f t="shared" si="2"/>
        <v>#</v>
      </c>
      <c r="Q345" s="23"/>
      <c r="R345" s="23" t="str">
        <f>"("""&amp;B345&amp;""") ("&amp;Vlookup(E345,DropDown!R:V,5,FALSE)&amp;IF(ISBLANK(D345)," | "," "&amp;"OR """&amp;YEAR(D345)&amp;""" | ") &amp; """All New"" | Episode | Watch | tv | Show | Series | season | binge | Stream | Film | Movie | Premiere | Screening | Feature | Trailer | Teaser | theater | release)"</f>
        <v>#N/A</v>
      </c>
      <c r="S345" s="23"/>
      <c r="T345" s="23"/>
      <c r="U345" s="23"/>
      <c r="V345" s="23"/>
      <c r="W345" s="23"/>
      <c r="X345" s="38"/>
      <c r="Y345" s="38"/>
      <c r="Z345" s="38"/>
      <c r="AA345" s="38"/>
    </row>
    <row r="346">
      <c r="A346" s="31"/>
      <c r="B346" s="38"/>
      <c r="C346" s="38"/>
      <c r="D346" s="50"/>
      <c r="E346" s="50"/>
      <c r="F346" s="50"/>
      <c r="G346" s="27" t="str">
        <f>VLOOKUP(E346,DropDown!J:K,2,FALSE)</f>
        <v>#N/A</v>
      </c>
      <c r="H346" s="50"/>
      <c r="I346" s="50"/>
      <c r="J346" s="50"/>
      <c r="K346" s="25" t="s">
        <v>116</v>
      </c>
      <c r="L346" s="23"/>
      <c r="M346" s="23"/>
      <c r="N346" s="25" t="str">
        <f>"("""&amp;B346&amp;""") ("&amp;Vlookup(E346,DropDown!J:N,5,FALSE)&amp;" OR """ &amp;YEAR(D346) &amp; """ OR ""All New"" OR Episode OR Watch OR tv OR Show OR Series OR season OR binge OR Stream OR Film OR Movie OR Premiere OR Screening OR Feature OR Trailer OR Teaser OR theater OR release)"</f>
        <v>#N/A</v>
      </c>
      <c r="O346" s="23" t="str">
        <f t="shared" si="1"/>
        <v>#</v>
      </c>
      <c r="P346" s="23" t="str">
        <f t="shared" si="2"/>
        <v>#</v>
      </c>
      <c r="Q346" s="23"/>
      <c r="R346" s="23" t="str">
        <f>"("""&amp;B346&amp;""") ("&amp;Vlookup(E346,DropDown!R:V,5,FALSE)&amp;IF(ISBLANK(D346)," | "," "&amp;"OR """&amp;YEAR(D346)&amp;""" | ") &amp; """All New"" | Episode | Watch | tv | Show | Series | season | binge | Stream | Film | Movie | Premiere | Screening | Feature | Trailer | Teaser | theater | release)"</f>
        <v>#N/A</v>
      </c>
      <c r="S346" s="23"/>
      <c r="T346" s="23"/>
      <c r="U346" s="23"/>
      <c r="V346" s="23"/>
      <c r="W346" s="23"/>
      <c r="X346" s="38"/>
      <c r="Y346" s="38"/>
      <c r="Z346" s="38"/>
      <c r="AA346" s="38"/>
    </row>
    <row r="347">
      <c r="A347" s="31"/>
      <c r="B347" s="38"/>
      <c r="C347" s="38"/>
      <c r="D347" s="50"/>
      <c r="E347" s="50"/>
      <c r="F347" s="50"/>
      <c r="G347" s="27" t="str">
        <f>VLOOKUP(E347,DropDown!J:K,2,FALSE)</f>
        <v>#N/A</v>
      </c>
      <c r="H347" s="50"/>
      <c r="I347" s="50"/>
      <c r="J347" s="50"/>
      <c r="K347" s="25" t="s">
        <v>116</v>
      </c>
      <c r="L347" s="23"/>
      <c r="M347" s="23"/>
      <c r="N347" s="25" t="str">
        <f>"("""&amp;B347&amp;""") ("&amp;Vlookup(E347,DropDown!J:N,5,FALSE)&amp;" OR """ &amp;YEAR(D347) &amp; """ OR ""All New"" OR Episode OR Watch OR tv OR Show OR Series OR season OR binge OR Stream OR Film OR Movie OR Premiere OR Screening OR Feature OR Trailer OR Teaser OR theater OR release)"</f>
        <v>#N/A</v>
      </c>
      <c r="O347" s="23" t="str">
        <f t="shared" si="1"/>
        <v>#</v>
      </c>
      <c r="P347" s="23" t="str">
        <f t="shared" si="2"/>
        <v>#</v>
      </c>
      <c r="Q347" s="23"/>
      <c r="R347" s="23" t="str">
        <f>"("""&amp;B347&amp;""") ("&amp;Vlookup(E347,DropDown!R:V,5,FALSE)&amp;IF(ISBLANK(D347)," | "," "&amp;"OR """&amp;YEAR(D347)&amp;""" | ") &amp; """All New"" | Episode | Watch | tv | Show | Series | season | binge | Stream | Film | Movie | Premiere | Screening | Feature | Trailer | Teaser | theater | release)"</f>
        <v>#N/A</v>
      </c>
      <c r="S347" s="23"/>
      <c r="T347" s="23"/>
      <c r="U347" s="23"/>
      <c r="V347" s="23"/>
      <c r="W347" s="23"/>
      <c r="X347" s="38"/>
      <c r="Y347" s="38"/>
      <c r="Z347" s="38"/>
      <c r="AA347" s="38"/>
    </row>
    <row r="348">
      <c r="A348" s="31"/>
      <c r="B348" s="38"/>
      <c r="C348" s="38"/>
      <c r="D348" s="50"/>
      <c r="E348" s="50"/>
      <c r="F348" s="50"/>
      <c r="G348" s="27" t="str">
        <f>VLOOKUP(E348,DropDown!J:K,2,FALSE)</f>
        <v>#N/A</v>
      </c>
      <c r="H348" s="50"/>
      <c r="I348" s="50"/>
      <c r="J348" s="50"/>
      <c r="K348" s="25" t="s">
        <v>116</v>
      </c>
      <c r="L348" s="23"/>
      <c r="M348" s="23"/>
      <c r="N348" s="25" t="str">
        <f>"("""&amp;B348&amp;""") ("&amp;Vlookup(E348,DropDown!J:N,5,FALSE)&amp;" OR """ &amp;YEAR(D348) &amp; """ OR ""All New"" OR Episode OR Watch OR tv OR Show OR Series OR season OR binge OR Stream OR Film OR Movie OR Premiere OR Screening OR Feature OR Trailer OR Teaser OR theater OR release)"</f>
        <v>#N/A</v>
      </c>
      <c r="O348" s="23" t="str">
        <f t="shared" si="1"/>
        <v>#</v>
      </c>
      <c r="P348" s="23" t="str">
        <f t="shared" si="2"/>
        <v>#</v>
      </c>
      <c r="Q348" s="23"/>
      <c r="R348" s="23" t="str">
        <f>"("""&amp;B348&amp;""") ("&amp;Vlookup(E348,DropDown!R:V,5,FALSE)&amp;IF(ISBLANK(D348)," | "," "&amp;"OR """&amp;YEAR(D348)&amp;""" | ") &amp; """All New"" | Episode | Watch | tv | Show | Series | season | binge | Stream | Film | Movie | Premiere | Screening | Feature | Trailer | Teaser | theater | release)"</f>
        <v>#N/A</v>
      </c>
      <c r="S348" s="23"/>
      <c r="T348" s="23"/>
      <c r="U348" s="23"/>
      <c r="V348" s="23"/>
      <c r="W348" s="23"/>
      <c r="X348" s="38"/>
      <c r="Y348" s="38"/>
      <c r="Z348" s="38"/>
      <c r="AA348" s="38"/>
    </row>
    <row r="349">
      <c r="A349" s="31"/>
      <c r="B349" s="38"/>
      <c r="C349" s="38"/>
      <c r="D349" s="50"/>
      <c r="E349" s="50"/>
      <c r="F349" s="50"/>
      <c r="G349" s="27" t="str">
        <f>VLOOKUP(E349,DropDown!J:K,2,FALSE)</f>
        <v>#N/A</v>
      </c>
      <c r="H349" s="50"/>
      <c r="I349" s="50"/>
      <c r="J349" s="50"/>
      <c r="K349" s="25" t="s">
        <v>116</v>
      </c>
      <c r="L349" s="23"/>
      <c r="M349" s="23"/>
      <c r="N349" s="25" t="str">
        <f>"("""&amp;B349&amp;""") ("&amp;Vlookup(E349,DropDown!J:N,5,FALSE)&amp;" OR """ &amp;YEAR(D349) &amp; """ OR ""All New"" OR Episode OR Watch OR tv OR Show OR Series OR season OR binge OR Stream OR Film OR Movie OR Premiere OR Screening OR Feature OR Trailer OR Teaser OR theater OR release)"</f>
        <v>#N/A</v>
      </c>
      <c r="O349" s="23" t="str">
        <f t="shared" si="1"/>
        <v>#</v>
      </c>
      <c r="P349" s="23" t="str">
        <f t="shared" si="2"/>
        <v>#</v>
      </c>
      <c r="Q349" s="23"/>
      <c r="R349" s="23" t="str">
        <f>"("""&amp;B349&amp;""") ("&amp;Vlookup(E349,DropDown!R:V,5,FALSE)&amp;IF(ISBLANK(D349)," | "," "&amp;"OR """&amp;YEAR(D349)&amp;""" | ") &amp; """All New"" | Episode | Watch | tv | Show | Series | season | binge | Stream | Film | Movie | Premiere | Screening | Feature | Trailer | Teaser | theater | release)"</f>
        <v>#N/A</v>
      </c>
      <c r="S349" s="23"/>
      <c r="T349" s="23"/>
      <c r="U349" s="23"/>
      <c r="V349" s="23"/>
      <c r="W349" s="23"/>
      <c r="X349" s="38"/>
      <c r="Y349" s="38"/>
      <c r="Z349" s="38"/>
      <c r="AA349" s="38"/>
    </row>
    <row r="350">
      <c r="A350" s="31"/>
      <c r="B350" s="38"/>
      <c r="C350" s="38"/>
      <c r="D350" s="50"/>
      <c r="E350" s="50"/>
      <c r="F350" s="50"/>
      <c r="G350" s="27" t="str">
        <f>VLOOKUP(E350,DropDown!J:K,2,FALSE)</f>
        <v>#N/A</v>
      </c>
      <c r="H350" s="50"/>
      <c r="I350" s="50"/>
      <c r="J350" s="50"/>
      <c r="K350" s="25" t="s">
        <v>116</v>
      </c>
      <c r="L350" s="23"/>
      <c r="M350" s="23"/>
      <c r="N350" s="25" t="str">
        <f>"("""&amp;B350&amp;""") ("&amp;Vlookup(E350,DropDown!J:N,5,FALSE)&amp;" OR """ &amp;YEAR(D350) &amp; """ OR ""All New"" OR Episode OR Watch OR tv OR Show OR Series OR season OR binge OR Stream OR Film OR Movie OR Premiere OR Screening OR Feature OR Trailer OR Teaser OR theater OR release)"</f>
        <v>#N/A</v>
      </c>
      <c r="O350" s="23" t="str">
        <f t="shared" si="1"/>
        <v>#</v>
      </c>
      <c r="P350" s="23" t="str">
        <f t="shared" si="2"/>
        <v>#</v>
      </c>
      <c r="Q350" s="23"/>
      <c r="R350" s="23" t="str">
        <f>"("""&amp;B350&amp;""") ("&amp;Vlookup(E350,DropDown!R:V,5,FALSE)&amp;IF(ISBLANK(D350)," | "," "&amp;"OR """&amp;YEAR(D350)&amp;""" | ") &amp; """All New"" | Episode | Watch | tv | Show | Series | season | binge | Stream | Film | Movie | Premiere | Screening | Feature | Trailer | Teaser | theater | release)"</f>
        <v>#N/A</v>
      </c>
      <c r="S350" s="23"/>
      <c r="T350" s="23"/>
      <c r="U350" s="23"/>
      <c r="V350" s="23"/>
      <c r="W350" s="23"/>
      <c r="X350" s="38"/>
      <c r="Y350" s="38"/>
      <c r="Z350" s="38"/>
      <c r="AA350" s="38"/>
    </row>
    <row r="351">
      <c r="A351" s="31"/>
      <c r="B351" s="38"/>
      <c r="C351" s="38"/>
      <c r="D351" s="50"/>
      <c r="E351" s="50"/>
      <c r="F351" s="50"/>
      <c r="G351" s="27" t="str">
        <f>VLOOKUP(E351,DropDown!J:K,2,FALSE)</f>
        <v>#N/A</v>
      </c>
      <c r="H351" s="50"/>
      <c r="I351" s="50"/>
      <c r="J351" s="50"/>
      <c r="K351" s="25" t="s">
        <v>116</v>
      </c>
      <c r="L351" s="23"/>
      <c r="M351" s="23"/>
      <c r="N351" s="25" t="str">
        <f>"("""&amp;B351&amp;""") ("&amp;Vlookup(E351,DropDown!J:N,5,FALSE)&amp;" OR """ &amp;YEAR(D351) &amp; """ OR ""All New"" OR Episode OR Watch OR tv OR Show OR Series OR season OR binge OR Stream OR Film OR Movie OR Premiere OR Screening OR Feature OR Trailer OR Teaser OR theater OR release)"</f>
        <v>#N/A</v>
      </c>
      <c r="O351" s="23" t="str">
        <f t="shared" si="1"/>
        <v>#</v>
      </c>
      <c r="P351" s="23" t="str">
        <f t="shared" si="2"/>
        <v>#</v>
      </c>
      <c r="Q351" s="23"/>
      <c r="R351" s="23" t="str">
        <f>"("""&amp;B351&amp;""") ("&amp;Vlookup(E351,DropDown!R:V,5,FALSE)&amp;IF(ISBLANK(D351)," | "," "&amp;"OR """&amp;YEAR(D351)&amp;""" | ") &amp; """All New"" | Episode | Watch | tv | Show | Series | season | binge | Stream | Film | Movie | Premiere | Screening | Feature | Trailer | Teaser | theater | release)"</f>
        <v>#N/A</v>
      </c>
      <c r="S351" s="23"/>
      <c r="T351" s="23"/>
      <c r="U351" s="23"/>
      <c r="V351" s="23"/>
      <c r="W351" s="23"/>
      <c r="X351" s="38"/>
      <c r="Y351" s="38"/>
      <c r="Z351" s="38"/>
      <c r="AA351" s="38"/>
    </row>
    <row r="352">
      <c r="A352" s="31"/>
      <c r="B352" s="38"/>
      <c r="C352" s="38"/>
      <c r="D352" s="50"/>
      <c r="E352" s="50"/>
      <c r="F352" s="50"/>
      <c r="G352" s="27" t="str">
        <f>VLOOKUP(E352,DropDown!J:K,2,FALSE)</f>
        <v>#N/A</v>
      </c>
      <c r="H352" s="50"/>
      <c r="I352" s="50"/>
      <c r="J352" s="50"/>
      <c r="K352" s="25" t="s">
        <v>116</v>
      </c>
      <c r="L352" s="23"/>
      <c r="M352" s="23"/>
      <c r="N352" s="25" t="str">
        <f>"("""&amp;B352&amp;""") ("&amp;Vlookup(E352,DropDown!J:N,5,FALSE)&amp;" OR """ &amp;YEAR(D352) &amp; """ OR ""All New"" OR Episode OR Watch OR tv OR Show OR Series OR season OR binge OR Stream OR Film OR Movie OR Premiere OR Screening OR Feature OR Trailer OR Teaser OR theater OR release)"</f>
        <v>#N/A</v>
      </c>
      <c r="O352" s="23" t="str">
        <f t="shared" si="1"/>
        <v>#</v>
      </c>
      <c r="P352" s="23" t="str">
        <f t="shared" si="2"/>
        <v>#</v>
      </c>
      <c r="Q352" s="23"/>
      <c r="R352" s="23" t="str">
        <f>"("""&amp;B352&amp;""") ("&amp;Vlookup(E352,DropDown!R:V,5,FALSE)&amp;IF(ISBLANK(D352)," | "," "&amp;"OR """&amp;YEAR(D352)&amp;""" | ") &amp; """All New"" | Episode | Watch | tv | Show | Series | season | binge | Stream | Film | Movie | Premiere | Screening | Feature | Trailer | Teaser | theater | release)"</f>
        <v>#N/A</v>
      </c>
      <c r="S352" s="23"/>
      <c r="T352" s="23"/>
      <c r="U352" s="23"/>
      <c r="V352" s="23"/>
      <c r="W352" s="23"/>
      <c r="X352" s="38"/>
      <c r="Y352" s="38"/>
      <c r="Z352" s="38"/>
      <c r="AA352" s="38"/>
    </row>
    <row r="353">
      <c r="A353" s="31"/>
      <c r="B353" s="38"/>
      <c r="C353" s="38"/>
      <c r="D353" s="50"/>
      <c r="E353" s="50"/>
      <c r="F353" s="50"/>
      <c r="G353" s="27" t="str">
        <f>VLOOKUP(E353,DropDown!J:K,2,FALSE)</f>
        <v>#N/A</v>
      </c>
      <c r="H353" s="50"/>
      <c r="I353" s="50"/>
      <c r="J353" s="50"/>
      <c r="K353" s="25" t="s">
        <v>116</v>
      </c>
      <c r="L353" s="23"/>
      <c r="M353" s="23"/>
      <c r="N353" s="25" t="str">
        <f>"("""&amp;B353&amp;""") ("&amp;Vlookup(E353,DropDown!J:N,5,FALSE)&amp;" OR """ &amp;YEAR(D353) &amp; """ OR ""All New"" OR Episode OR Watch OR tv OR Show OR Series OR season OR binge OR Stream OR Film OR Movie OR Premiere OR Screening OR Feature OR Trailer OR Teaser OR theater OR release)"</f>
        <v>#N/A</v>
      </c>
      <c r="O353" s="23" t="str">
        <f t="shared" si="1"/>
        <v>#</v>
      </c>
      <c r="P353" s="23" t="str">
        <f t="shared" si="2"/>
        <v>#</v>
      </c>
      <c r="Q353" s="23"/>
      <c r="R353" s="23" t="str">
        <f>"("""&amp;B353&amp;""") ("&amp;Vlookup(E353,DropDown!R:V,5,FALSE)&amp;IF(ISBLANK(D353)," | "," "&amp;"OR """&amp;YEAR(D353)&amp;""" | ") &amp; """All New"" | Episode | Watch | tv | Show | Series | season | binge | Stream | Film | Movie | Premiere | Screening | Feature | Trailer | Teaser | theater | release)"</f>
        <v>#N/A</v>
      </c>
      <c r="S353" s="23"/>
      <c r="T353" s="23"/>
      <c r="U353" s="23"/>
      <c r="V353" s="23"/>
      <c r="W353" s="23"/>
      <c r="X353" s="38"/>
      <c r="Y353" s="38"/>
      <c r="Z353" s="38"/>
      <c r="AA353" s="38"/>
    </row>
    <row r="354">
      <c r="A354" s="31"/>
      <c r="B354" s="38"/>
      <c r="C354" s="38"/>
      <c r="D354" s="50"/>
      <c r="E354" s="50"/>
      <c r="F354" s="50"/>
      <c r="G354" s="27" t="str">
        <f>VLOOKUP(E354,DropDown!J:K,2,FALSE)</f>
        <v>#N/A</v>
      </c>
      <c r="H354" s="50"/>
      <c r="I354" s="50"/>
      <c r="J354" s="50"/>
      <c r="K354" s="25" t="s">
        <v>116</v>
      </c>
      <c r="L354" s="23"/>
      <c r="M354" s="23"/>
      <c r="N354" s="25" t="str">
        <f>"("""&amp;B354&amp;""") ("&amp;Vlookup(E354,DropDown!J:N,5,FALSE)&amp;" OR """ &amp;YEAR(D354) &amp; """ OR ""All New"" OR Episode OR Watch OR tv OR Show OR Series OR season OR binge OR Stream OR Film OR Movie OR Premiere OR Screening OR Feature OR Trailer OR Teaser OR theater OR release)"</f>
        <v>#N/A</v>
      </c>
      <c r="O354" s="23" t="str">
        <f t="shared" si="1"/>
        <v>#</v>
      </c>
      <c r="P354" s="23" t="str">
        <f t="shared" si="2"/>
        <v>#</v>
      </c>
      <c r="Q354" s="23"/>
      <c r="R354" s="23" t="str">
        <f>"("""&amp;B354&amp;""") ("&amp;Vlookup(E354,DropDown!R:V,5,FALSE)&amp;IF(ISBLANK(D354)," | "," "&amp;"OR """&amp;YEAR(D354)&amp;""" | ") &amp; """All New"" | Episode | Watch | tv | Show | Series | season | binge | Stream | Film | Movie | Premiere | Screening | Feature | Trailer | Teaser | theater | release)"</f>
        <v>#N/A</v>
      </c>
      <c r="S354" s="23"/>
      <c r="T354" s="23"/>
      <c r="U354" s="23"/>
      <c r="V354" s="23"/>
      <c r="W354" s="23"/>
      <c r="X354" s="38"/>
      <c r="Y354" s="38"/>
      <c r="Z354" s="38"/>
      <c r="AA354" s="38"/>
    </row>
    <row r="355">
      <c r="A355" s="31"/>
      <c r="B355" s="38"/>
      <c r="C355" s="38"/>
      <c r="D355" s="50"/>
      <c r="E355" s="50"/>
      <c r="F355" s="50"/>
      <c r="G355" s="27" t="str">
        <f>VLOOKUP(E355,DropDown!J:K,2,FALSE)</f>
        <v>#N/A</v>
      </c>
      <c r="H355" s="50"/>
      <c r="I355" s="50"/>
      <c r="J355" s="50"/>
      <c r="K355" s="25" t="s">
        <v>116</v>
      </c>
      <c r="L355" s="23"/>
      <c r="M355" s="23"/>
      <c r="N355" s="25" t="str">
        <f>"("""&amp;B355&amp;""") ("&amp;Vlookup(E355,DropDown!J:N,5,FALSE)&amp;" OR """ &amp;YEAR(D355) &amp; """ OR ""All New"" OR Episode OR Watch OR tv OR Show OR Series OR season OR binge OR Stream OR Film OR Movie OR Premiere OR Screening OR Feature OR Trailer OR Teaser OR theater OR release)"</f>
        <v>#N/A</v>
      </c>
      <c r="O355" s="23" t="str">
        <f t="shared" si="1"/>
        <v>#</v>
      </c>
      <c r="P355" s="23" t="str">
        <f t="shared" si="2"/>
        <v>#</v>
      </c>
      <c r="Q355" s="23"/>
      <c r="R355" s="23" t="str">
        <f>"("""&amp;B355&amp;""") ("&amp;Vlookup(E355,DropDown!R:V,5,FALSE)&amp;IF(ISBLANK(D355)," | "," "&amp;"OR """&amp;YEAR(D355)&amp;""" | ") &amp; """All New"" | Episode | Watch | tv | Show | Series | season | binge | Stream | Film | Movie | Premiere | Screening | Feature | Trailer | Teaser | theater | release)"</f>
        <v>#N/A</v>
      </c>
      <c r="S355" s="23"/>
      <c r="T355" s="23"/>
      <c r="U355" s="23"/>
      <c r="V355" s="23"/>
      <c r="W355" s="23"/>
      <c r="X355" s="38"/>
      <c r="Y355" s="38"/>
      <c r="Z355" s="38"/>
      <c r="AA355" s="38"/>
    </row>
    <row r="356">
      <c r="A356" s="31"/>
      <c r="B356" s="38"/>
      <c r="C356" s="38"/>
      <c r="D356" s="50"/>
      <c r="E356" s="50"/>
      <c r="F356" s="50"/>
      <c r="G356" s="27" t="str">
        <f>VLOOKUP(E356,DropDown!J:K,2,FALSE)</f>
        <v>#N/A</v>
      </c>
      <c r="H356" s="50"/>
      <c r="I356" s="50"/>
      <c r="J356" s="50"/>
      <c r="K356" s="25" t="s">
        <v>116</v>
      </c>
      <c r="L356" s="23"/>
      <c r="M356" s="23"/>
      <c r="N356" s="25" t="str">
        <f>"("""&amp;B356&amp;""") ("&amp;Vlookup(E356,DropDown!J:N,5,FALSE)&amp;" OR """ &amp;YEAR(D356) &amp; """ OR ""All New"" OR Episode OR Watch OR tv OR Show OR Series OR season OR binge OR Stream OR Film OR Movie OR Premiere OR Screening OR Feature OR Trailer OR Teaser OR theater OR release)"</f>
        <v>#N/A</v>
      </c>
      <c r="O356" s="23" t="str">
        <f t="shared" si="1"/>
        <v>#</v>
      </c>
      <c r="P356" s="23" t="str">
        <f t="shared" si="2"/>
        <v>#</v>
      </c>
      <c r="Q356" s="23"/>
      <c r="R356" s="23" t="str">
        <f>"("""&amp;B356&amp;""") ("&amp;Vlookup(E356,DropDown!R:V,5,FALSE)&amp;IF(ISBLANK(D356)," | "," "&amp;"OR """&amp;YEAR(D356)&amp;""" | ") &amp; """All New"" | Episode | Watch | tv | Show | Series | season | binge | Stream | Film | Movie | Premiere | Screening | Feature | Trailer | Teaser | theater | release)"</f>
        <v>#N/A</v>
      </c>
      <c r="S356" s="23"/>
      <c r="T356" s="23"/>
      <c r="U356" s="23"/>
      <c r="V356" s="23"/>
      <c r="W356" s="23"/>
      <c r="X356" s="38"/>
      <c r="Y356" s="38"/>
      <c r="Z356" s="38"/>
      <c r="AA356" s="38"/>
    </row>
    <row r="357">
      <c r="A357" s="31"/>
      <c r="B357" s="38"/>
      <c r="C357" s="38"/>
      <c r="D357" s="50"/>
      <c r="E357" s="50"/>
      <c r="F357" s="50"/>
      <c r="G357" s="27" t="str">
        <f>VLOOKUP(E357,DropDown!J:K,2,FALSE)</f>
        <v>#N/A</v>
      </c>
      <c r="H357" s="50"/>
      <c r="I357" s="50"/>
      <c r="J357" s="50"/>
      <c r="K357" s="25" t="s">
        <v>116</v>
      </c>
      <c r="L357" s="23"/>
      <c r="M357" s="23"/>
      <c r="N357" s="25" t="str">
        <f>"("""&amp;B357&amp;""") ("&amp;Vlookup(E357,DropDown!J:N,5,FALSE)&amp;" OR """ &amp;YEAR(D357) &amp; """ OR ""All New"" OR Episode OR Watch OR tv OR Show OR Series OR season OR binge OR Stream OR Film OR Movie OR Premiere OR Screening OR Feature OR Trailer OR Teaser OR theater OR release)"</f>
        <v>#N/A</v>
      </c>
      <c r="O357" s="23" t="str">
        <f t="shared" si="1"/>
        <v>#</v>
      </c>
      <c r="P357" s="23" t="str">
        <f t="shared" si="2"/>
        <v>#</v>
      </c>
      <c r="Q357" s="23"/>
      <c r="R357" s="23" t="str">
        <f>"("""&amp;B357&amp;""") ("&amp;Vlookup(E357,DropDown!R:V,5,FALSE)&amp;IF(ISBLANK(D357)," | "," "&amp;"OR """&amp;YEAR(D357)&amp;""" | ") &amp; """All New"" | Episode | Watch | tv | Show | Series | season | binge | Stream | Film | Movie | Premiere | Screening | Feature | Trailer | Teaser | theater | release)"</f>
        <v>#N/A</v>
      </c>
      <c r="S357" s="23"/>
      <c r="T357" s="23"/>
      <c r="U357" s="23"/>
      <c r="V357" s="23"/>
      <c r="W357" s="23"/>
      <c r="X357" s="38"/>
      <c r="Y357" s="38"/>
      <c r="Z357" s="38"/>
      <c r="AA357" s="38"/>
    </row>
    <row r="358">
      <c r="A358" s="31"/>
      <c r="B358" s="38"/>
      <c r="C358" s="38"/>
      <c r="D358" s="50"/>
      <c r="E358" s="50"/>
      <c r="F358" s="50"/>
      <c r="G358" s="27" t="str">
        <f>VLOOKUP(E358,DropDown!J:K,2,FALSE)</f>
        <v>#N/A</v>
      </c>
      <c r="H358" s="50"/>
      <c r="I358" s="50"/>
      <c r="J358" s="50"/>
      <c r="K358" s="25" t="s">
        <v>116</v>
      </c>
      <c r="L358" s="23"/>
      <c r="M358" s="23"/>
      <c r="N358" s="25" t="str">
        <f>"("""&amp;B358&amp;""") ("&amp;Vlookup(E358,DropDown!J:N,5,FALSE)&amp;" OR """ &amp;YEAR(D358) &amp; """ OR ""All New"" OR Episode OR Watch OR tv OR Show OR Series OR season OR binge OR Stream OR Film OR Movie OR Premiere OR Screening OR Feature OR Trailer OR Teaser OR theater OR release)"</f>
        <v>#N/A</v>
      </c>
      <c r="O358" s="23" t="str">
        <f t="shared" si="1"/>
        <v>#</v>
      </c>
      <c r="P358" s="23" t="str">
        <f t="shared" si="2"/>
        <v>#</v>
      </c>
      <c r="Q358" s="23"/>
      <c r="R358" s="23" t="str">
        <f>"("""&amp;B358&amp;""") ("&amp;Vlookup(E358,DropDown!R:V,5,FALSE)&amp;IF(ISBLANK(D358)," | "," "&amp;"OR """&amp;YEAR(D358)&amp;""" | ") &amp; """All New"" | Episode | Watch | tv | Show | Series | season | binge | Stream | Film | Movie | Premiere | Screening | Feature | Trailer | Teaser | theater | release)"</f>
        <v>#N/A</v>
      </c>
      <c r="S358" s="23"/>
      <c r="T358" s="23"/>
      <c r="U358" s="23"/>
      <c r="V358" s="23"/>
      <c r="W358" s="23"/>
      <c r="X358" s="38"/>
      <c r="Y358" s="38"/>
      <c r="Z358" s="38"/>
      <c r="AA358" s="38"/>
    </row>
    <row r="359">
      <c r="A359" s="31"/>
      <c r="B359" s="38"/>
      <c r="C359" s="38"/>
      <c r="D359" s="50"/>
      <c r="E359" s="50"/>
      <c r="F359" s="50"/>
      <c r="G359" s="27" t="str">
        <f>VLOOKUP(E359,DropDown!J:K,2,FALSE)</f>
        <v>#N/A</v>
      </c>
      <c r="H359" s="50"/>
      <c r="I359" s="50"/>
      <c r="J359" s="50"/>
      <c r="K359" s="25" t="s">
        <v>116</v>
      </c>
      <c r="L359" s="23"/>
      <c r="M359" s="23"/>
      <c r="N359" s="25" t="str">
        <f>"("""&amp;B359&amp;""") ("&amp;Vlookup(E359,DropDown!J:N,5,FALSE)&amp;" OR """ &amp;YEAR(D359) &amp; """ OR ""All New"" OR Episode OR Watch OR tv OR Show OR Series OR season OR binge OR Stream OR Film OR Movie OR Premiere OR Screening OR Feature OR Trailer OR Teaser OR theater OR release)"</f>
        <v>#N/A</v>
      </c>
      <c r="O359" s="23" t="str">
        <f t="shared" si="1"/>
        <v>#</v>
      </c>
      <c r="P359" s="23" t="str">
        <f t="shared" si="2"/>
        <v>#</v>
      </c>
      <c r="Q359" s="23"/>
      <c r="R359" s="23" t="str">
        <f>"("""&amp;B359&amp;""") ("&amp;Vlookup(E359,DropDown!R:V,5,FALSE)&amp;IF(ISBLANK(D359)," | "," "&amp;"OR """&amp;YEAR(D359)&amp;""" | ") &amp; """All New"" | Episode | Watch | tv | Show | Series | season | binge | Stream | Film | Movie | Premiere | Screening | Feature | Trailer | Teaser | theater | release)"</f>
        <v>#N/A</v>
      </c>
      <c r="S359" s="23"/>
      <c r="T359" s="23"/>
      <c r="U359" s="23"/>
      <c r="V359" s="23"/>
      <c r="W359" s="23"/>
      <c r="X359" s="38"/>
      <c r="Y359" s="38"/>
      <c r="Z359" s="38"/>
      <c r="AA359" s="38"/>
    </row>
    <row r="360">
      <c r="A360" s="31"/>
      <c r="B360" s="38"/>
      <c r="C360" s="38"/>
      <c r="D360" s="50"/>
      <c r="E360" s="50"/>
      <c r="F360" s="50"/>
      <c r="G360" s="27" t="str">
        <f>VLOOKUP(E360,DropDown!J:K,2,FALSE)</f>
        <v>#N/A</v>
      </c>
      <c r="H360" s="50"/>
      <c r="I360" s="50"/>
      <c r="J360" s="50"/>
      <c r="K360" s="25" t="s">
        <v>116</v>
      </c>
      <c r="L360" s="23"/>
      <c r="M360" s="23"/>
      <c r="N360" s="25" t="str">
        <f>"("""&amp;B360&amp;""") ("&amp;Vlookup(E360,DropDown!J:N,5,FALSE)&amp;" OR """ &amp;YEAR(D360) &amp; """ OR ""All New"" OR Episode OR Watch OR tv OR Show OR Series OR season OR binge OR Stream OR Film OR Movie OR Premiere OR Screening OR Feature OR Trailer OR Teaser OR theater OR release)"</f>
        <v>#N/A</v>
      </c>
      <c r="O360" s="23" t="str">
        <f t="shared" si="1"/>
        <v>#</v>
      </c>
      <c r="P360" s="23" t="str">
        <f t="shared" si="2"/>
        <v>#</v>
      </c>
      <c r="Q360" s="23"/>
      <c r="R360" s="23" t="str">
        <f>"("""&amp;B360&amp;""") ("&amp;Vlookup(E360,DropDown!R:V,5,FALSE)&amp;IF(ISBLANK(D360)," | "," "&amp;"OR """&amp;YEAR(D360)&amp;""" | ") &amp; """All New"" | Episode | Watch | tv | Show | Series | season | binge | Stream | Film | Movie | Premiere | Screening | Feature | Trailer | Teaser | theater | release)"</f>
        <v>#N/A</v>
      </c>
      <c r="S360" s="23"/>
      <c r="T360" s="23"/>
      <c r="U360" s="23"/>
      <c r="V360" s="23"/>
      <c r="W360" s="23"/>
      <c r="X360" s="38"/>
      <c r="Y360" s="38"/>
      <c r="Z360" s="38"/>
      <c r="AA360" s="38"/>
    </row>
    <row r="361">
      <c r="A361" s="31"/>
      <c r="B361" s="38"/>
      <c r="C361" s="38"/>
      <c r="D361" s="50"/>
      <c r="E361" s="50"/>
      <c r="F361" s="50"/>
      <c r="G361" s="27" t="str">
        <f>VLOOKUP(E361,DropDown!J:K,2,FALSE)</f>
        <v>#N/A</v>
      </c>
      <c r="H361" s="50"/>
      <c r="I361" s="50"/>
      <c r="J361" s="50"/>
      <c r="K361" s="25" t="s">
        <v>116</v>
      </c>
      <c r="L361" s="23"/>
      <c r="M361" s="23"/>
      <c r="N361" s="25" t="str">
        <f>"("""&amp;B361&amp;""") ("&amp;Vlookup(E361,DropDown!J:N,5,FALSE)&amp;" OR """ &amp;YEAR(D361) &amp; """ OR ""All New"" OR Episode OR Watch OR tv OR Show OR Series OR season OR binge OR Stream OR Film OR Movie OR Premiere OR Screening OR Feature OR Trailer OR Teaser OR theater OR release)"</f>
        <v>#N/A</v>
      </c>
      <c r="O361" s="23" t="str">
        <f t="shared" si="1"/>
        <v>#</v>
      </c>
      <c r="P361" s="23" t="str">
        <f t="shared" si="2"/>
        <v>#</v>
      </c>
      <c r="Q361" s="23"/>
      <c r="R361" s="23" t="str">
        <f>"("""&amp;B361&amp;""") ("&amp;Vlookup(E361,DropDown!R:V,5,FALSE)&amp;IF(ISBLANK(D361)," | "," "&amp;"OR """&amp;YEAR(D361)&amp;""" | ") &amp; """All New"" | Episode | Watch | tv | Show | Series | season | binge | Stream | Film | Movie | Premiere | Screening | Feature | Trailer | Teaser | theater | release)"</f>
        <v>#N/A</v>
      </c>
      <c r="S361" s="23"/>
      <c r="T361" s="23"/>
      <c r="U361" s="23"/>
      <c r="V361" s="23"/>
      <c r="W361" s="23"/>
      <c r="X361" s="38"/>
      <c r="Y361" s="38"/>
      <c r="Z361" s="38"/>
      <c r="AA361" s="38"/>
    </row>
    <row r="362">
      <c r="A362" s="31"/>
      <c r="B362" s="38"/>
      <c r="C362" s="38"/>
      <c r="D362" s="50"/>
      <c r="E362" s="50"/>
      <c r="F362" s="50"/>
      <c r="G362" s="27" t="str">
        <f>VLOOKUP(E362,DropDown!J:K,2,FALSE)</f>
        <v>#N/A</v>
      </c>
      <c r="H362" s="50"/>
      <c r="I362" s="50"/>
      <c r="J362" s="50"/>
      <c r="K362" s="25" t="s">
        <v>116</v>
      </c>
      <c r="L362" s="23"/>
      <c r="M362" s="23"/>
      <c r="N362" s="25" t="str">
        <f>"("""&amp;B362&amp;""") ("&amp;Vlookup(E362,DropDown!J:N,5,FALSE)&amp;" OR """ &amp;YEAR(D362) &amp; """ OR ""All New"" OR Episode OR Watch OR tv OR Show OR Series OR season OR binge OR Stream OR Film OR Movie OR Premiere OR Screening OR Feature OR Trailer OR Teaser OR theater OR release)"</f>
        <v>#N/A</v>
      </c>
      <c r="O362" s="23" t="str">
        <f t="shared" si="1"/>
        <v>#</v>
      </c>
      <c r="P362" s="23" t="str">
        <f t="shared" si="2"/>
        <v>#</v>
      </c>
      <c r="Q362" s="23"/>
      <c r="R362" s="23" t="str">
        <f>"("""&amp;B362&amp;""") ("&amp;Vlookup(E362,DropDown!R:V,5,FALSE)&amp;IF(ISBLANK(D362)," | "," "&amp;"OR """&amp;YEAR(D362)&amp;""" | ") &amp; """All New"" | Episode | Watch | tv | Show | Series | season | binge | Stream | Film | Movie | Premiere | Screening | Feature | Trailer | Teaser | theater | release)"</f>
        <v>#N/A</v>
      </c>
      <c r="S362" s="23"/>
      <c r="T362" s="23"/>
      <c r="U362" s="23"/>
      <c r="V362" s="23"/>
      <c r="W362" s="23"/>
      <c r="X362" s="38"/>
      <c r="Y362" s="38"/>
      <c r="Z362" s="38"/>
      <c r="AA362" s="38"/>
    </row>
    <row r="363">
      <c r="A363" s="31"/>
      <c r="B363" s="38"/>
      <c r="C363" s="38"/>
      <c r="D363" s="50"/>
      <c r="E363" s="50"/>
      <c r="F363" s="50"/>
      <c r="G363" s="27" t="str">
        <f>VLOOKUP(E363,DropDown!J:K,2,FALSE)</f>
        <v>#N/A</v>
      </c>
      <c r="H363" s="50"/>
      <c r="I363" s="50"/>
      <c r="J363" s="50"/>
      <c r="K363" s="25" t="s">
        <v>116</v>
      </c>
      <c r="L363" s="23"/>
      <c r="M363" s="23"/>
      <c r="N363" s="25" t="str">
        <f>"("""&amp;B363&amp;""") ("&amp;Vlookup(E363,DropDown!J:N,5,FALSE)&amp;" OR """ &amp;YEAR(D363) &amp; """ OR ""All New"" OR Episode OR Watch OR tv OR Show OR Series OR season OR binge OR Stream OR Film OR Movie OR Premiere OR Screening OR Feature OR Trailer OR Teaser OR theater OR release)"</f>
        <v>#N/A</v>
      </c>
      <c r="O363" s="23" t="str">
        <f t="shared" si="1"/>
        <v>#</v>
      </c>
      <c r="P363" s="23" t="str">
        <f t="shared" si="2"/>
        <v>#</v>
      </c>
      <c r="Q363" s="23"/>
      <c r="R363" s="23" t="str">
        <f>"("""&amp;B363&amp;""") ("&amp;Vlookup(E363,DropDown!R:V,5,FALSE)&amp;IF(ISBLANK(D363)," | "," "&amp;"OR """&amp;YEAR(D363)&amp;""" | ") &amp; """All New"" | Episode | Watch | tv | Show | Series | season | binge | Stream | Film | Movie | Premiere | Screening | Feature | Trailer | Teaser | theater | release)"</f>
        <v>#N/A</v>
      </c>
      <c r="S363" s="23"/>
      <c r="T363" s="23"/>
      <c r="U363" s="23"/>
      <c r="V363" s="23"/>
      <c r="W363" s="23"/>
      <c r="X363" s="38"/>
      <c r="Y363" s="38"/>
      <c r="Z363" s="38"/>
      <c r="AA363" s="38"/>
    </row>
    <row r="364">
      <c r="A364" s="31"/>
      <c r="B364" s="38"/>
      <c r="C364" s="38"/>
      <c r="D364" s="50"/>
      <c r="E364" s="50"/>
      <c r="F364" s="50"/>
      <c r="G364" s="27" t="str">
        <f>VLOOKUP(E364,DropDown!J:K,2,FALSE)</f>
        <v>#N/A</v>
      </c>
      <c r="H364" s="50"/>
      <c r="I364" s="50"/>
      <c r="J364" s="50"/>
      <c r="K364" s="25" t="s">
        <v>116</v>
      </c>
      <c r="L364" s="23"/>
      <c r="M364" s="23"/>
      <c r="N364" s="25" t="str">
        <f>"("""&amp;B364&amp;""") ("&amp;Vlookup(E364,DropDown!J:N,5,FALSE)&amp;" OR """ &amp;YEAR(D364) &amp; """ OR ""All New"" OR Episode OR Watch OR tv OR Show OR Series OR season OR binge OR Stream OR Film OR Movie OR Premiere OR Screening OR Feature OR Trailer OR Teaser OR theater OR release)"</f>
        <v>#N/A</v>
      </c>
      <c r="O364" s="23" t="str">
        <f t="shared" si="1"/>
        <v>#</v>
      </c>
      <c r="P364" s="23" t="str">
        <f t="shared" si="2"/>
        <v>#</v>
      </c>
      <c r="Q364" s="23"/>
      <c r="R364" s="23" t="str">
        <f>"("""&amp;B364&amp;""") ("&amp;Vlookup(E364,DropDown!R:V,5,FALSE)&amp;IF(ISBLANK(D364)," | "," "&amp;"OR """&amp;YEAR(D364)&amp;""" | ") &amp; """All New"" | Episode | Watch | tv | Show | Series | season | binge | Stream | Film | Movie | Premiere | Screening | Feature | Trailer | Teaser | theater | release)"</f>
        <v>#N/A</v>
      </c>
      <c r="S364" s="23"/>
      <c r="T364" s="23"/>
      <c r="U364" s="23"/>
      <c r="V364" s="23"/>
      <c r="W364" s="23"/>
      <c r="X364" s="38"/>
      <c r="Y364" s="38"/>
      <c r="Z364" s="38"/>
      <c r="AA364" s="38"/>
    </row>
    <row r="365">
      <c r="A365" s="31"/>
      <c r="B365" s="38"/>
      <c r="C365" s="38"/>
      <c r="D365" s="50"/>
      <c r="E365" s="50"/>
      <c r="F365" s="50"/>
      <c r="G365" s="27" t="str">
        <f>VLOOKUP(E365,DropDown!J:K,2,FALSE)</f>
        <v>#N/A</v>
      </c>
      <c r="H365" s="50"/>
      <c r="I365" s="50"/>
      <c r="J365" s="50"/>
      <c r="K365" s="25" t="s">
        <v>116</v>
      </c>
      <c r="L365" s="23"/>
      <c r="M365" s="23"/>
      <c r="N365" s="25" t="str">
        <f>"("""&amp;B365&amp;""") ("&amp;Vlookup(E365,DropDown!J:N,5,FALSE)&amp;" OR """ &amp;YEAR(D365) &amp; """ OR ""All New"" OR Episode OR Watch OR tv OR Show OR Series OR season OR binge OR Stream OR Film OR Movie OR Premiere OR Screening OR Feature OR Trailer OR Teaser OR theater OR release)"</f>
        <v>#N/A</v>
      </c>
      <c r="O365" s="23" t="str">
        <f t="shared" si="1"/>
        <v>#</v>
      </c>
      <c r="P365" s="23" t="str">
        <f t="shared" si="2"/>
        <v>#</v>
      </c>
      <c r="Q365" s="23"/>
      <c r="R365" s="23" t="str">
        <f>"("""&amp;B365&amp;""") ("&amp;Vlookup(E365,DropDown!R:V,5,FALSE)&amp;IF(ISBLANK(D365)," | "," "&amp;"OR """&amp;YEAR(D365)&amp;""" | ") &amp; """All New"" | Episode | Watch | tv | Show | Series | season | binge | Stream | Film | Movie | Premiere | Screening | Feature | Trailer | Teaser | theater | release)"</f>
        <v>#N/A</v>
      </c>
      <c r="S365" s="23"/>
      <c r="T365" s="23"/>
      <c r="U365" s="23"/>
      <c r="V365" s="23"/>
      <c r="W365" s="23"/>
      <c r="X365" s="38"/>
      <c r="Y365" s="38"/>
      <c r="Z365" s="38"/>
      <c r="AA365" s="38"/>
    </row>
    <row r="366">
      <c r="A366" s="31"/>
      <c r="B366" s="38"/>
      <c r="C366" s="38"/>
      <c r="D366" s="50"/>
      <c r="E366" s="50"/>
      <c r="F366" s="50"/>
      <c r="G366" s="27" t="str">
        <f>VLOOKUP(E366,DropDown!J:K,2,FALSE)</f>
        <v>#N/A</v>
      </c>
      <c r="H366" s="50"/>
      <c r="I366" s="50"/>
      <c r="J366" s="50"/>
      <c r="K366" s="25" t="s">
        <v>116</v>
      </c>
      <c r="L366" s="23"/>
      <c r="M366" s="23"/>
      <c r="N366" s="25" t="str">
        <f>"("""&amp;B366&amp;""") ("&amp;Vlookup(E366,DropDown!J:N,5,FALSE)&amp;" OR """ &amp;YEAR(D366) &amp; """ OR ""All New"" OR Episode OR Watch OR tv OR Show OR Series OR season OR binge OR Stream OR Film OR Movie OR Premiere OR Screening OR Feature OR Trailer OR Teaser OR theater OR release)"</f>
        <v>#N/A</v>
      </c>
      <c r="O366" s="23" t="str">
        <f t="shared" si="1"/>
        <v>#</v>
      </c>
      <c r="P366" s="23" t="str">
        <f t="shared" si="2"/>
        <v>#</v>
      </c>
      <c r="Q366" s="23"/>
      <c r="R366" s="23" t="str">
        <f>"("""&amp;B366&amp;""") ("&amp;Vlookup(E366,DropDown!R:V,5,FALSE)&amp;IF(ISBLANK(D366)," | "," "&amp;"OR """&amp;YEAR(D366)&amp;""" | ") &amp; """All New"" | Episode | Watch | tv | Show | Series | season | binge | Stream | Film | Movie | Premiere | Screening | Feature | Trailer | Teaser | theater | release)"</f>
        <v>#N/A</v>
      </c>
      <c r="S366" s="23"/>
      <c r="T366" s="23"/>
      <c r="U366" s="23"/>
      <c r="V366" s="23"/>
      <c r="W366" s="23"/>
      <c r="X366" s="38"/>
      <c r="Y366" s="38"/>
      <c r="Z366" s="38"/>
      <c r="AA366" s="38"/>
    </row>
    <row r="367">
      <c r="A367" s="31"/>
      <c r="B367" s="38"/>
      <c r="C367" s="38"/>
      <c r="D367" s="50"/>
      <c r="E367" s="50"/>
      <c r="F367" s="50"/>
      <c r="G367" s="27" t="str">
        <f>VLOOKUP(E367,DropDown!J:K,2,FALSE)</f>
        <v>#N/A</v>
      </c>
      <c r="H367" s="50"/>
      <c r="I367" s="50"/>
      <c r="J367" s="50"/>
      <c r="K367" s="25" t="s">
        <v>116</v>
      </c>
      <c r="L367" s="23"/>
      <c r="M367" s="23"/>
      <c r="N367" s="25" t="str">
        <f>"("""&amp;B367&amp;""") ("&amp;Vlookup(E367,DropDown!J:N,5,FALSE)&amp;" OR """ &amp;YEAR(D367) &amp; """ OR ""All New"" OR Episode OR Watch OR tv OR Show OR Series OR season OR binge OR Stream OR Film OR Movie OR Premiere OR Screening OR Feature OR Trailer OR Teaser OR theater OR release)"</f>
        <v>#N/A</v>
      </c>
      <c r="O367" s="23" t="str">
        <f t="shared" si="1"/>
        <v>#</v>
      </c>
      <c r="P367" s="23" t="str">
        <f t="shared" si="2"/>
        <v>#</v>
      </c>
      <c r="Q367" s="23"/>
      <c r="R367" s="23" t="str">
        <f>"("""&amp;B367&amp;""") ("&amp;Vlookup(E367,DropDown!R:V,5,FALSE)&amp;IF(ISBLANK(D367)," | "," "&amp;"OR """&amp;YEAR(D367)&amp;""" | ") &amp; """All New"" | Episode | Watch | tv | Show | Series | season | binge | Stream | Film | Movie | Premiere | Screening | Feature | Trailer | Teaser | theater | release)"</f>
        <v>#N/A</v>
      </c>
      <c r="S367" s="23"/>
      <c r="T367" s="23"/>
      <c r="U367" s="23"/>
      <c r="V367" s="23"/>
      <c r="W367" s="23"/>
      <c r="X367" s="38"/>
      <c r="Y367" s="38"/>
      <c r="Z367" s="38"/>
      <c r="AA367" s="38"/>
    </row>
    <row r="368">
      <c r="A368" s="31"/>
      <c r="B368" s="38"/>
      <c r="C368" s="38"/>
      <c r="D368" s="50"/>
      <c r="E368" s="50"/>
      <c r="F368" s="50"/>
      <c r="G368" s="27" t="str">
        <f>VLOOKUP(E368,DropDown!J:K,2,FALSE)</f>
        <v>#N/A</v>
      </c>
      <c r="H368" s="50"/>
      <c r="I368" s="50"/>
      <c r="J368" s="50"/>
      <c r="K368" s="25" t="s">
        <v>116</v>
      </c>
      <c r="L368" s="23"/>
      <c r="M368" s="23"/>
      <c r="N368" s="25" t="str">
        <f>"("""&amp;B368&amp;""") ("&amp;Vlookup(E368,DropDown!J:N,5,FALSE)&amp;" OR """ &amp;YEAR(D368) &amp; """ OR ""All New"" OR Episode OR Watch OR tv OR Show OR Series OR season OR binge OR Stream OR Film OR Movie OR Premiere OR Screening OR Feature OR Trailer OR Teaser OR theater OR release)"</f>
        <v>#N/A</v>
      </c>
      <c r="O368" s="23" t="str">
        <f t="shared" si="1"/>
        <v>#</v>
      </c>
      <c r="P368" s="23" t="str">
        <f t="shared" si="2"/>
        <v>#</v>
      </c>
      <c r="Q368" s="23"/>
      <c r="R368" s="23" t="str">
        <f>"("""&amp;B368&amp;""") ("&amp;Vlookup(E368,DropDown!R:V,5,FALSE)&amp;IF(ISBLANK(D368)," | "," "&amp;"OR """&amp;YEAR(D368)&amp;""" | ") &amp; """All New"" | Episode | Watch | tv | Show | Series | season | binge | Stream | Film | Movie | Premiere | Screening | Feature | Trailer | Teaser | theater | release)"</f>
        <v>#N/A</v>
      </c>
      <c r="S368" s="23"/>
      <c r="T368" s="23"/>
      <c r="U368" s="23"/>
      <c r="V368" s="23"/>
      <c r="W368" s="23"/>
      <c r="X368" s="38"/>
      <c r="Y368" s="38"/>
      <c r="Z368" s="38"/>
      <c r="AA368" s="38"/>
    </row>
    <row r="369">
      <c r="A369" s="31"/>
      <c r="B369" s="38"/>
      <c r="C369" s="38"/>
      <c r="D369" s="50"/>
      <c r="E369" s="50"/>
      <c r="F369" s="50"/>
      <c r="G369" s="27" t="str">
        <f>VLOOKUP(E369,DropDown!J:K,2,FALSE)</f>
        <v>#N/A</v>
      </c>
      <c r="H369" s="50"/>
      <c r="I369" s="50"/>
      <c r="J369" s="50"/>
      <c r="K369" s="25" t="s">
        <v>116</v>
      </c>
      <c r="L369" s="23"/>
      <c r="M369" s="23"/>
      <c r="N369" s="25" t="str">
        <f>"("""&amp;B369&amp;""") ("&amp;Vlookup(E369,DropDown!J:N,5,FALSE)&amp;" OR """ &amp;YEAR(D369) &amp; """ OR ""All New"" OR Episode OR Watch OR tv OR Show OR Series OR season OR binge OR Stream OR Film OR Movie OR Premiere OR Screening OR Feature OR Trailer OR Teaser OR theater OR release)"</f>
        <v>#N/A</v>
      </c>
      <c r="O369" s="23" t="str">
        <f t="shared" si="1"/>
        <v>#</v>
      </c>
      <c r="P369" s="23" t="str">
        <f t="shared" si="2"/>
        <v>#</v>
      </c>
      <c r="Q369" s="23"/>
      <c r="R369" s="23" t="str">
        <f>"("""&amp;B369&amp;""") ("&amp;Vlookup(E369,DropDown!R:V,5,FALSE)&amp;IF(ISBLANK(D369)," | "," "&amp;"OR """&amp;YEAR(D369)&amp;""" | ") &amp; """All New"" | Episode | Watch | tv | Show | Series | season | binge | Stream | Film | Movie | Premiere | Screening | Feature | Trailer | Teaser | theater | release)"</f>
        <v>#N/A</v>
      </c>
      <c r="S369" s="23"/>
      <c r="T369" s="23"/>
      <c r="U369" s="23"/>
      <c r="V369" s="23"/>
      <c r="W369" s="23"/>
      <c r="X369" s="38"/>
      <c r="Y369" s="38"/>
      <c r="Z369" s="38"/>
      <c r="AA369" s="38"/>
    </row>
    <row r="370">
      <c r="A370" s="31"/>
      <c r="B370" s="38"/>
      <c r="C370" s="38"/>
      <c r="D370" s="50"/>
      <c r="E370" s="50"/>
      <c r="F370" s="50"/>
      <c r="G370" s="27" t="str">
        <f>VLOOKUP(E370,DropDown!J:K,2,FALSE)</f>
        <v>#N/A</v>
      </c>
      <c r="H370" s="50"/>
      <c r="I370" s="50"/>
      <c r="J370" s="50"/>
      <c r="K370" s="25" t="s">
        <v>116</v>
      </c>
      <c r="L370" s="23"/>
      <c r="M370" s="23"/>
      <c r="N370" s="25" t="str">
        <f>"("""&amp;B370&amp;""") ("&amp;Vlookup(E370,DropDown!J:N,5,FALSE)&amp;" OR """ &amp;YEAR(D370) &amp; """ OR ""All New"" OR Episode OR Watch OR tv OR Show OR Series OR season OR binge OR Stream OR Film OR Movie OR Premiere OR Screening OR Feature OR Trailer OR Teaser OR theater OR release)"</f>
        <v>#N/A</v>
      </c>
      <c r="O370" s="23" t="str">
        <f t="shared" si="1"/>
        <v>#</v>
      </c>
      <c r="P370" s="23" t="str">
        <f t="shared" si="2"/>
        <v>#</v>
      </c>
      <c r="Q370" s="23"/>
      <c r="R370" s="23" t="str">
        <f>"("""&amp;B370&amp;""") ("&amp;Vlookup(E370,DropDown!R:V,5,FALSE)&amp;IF(ISBLANK(D370)," | "," "&amp;"OR """&amp;YEAR(D370)&amp;""" | ") &amp; """All New"" | Episode | Watch | tv | Show | Series | season | binge | Stream | Film | Movie | Premiere | Screening | Feature | Trailer | Teaser | theater | release)"</f>
        <v>#N/A</v>
      </c>
      <c r="S370" s="23"/>
      <c r="T370" s="23"/>
      <c r="U370" s="23"/>
      <c r="V370" s="23"/>
      <c r="W370" s="23"/>
      <c r="X370" s="38"/>
      <c r="Y370" s="38"/>
      <c r="Z370" s="38"/>
      <c r="AA370" s="38"/>
    </row>
    <row r="371">
      <c r="A371" s="31"/>
      <c r="B371" s="38"/>
      <c r="C371" s="38"/>
      <c r="D371" s="50"/>
      <c r="E371" s="50"/>
      <c r="F371" s="50"/>
      <c r="G371" s="27" t="str">
        <f>VLOOKUP(E371,DropDown!J:K,2,FALSE)</f>
        <v>#N/A</v>
      </c>
      <c r="H371" s="50"/>
      <c r="I371" s="50"/>
      <c r="J371" s="50"/>
      <c r="K371" s="25" t="s">
        <v>116</v>
      </c>
      <c r="L371" s="23"/>
      <c r="M371" s="23"/>
      <c r="N371" s="25" t="str">
        <f>"("""&amp;B371&amp;""") ("&amp;Vlookup(E371,DropDown!J:N,5,FALSE)&amp;" OR """ &amp;YEAR(D371) &amp; """ OR ""All New"" OR Episode OR Watch OR tv OR Show OR Series OR season OR binge OR Stream OR Film OR Movie OR Premiere OR Screening OR Feature OR Trailer OR Teaser OR theater OR release)"</f>
        <v>#N/A</v>
      </c>
      <c r="O371" s="23" t="str">
        <f t="shared" si="1"/>
        <v>#</v>
      </c>
      <c r="P371" s="23" t="str">
        <f t="shared" si="2"/>
        <v>#</v>
      </c>
      <c r="Q371" s="23"/>
      <c r="R371" s="23" t="str">
        <f>"("""&amp;B371&amp;""") ("&amp;Vlookup(E371,DropDown!R:V,5,FALSE)&amp;IF(ISBLANK(D371)," | "," "&amp;"OR """&amp;YEAR(D371)&amp;""" | ") &amp; """All New"" | Episode | Watch | tv | Show | Series | season | binge | Stream | Film | Movie | Premiere | Screening | Feature | Trailer | Teaser | theater | release)"</f>
        <v>#N/A</v>
      </c>
      <c r="S371" s="23"/>
      <c r="T371" s="23"/>
      <c r="U371" s="23"/>
      <c r="V371" s="23"/>
      <c r="W371" s="23"/>
      <c r="X371" s="38"/>
      <c r="Y371" s="38"/>
      <c r="Z371" s="38"/>
      <c r="AA371" s="38"/>
    </row>
    <row r="372">
      <c r="A372" s="31"/>
      <c r="B372" s="38"/>
      <c r="C372" s="38"/>
      <c r="D372" s="50"/>
      <c r="E372" s="50"/>
      <c r="F372" s="50"/>
      <c r="G372" s="27" t="str">
        <f>VLOOKUP(E372,DropDown!J:K,2,FALSE)</f>
        <v>#N/A</v>
      </c>
      <c r="H372" s="50"/>
      <c r="I372" s="50"/>
      <c r="J372" s="50"/>
      <c r="K372" s="25" t="s">
        <v>116</v>
      </c>
      <c r="L372" s="23"/>
      <c r="M372" s="23"/>
      <c r="N372" s="25" t="str">
        <f>"("""&amp;B372&amp;""") ("&amp;Vlookup(E372,DropDown!J:N,5,FALSE)&amp;" OR """ &amp;YEAR(D372) &amp; """ OR ""All New"" OR Episode OR Watch OR tv OR Show OR Series OR season OR binge OR Stream OR Film OR Movie OR Premiere OR Screening OR Feature OR Trailer OR Teaser OR theater OR release)"</f>
        <v>#N/A</v>
      </c>
      <c r="O372" s="23" t="str">
        <f t="shared" si="1"/>
        <v>#</v>
      </c>
      <c r="P372" s="23" t="str">
        <f t="shared" si="2"/>
        <v>#</v>
      </c>
      <c r="Q372" s="23"/>
      <c r="R372" s="23" t="str">
        <f>"("""&amp;B372&amp;""") ("&amp;Vlookup(E372,DropDown!R:V,5,FALSE)&amp;IF(ISBLANK(D372)," | "," "&amp;"OR """&amp;YEAR(D372)&amp;""" | ") &amp; """All New"" | Episode | Watch | tv | Show | Series | season | binge | Stream | Film | Movie | Premiere | Screening | Feature | Trailer | Teaser | theater | release)"</f>
        <v>#N/A</v>
      </c>
      <c r="S372" s="23"/>
      <c r="T372" s="23"/>
      <c r="U372" s="23"/>
      <c r="V372" s="23"/>
      <c r="W372" s="23"/>
      <c r="X372" s="38"/>
      <c r="Y372" s="38"/>
      <c r="Z372" s="38"/>
      <c r="AA372" s="38"/>
    </row>
    <row r="373">
      <c r="A373" s="31"/>
      <c r="B373" s="38"/>
      <c r="C373" s="38"/>
      <c r="D373" s="50"/>
      <c r="E373" s="50"/>
      <c r="F373" s="50"/>
      <c r="G373" s="27" t="str">
        <f>VLOOKUP(E373,DropDown!J:K,2,FALSE)</f>
        <v>#N/A</v>
      </c>
      <c r="H373" s="50"/>
      <c r="I373" s="50"/>
      <c r="J373" s="50"/>
      <c r="K373" s="25" t="s">
        <v>116</v>
      </c>
      <c r="L373" s="23"/>
      <c r="M373" s="23"/>
      <c r="N373" s="25" t="str">
        <f>"("""&amp;B373&amp;""") ("&amp;Vlookup(E373,DropDown!J:N,5,FALSE)&amp;" OR """ &amp;YEAR(D373) &amp; """ OR ""All New"" OR Episode OR Watch OR tv OR Show OR Series OR season OR binge OR Stream OR Film OR Movie OR Premiere OR Screening OR Feature OR Trailer OR Teaser OR theater OR release)"</f>
        <v>#N/A</v>
      </c>
      <c r="O373" s="23" t="str">
        <f t="shared" si="1"/>
        <v>#</v>
      </c>
      <c r="P373" s="23" t="str">
        <f t="shared" si="2"/>
        <v>#</v>
      </c>
      <c r="Q373" s="23"/>
      <c r="R373" s="23" t="str">
        <f>"("""&amp;B373&amp;""") ("&amp;Vlookup(E373,DropDown!R:V,5,FALSE)&amp;IF(ISBLANK(D373)," | "," "&amp;"OR """&amp;YEAR(D373)&amp;""" | ") &amp; """All New"" | Episode | Watch | tv | Show | Series | season | binge | Stream | Film | Movie | Premiere | Screening | Feature | Trailer | Teaser | theater | release)"</f>
        <v>#N/A</v>
      </c>
      <c r="S373" s="23"/>
      <c r="T373" s="23"/>
      <c r="U373" s="23"/>
      <c r="V373" s="23"/>
      <c r="W373" s="23"/>
      <c r="X373" s="38"/>
      <c r="Y373" s="38"/>
      <c r="Z373" s="38"/>
      <c r="AA373" s="38"/>
    </row>
    <row r="374">
      <c r="A374" s="31"/>
      <c r="B374" s="38"/>
      <c r="C374" s="38"/>
      <c r="D374" s="50"/>
      <c r="E374" s="50"/>
      <c r="F374" s="50"/>
      <c r="G374" s="27" t="str">
        <f>VLOOKUP(E374,DropDown!J:K,2,FALSE)</f>
        <v>#N/A</v>
      </c>
      <c r="H374" s="50"/>
      <c r="I374" s="50"/>
      <c r="J374" s="50"/>
      <c r="K374" s="25" t="s">
        <v>116</v>
      </c>
      <c r="L374" s="23"/>
      <c r="M374" s="23"/>
      <c r="N374" s="25" t="str">
        <f>"("""&amp;B374&amp;""") ("&amp;Vlookup(E374,DropDown!J:N,5,FALSE)&amp;" OR """ &amp;YEAR(D374) &amp; """ OR ""All New"" OR Episode OR Watch OR tv OR Show OR Series OR season OR binge OR Stream OR Film OR Movie OR Premiere OR Screening OR Feature OR Trailer OR Teaser OR theater OR release)"</f>
        <v>#N/A</v>
      </c>
      <c r="O374" s="23" t="str">
        <f t="shared" si="1"/>
        <v>#</v>
      </c>
      <c r="P374" s="23" t="str">
        <f t="shared" si="2"/>
        <v>#</v>
      </c>
      <c r="Q374" s="23"/>
      <c r="R374" s="23" t="str">
        <f>"("""&amp;B374&amp;""") ("&amp;Vlookup(E374,DropDown!R:V,5,FALSE)&amp;IF(ISBLANK(D374)," | "," "&amp;"OR """&amp;YEAR(D374)&amp;""" | ") &amp; """All New"" | Episode | Watch | tv | Show | Series | season | binge | Stream | Film | Movie | Premiere | Screening | Feature | Trailer | Teaser | theater | release)"</f>
        <v>#N/A</v>
      </c>
      <c r="S374" s="23"/>
      <c r="T374" s="23"/>
      <c r="U374" s="23"/>
      <c r="V374" s="23"/>
      <c r="W374" s="23"/>
      <c r="X374" s="38"/>
      <c r="Y374" s="38"/>
      <c r="Z374" s="38"/>
      <c r="AA374" s="38"/>
    </row>
    <row r="375">
      <c r="A375" s="31"/>
      <c r="B375" s="38"/>
      <c r="C375" s="38"/>
      <c r="D375" s="50"/>
      <c r="E375" s="50"/>
      <c r="F375" s="50"/>
      <c r="G375" s="27" t="str">
        <f>VLOOKUP(E375,DropDown!J:K,2,FALSE)</f>
        <v>#N/A</v>
      </c>
      <c r="H375" s="50"/>
      <c r="I375" s="50"/>
      <c r="J375" s="50"/>
      <c r="K375" s="25" t="s">
        <v>116</v>
      </c>
      <c r="L375" s="23"/>
      <c r="M375" s="23"/>
      <c r="N375" s="25" t="str">
        <f>"("""&amp;B375&amp;""") ("&amp;Vlookup(E375,DropDown!J:N,5,FALSE)&amp;" OR """ &amp;YEAR(D375) &amp; """ OR ""All New"" OR Episode OR Watch OR tv OR Show OR Series OR season OR binge OR Stream OR Film OR Movie OR Premiere OR Screening OR Feature OR Trailer OR Teaser OR theater OR release)"</f>
        <v>#N/A</v>
      </c>
      <c r="O375" s="23" t="str">
        <f t="shared" si="1"/>
        <v>#</v>
      </c>
      <c r="P375" s="23" t="str">
        <f t="shared" si="2"/>
        <v>#</v>
      </c>
      <c r="Q375" s="23"/>
      <c r="R375" s="23" t="str">
        <f>"("""&amp;B375&amp;""") ("&amp;Vlookup(E375,DropDown!R:V,5,FALSE)&amp;IF(ISBLANK(D375)," | "," "&amp;"OR """&amp;YEAR(D375)&amp;""" | ") &amp; """All New"" | Episode | Watch | tv | Show | Series | season | binge | Stream | Film | Movie | Premiere | Screening | Feature | Trailer | Teaser | theater | release)"</f>
        <v>#N/A</v>
      </c>
      <c r="S375" s="23"/>
      <c r="T375" s="23"/>
      <c r="U375" s="23"/>
      <c r="V375" s="23"/>
      <c r="W375" s="23"/>
      <c r="X375" s="38"/>
      <c r="Y375" s="38"/>
      <c r="Z375" s="38"/>
      <c r="AA375" s="38"/>
    </row>
    <row r="376">
      <c r="A376" s="31"/>
      <c r="B376" s="38"/>
      <c r="C376" s="38"/>
      <c r="D376" s="50"/>
      <c r="E376" s="50"/>
      <c r="F376" s="50"/>
      <c r="G376" s="27" t="str">
        <f>VLOOKUP(E376,DropDown!J:K,2,FALSE)</f>
        <v>#N/A</v>
      </c>
      <c r="H376" s="50"/>
      <c r="I376" s="50"/>
      <c r="J376" s="50"/>
      <c r="K376" s="25" t="s">
        <v>116</v>
      </c>
      <c r="L376" s="23"/>
      <c r="M376" s="23"/>
      <c r="N376" s="25" t="str">
        <f>"("""&amp;B376&amp;""") ("&amp;Vlookup(E376,DropDown!J:N,5,FALSE)&amp;" OR """ &amp;YEAR(D376) &amp; """ OR ""All New"" OR Episode OR Watch OR tv OR Show OR Series OR season OR binge OR Stream OR Film OR Movie OR Premiere OR Screening OR Feature OR Trailer OR Teaser OR theater OR release)"</f>
        <v>#N/A</v>
      </c>
      <c r="O376" s="23" t="str">
        <f t="shared" si="1"/>
        <v>#</v>
      </c>
      <c r="P376" s="23" t="str">
        <f t="shared" si="2"/>
        <v>#</v>
      </c>
      <c r="Q376" s="23"/>
      <c r="R376" s="23" t="str">
        <f>"("""&amp;B376&amp;""") ("&amp;Vlookup(E376,DropDown!R:V,5,FALSE)&amp;IF(ISBLANK(D376)," | "," "&amp;"OR """&amp;YEAR(D376)&amp;""" | ") &amp; """All New"" | Episode | Watch | tv | Show | Series | season | binge | Stream | Film | Movie | Premiere | Screening | Feature | Trailer | Teaser | theater | release)"</f>
        <v>#N/A</v>
      </c>
      <c r="S376" s="23"/>
      <c r="T376" s="23"/>
      <c r="U376" s="23"/>
      <c r="V376" s="23"/>
      <c r="W376" s="23"/>
      <c r="X376" s="38"/>
      <c r="Y376" s="38"/>
      <c r="Z376" s="38"/>
      <c r="AA376" s="38"/>
    </row>
    <row r="377">
      <c r="A377" s="31"/>
      <c r="B377" s="38"/>
      <c r="C377" s="38"/>
      <c r="D377" s="50"/>
      <c r="E377" s="50"/>
      <c r="F377" s="50"/>
      <c r="G377" s="27" t="str">
        <f>VLOOKUP(E377,DropDown!J:K,2,FALSE)</f>
        <v>#N/A</v>
      </c>
      <c r="H377" s="50"/>
      <c r="I377" s="50"/>
      <c r="J377" s="50"/>
      <c r="K377" s="25" t="s">
        <v>116</v>
      </c>
      <c r="L377" s="23"/>
      <c r="M377" s="23"/>
      <c r="N377" s="25" t="str">
        <f>"("""&amp;B377&amp;""") ("&amp;Vlookup(E377,DropDown!J:N,5,FALSE)&amp;" OR """ &amp;YEAR(D377) &amp; """ OR ""All New"" OR Episode OR Watch OR tv OR Show OR Series OR season OR binge OR Stream OR Film OR Movie OR Premiere OR Screening OR Feature OR Trailer OR Teaser OR theater OR release)"</f>
        <v>#N/A</v>
      </c>
      <c r="O377" s="23" t="str">
        <f t="shared" si="1"/>
        <v>#</v>
      </c>
      <c r="P377" s="23" t="str">
        <f t="shared" si="2"/>
        <v>#</v>
      </c>
      <c r="Q377" s="23"/>
      <c r="R377" s="23" t="str">
        <f>"("""&amp;B377&amp;""") ("&amp;Vlookup(E377,DropDown!R:V,5,FALSE)&amp;IF(ISBLANK(D377)," | "," "&amp;"OR """&amp;YEAR(D377)&amp;""" | ") &amp; """All New"" | Episode | Watch | tv | Show | Series | season | binge | Stream | Film | Movie | Premiere | Screening | Feature | Trailer | Teaser | theater | release)"</f>
        <v>#N/A</v>
      </c>
      <c r="S377" s="23"/>
      <c r="T377" s="23"/>
      <c r="U377" s="23"/>
      <c r="V377" s="23"/>
      <c r="W377" s="23"/>
      <c r="X377" s="38"/>
      <c r="Y377" s="38"/>
      <c r="Z377" s="38"/>
      <c r="AA377" s="38"/>
    </row>
    <row r="378">
      <c r="A378" s="31"/>
      <c r="B378" s="38"/>
      <c r="C378" s="38"/>
      <c r="D378" s="50"/>
      <c r="E378" s="50"/>
      <c r="F378" s="50"/>
      <c r="G378" s="27" t="str">
        <f>VLOOKUP(E378,DropDown!J:K,2,FALSE)</f>
        <v>#N/A</v>
      </c>
      <c r="H378" s="50"/>
      <c r="I378" s="50"/>
      <c r="J378" s="50"/>
      <c r="K378" s="25" t="s">
        <v>116</v>
      </c>
      <c r="L378" s="23"/>
      <c r="M378" s="23"/>
      <c r="N378" s="25" t="str">
        <f>"("""&amp;B378&amp;""") ("&amp;Vlookup(E378,DropDown!J:N,5,FALSE)&amp;" OR """ &amp;YEAR(D378) &amp; """ OR ""All New"" OR Episode OR Watch OR tv OR Show OR Series OR season OR binge OR Stream OR Film OR Movie OR Premiere OR Screening OR Feature OR Trailer OR Teaser OR theater OR release)"</f>
        <v>#N/A</v>
      </c>
      <c r="O378" s="23" t="str">
        <f t="shared" si="1"/>
        <v>#</v>
      </c>
      <c r="P378" s="23" t="str">
        <f t="shared" si="2"/>
        <v>#</v>
      </c>
      <c r="Q378" s="23"/>
      <c r="R378" s="23" t="str">
        <f>"("""&amp;B378&amp;""") ("&amp;Vlookup(E378,DropDown!R:V,5,FALSE)&amp;IF(ISBLANK(D378)," | "," "&amp;"OR """&amp;YEAR(D378)&amp;""" | ") &amp; """All New"" | Episode | Watch | tv | Show | Series | season | binge | Stream | Film | Movie | Premiere | Screening | Feature | Trailer | Teaser | theater | release)"</f>
        <v>#N/A</v>
      </c>
      <c r="S378" s="23"/>
      <c r="T378" s="23"/>
      <c r="U378" s="23"/>
      <c r="V378" s="23"/>
      <c r="W378" s="23"/>
      <c r="X378" s="38"/>
      <c r="Y378" s="38"/>
      <c r="Z378" s="38"/>
      <c r="AA378" s="38"/>
    </row>
    <row r="379">
      <c r="A379" s="31"/>
      <c r="B379" s="38"/>
      <c r="C379" s="38"/>
      <c r="D379" s="50"/>
      <c r="E379" s="50"/>
      <c r="F379" s="50"/>
      <c r="G379" s="27" t="str">
        <f>VLOOKUP(E379,DropDown!J:K,2,FALSE)</f>
        <v>#N/A</v>
      </c>
      <c r="H379" s="50"/>
      <c r="I379" s="50"/>
      <c r="J379" s="50"/>
      <c r="K379" s="25" t="s">
        <v>116</v>
      </c>
      <c r="L379" s="23"/>
      <c r="M379" s="23"/>
      <c r="N379" s="25" t="str">
        <f>"("""&amp;B379&amp;""") ("&amp;Vlookup(E379,DropDown!J:N,5,FALSE)&amp;" OR """ &amp;YEAR(D379) &amp; """ OR ""All New"" OR Episode OR Watch OR tv OR Show OR Series OR season OR binge OR Stream OR Film OR Movie OR Premiere OR Screening OR Feature OR Trailer OR Teaser OR theater OR release)"</f>
        <v>#N/A</v>
      </c>
      <c r="O379" s="23" t="str">
        <f t="shared" si="1"/>
        <v>#</v>
      </c>
      <c r="P379" s="23" t="str">
        <f t="shared" si="2"/>
        <v>#</v>
      </c>
      <c r="Q379" s="23"/>
      <c r="R379" s="23" t="str">
        <f>"("""&amp;B379&amp;""") ("&amp;Vlookup(E379,DropDown!R:V,5,FALSE)&amp;IF(ISBLANK(D379)," | "," "&amp;"OR """&amp;YEAR(D379)&amp;""" | ") &amp; """All New"" | Episode | Watch | tv | Show | Series | season | binge | Stream | Film | Movie | Premiere | Screening | Feature | Trailer | Teaser | theater | release)"</f>
        <v>#N/A</v>
      </c>
      <c r="S379" s="23"/>
      <c r="T379" s="23"/>
      <c r="U379" s="23"/>
      <c r="V379" s="23"/>
      <c r="W379" s="23"/>
      <c r="X379" s="38"/>
      <c r="Y379" s="38"/>
      <c r="Z379" s="38"/>
      <c r="AA379" s="38"/>
    </row>
    <row r="380">
      <c r="A380" s="31"/>
      <c r="B380" s="38"/>
      <c r="C380" s="38"/>
      <c r="D380" s="50"/>
      <c r="E380" s="50"/>
      <c r="F380" s="50"/>
      <c r="G380" s="27" t="str">
        <f>VLOOKUP(E380,DropDown!J:K,2,FALSE)</f>
        <v>#N/A</v>
      </c>
      <c r="H380" s="50"/>
      <c r="I380" s="50"/>
      <c r="J380" s="50"/>
      <c r="K380" s="25" t="s">
        <v>116</v>
      </c>
      <c r="L380" s="23"/>
      <c r="M380" s="23"/>
      <c r="N380" s="25" t="str">
        <f>"("""&amp;B380&amp;""") ("&amp;Vlookup(E380,DropDown!J:N,5,FALSE)&amp;" OR """ &amp;YEAR(D380) &amp; """ OR ""All New"" OR Episode OR Watch OR tv OR Show OR Series OR season OR binge OR Stream OR Film OR Movie OR Premiere OR Screening OR Feature OR Trailer OR Teaser OR theater OR release)"</f>
        <v>#N/A</v>
      </c>
      <c r="O380" s="23" t="str">
        <f t="shared" si="1"/>
        <v>#</v>
      </c>
      <c r="P380" s="23" t="str">
        <f t="shared" si="2"/>
        <v>#</v>
      </c>
      <c r="Q380" s="23"/>
      <c r="R380" s="23" t="str">
        <f>"("""&amp;B380&amp;""") ("&amp;Vlookup(E380,DropDown!R:V,5,FALSE)&amp;IF(ISBLANK(D380)," | "," "&amp;"OR """&amp;YEAR(D380)&amp;""" | ") &amp; """All New"" | Episode | Watch | tv | Show | Series | season | binge | Stream | Film | Movie | Premiere | Screening | Feature | Trailer | Teaser | theater | release)"</f>
        <v>#N/A</v>
      </c>
      <c r="S380" s="23"/>
      <c r="T380" s="23"/>
      <c r="U380" s="23"/>
      <c r="V380" s="23"/>
      <c r="W380" s="23"/>
      <c r="X380" s="38"/>
      <c r="Y380" s="38"/>
      <c r="Z380" s="38"/>
      <c r="AA380" s="38"/>
    </row>
    <row r="381">
      <c r="A381" s="31"/>
      <c r="B381" s="38"/>
      <c r="C381" s="38"/>
      <c r="D381" s="50"/>
      <c r="E381" s="50"/>
      <c r="F381" s="50"/>
      <c r="G381" s="27" t="str">
        <f>VLOOKUP(E381,DropDown!J:K,2,FALSE)</f>
        <v>#N/A</v>
      </c>
      <c r="H381" s="50"/>
      <c r="I381" s="50"/>
      <c r="J381" s="50"/>
      <c r="K381" s="25" t="s">
        <v>116</v>
      </c>
      <c r="L381" s="23"/>
      <c r="M381" s="23"/>
      <c r="N381" s="25" t="str">
        <f>"("""&amp;B381&amp;""") ("&amp;Vlookup(E381,DropDown!J:N,5,FALSE)&amp;" OR """ &amp;YEAR(D381) &amp; """ OR ""All New"" OR Episode OR Watch OR tv OR Show OR Series OR season OR binge OR Stream OR Film OR Movie OR Premiere OR Screening OR Feature OR Trailer OR Teaser OR theater OR release)"</f>
        <v>#N/A</v>
      </c>
      <c r="O381" s="23" t="str">
        <f t="shared" si="1"/>
        <v>#</v>
      </c>
      <c r="P381" s="23" t="str">
        <f t="shared" si="2"/>
        <v>#</v>
      </c>
      <c r="Q381" s="23"/>
      <c r="R381" s="23" t="str">
        <f>"("""&amp;B381&amp;""") ("&amp;Vlookup(E381,DropDown!R:V,5,FALSE)&amp;IF(ISBLANK(D381)," | "," "&amp;"OR """&amp;YEAR(D381)&amp;""" | ") &amp; """All New"" | Episode | Watch | tv | Show | Series | season | binge | Stream | Film | Movie | Premiere | Screening | Feature | Trailer | Teaser | theater | release)"</f>
        <v>#N/A</v>
      </c>
      <c r="S381" s="23"/>
      <c r="T381" s="23"/>
      <c r="U381" s="23"/>
      <c r="V381" s="23"/>
      <c r="W381" s="23"/>
      <c r="X381" s="38"/>
      <c r="Y381" s="38"/>
      <c r="Z381" s="38"/>
      <c r="AA381" s="38"/>
    </row>
    <row r="382">
      <c r="A382" s="31"/>
      <c r="B382" s="38"/>
      <c r="C382" s="38"/>
      <c r="D382" s="50"/>
      <c r="E382" s="50"/>
      <c r="F382" s="50"/>
      <c r="G382" s="27" t="str">
        <f>VLOOKUP(E382,DropDown!J:K,2,FALSE)</f>
        <v>#N/A</v>
      </c>
      <c r="H382" s="50"/>
      <c r="I382" s="50"/>
      <c r="J382" s="50"/>
      <c r="K382" s="25" t="s">
        <v>116</v>
      </c>
      <c r="L382" s="23"/>
      <c r="M382" s="23"/>
      <c r="N382" s="25" t="str">
        <f>"("""&amp;B382&amp;""") ("&amp;Vlookup(E382,DropDown!J:N,5,FALSE)&amp;" OR """ &amp;YEAR(D382) &amp; """ OR ""All New"" OR Episode OR Watch OR tv OR Show OR Series OR season OR binge OR Stream OR Film OR Movie OR Premiere OR Screening OR Feature OR Trailer OR Teaser OR theater OR release)"</f>
        <v>#N/A</v>
      </c>
      <c r="O382" s="23" t="str">
        <f t="shared" si="1"/>
        <v>#</v>
      </c>
      <c r="P382" s="23" t="str">
        <f t="shared" si="2"/>
        <v>#</v>
      </c>
      <c r="Q382" s="23"/>
      <c r="R382" s="23" t="str">
        <f>"("""&amp;B382&amp;""") ("&amp;Vlookup(E382,DropDown!R:V,5,FALSE)&amp;IF(ISBLANK(D382)," | "," "&amp;"OR """&amp;YEAR(D382)&amp;""" | ") &amp; """All New"" | Episode | Watch | tv | Show | Series | season | binge | Stream | Film | Movie | Premiere | Screening | Feature | Trailer | Teaser | theater | release)"</f>
        <v>#N/A</v>
      </c>
      <c r="S382" s="23"/>
      <c r="T382" s="23"/>
      <c r="U382" s="23"/>
      <c r="V382" s="23"/>
      <c r="W382" s="23"/>
      <c r="X382" s="38"/>
      <c r="Y382" s="38"/>
      <c r="Z382" s="38"/>
      <c r="AA382" s="38"/>
    </row>
    <row r="383">
      <c r="A383" s="31"/>
      <c r="B383" s="38"/>
      <c r="C383" s="38"/>
      <c r="D383" s="50"/>
      <c r="E383" s="50"/>
      <c r="F383" s="50"/>
      <c r="G383" s="27" t="str">
        <f>VLOOKUP(E383,DropDown!J:K,2,FALSE)</f>
        <v>#N/A</v>
      </c>
      <c r="H383" s="50"/>
      <c r="I383" s="50"/>
      <c r="J383" s="50"/>
      <c r="K383" s="25" t="s">
        <v>116</v>
      </c>
      <c r="L383" s="23"/>
      <c r="M383" s="23"/>
      <c r="N383" s="25" t="str">
        <f>"("""&amp;B383&amp;""") ("&amp;Vlookup(E383,DropDown!J:N,5,FALSE)&amp;" OR """ &amp;YEAR(D383) &amp; """ OR ""All New"" OR Episode OR Watch OR tv OR Show OR Series OR season OR binge OR Stream OR Film OR Movie OR Premiere OR Screening OR Feature OR Trailer OR Teaser OR theater OR release)"</f>
        <v>#N/A</v>
      </c>
      <c r="O383" s="23" t="str">
        <f t="shared" si="1"/>
        <v>#</v>
      </c>
      <c r="P383" s="23" t="str">
        <f t="shared" si="2"/>
        <v>#</v>
      </c>
      <c r="Q383" s="23"/>
      <c r="R383" s="23" t="str">
        <f>"("""&amp;B383&amp;""") ("&amp;Vlookup(E383,DropDown!R:V,5,FALSE)&amp;IF(ISBLANK(D383)," | "," "&amp;"OR """&amp;YEAR(D383)&amp;""" | ") &amp; """All New"" | Episode | Watch | tv | Show | Series | season | binge | Stream | Film | Movie | Premiere | Screening | Feature | Trailer | Teaser | theater | release)"</f>
        <v>#N/A</v>
      </c>
      <c r="S383" s="23"/>
      <c r="T383" s="23"/>
      <c r="U383" s="23"/>
      <c r="V383" s="23"/>
      <c r="W383" s="23"/>
      <c r="X383" s="38"/>
      <c r="Y383" s="38"/>
      <c r="Z383" s="38"/>
      <c r="AA383" s="38"/>
    </row>
    <row r="384">
      <c r="A384" s="31"/>
      <c r="B384" s="38"/>
      <c r="C384" s="38"/>
      <c r="D384" s="50"/>
      <c r="E384" s="50"/>
      <c r="F384" s="50"/>
      <c r="G384" s="27" t="str">
        <f>VLOOKUP(E384,DropDown!J:K,2,FALSE)</f>
        <v>#N/A</v>
      </c>
      <c r="H384" s="50"/>
      <c r="I384" s="50"/>
      <c r="J384" s="50"/>
      <c r="K384" s="25" t="s">
        <v>116</v>
      </c>
      <c r="L384" s="23"/>
      <c r="M384" s="23"/>
      <c r="N384" s="25" t="str">
        <f>"("""&amp;B384&amp;""") ("&amp;Vlookup(E384,DropDown!J:N,5,FALSE)&amp;" OR """ &amp;YEAR(D384) &amp; """ OR ""All New"" OR Episode OR Watch OR tv OR Show OR Series OR season OR binge OR Stream OR Film OR Movie OR Premiere OR Screening OR Feature OR Trailer OR Teaser OR theater OR release)"</f>
        <v>#N/A</v>
      </c>
      <c r="O384" s="23" t="str">
        <f t="shared" si="1"/>
        <v>#</v>
      </c>
      <c r="P384" s="23" t="str">
        <f t="shared" si="2"/>
        <v>#</v>
      </c>
      <c r="Q384" s="23"/>
      <c r="R384" s="23" t="str">
        <f>"("""&amp;B384&amp;""") ("&amp;Vlookup(E384,DropDown!R:V,5,FALSE)&amp;IF(ISBLANK(D384)," | "," "&amp;"OR """&amp;YEAR(D384)&amp;""" | ") &amp; """All New"" | Episode | Watch | tv | Show | Series | season | binge | Stream | Film | Movie | Premiere | Screening | Feature | Trailer | Teaser | theater | release)"</f>
        <v>#N/A</v>
      </c>
      <c r="S384" s="23"/>
      <c r="T384" s="23"/>
      <c r="U384" s="23"/>
      <c r="V384" s="23"/>
      <c r="W384" s="23"/>
      <c r="X384" s="38"/>
      <c r="Y384" s="38"/>
      <c r="Z384" s="38"/>
      <c r="AA384" s="38"/>
    </row>
    <row r="385">
      <c r="A385" s="31"/>
      <c r="B385" s="38"/>
      <c r="C385" s="38"/>
      <c r="D385" s="50"/>
      <c r="E385" s="50"/>
      <c r="F385" s="50"/>
      <c r="G385" s="27" t="str">
        <f>VLOOKUP(E385,DropDown!J:K,2,FALSE)</f>
        <v>#N/A</v>
      </c>
      <c r="H385" s="50"/>
      <c r="I385" s="50"/>
      <c r="J385" s="50"/>
      <c r="K385" s="25" t="s">
        <v>116</v>
      </c>
      <c r="L385" s="23"/>
      <c r="M385" s="23"/>
      <c r="N385" s="25" t="str">
        <f>"("""&amp;B385&amp;""") ("&amp;Vlookup(E385,DropDown!J:N,5,FALSE)&amp;" OR """ &amp;YEAR(D385) &amp; """ OR ""All New"" OR Episode OR Watch OR tv OR Show OR Series OR season OR binge OR Stream OR Film OR Movie OR Premiere OR Screening OR Feature OR Trailer OR Teaser OR theater OR release)"</f>
        <v>#N/A</v>
      </c>
      <c r="O385" s="23" t="str">
        <f t="shared" si="1"/>
        <v>#</v>
      </c>
      <c r="P385" s="23" t="str">
        <f t="shared" si="2"/>
        <v>#</v>
      </c>
      <c r="Q385" s="23"/>
      <c r="R385" s="23" t="str">
        <f>"("""&amp;B385&amp;""") ("&amp;Vlookup(E385,DropDown!R:V,5,FALSE)&amp;IF(ISBLANK(D385)," | "," "&amp;"OR """&amp;YEAR(D385)&amp;""" | ") &amp; """All New"" | Episode | Watch | tv | Show | Series | season | binge | Stream | Film | Movie | Premiere | Screening | Feature | Trailer | Teaser | theater | release)"</f>
        <v>#N/A</v>
      </c>
      <c r="S385" s="23"/>
      <c r="T385" s="23"/>
      <c r="U385" s="23"/>
      <c r="V385" s="23"/>
      <c r="W385" s="23"/>
      <c r="X385" s="38"/>
      <c r="Y385" s="38"/>
      <c r="Z385" s="38"/>
      <c r="AA385" s="38"/>
    </row>
    <row r="386">
      <c r="A386" s="31"/>
      <c r="B386" s="38"/>
      <c r="C386" s="38"/>
      <c r="D386" s="50"/>
      <c r="E386" s="50"/>
      <c r="F386" s="50"/>
      <c r="G386" s="27" t="str">
        <f>VLOOKUP(E386,DropDown!J:K,2,FALSE)</f>
        <v>#N/A</v>
      </c>
      <c r="H386" s="50"/>
      <c r="I386" s="50"/>
      <c r="J386" s="50"/>
      <c r="K386" s="25" t="s">
        <v>116</v>
      </c>
      <c r="L386" s="23"/>
      <c r="M386" s="23"/>
      <c r="N386" s="25" t="str">
        <f>"("""&amp;B386&amp;""") ("&amp;Vlookup(E386,DropDown!J:N,5,FALSE)&amp;" OR """ &amp;YEAR(D386) &amp; """ OR ""All New"" OR Episode OR Watch OR tv OR Show OR Series OR season OR binge OR Stream OR Film OR Movie OR Premiere OR Screening OR Feature OR Trailer OR Teaser OR theater OR release)"</f>
        <v>#N/A</v>
      </c>
      <c r="O386" s="23" t="str">
        <f t="shared" si="1"/>
        <v>#</v>
      </c>
      <c r="P386" s="23" t="str">
        <f t="shared" si="2"/>
        <v>#</v>
      </c>
      <c r="Q386" s="23"/>
      <c r="R386" s="23" t="str">
        <f>"("""&amp;B386&amp;""") ("&amp;Vlookup(E386,DropDown!R:V,5,FALSE)&amp;IF(ISBLANK(D386)," | "," "&amp;"OR """&amp;YEAR(D386)&amp;""" | ") &amp; """All New"" | Episode | Watch | tv | Show | Series | season | binge | Stream | Film | Movie | Premiere | Screening | Feature | Trailer | Teaser | theater | release)"</f>
        <v>#N/A</v>
      </c>
      <c r="S386" s="23"/>
      <c r="T386" s="23"/>
      <c r="U386" s="23"/>
      <c r="V386" s="23"/>
      <c r="W386" s="23"/>
      <c r="X386" s="38"/>
      <c r="Y386" s="38"/>
      <c r="Z386" s="38"/>
      <c r="AA386" s="38"/>
    </row>
    <row r="387">
      <c r="A387" s="31"/>
      <c r="B387" s="38"/>
      <c r="C387" s="38"/>
      <c r="D387" s="50"/>
      <c r="E387" s="50"/>
      <c r="F387" s="50"/>
      <c r="G387" s="27" t="str">
        <f>VLOOKUP(E387,DropDown!J:K,2,FALSE)</f>
        <v>#N/A</v>
      </c>
      <c r="H387" s="50"/>
      <c r="I387" s="50"/>
      <c r="J387" s="50"/>
      <c r="K387" s="25" t="s">
        <v>116</v>
      </c>
      <c r="L387" s="23"/>
      <c r="M387" s="23"/>
      <c r="N387" s="25" t="str">
        <f>"("""&amp;B387&amp;""") ("&amp;Vlookup(E387,DropDown!J:N,5,FALSE)&amp;" OR """ &amp;YEAR(D387) &amp; """ OR ""All New"" OR Episode OR Watch OR tv OR Show OR Series OR season OR binge OR Stream OR Film OR Movie OR Premiere OR Screening OR Feature OR Trailer OR Teaser OR theater OR release)"</f>
        <v>#N/A</v>
      </c>
      <c r="O387" s="23" t="str">
        <f t="shared" si="1"/>
        <v>#</v>
      </c>
      <c r="P387" s="23" t="str">
        <f t="shared" si="2"/>
        <v>#</v>
      </c>
      <c r="Q387" s="23"/>
      <c r="R387" s="23" t="str">
        <f>"("""&amp;B387&amp;""") ("&amp;Vlookup(E387,DropDown!R:V,5,FALSE)&amp;IF(ISBLANK(D387)," | "," "&amp;"OR """&amp;YEAR(D387)&amp;""" | ") &amp; """All New"" | Episode | Watch | tv | Show | Series | season | binge | Stream | Film | Movie | Premiere | Screening | Feature | Trailer | Teaser | theater | release)"</f>
        <v>#N/A</v>
      </c>
      <c r="S387" s="23"/>
      <c r="T387" s="23"/>
      <c r="U387" s="23"/>
      <c r="V387" s="23"/>
      <c r="W387" s="23"/>
      <c r="X387" s="38"/>
      <c r="Y387" s="38"/>
      <c r="Z387" s="38"/>
      <c r="AA387" s="38"/>
    </row>
    <row r="388">
      <c r="A388" s="31"/>
      <c r="B388" s="38"/>
      <c r="C388" s="38"/>
      <c r="D388" s="50"/>
      <c r="E388" s="50"/>
      <c r="F388" s="50"/>
      <c r="G388" s="27" t="str">
        <f>VLOOKUP(E388,DropDown!J:K,2,FALSE)</f>
        <v>#N/A</v>
      </c>
      <c r="H388" s="50"/>
      <c r="I388" s="50"/>
      <c r="J388" s="50"/>
      <c r="K388" s="25" t="s">
        <v>116</v>
      </c>
      <c r="L388" s="23"/>
      <c r="M388" s="23"/>
      <c r="N388" s="25" t="str">
        <f>"("""&amp;B388&amp;""") ("&amp;Vlookup(E388,DropDown!J:N,5,FALSE)&amp;" OR """ &amp;YEAR(D388) &amp; """ OR ""All New"" OR Episode OR Watch OR tv OR Show OR Series OR season OR binge OR Stream OR Film OR Movie OR Premiere OR Screening OR Feature OR Trailer OR Teaser OR theater OR release)"</f>
        <v>#N/A</v>
      </c>
      <c r="O388" s="23" t="str">
        <f t="shared" si="1"/>
        <v>#</v>
      </c>
      <c r="P388" s="23" t="str">
        <f t="shared" si="2"/>
        <v>#</v>
      </c>
      <c r="Q388" s="23"/>
      <c r="R388" s="23" t="str">
        <f>"("""&amp;B388&amp;""") ("&amp;Vlookup(E388,DropDown!R:V,5,FALSE)&amp;IF(ISBLANK(D388)," | "," "&amp;"OR """&amp;YEAR(D388)&amp;""" | ") &amp; """All New"" | Episode | Watch | tv | Show | Series | season | binge | Stream | Film | Movie | Premiere | Screening | Feature | Trailer | Teaser | theater | release)"</f>
        <v>#N/A</v>
      </c>
      <c r="S388" s="23"/>
      <c r="T388" s="23"/>
      <c r="U388" s="23"/>
      <c r="V388" s="23"/>
      <c r="W388" s="23"/>
      <c r="X388" s="38"/>
      <c r="Y388" s="38"/>
      <c r="Z388" s="38"/>
      <c r="AA388" s="38"/>
    </row>
    <row r="389">
      <c r="A389" s="31"/>
      <c r="B389" s="38"/>
      <c r="C389" s="38"/>
      <c r="D389" s="50"/>
      <c r="E389" s="50"/>
      <c r="F389" s="50"/>
      <c r="G389" s="27" t="str">
        <f>VLOOKUP(E389,DropDown!J:K,2,FALSE)</f>
        <v>#N/A</v>
      </c>
      <c r="H389" s="50"/>
      <c r="I389" s="50"/>
      <c r="J389" s="50"/>
      <c r="K389" s="25" t="s">
        <v>116</v>
      </c>
      <c r="L389" s="23"/>
      <c r="M389" s="23"/>
      <c r="N389" s="25" t="str">
        <f>"("""&amp;B389&amp;""") ("&amp;Vlookup(E389,DropDown!J:N,5,FALSE)&amp;" OR """ &amp;YEAR(D389) &amp; """ OR ""All New"" OR Episode OR Watch OR tv OR Show OR Series OR season OR binge OR Stream OR Film OR Movie OR Premiere OR Screening OR Feature OR Trailer OR Teaser OR theater OR release)"</f>
        <v>#N/A</v>
      </c>
      <c r="O389" s="23" t="str">
        <f t="shared" si="1"/>
        <v>#</v>
      </c>
      <c r="P389" s="23" t="str">
        <f t="shared" si="2"/>
        <v>#</v>
      </c>
      <c r="Q389" s="23"/>
      <c r="R389" s="23" t="str">
        <f>"("""&amp;B389&amp;""") ("&amp;Vlookup(E389,DropDown!R:V,5,FALSE)&amp;IF(ISBLANK(D389)," | "," "&amp;"OR """&amp;YEAR(D389)&amp;""" | ") &amp; """All New"" | Episode | Watch | tv | Show | Series | season | binge | Stream | Film | Movie | Premiere | Screening | Feature | Trailer | Teaser | theater | release)"</f>
        <v>#N/A</v>
      </c>
      <c r="S389" s="23"/>
      <c r="T389" s="23"/>
      <c r="U389" s="23"/>
      <c r="V389" s="23"/>
      <c r="W389" s="23"/>
      <c r="X389" s="38"/>
      <c r="Y389" s="38"/>
      <c r="Z389" s="38"/>
      <c r="AA389" s="38"/>
    </row>
    <row r="390">
      <c r="A390" s="31"/>
      <c r="B390" s="38"/>
      <c r="C390" s="38"/>
      <c r="D390" s="50"/>
      <c r="E390" s="50"/>
      <c r="F390" s="50"/>
      <c r="G390" s="27" t="str">
        <f>VLOOKUP(E390,DropDown!J:K,2,FALSE)</f>
        <v>#N/A</v>
      </c>
      <c r="H390" s="50"/>
      <c r="I390" s="50"/>
      <c r="J390" s="50"/>
      <c r="K390" s="25" t="s">
        <v>116</v>
      </c>
      <c r="L390" s="23"/>
      <c r="M390" s="23"/>
      <c r="N390" s="25" t="str">
        <f>"("""&amp;B390&amp;""") ("&amp;Vlookup(E390,DropDown!J:N,5,FALSE)&amp;" OR """ &amp;YEAR(D390) &amp; """ OR ""All New"" OR Episode OR Watch OR tv OR Show OR Series OR season OR binge OR Stream OR Film OR Movie OR Premiere OR Screening OR Feature OR Trailer OR Teaser OR theater OR release)"</f>
        <v>#N/A</v>
      </c>
      <c r="O390" s="23" t="str">
        <f t="shared" si="1"/>
        <v>#</v>
      </c>
      <c r="P390" s="23" t="str">
        <f t="shared" si="2"/>
        <v>#</v>
      </c>
      <c r="Q390" s="23"/>
      <c r="R390" s="23" t="str">
        <f>"("""&amp;B390&amp;""") ("&amp;Vlookup(E390,DropDown!R:V,5,FALSE)&amp;IF(ISBLANK(D390)," | "," "&amp;"OR """&amp;YEAR(D390)&amp;""" | ") &amp; """All New"" | Episode | Watch | tv | Show | Series | season | binge | Stream | Film | Movie | Premiere | Screening | Feature | Trailer | Teaser | theater | release)"</f>
        <v>#N/A</v>
      </c>
      <c r="S390" s="23"/>
      <c r="T390" s="23"/>
      <c r="U390" s="23"/>
      <c r="V390" s="23"/>
      <c r="W390" s="23"/>
      <c r="X390" s="38"/>
      <c r="Y390" s="38"/>
      <c r="Z390" s="38"/>
      <c r="AA390" s="38"/>
    </row>
    <row r="391">
      <c r="A391" s="31"/>
      <c r="B391" s="38"/>
      <c r="C391" s="38"/>
      <c r="D391" s="50"/>
      <c r="E391" s="50"/>
      <c r="F391" s="50"/>
      <c r="G391" s="27" t="str">
        <f>VLOOKUP(E391,DropDown!J:K,2,FALSE)</f>
        <v>#N/A</v>
      </c>
      <c r="H391" s="50"/>
      <c r="I391" s="50"/>
      <c r="J391" s="50"/>
      <c r="K391" s="25" t="s">
        <v>116</v>
      </c>
      <c r="L391" s="23"/>
      <c r="M391" s="23"/>
      <c r="N391" s="25" t="str">
        <f>"("""&amp;B391&amp;""") ("&amp;Vlookup(E391,DropDown!J:N,5,FALSE)&amp;" OR """ &amp;YEAR(D391) &amp; """ OR ""All New"" OR Episode OR Watch OR tv OR Show OR Series OR season OR binge OR Stream OR Film OR Movie OR Premiere OR Screening OR Feature OR Trailer OR Teaser OR theater OR release)"</f>
        <v>#N/A</v>
      </c>
      <c r="O391" s="23" t="str">
        <f t="shared" si="1"/>
        <v>#</v>
      </c>
      <c r="P391" s="23" t="str">
        <f t="shared" si="2"/>
        <v>#</v>
      </c>
      <c r="Q391" s="23"/>
      <c r="R391" s="23" t="str">
        <f>"("""&amp;B391&amp;""") ("&amp;Vlookup(E391,DropDown!R:V,5,FALSE)&amp;IF(ISBLANK(D391)," | "," "&amp;"OR """&amp;YEAR(D391)&amp;""" | ") &amp; """All New"" | Episode | Watch | tv | Show | Series | season | binge | Stream | Film | Movie | Premiere | Screening | Feature | Trailer | Teaser | theater | release)"</f>
        <v>#N/A</v>
      </c>
      <c r="S391" s="23"/>
      <c r="T391" s="23"/>
      <c r="U391" s="23"/>
      <c r="V391" s="23"/>
      <c r="W391" s="23"/>
      <c r="X391" s="38"/>
      <c r="Y391" s="38"/>
      <c r="Z391" s="38"/>
      <c r="AA391" s="38"/>
    </row>
    <row r="392">
      <c r="A392" s="31"/>
      <c r="B392" s="38"/>
      <c r="C392" s="38"/>
      <c r="D392" s="50"/>
      <c r="E392" s="50"/>
      <c r="F392" s="50"/>
      <c r="G392" s="27" t="str">
        <f>VLOOKUP(E392,DropDown!J:K,2,FALSE)</f>
        <v>#N/A</v>
      </c>
      <c r="H392" s="50"/>
      <c r="I392" s="50"/>
      <c r="J392" s="50"/>
      <c r="K392" s="25" t="s">
        <v>116</v>
      </c>
      <c r="L392" s="23"/>
      <c r="M392" s="23"/>
      <c r="N392" s="25" t="str">
        <f>"("""&amp;B392&amp;""") ("&amp;Vlookup(E392,DropDown!J:N,5,FALSE)&amp;" OR """ &amp;YEAR(D392) &amp; """ OR ""All New"" OR Episode OR Watch OR tv OR Show OR Series OR season OR binge OR Stream OR Film OR Movie OR Premiere OR Screening OR Feature OR Trailer OR Teaser OR theater OR release)"</f>
        <v>#N/A</v>
      </c>
      <c r="O392" s="23" t="str">
        <f t="shared" si="1"/>
        <v>#</v>
      </c>
      <c r="P392" s="23" t="str">
        <f t="shared" si="2"/>
        <v>#</v>
      </c>
      <c r="Q392" s="23"/>
      <c r="R392" s="23" t="str">
        <f>"("""&amp;B392&amp;""") ("&amp;Vlookup(E392,DropDown!R:V,5,FALSE)&amp;IF(ISBLANK(D392)," | "," "&amp;"OR """&amp;YEAR(D392)&amp;""" | ") &amp; """All New"" | Episode | Watch | tv | Show | Series | season | binge | Stream | Film | Movie | Premiere | Screening | Feature | Trailer | Teaser | theater | release)"</f>
        <v>#N/A</v>
      </c>
      <c r="S392" s="23"/>
      <c r="T392" s="23"/>
      <c r="U392" s="23"/>
      <c r="V392" s="23"/>
      <c r="W392" s="23"/>
      <c r="X392" s="38"/>
      <c r="Y392" s="38"/>
      <c r="Z392" s="38"/>
      <c r="AA392" s="38"/>
    </row>
    <row r="393">
      <c r="A393" s="31"/>
      <c r="B393" s="38"/>
      <c r="C393" s="38"/>
      <c r="D393" s="50"/>
      <c r="E393" s="50"/>
      <c r="F393" s="50"/>
      <c r="G393" s="27" t="str">
        <f>VLOOKUP(E393,DropDown!J:K,2,FALSE)</f>
        <v>#N/A</v>
      </c>
      <c r="H393" s="50"/>
      <c r="I393" s="50"/>
      <c r="J393" s="50"/>
      <c r="K393" s="25" t="s">
        <v>116</v>
      </c>
      <c r="L393" s="23"/>
      <c r="M393" s="23"/>
      <c r="N393" s="25" t="str">
        <f>"("""&amp;B393&amp;""") ("&amp;Vlookup(E393,DropDown!J:N,5,FALSE)&amp;" OR """ &amp;YEAR(D393) &amp; """ OR ""All New"" OR Episode OR Watch OR tv OR Show OR Series OR season OR binge OR Stream OR Film OR Movie OR Premiere OR Screening OR Feature OR Trailer OR Teaser OR theater OR release)"</f>
        <v>#N/A</v>
      </c>
      <c r="O393" s="23" t="str">
        <f t="shared" si="1"/>
        <v>#</v>
      </c>
      <c r="P393" s="23" t="str">
        <f t="shared" si="2"/>
        <v>#</v>
      </c>
      <c r="Q393" s="23"/>
      <c r="R393" s="23" t="str">
        <f>"("""&amp;B393&amp;""") ("&amp;Vlookup(E393,DropDown!R:V,5,FALSE)&amp;IF(ISBLANK(D393)," | "," "&amp;"OR """&amp;YEAR(D393)&amp;""" | ") &amp; """All New"" | Episode | Watch | tv | Show | Series | season | binge | Stream | Film | Movie | Premiere | Screening | Feature | Trailer | Teaser | theater | release)"</f>
        <v>#N/A</v>
      </c>
      <c r="S393" s="23"/>
      <c r="T393" s="23"/>
      <c r="U393" s="23"/>
      <c r="V393" s="23"/>
      <c r="W393" s="23"/>
      <c r="X393" s="38"/>
      <c r="Y393" s="38"/>
      <c r="Z393" s="38"/>
      <c r="AA393" s="38"/>
    </row>
    <row r="394">
      <c r="A394" s="31"/>
      <c r="B394" s="38"/>
      <c r="C394" s="38"/>
      <c r="D394" s="50"/>
      <c r="E394" s="50"/>
      <c r="F394" s="50"/>
      <c r="G394" s="27" t="str">
        <f>VLOOKUP(E394,DropDown!J:K,2,FALSE)</f>
        <v>#N/A</v>
      </c>
      <c r="H394" s="50"/>
      <c r="I394" s="50"/>
      <c r="J394" s="50"/>
      <c r="K394" s="25" t="s">
        <v>116</v>
      </c>
      <c r="L394" s="23"/>
      <c r="M394" s="23"/>
      <c r="N394" s="25" t="str">
        <f>"("""&amp;B394&amp;""") ("&amp;Vlookup(E394,DropDown!J:N,5,FALSE)&amp;" OR """ &amp;YEAR(D394) &amp; """ OR ""All New"" OR Episode OR Watch OR tv OR Show OR Series OR season OR binge OR Stream OR Film OR Movie OR Premiere OR Screening OR Feature OR Trailer OR Teaser OR theater OR release)"</f>
        <v>#N/A</v>
      </c>
      <c r="O394" s="23" t="str">
        <f t="shared" si="1"/>
        <v>#</v>
      </c>
      <c r="P394" s="23" t="str">
        <f t="shared" si="2"/>
        <v>#</v>
      </c>
      <c r="Q394" s="23"/>
      <c r="R394" s="23" t="str">
        <f>"("""&amp;B394&amp;""") ("&amp;Vlookup(E394,DropDown!R:V,5,FALSE)&amp;IF(ISBLANK(D394)," | "," "&amp;"OR """&amp;YEAR(D394)&amp;""" | ") &amp; """All New"" | Episode | Watch | tv | Show | Series | season | binge | Stream | Film | Movie | Premiere | Screening | Feature | Trailer | Teaser | theater | release)"</f>
        <v>#N/A</v>
      </c>
      <c r="S394" s="23"/>
      <c r="T394" s="23"/>
      <c r="U394" s="23"/>
      <c r="V394" s="23"/>
      <c r="W394" s="23"/>
      <c r="X394" s="38"/>
      <c r="Y394" s="38"/>
      <c r="Z394" s="38"/>
      <c r="AA394" s="38"/>
    </row>
    <row r="395">
      <c r="A395" s="31"/>
      <c r="B395" s="38"/>
      <c r="C395" s="38"/>
      <c r="D395" s="50"/>
      <c r="E395" s="50"/>
      <c r="F395" s="50"/>
      <c r="G395" s="27" t="str">
        <f>VLOOKUP(E395,DropDown!J:K,2,FALSE)</f>
        <v>#N/A</v>
      </c>
      <c r="H395" s="50"/>
      <c r="I395" s="50"/>
      <c r="J395" s="50"/>
      <c r="K395" s="25" t="s">
        <v>116</v>
      </c>
      <c r="L395" s="23"/>
      <c r="M395" s="23"/>
      <c r="N395" s="25" t="str">
        <f>"("""&amp;B395&amp;""") ("&amp;Vlookup(E395,DropDown!J:N,5,FALSE)&amp;" OR """ &amp;YEAR(D395) &amp; """ OR ""All New"" OR Episode OR Watch OR tv OR Show OR Series OR season OR binge OR Stream OR Film OR Movie OR Premiere OR Screening OR Feature OR Trailer OR Teaser OR theater OR release)"</f>
        <v>#N/A</v>
      </c>
      <c r="O395" s="23" t="str">
        <f t="shared" si="1"/>
        <v>#</v>
      </c>
      <c r="P395" s="23" t="str">
        <f t="shared" si="2"/>
        <v>#</v>
      </c>
      <c r="Q395" s="23"/>
      <c r="R395" s="23" t="str">
        <f>"("""&amp;B395&amp;""") ("&amp;Vlookup(E395,DropDown!R:V,5,FALSE)&amp;IF(ISBLANK(D395)," | "," "&amp;"OR """&amp;YEAR(D395)&amp;""" | ") &amp; """All New"" | Episode | Watch | tv | Show | Series | season | binge | Stream | Film | Movie | Premiere | Screening | Feature | Trailer | Teaser | theater | release)"</f>
        <v>#N/A</v>
      </c>
      <c r="S395" s="23"/>
      <c r="T395" s="23"/>
      <c r="U395" s="23"/>
      <c r="V395" s="23"/>
      <c r="W395" s="23"/>
      <c r="X395" s="38"/>
      <c r="Y395" s="38"/>
      <c r="Z395" s="38"/>
      <c r="AA395" s="38"/>
    </row>
    <row r="396">
      <c r="A396" s="31"/>
      <c r="B396" s="38"/>
      <c r="C396" s="38"/>
      <c r="D396" s="50"/>
      <c r="E396" s="50"/>
      <c r="F396" s="50"/>
      <c r="G396" s="27" t="str">
        <f>VLOOKUP(E396,DropDown!J:K,2,FALSE)</f>
        <v>#N/A</v>
      </c>
      <c r="H396" s="50"/>
      <c r="I396" s="50"/>
      <c r="J396" s="50"/>
      <c r="K396" s="25" t="s">
        <v>116</v>
      </c>
      <c r="L396" s="23"/>
      <c r="M396" s="23"/>
      <c r="N396" s="25" t="str">
        <f>"("""&amp;B396&amp;""") ("&amp;Vlookup(E396,DropDown!J:N,5,FALSE)&amp;" OR """ &amp;YEAR(D396) &amp; """ OR ""All New"" OR Episode OR Watch OR tv OR Show OR Series OR season OR binge OR Stream OR Film OR Movie OR Premiere OR Screening OR Feature OR Trailer OR Teaser OR theater OR release)"</f>
        <v>#N/A</v>
      </c>
      <c r="O396" s="23" t="str">
        <f t="shared" si="1"/>
        <v>#</v>
      </c>
      <c r="P396" s="23" t="str">
        <f t="shared" si="2"/>
        <v>#</v>
      </c>
      <c r="Q396" s="23"/>
      <c r="R396" s="23" t="str">
        <f>"("""&amp;B396&amp;""") ("&amp;Vlookup(E396,DropDown!R:V,5,FALSE)&amp;IF(ISBLANK(D396)," | "," "&amp;"OR """&amp;YEAR(D396)&amp;""" | ") &amp; """All New"" | Episode | Watch | tv | Show | Series | season | binge | Stream | Film | Movie | Premiere | Screening | Feature | Trailer | Teaser | theater | release)"</f>
        <v>#N/A</v>
      </c>
      <c r="S396" s="23"/>
      <c r="T396" s="23"/>
      <c r="U396" s="23"/>
      <c r="V396" s="23"/>
      <c r="W396" s="23"/>
      <c r="X396" s="38"/>
      <c r="Y396" s="38"/>
      <c r="Z396" s="38"/>
      <c r="AA396" s="38"/>
    </row>
    <row r="397">
      <c r="A397" s="31"/>
      <c r="B397" s="38"/>
      <c r="C397" s="38"/>
      <c r="D397" s="50"/>
      <c r="E397" s="50"/>
      <c r="F397" s="50"/>
      <c r="G397" s="27" t="str">
        <f>VLOOKUP(E397,DropDown!J:K,2,FALSE)</f>
        <v>#N/A</v>
      </c>
      <c r="H397" s="50"/>
      <c r="I397" s="50"/>
      <c r="J397" s="50"/>
      <c r="K397" s="25" t="s">
        <v>116</v>
      </c>
      <c r="L397" s="23"/>
      <c r="M397" s="23"/>
      <c r="N397" s="25" t="str">
        <f>"("""&amp;B397&amp;""") ("&amp;Vlookup(E397,DropDown!J:N,5,FALSE)&amp;" OR """ &amp;YEAR(D397) &amp; """ OR ""All New"" OR Episode OR Watch OR tv OR Show OR Series OR season OR binge OR Stream OR Film OR Movie OR Premiere OR Screening OR Feature OR Trailer OR Teaser OR theater OR release)"</f>
        <v>#N/A</v>
      </c>
      <c r="O397" s="23" t="str">
        <f t="shared" si="1"/>
        <v>#</v>
      </c>
      <c r="P397" s="23" t="str">
        <f t="shared" si="2"/>
        <v>#</v>
      </c>
      <c r="Q397" s="23"/>
      <c r="R397" s="23" t="str">
        <f>"("""&amp;B397&amp;""") ("&amp;Vlookup(E397,DropDown!R:V,5,FALSE)&amp;IF(ISBLANK(D397)," | "," "&amp;"OR """&amp;YEAR(D397)&amp;""" | ") &amp; """All New"" | Episode | Watch | tv | Show | Series | season | binge | Stream | Film | Movie | Premiere | Screening | Feature | Trailer | Teaser | theater | release)"</f>
        <v>#N/A</v>
      </c>
      <c r="S397" s="23"/>
      <c r="T397" s="23"/>
      <c r="U397" s="23"/>
      <c r="V397" s="23"/>
      <c r="W397" s="23"/>
      <c r="X397" s="38"/>
      <c r="Y397" s="38"/>
      <c r="Z397" s="38"/>
      <c r="AA397" s="38"/>
    </row>
    <row r="398">
      <c r="A398" s="31"/>
      <c r="B398" s="38"/>
      <c r="C398" s="38"/>
      <c r="D398" s="50"/>
      <c r="E398" s="50"/>
      <c r="F398" s="50"/>
      <c r="G398" s="27" t="str">
        <f>VLOOKUP(E398,DropDown!J:K,2,FALSE)</f>
        <v>#N/A</v>
      </c>
      <c r="H398" s="50"/>
      <c r="I398" s="50"/>
      <c r="J398" s="50"/>
      <c r="K398" s="25" t="s">
        <v>116</v>
      </c>
      <c r="L398" s="23"/>
      <c r="M398" s="23"/>
      <c r="N398" s="25" t="str">
        <f>"("""&amp;B398&amp;""") ("&amp;Vlookup(E398,DropDown!J:N,5,FALSE)&amp;" OR """ &amp;YEAR(D398) &amp; """ OR ""All New"" OR Episode OR Watch OR tv OR Show OR Series OR season OR binge OR Stream OR Film OR Movie OR Premiere OR Screening OR Feature OR Trailer OR Teaser OR theater OR release)"</f>
        <v>#N/A</v>
      </c>
      <c r="O398" s="23" t="str">
        <f t="shared" si="1"/>
        <v>#</v>
      </c>
      <c r="P398" s="23" t="str">
        <f t="shared" si="2"/>
        <v>#</v>
      </c>
      <c r="Q398" s="23"/>
      <c r="R398" s="23" t="str">
        <f>"("""&amp;B398&amp;""") ("&amp;Vlookup(E398,DropDown!R:V,5,FALSE)&amp;IF(ISBLANK(D398)," | "," "&amp;"OR """&amp;YEAR(D398)&amp;""" | ") &amp; """All New"" | Episode | Watch | tv | Show | Series | season | binge | Stream | Film | Movie | Premiere | Screening | Feature | Trailer | Teaser | theater | release)"</f>
        <v>#N/A</v>
      </c>
      <c r="S398" s="23"/>
      <c r="T398" s="23"/>
      <c r="U398" s="23"/>
      <c r="V398" s="23"/>
      <c r="W398" s="23"/>
      <c r="X398" s="38"/>
      <c r="Y398" s="38"/>
      <c r="Z398" s="38"/>
      <c r="AA398" s="38"/>
    </row>
    <row r="399">
      <c r="A399" s="31"/>
      <c r="B399" s="38"/>
      <c r="C399" s="38"/>
      <c r="D399" s="50"/>
      <c r="E399" s="50"/>
      <c r="F399" s="50"/>
      <c r="G399" s="27" t="str">
        <f>VLOOKUP(E399,DropDown!J:K,2,FALSE)</f>
        <v>#N/A</v>
      </c>
      <c r="H399" s="50"/>
      <c r="I399" s="50"/>
      <c r="J399" s="50"/>
      <c r="K399" s="25" t="s">
        <v>116</v>
      </c>
      <c r="L399" s="23"/>
      <c r="M399" s="23"/>
      <c r="N399" s="25" t="str">
        <f>"("""&amp;B399&amp;""") ("&amp;Vlookup(E399,DropDown!J:N,5,FALSE)&amp;" OR """ &amp;YEAR(D399) &amp; """ OR ""All New"" OR Episode OR Watch OR tv OR Show OR Series OR season OR binge OR Stream OR Film OR Movie OR Premiere OR Screening OR Feature OR Trailer OR Teaser OR theater OR release)"</f>
        <v>#N/A</v>
      </c>
      <c r="O399" s="23" t="str">
        <f t="shared" si="1"/>
        <v>#</v>
      </c>
      <c r="P399" s="23" t="str">
        <f t="shared" si="2"/>
        <v>#</v>
      </c>
      <c r="Q399" s="23"/>
      <c r="R399" s="23" t="str">
        <f>"("""&amp;B399&amp;""") ("&amp;Vlookup(E399,DropDown!R:V,5,FALSE)&amp;IF(ISBLANK(D399)," | "," "&amp;"OR """&amp;YEAR(D399)&amp;""" | ") &amp; """All New"" | Episode | Watch | tv | Show | Series | season | binge | Stream | Film | Movie | Premiere | Screening | Feature | Trailer | Teaser | theater | release)"</f>
        <v>#N/A</v>
      </c>
      <c r="S399" s="23"/>
      <c r="T399" s="23"/>
      <c r="U399" s="23"/>
      <c r="V399" s="23"/>
      <c r="W399" s="23"/>
      <c r="X399" s="38"/>
      <c r="Y399" s="38"/>
      <c r="Z399" s="38"/>
      <c r="AA399" s="38"/>
    </row>
    <row r="400">
      <c r="A400" s="31"/>
      <c r="B400" s="38"/>
      <c r="C400" s="38"/>
      <c r="D400" s="50"/>
      <c r="E400" s="50"/>
      <c r="F400" s="50"/>
      <c r="G400" s="27" t="str">
        <f>VLOOKUP(E400,DropDown!J:K,2,FALSE)</f>
        <v>#N/A</v>
      </c>
      <c r="H400" s="50"/>
      <c r="I400" s="50"/>
      <c r="J400" s="50"/>
      <c r="K400" s="25" t="s">
        <v>116</v>
      </c>
      <c r="L400" s="23"/>
      <c r="M400" s="23"/>
      <c r="N400" s="25" t="str">
        <f>"("""&amp;B400&amp;""") ("&amp;Vlookup(E400,DropDown!J:N,5,FALSE)&amp;" OR """ &amp;YEAR(D400) &amp; """ OR ""All New"" OR Episode OR Watch OR tv OR Show OR Series OR season OR binge OR Stream OR Film OR Movie OR Premiere OR Screening OR Feature OR Trailer OR Teaser OR theater OR release)"</f>
        <v>#N/A</v>
      </c>
      <c r="O400" s="23" t="str">
        <f t="shared" si="1"/>
        <v>#</v>
      </c>
      <c r="P400" s="23" t="str">
        <f t="shared" si="2"/>
        <v>#</v>
      </c>
      <c r="Q400" s="23"/>
      <c r="R400" s="23" t="str">
        <f>"("""&amp;B400&amp;""") ("&amp;Vlookup(E400,DropDown!R:V,5,FALSE)&amp;IF(ISBLANK(D400)," | "," "&amp;"OR """&amp;YEAR(D400)&amp;""" | ") &amp; """All New"" | Episode | Watch | tv | Show | Series | season | binge | Stream | Film | Movie | Premiere | Screening | Feature | Trailer | Teaser | theater | release)"</f>
        <v>#N/A</v>
      </c>
      <c r="S400" s="23"/>
      <c r="T400" s="23"/>
      <c r="U400" s="23"/>
      <c r="V400" s="23"/>
      <c r="W400" s="23"/>
      <c r="X400" s="38"/>
      <c r="Y400" s="38"/>
      <c r="Z400" s="38"/>
      <c r="AA400" s="38"/>
    </row>
    <row r="401">
      <c r="A401" s="31"/>
      <c r="B401" s="38"/>
      <c r="C401" s="38"/>
      <c r="D401" s="50"/>
      <c r="E401" s="50"/>
      <c r="F401" s="50"/>
      <c r="G401" s="27" t="str">
        <f>VLOOKUP(E401,DropDown!J:K,2,FALSE)</f>
        <v>#N/A</v>
      </c>
      <c r="H401" s="50"/>
      <c r="I401" s="50"/>
      <c r="J401" s="50"/>
      <c r="K401" s="25" t="s">
        <v>116</v>
      </c>
      <c r="L401" s="23"/>
      <c r="M401" s="23"/>
      <c r="N401" s="25" t="str">
        <f>"("""&amp;B401&amp;""") ("&amp;Vlookup(E401,DropDown!J:N,5,FALSE)&amp;" OR """ &amp;YEAR(D401) &amp; """ OR ""All New"" OR Episode OR Watch OR tv OR Show OR Series OR season OR binge OR Stream OR Film OR Movie OR Premiere OR Screening OR Feature OR Trailer OR Teaser OR theater OR release)"</f>
        <v>#N/A</v>
      </c>
      <c r="O401" s="23" t="str">
        <f t="shared" si="1"/>
        <v>#</v>
      </c>
      <c r="P401" s="23" t="str">
        <f t="shared" si="2"/>
        <v>#</v>
      </c>
      <c r="Q401" s="23"/>
      <c r="R401" s="23" t="str">
        <f>"("""&amp;B401&amp;""") ("&amp;Vlookup(E401,DropDown!R:V,5,FALSE)&amp;IF(ISBLANK(D401)," | "," "&amp;"OR """&amp;YEAR(D401)&amp;""" | ") &amp; """All New"" | Episode | Watch | tv | Show | Series | season | binge | Stream | Film | Movie | Premiere | Screening | Feature | Trailer | Teaser | theater | release)"</f>
        <v>#N/A</v>
      </c>
      <c r="S401" s="23"/>
      <c r="T401" s="23"/>
      <c r="U401" s="23"/>
      <c r="V401" s="23"/>
      <c r="W401" s="23"/>
      <c r="X401" s="38"/>
      <c r="Y401" s="38"/>
      <c r="Z401" s="38"/>
      <c r="AA401" s="38"/>
    </row>
    <row r="402">
      <c r="A402" s="31"/>
      <c r="B402" s="38"/>
      <c r="C402" s="38"/>
      <c r="D402" s="50"/>
      <c r="E402" s="50"/>
      <c r="F402" s="50"/>
      <c r="G402" s="27" t="str">
        <f>VLOOKUP(E402,DropDown!J:K,2,FALSE)</f>
        <v>#N/A</v>
      </c>
      <c r="H402" s="50"/>
      <c r="I402" s="50"/>
      <c r="J402" s="50"/>
      <c r="K402" s="25" t="s">
        <v>116</v>
      </c>
      <c r="L402" s="23"/>
      <c r="M402" s="23"/>
      <c r="N402" s="25" t="str">
        <f>"("""&amp;B402&amp;""") ("&amp;Vlookup(E402,DropDown!J:N,5,FALSE)&amp;" OR """ &amp;YEAR(D402) &amp; """ OR ""All New"" OR Episode OR Watch OR tv OR Show OR Series OR season OR binge OR Stream OR Film OR Movie OR Premiere OR Screening OR Feature OR Trailer OR Teaser OR theater OR release)"</f>
        <v>#N/A</v>
      </c>
      <c r="O402" s="23" t="str">
        <f t="shared" si="1"/>
        <v>#</v>
      </c>
      <c r="P402" s="23" t="str">
        <f t="shared" si="2"/>
        <v>#</v>
      </c>
      <c r="Q402" s="23"/>
      <c r="R402" s="23" t="str">
        <f>"("""&amp;B402&amp;""") ("&amp;Vlookup(E402,DropDown!R:V,5,FALSE)&amp;IF(ISBLANK(D402)," | "," "&amp;"OR """&amp;YEAR(D402)&amp;""" | ") &amp; """All New"" | Episode | Watch | tv | Show | Series | season | binge | Stream | Film | Movie | Premiere | Screening | Feature | Trailer | Teaser | theater | release)"</f>
        <v>#N/A</v>
      </c>
      <c r="S402" s="23"/>
      <c r="T402" s="23"/>
      <c r="U402" s="23"/>
      <c r="V402" s="23"/>
      <c r="W402" s="23"/>
      <c r="X402" s="38"/>
      <c r="Y402" s="38"/>
      <c r="Z402" s="38"/>
      <c r="AA402" s="38"/>
    </row>
    <row r="403">
      <c r="A403" s="31"/>
      <c r="B403" s="38"/>
      <c r="C403" s="38"/>
      <c r="D403" s="50"/>
      <c r="E403" s="50"/>
      <c r="F403" s="50"/>
      <c r="G403" s="27" t="str">
        <f>VLOOKUP(E403,DropDown!J:K,2,FALSE)</f>
        <v>#N/A</v>
      </c>
      <c r="H403" s="50"/>
      <c r="I403" s="50"/>
      <c r="J403" s="50"/>
      <c r="K403" s="25" t="s">
        <v>116</v>
      </c>
      <c r="L403" s="23"/>
      <c r="M403" s="23"/>
      <c r="N403" s="25" t="str">
        <f>"("""&amp;B403&amp;""") ("&amp;Vlookup(E403,DropDown!J:N,5,FALSE)&amp;" OR """ &amp;YEAR(D403) &amp; """ OR ""All New"" OR Episode OR Watch OR tv OR Show OR Series OR season OR binge OR Stream OR Film OR Movie OR Premiere OR Screening OR Feature OR Trailer OR Teaser OR theater OR release)"</f>
        <v>#N/A</v>
      </c>
      <c r="O403" s="23" t="str">
        <f t="shared" si="1"/>
        <v>#</v>
      </c>
      <c r="P403" s="23" t="str">
        <f t="shared" si="2"/>
        <v>#</v>
      </c>
      <c r="Q403" s="23"/>
      <c r="R403" s="23" t="str">
        <f>"("""&amp;B403&amp;""") ("&amp;Vlookup(E403,DropDown!R:V,5,FALSE)&amp;IF(ISBLANK(D403)," | "," "&amp;"OR """&amp;YEAR(D403)&amp;""" | ") &amp; """All New"" | Episode | Watch | tv | Show | Series | season | binge | Stream | Film | Movie | Premiere | Screening | Feature | Trailer | Teaser | theater | release)"</f>
        <v>#N/A</v>
      </c>
      <c r="S403" s="23"/>
      <c r="T403" s="23"/>
      <c r="U403" s="23"/>
      <c r="V403" s="23"/>
      <c r="W403" s="23"/>
      <c r="X403" s="38"/>
      <c r="Y403" s="38"/>
      <c r="Z403" s="38"/>
      <c r="AA403" s="38"/>
    </row>
    <row r="404">
      <c r="A404" s="31"/>
      <c r="B404" s="38"/>
      <c r="C404" s="38"/>
      <c r="D404" s="50"/>
      <c r="E404" s="50"/>
      <c r="F404" s="50"/>
      <c r="G404" s="27" t="str">
        <f>VLOOKUP(E404,DropDown!J:K,2,FALSE)</f>
        <v>#N/A</v>
      </c>
      <c r="H404" s="50"/>
      <c r="I404" s="50"/>
      <c r="J404" s="50"/>
      <c r="K404" s="25" t="s">
        <v>116</v>
      </c>
      <c r="L404" s="23"/>
      <c r="M404" s="23"/>
      <c r="N404" s="25" t="str">
        <f>"("""&amp;B404&amp;""") ("&amp;Vlookup(E404,DropDown!J:N,5,FALSE)&amp;" OR """ &amp;YEAR(D404) &amp; """ OR ""All New"" OR Episode OR Watch OR tv OR Show OR Series OR season OR binge OR Stream OR Film OR Movie OR Premiere OR Screening OR Feature OR Trailer OR Teaser OR theater OR release)"</f>
        <v>#N/A</v>
      </c>
      <c r="O404" s="23" t="str">
        <f t="shared" si="1"/>
        <v>#</v>
      </c>
      <c r="P404" s="23" t="str">
        <f t="shared" si="2"/>
        <v>#</v>
      </c>
      <c r="Q404" s="23"/>
      <c r="R404" s="23" t="str">
        <f>"("""&amp;B404&amp;""") ("&amp;Vlookup(E404,DropDown!R:V,5,FALSE)&amp;IF(ISBLANK(D404)," | "," "&amp;"OR """&amp;YEAR(D404)&amp;""" | ") &amp; """All New"" | Episode | Watch | tv | Show | Series | season | binge | Stream | Film | Movie | Premiere | Screening | Feature | Trailer | Teaser | theater | release)"</f>
        <v>#N/A</v>
      </c>
      <c r="S404" s="23"/>
      <c r="T404" s="23"/>
      <c r="U404" s="23"/>
      <c r="V404" s="23"/>
      <c r="W404" s="23"/>
      <c r="X404" s="38"/>
      <c r="Y404" s="38"/>
      <c r="Z404" s="38"/>
      <c r="AA404" s="38"/>
    </row>
    <row r="405">
      <c r="A405" s="31"/>
      <c r="B405" s="38"/>
      <c r="C405" s="38"/>
      <c r="D405" s="50"/>
      <c r="E405" s="50"/>
      <c r="F405" s="50"/>
      <c r="G405" s="27" t="str">
        <f>VLOOKUP(E405,DropDown!J:K,2,FALSE)</f>
        <v>#N/A</v>
      </c>
      <c r="H405" s="50"/>
      <c r="I405" s="50"/>
      <c r="J405" s="50"/>
      <c r="K405" s="25" t="s">
        <v>116</v>
      </c>
      <c r="L405" s="23"/>
      <c r="M405" s="23"/>
      <c r="N405" s="25" t="str">
        <f>"("""&amp;B405&amp;""") ("&amp;Vlookup(E405,DropDown!J:N,5,FALSE)&amp;" OR """ &amp;YEAR(D405) &amp; """ OR ""All New"" OR Episode OR Watch OR tv OR Show OR Series OR season OR binge OR Stream OR Film OR Movie OR Premiere OR Screening OR Feature OR Trailer OR Teaser OR theater OR release)"</f>
        <v>#N/A</v>
      </c>
      <c r="O405" s="23" t="str">
        <f t="shared" si="1"/>
        <v>#</v>
      </c>
      <c r="P405" s="23" t="str">
        <f t="shared" si="2"/>
        <v>#</v>
      </c>
      <c r="Q405" s="23"/>
      <c r="R405" s="23" t="str">
        <f>"("""&amp;B405&amp;""") ("&amp;Vlookup(E405,DropDown!R:V,5,FALSE)&amp;IF(ISBLANK(D405)," | "," "&amp;"OR """&amp;YEAR(D405)&amp;""" | ") &amp; """All New"" | Episode | Watch | tv | Show | Series | season | binge | Stream | Film | Movie | Premiere | Screening | Feature | Trailer | Teaser | theater | release)"</f>
        <v>#N/A</v>
      </c>
      <c r="S405" s="23"/>
      <c r="T405" s="23"/>
      <c r="U405" s="23"/>
      <c r="V405" s="23"/>
      <c r="W405" s="23"/>
      <c r="X405" s="38"/>
      <c r="Y405" s="38"/>
      <c r="Z405" s="38"/>
      <c r="AA405" s="38"/>
    </row>
    <row r="406">
      <c r="A406" s="31"/>
      <c r="B406" s="38"/>
      <c r="C406" s="38"/>
      <c r="D406" s="50"/>
      <c r="E406" s="50"/>
      <c r="F406" s="50"/>
      <c r="G406" s="27" t="str">
        <f>VLOOKUP(E406,DropDown!J:K,2,FALSE)</f>
        <v>#N/A</v>
      </c>
      <c r="H406" s="50"/>
      <c r="I406" s="50"/>
      <c r="J406" s="50"/>
      <c r="K406" s="25" t="s">
        <v>116</v>
      </c>
      <c r="L406" s="23"/>
      <c r="M406" s="23"/>
      <c r="N406" s="25" t="str">
        <f>"("""&amp;B406&amp;""") ("&amp;Vlookup(E406,DropDown!J:N,5,FALSE)&amp;" OR """ &amp;YEAR(D406) &amp; """ OR ""All New"" OR Episode OR Watch OR tv OR Show OR Series OR season OR binge OR Stream OR Film OR Movie OR Premiere OR Screening OR Feature OR Trailer OR Teaser OR theater OR release)"</f>
        <v>#N/A</v>
      </c>
      <c r="O406" s="23" t="str">
        <f t="shared" si="1"/>
        <v>#</v>
      </c>
      <c r="P406" s="23" t="str">
        <f t="shared" si="2"/>
        <v>#</v>
      </c>
      <c r="Q406" s="23"/>
      <c r="R406" s="23" t="str">
        <f>"("""&amp;B406&amp;""") ("&amp;Vlookup(E406,DropDown!R:V,5,FALSE)&amp;IF(ISBLANK(D406)," | "," "&amp;"OR """&amp;YEAR(D406)&amp;""" | ") &amp; """All New"" | Episode | Watch | tv | Show | Series | season | binge | Stream | Film | Movie | Premiere | Screening | Feature | Trailer | Teaser | theater | release)"</f>
        <v>#N/A</v>
      </c>
      <c r="S406" s="23"/>
      <c r="T406" s="23"/>
      <c r="U406" s="23"/>
      <c r="V406" s="23"/>
      <c r="W406" s="23"/>
      <c r="X406" s="38"/>
      <c r="Y406" s="38"/>
      <c r="Z406" s="38"/>
      <c r="AA406" s="38"/>
    </row>
    <row r="407">
      <c r="A407" s="31"/>
      <c r="B407" s="38"/>
      <c r="C407" s="38"/>
      <c r="D407" s="50"/>
      <c r="E407" s="50"/>
      <c r="F407" s="50"/>
      <c r="G407" s="27" t="str">
        <f>VLOOKUP(E407,DropDown!J:K,2,FALSE)</f>
        <v>#N/A</v>
      </c>
      <c r="H407" s="50"/>
      <c r="I407" s="50"/>
      <c r="J407" s="50"/>
      <c r="K407" s="25" t="s">
        <v>116</v>
      </c>
      <c r="L407" s="23"/>
      <c r="M407" s="23"/>
      <c r="N407" s="25" t="str">
        <f>"("""&amp;B407&amp;""") ("&amp;Vlookup(E407,DropDown!J:N,5,FALSE)&amp;" OR """ &amp;YEAR(D407) &amp; """ OR ""All New"" OR Episode OR Watch OR tv OR Show OR Series OR season OR binge OR Stream OR Film OR Movie OR Premiere OR Screening OR Feature OR Trailer OR Teaser OR theater OR release)"</f>
        <v>#N/A</v>
      </c>
      <c r="O407" s="23" t="str">
        <f t="shared" si="1"/>
        <v>#</v>
      </c>
      <c r="P407" s="23" t="str">
        <f t="shared" si="2"/>
        <v>#</v>
      </c>
      <c r="Q407" s="23"/>
      <c r="R407" s="23" t="str">
        <f>"("""&amp;B407&amp;""") ("&amp;Vlookup(E407,DropDown!R:V,5,FALSE)&amp;IF(ISBLANK(D407)," | "," "&amp;"OR """&amp;YEAR(D407)&amp;""" | ") &amp; """All New"" | Episode | Watch | tv | Show | Series | season | binge | Stream | Film | Movie | Premiere | Screening | Feature | Trailer | Teaser | theater | release)"</f>
        <v>#N/A</v>
      </c>
      <c r="S407" s="23"/>
      <c r="T407" s="23"/>
      <c r="U407" s="23"/>
      <c r="V407" s="23"/>
      <c r="W407" s="23"/>
      <c r="X407" s="38"/>
      <c r="Y407" s="38"/>
      <c r="Z407" s="38"/>
      <c r="AA407" s="38"/>
    </row>
    <row r="408">
      <c r="A408" s="31"/>
      <c r="B408" s="38"/>
      <c r="C408" s="38"/>
      <c r="D408" s="50"/>
      <c r="E408" s="50"/>
      <c r="F408" s="50"/>
      <c r="G408" s="27" t="str">
        <f>VLOOKUP(E408,DropDown!J:K,2,FALSE)</f>
        <v>#N/A</v>
      </c>
      <c r="H408" s="50"/>
      <c r="I408" s="50"/>
      <c r="J408" s="50"/>
      <c r="K408" s="25" t="s">
        <v>116</v>
      </c>
      <c r="L408" s="23"/>
      <c r="M408" s="23"/>
      <c r="N408" s="25" t="str">
        <f>"("""&amp;B408&amp;""") ("&amp;Vlookup(E408,DropDown!J:N,5,FALSE)&amp;" OR """ &amp;YEAR(D408) &amp; """ OR ""All New"" OR Episode OR Watch OR tv OR Show OR Series OR season OR binge OR Stream OR Film OR Movie OR Premiere OR Screening OR Feature OR Trailer OR Teaser OR theater OR release)"</f>
        <v>#N/A</v>
      </c>
      <c r="O408" s="23" t="str">
        <f t="shared" si="1"/>
        <v>#</v>
      </c>
      <c r="P408" s="23" t="str">
        <f t="shared" si="2"/>
        <v>#</v>
      </c>
      <c r="Q408" s="23"/>
      <c r="R408" s="23" t="str">
        <f>"("""&amp;B408&amp;""") ("&amp;Vlookup(E408,DropDown!R:V,5,FALSE)&amp;IF(ISBLANK(D408)," | "," "&amp;"OR """&amp;YEAR(D408)&amp;""" | ") &amp; """All New"" | Episode | Watch | tv | Show | Series | season | binge | Stream | Film | Movie | Premiere | Screening | Feature | Trailer | Teaser | theater | release)"</f>
        <v>#N/A</v>
      </c>
      <c r="S408" s="23"/>
      <c r="T408" s="23"/>
      <c r="U408" s="23"/>
      <c r="V408" s="23"/>
      <c r="W408" s="23"/>
      <c r="X408" s="38"/>
      <c r="Y408" s="38"/>
      <c r="Z408" s="38"/>
      <c r="AA408" s="38"/>
    </row>
    <row r="409">
      <c r="A409" s="31"/>
      <c r="B409" s="38"/>
      <c r="C409" s="38"/>
      <c r="D409" s="50"/>
      <c r="E409" s="50"/>
      <c r="F409" s="50"/>
      <c r="G409" s="27" t="str">
        <f>VLOOKUP(E409,DropDown!J:K,2,FALSE)</f>
        <v>#N/A</v>
      </c>
      <c r="H409" s="50"/>
      <c r="I409" s="50"/>
      <c r="J409" s="50"/>
      <c r="K409" s="25" t="s">
        <v>116</v>
      </c>
      <c r="L409" s="23"/>
      <c r="M409" s="23"/>
      <c r="N409" s="25" t="str">
        <f>"("""&amp;B409&amp;""") ("&amp;Vlookup(E409,DropDown!J:N,5,FALSE)&amp;" OR """ &amp;YEAR(D409) &amp; """ OR ""All New"" OR Episode OR Watch OR tv OR Show OR Series OR season OR binge OR Stream OR Film OR Movie OR Premiere OR Screening OR Feature OR Trailer OR Teaser OR theater OR release)"</f>
        <v>#N/A</v>
      </c>
      <c r="O409" s="23" t="str">
        <f t="shared" si="1"/>
        <v>#</v>
      </c>
      <c r="P409" s="23" t="str">
        <f t="shared" si="2"/>
        <v>#</v>
      </c>
      <c r="Q409" s="23"/>
      <c r="R409" s="23" t="str">
        <f>"("""&amp;B409&amp;""") ("&amp;Vlookup(E409,DropDown!R:V,5,FALSE)&amp;IF(ISBLANK(D409)," | "," "&amp;"OR """&amp;YEAR(D409)&amp;""" | ") &amp; """All New"" | Episode | Watch | tv | Show | Series | season | binge | Stream | Film | Movie | Premiere | Screening | Feature | Trailer | Teaser | theater | release)"</f>
        <v>#N/A</v>
      </c>
      <c r="S409" s="23"/>
      <c r="T409" s="23"/>
      <c r="U409" s="23"/>
      <c r="V409" s="23"/>
      <c r="W409" s="23"/>
      <c r="X409" s="38"/>
      <c r="Y409" s="38"/>
      <c r="Z409" s="38"/>
      <c r="AA409" s="38"/>
    </row>
    <row r="410">
      <c r="A410" s="31"/>
      <c r="B410" s="38"/>
      <c r="C410" s="38"/>
      <c r="D410" s="50"/>
      <c r="E410" s="50"/>
      <c r="F410" s="50"/>
      <c r="G410" s="27" t="str">
        <f>VLOOKUP(E410,DropDown!J:K,2,FALSE)</f>
        <v>#N/A</v>
      </c>
      <c r="H410" s="50"/>
      <c r="I410" s="50"/>
      <c r="J410" s="50"/>
      <c r="K410" s="25" t="s">
        <v>116</v>
      </c>
      <c r="L410" s="23"/>
      <c r="M410" s="23"/>
      <c r="N410" s="25" t="str">
        <f>"("""&amp;B410&amp;""") ("&amp;Vlookup(E410,DropDown!J:N,5,FALSE)&amp;" OR """ &amp;YEAR(D410) &amp; """ OR ""All New"" OR Episode OR Watch OR tv OR Show OR Series OR season OR binge OR Stream OR Film OR Movie OR Premiere OR Screening OR Feature OR Trailer OR Teaser OR theater OR release)"</f>
        <v>#N/A</v>
      </c>
      <c r="O410" s="23" t="str">
        <f t="shared" si="1"/>
        <v>#</v>
      </c>
      <c r="P410" s="23" t="str">
        <f t="shared" si="2"/>
        <v>#</v>
      </c>
      <c r="Q410" s="23"/>
      <c r="R410" s="23" t="str">
        <f>"("""&amp;B410&amp;""") ("&amp;Vlookup(E410,DropDown!R:V,5,FALSE)&amp;IF(ISBLANK(D410)," | "," "&amp;"OR """&amp;YEAR(D410)&amp;""" | ") &amp; """All New"" | Episode | Watch | tv | Show | Series | season | binge | Stream | Film | Movie | Premiere | Screening | Feature | Trailer | Teaser | theater | release)"</f>
        <v>#N/A</v>
      </c>
      <c r="S410" s="23"/>
      <c r="T410" s="23"/>
      <c r="U410" s="23"/>
      <c r="V410" s="23"/>
      <c r="W410" s="23"/>
      <c r="X410" s="38"/>
      <c r="Y410" s="38"/>
      <c r="Z410" s="38"/>
      <c r="AA410" s="38"/>
    </row>
    <row r="411">
      <c r="A411" s="31"/>
      <c r="B411" s="38"/>
      <c r="C411" s="38"/>
      <c r="D411" s="50"/>
      <c r="E411" s="50"/>
      <c r="F411" s="50"/>
      <c r="G411" s="27" t="str">
        <f>VLOOKUP(E411,DropDown!J:K,2,FALSE)</f>
        <v>#N/A</v>
      </c>
      <c r="H411" s="50"/>
      <c r="I411" s="50"/>
      <c r="J411" s="50"/>
      <c r="K411" s="25" t="s">
        <v>116</v>
      </c>
      <c r="L411" s="23"/>
      <c r="M411" s="23"/>
      <c r="N411" s="25" t="str">
        <f>"("""&amp;B411&amp;""") ("&amp;Vlookup(E411,DropDown!J:N,5,FALSE)&amp;" OR """ &amp;YEAR(D411) &amp; """ OR ""All New"" OR Episode OR Watch OR tv OR Show OR Series OR season OR binge OR Stream OR Film OR Movie OR Premiere OR Screening OR Feature OR Trailer OR Teaser OR theater OR release)"</f>
        <v>#N/A</v>
      </c>
      <c r="O411" s="23" t="str">
        <f t="shared" si="1"/>
        <v>#</v>
      </c>
      <c r="P411" s="23" t="str">
        <f t="shared" si="2"/>
        <v>#</v>
      </c>
      <c r="Q411" s="23"/>
      <c r="R411" s="23" t="str">
        <f>"("""&amp;B411&amp;""") ("&amp;Vlookup(E411,DropDown!R:V,5,FALSE)&amp;IF(ISBLANK(D411)," | "," "&amp;"OR """&amp;YEAR(D411)&amp;""" | ") &amp; """All New"" | Episode | Watch | tv | Show | Series | season | binge | Stream | Film | Movie | Premiere | Screening | Feature | Trailer | Teaser | theater | release)"</f>
        <v>#N/A</v>
      </c>
      <c r="S411" s="23"/>
      <c r="T411" s="23"/>
      <c r="U411" s="23"/>
      <c r="V411" s="23"/>
      <c r="W411" s="23"/>
      <c r="X411" s="38"/>
      <c r="Y411" s="38"/>
      <c r="Z411" s="38"/>
      <c r="AA411" s="38"/>
    </row>
    <row r="412">
      <c r="A412" s="31"/>
      <c r="B412" s="38"/>
      <c r="C412" s="38"/>
      <c r="D412" s="50"/>
      <c r="E412" s="50"/>
      <c r="F412" s="50"/>
      <c r="G412" s="27" t="str">
        <f>VLOOKUP(E412,DropDown!J:K,2,FALSE)</f>
        <v>#N/A</v>
      </c>
      <c r="H412" s="50"/>
      <c r="I412" s="50"/>
      <c r="J412" s="50"/>
      <c r="K412" s="25" t="s">
        <v>116</v>
      </c>
      <c r="L412" s="23"/>
      <c r="M412" s="23"/>
      <c r="N412" s="25" t="str">
        <f>"("""&amp;B412&amp;""") ("&amp;Vlookup(E412,DropDown!J:N,5,FALSE)&amp;" OR """ &amp;YEAR(D412) &amp; """ OR ""All New"" OR Episode OR Watch OR tv OR Show OR Series OR season OR binge OR Stream OR Film OR Movie OR Premiere OR Screening OR Feature OR Trailer OR Teaser OR theater OR release)"</f>
        <v>#N/A</v>
      </c>
      <c r="O412" s="23" t="str">
        <f t="shared" si="1"/>
        <v>#</v>
      </c>
      <c r="P412" s="23" t="str">
        <f t="shared" si="2"/>
        <v>#</v>
      </c>
      <c r="Q412" s="23"/>
      <c r="R412" s="23" t="str">
        <f>"("""&amp;B412&amp;""") ("&amp;Vlookup(E412,DropDown!R:V,5,FALSE)&amp;IF(ISBLANK(D412)," | "," "&amp;"OR """&amp;YEAR(D412)&amp;""" | ") &amp; """All New"" | Episode | Watch | tv | Show | Series | season | binge | Stream | Film | Movie | Premiere | Screening | Feature | Trailer | Teaser | theater | release)"</f>
        <v>#N/A</v>
      </c>
      <c r="S412" s="23"/>
      <c r="T412" s="23"/>
      <c r="U412" s="23"/>
      <c r="V412" s="23"/>
      <c r="W412" s="23"/>
      <c r="X412" s="38"/>
      <c r="Y412" s="38"/>
      <c r="Z412" s="38"/>
      <c r="AA412" s="38"/>
    </row>
    <row r="413">
      <c r="A413" s="31"/>
      <c r="B413" s="38"/>
      <c r="C413" s="38"/>
      <c r="D413" s="50"/>
      <c r="E413" s="50"/>
      <c r="F413" s="50"/>
      <c r="G413" s="27" t="str">
        <f>VLOOKUP(E413,DropDown!J:K,2,FALSE)</f>
        <v>#N/A</v>
      </c>
      <c r="H413" s="50"/>
      <c r="I413" s="50"/>
      <c r="J413" s="50"/>
      <c r="K413" s="25" t="s">
        <v>116</v>
      </c>
      <c r="L413" s="23"/>
      <c r="M413" s="23"/>
      <c r="N413" s="25" t="str">
        <f>"("""&amp;B413&amp;""") ("&amp;Vlookup(E413,DropDown!J:N,5,FALSE)&amp;" OR """ &amp;YEAR(D413) &amp; """ OR ""All New"" OR Episode OR Watch OR tv OR Show OR Series OR season OR binge OR Stream OR Film OR Movie OR Premiere OR Screening OR Feature OR Trailer OR Teaser OR theater OR release)"</f>
        <v>#N/A</v>
      </c>
      <c r="O413" s="23" t="str">
        <f t="shared" si="1"/>
        <v>#</v>
      </c>
      <c r="P413" s="23" t="str">
        <f t="shared" si="2"/>
        <v>#</v>
      </c>
      <c r="Q413" s="23"/>
      <c r="R413" s="23" t="str">
        <f>"("""&amp;B413&amp;""") ("&amp;Vlookup(E413,DropDown!R:V,5,FALSE)&amp;IF(ISBLANK(D413)," | "," "&amp;"OR """&amp;YEAR(D413)&amp;""" | ") &amp; """All New"" | Episode | Watch | tv | Show | Series | season | binge | Stream | Film | Movie | Premiere | Screening | Feature | Trailer | Teaser | theater | release)"</f>
        <v>#N/A</v>
      </c>
      <c r="S413" s="23"/>
      <c r="T413" s="23"/>
      <c r="U413" s="23"/>
      <c r="V413" s="23"/>
      <c r="W413" s="23"/>
      <c r="X413" s="38"/>
      <c r="Y413" s="38"/>
      <c r="Z413" s="38"/>
      <c r="AA413" s="38"/>
    </row>
    <row r="414">
      <c r="A414" s="31"/>
      <c r="B414" s="38"/>
      <c r="C414" s="38"/>
      <c r="D414" s="50"/>
      <c r="E414" s="50"/>
      <c r="F414" s="50"/>
      <c r="G414" s="27" t="str">
        <f>VLOOKUP(E414,DropDown!J:K,2,FALSE)</f>
        <v>#N/A</v>
      </c>
      <c r="H414" s="50"/>
      <c r="I414" s="50"/>
      <c r="J414" s="50"/>
      <c r="K414" s="25" t="s">
        <v>116</v>
      </c>
      <c r="L414" s="23"/>
      <c r="M414" s="23"/>
      <c r="N414" s="25" t="str">
        <f>"("""&amp;B414&amp;""") ("&amp;Vlookup(E414,DropDown!J:N,5,FALSE)&amp;" OR """ &amp;YEAR(D414) &amp; """ OR ""All New"" OR Episode OR Watch OR tv OR Show OR Series OR season OR binge OR Stream OR Film OR Movie OR Premiere OR Screening OR Feature OR Trailer OR Teaser OR theater OR release)"</f>
        <v>#N/A</v>
      </c>
      <c r="O414" s="23" t="str">
        <f t="shared" si="1"/>
        <v>#</v>
      </c>
      <c r="P414" s="23" t="str">
        <f t="shared" si="2"/>
        <v>#</v>
      </c>
      <c r="Q414" s="23"/>
      <c r="R414" s="23" t="str">
        <f>"("""&amp;B414&amp;""") ("&amp;Vlookup(E414,DropDown!R:V,5,FALSE)&amp;IF(ISBLANK(D414)," | "," "&amp;"OR """&amp;YEAR(D414)&amp;""" | ") &amp; """All New"" | Episode | Watch | tv | Show | Series | season | binge | Stream | Film | Movie | Premiere | Screening | Feature | Trailer | Teaser | theater | release)"</f>
        <v>#N/A</v>
      </c>
      <c r="S414" s="23"/>
      <c r="T414" s="23"/>
      <c r="U414" s="23"/>
      <c r="V414" s="23"/>
      <c r="W414" s="23"/>
      <c r="X414" s="38"/>
      <c r="Y414" s="38"/>
      <c r="Z414" s="38"/>
      <c r="AA414" s="38"/>
    </row>
    <row r="415">
      <c r="A415" s="31"/>
      <c r="B415" s="38"/>
      <c r="C415" s="38"/>
      <c r="D415" s="50"/>
      <c r="E415" s="50"/>
      <c r="F415" s="50"/>
      <c r="G415" s="27" t="str">
        <f>VLOOKUP(E415,DropDown!J:K,2,FALSE)</f>
        <v>#N/A</v>
      </c>
      <c r="H415" s="50"/>
      <c r="I415" s="50"/>
      <c r="J415" s="50"/>
      <c r="K415" s="25" t="s">
        <v>116</v>
      </c>
      <c r="L415" s="23"/>
      <c r="M415" s="23"/>
      <c r="N415" s="25" t="str">
        <f>"("""&amp;B415&amp;""") ("&amp;Vlookup(E415,DropDown!J:N,5,FALSE)&amp;" OR """ &amp;YEAR(D415) &amp; """ OR ""All New"" OR Episode OR Watch OR tv OR Show OR Series OR season OR binge OR Stream OR Film OR Movie OR Premiere OR Screening OR Feature OR Trailer OR Teaser OR theater OR release)"</f>
        <v>#N/A</v>
      </c>
      <c r="O415" s="23" t="str">
        <f t="shared" si="1"/>
        <v>#</v>
      </c>
      <c r="P415" s="23" t="str">
        <f t="shared" si="2"/>
        <v>#</v>
      </c>
      <c r="Q415" s="23"/>
      <c r="R415" s="23" t="str">
        <f>"("""&amp;B415&amp;""") ("&amp;Vlookup(E415,DropDown!R:V,5,FALSE)&amp;IF(ISBLANK(D415)," | "," "&amp;"OR """&amp;YEAR(D415)&amp;""" | ") &amp; """All New"" | Episode | Watch | tv | Show | Series | season | binge | Stream | Film | Movie | Premiere | Screening | Feature | Trailer | Teaser | theater | release)"</f>
        <v>#N/A</v>
      </c>
      <c r="S415" s="23"/>
      <c r="T415" s="23"/>
      <c r="U415" s="23"/>
      <c r="V415" s="23"/>
      <c r="W415" s="23"/>
      <c r="X415" s="38"/>
      <c r="Y415" s="38"/>
      <c r="Z415" s="38"/>
      <c r="AA415" s="38"/>
    </row>
    <row r="416">
      <c r="A416" s="31"/>
      <c r="B416" s="38"/>
      <c r="C416" s="38"/>
      <c r="D416" s="50"/>
      <c r="E416" s="50"/>
      <c r="F416" s="50"/>
      <c r="G416" s="27" t="str">
        <f>VLOOKUP(E416,DropDown!J:K,2,FALSE)</f>
        <v>#N/A</v>
      </c>
      <c r="H416" s="50"/>
      <c r="I416" s="50"/>
      <c r="J416" s="50"/>
      <c r="K416" s="25" t="s">
        <v>116</v>
      </c>
      <c r="L416" s="23"/>
      <c r="M416" s="23"/>
      <c r="N416" s="25" t="str">
        <f>"("""&amp;B416&amp;""") ("&amp;Vlookup(E416,DropDown!J:N,5,FALSE)&amp;" OR """ &amp;YEAR(D416) &amp; """ OR ""All New"" OR Episode OR Watch OR tv OR Show OR Series OR season OR binge OR Stream OR Film OR Movie OR Premiere OR Screening OR Feature OR Trailer OR Teaser OR theater OR release)"</f>
        <v>#N/A</v>
      </c>
      <c r="O416" s="23" t="str">
        <f t="shared" si="1"/>
        <v>#</v>
      </c>
      <c r="P416" s="23" t="str">
        <f t="shared" si="2"/>
        <v>#</v>
      </c>
      <c r="Q416" s="23"/>
      <c r="R416" s="23" t="str">
        <f>"("""&amp;B416&amp;""") ("&amp;Vlookup(E416,DropDown!R:V,5,FALSE)&amp;IF(ISBLANK(D416)," | "," "&amp;"OR """&amp;YEAR(D416)&amp;""" | ") &amp; """All New"" | Episode | Watch | tv | Show | Series | season | binge | Stream | Film | Movie | Premiere | Screening | Feature | Trailer | Teaser | theater | release)"</f>
        <v>#N/A</v>
      </c>
      <c r="S416" s="23"/>
      <c r="T416" s="23"/>
      <c r="U416" s="23"/>
      <c r="V416" s="23"/>
      <c r="W416" s="23"/>
      <c r="X416" s="38"/>
      <c r="Y416" s="38"/>
      <c r="Z416" s="38"/>
      <c r="AA416" s="38"/>
    </row>
    <row r="417">
      <c r="A417" s="31"/>
      <c r="B417" s="38"/>
      <c r="C417" s="38"/>
      <c r="D417" s="50"/>
      <c r="E417" s="50"/>
      <c r="F417" s="50"/>
      <c r="G417" s="27" t="str">
        <f>VLOOKUP(E417,DropDown!J:K,2,FALSE)</f>
        <v>#N/A</v>
      </c>
      <c r="H417" s="50"/>
      <c r="I417" s="50"/>
      <c r="J417" s="50"/>
      <c r="K417" s="25" t="s">
        <v>116</v>
      </c>
      <c r="L417" s="23"/>
      <c r="M417" s="23"/>
      <c r="N417" s="25" t="str">
        <f>"("""&amp;B417&amp;""") ("&amp;Vlookup(E417,DropDown!J:N,5,FALSE)&amp;" OR """ &amp;YEAR(D417) &amp; """ OR ""All New"" OR Episode OR Watch OR tv OR Show OR Series OR season OR binge OR Stream OR Film OR Movie OR Premiere OR Screening OR Feature OR Trailer OR Teaser OR theater OR release)"</f>
        <v>#N/A</v>
      </c>
      <c r="O417" s="23" t="str">
        <f t="shared" si="1"/>
        <v>#</v>
      </c>
      <c r="P417" s="23" t="str">
        <f t="shared" si="2"/>
        <v>#</v>
      </c>
      <c r="Q417" s="23"/>
      <c r="R417" s="23" t="str">
        <f>"("""&amp;B417&amp;""") ("&amp;Vlookup(E417,DropDown!R:V,5,FALSE)&amp;IF(ISBLANK(D417)," | "," "&amp;"OR """&amp;YEAR(D417)&amp;""" | ") &amp; """All New"" | Episode | Watch | tv | Show | Series | season | binge | Stream | Film | Movie | Premiere | Screening | Feature | Trailer | Teaser | theater | release)"</f>
        <v>#N/A</v>
      </c>
      <c r="S417" s="23"/>
      <c r="T417" s="23"/>
      <c r="U417" s="23"/>
      <c r="V417" s="23"/>
      <c r="W417" s="23"/>
      <c r="X417" s="38"/>
      <c r="Y417" s="38"/>
      <c r="Z417" s="38"/>
      <c r="AA417" s="38"/>
    </row>
    <row r="418">
      <c r="A418" s="31"/>
      <c r="B418" s="38"/>
      <c r="C418" s="38"/>
      <c r="D418" s="50"/>
      <c r="E418" s="50"/>
      <c r="F418" s="50"/>
      <c r="G418" s="27" t="str">
        <f>VLOOKUP(E418,DropDown!J:K,2,FALSE)</f>
        <v>#N/A</v>
      </c>
      <c r="H418" s="50"/>
      <c r="I418" s="50"/>
      <c r="J418" s="50"/>
      <c r="K418" s="25" t="s">
        <v>116</v>
      </c>
      <c r="L418" s="23"/>
      <c r="M418" s="23"/>
      <c r="N418" s="25" t="str">
        <f>"("""&amp;B418&amp;""") ("&amp;Vlookup(E418,DropDown!J:N,5,FALSE)&amp;" OR """ &amp;YEAR(D418) &amp; """ OR ""All New"" OR Episode OR Watch OR tv OR Show OR Series OR season OR binge OR Stream OR Film OR Movie OR Premiere OR Screening OR Feature OR Trailer OR Teaser OR theater OR release)"</f>
        <v>#N/A</v>
      </c>
      <c r="O418" s="23" t="str">
        <f t="shared" si="1"/>
        <v>#</v>
      </c>
      <c r="P418" s="23" t="str">
        <f t="shared" si="2"/>
        <v>#</v>
      </c>
      <c r="Q418" s="23"/>
      <c r="R418" s="23" t="str">
        <f>"("""&amp;B418&amp;""") ("&amp;Vlookup(E418,DropDown!R:V,5,FALSE)&amp;IF(ISBLANK(D418)," | "," "&amp;"OR """&amp;YEAR(D418)&amp;""" | ") &amp; """All New"" | Episode | Watch | tv | Show | Series | season | binge | Stream | Film | Movie | Premiere | Screening | Feature | Trailer | Teaser | theater | release)"</f>
        <v>#N/A</v>
      </c>
      <c r="S418" s="23"/>
      <c r="T418" s="23"/>
      <c r="U418" s="23"/>
      <c r="V418" s="23"/>
      <c r="W418" s="23"/>
      <c r="X418" s="38"/>
      <c r="Y418" s="38"/>
      <c r="Z418" s="38"/>
      <c r="AA418" s="38"/>
    </row>
    <row r="419">
      <c r="A419" s="31"/>
      <c r="B419" s="38"/>
      <c r="C419" s="38"/>
      <c r="D419" s="50"/>
      <c r="E419" s="50"/>
      <c r="F419" s="50"/>
      <c r="G419" s="27" t="str">
        <f>VLOOKUP(E419,DropDown!J:K,2,FALSE)</f>
        <v>#N/A</v>
      </c>
      <c r="H419" s="50"/>
      <c r="I419" s="50"/>
      <c r="J419" s="50"/>
      <c r="K419" s="25" t="s">
        <v>116</v>
      </c>
      <c r="L419" s="23"/>
      <c r="M419" s="23"/>
      <c r="N419" s="25" t="str">
        <f>"("""&amp;B419&amp;""") ("&amp;Vlookup(E419,DropDown!J:N,5,FALSE)&amp;" OR """ &amp;YEAR(D419) &amp; """ OR ""All New"" OR Episode OR Watch OR tv OR Show OR Series OR season OR binge OR Stream OR Film OR Movie OR Premiere OR Screening OR Feature OR Trailer OR Teaser OR theater OR release)"</f>
        <v>#N/A</v>
      </c>
      <c r="O419" s="23" t="str">
        <f t="shared" si="1"/>
        <v>#</v>
      </c>
      <c r="P419" s="23" t="str">
        <f t="shared" si="2"/>
        <v>#</v>
      </c>
      <c r="Q419" s="23"/>
      <c r="R419" s="23" t="str">
        <f>"("""&amp;B419&amp;""") ("&amp;Vlookup(E419,DropDown!R:V,5,FALSE)&amp;IF(ISBLANK(D419)," | "," "&amp;"OR """&amp;YEAR(D419)&amp;""" | ") &amp; """All New"" | Episode | Watch | tv | Show | Series | season | binge | Stream | Film | Movie | Premiere | Screening | Feature | Trailer | Teaser | theater | release)"</f>
        <v>#N/A</v>
      </c>
      <c r="S419" s="23"/>
      <c r="T419" s="23"/>
      <c r="U419" s="23"/>
      <c r="V419" s="23"/>
      <c r="W419" s="23"/>
      <c r="X419" s="38"/>
      <c r="Y419" s="38"/>
      <c r="Z419" s="38"/>
      <c r="AA419" s="38"/>
    </row>
    <row r="420">
      <c r="A420" s="31"/>
      <c r="B420" s="38"/>
      <c r="C420" s="38"/>
      <c r="D420" s="50"/>
      <c r="E420" s="50"/>
      <c r="F420" s="50"/>
      <c r="G420" s="27" t="str">
        <f>VLOOKUP(E420,DropDown!J:K,2,FALSE)</f>
        <v>#N/A</v>
      </c>
      <c r="H420" s="50"/>
      <c r="I420" s="50"/>
      <c r="J420" s="50"/>
      <c r="K420" s="25" t="s">
        <v>116</v>
      </c>
      <c r="L420" s="23"/>
      <c r="M420" s="23"/>
      <c r="N420" s="25" t="str">
        <f>"("""&amp;B420&amp;""") ("&amp;Vlookup(E420,DropDown!J:N,5,FALSE)&amp;" OR """ &amp;YEAR(D420) &amp; """ OR ""All New"" OR Episode OR Watch OR tv OR Show OR Series OR season OR binge OR Stream OR Film OR Movie OR Premiere OR Screening OR Feature OR Trailer OR Teaser OR theater OR release)"</f>
        <v>#N/A</v>
      </c>
      <c r="O420" s="23" t="str">
        <f t="shared" si="1"/>
        <v>#</v>
      </c>
      <c r="P420" s="23" t="str">
        <f t="shared" si="2"/>
        <v>#</v>
      </c>
      <c r="Q420" s="23"/>
      <c r="R420" s="23" t="str">
        <f>"("""&amp;B420&amp;""") ("&amp;Vlookup(E420,DropDown!R:V,5,FALSE)&amp;IF(ISBLANK(D420)," | "," "&amp;"OR """&amp;YEAR(D420)&amp;""" | ") &amp; """All New"" | Episode | Watch | tv | Show | Series | season | binge | Stream | Film | Movie | Premiere | Screening | Feature | Trailer | Teaser | theater | release)"</f>
        <v>#N/A</v>
      </c>
      <c r="S420" s="23"/>
      <c r="T420" s="23"/>
      <c r="U420" s="23"/>
      <c r="V420" s="23"/>
      <c r="W420" s="23"/>
      <c r="X420" s="38"/>
      <c r="Y420" s="38"/>
      <c r="Z420" s="38"/>
      <c r="AA420" s="38"/>
    </row>
    <row r="421">
      <c r="A421" s="31"/>
      <c r="B421" s="38"/>
      <c r="C421" s="38"/>
      <c r="D421" s="50"/>
      <c r="E421" s="50"/>
      <c r="F421" s="50"/>
      <c r="G421" s="27" t="str">
        <f>VLOOKUP(E421,DropDown!J:K,2,FALSE)</f>
        <v>#N/A</v>
      </c>
      <c r="H421" s="50"/>
      <c r="I421" s="50"/>
      <c r="J421" s="50"/>
      <c r="K421" s="25" t="s">
        <v>116</v>
      </c>
      <c r="L421" s="23"/>
      <c r="M421" s="23"/>
      <c r="N421" s="25" t="str">
        <f>"("""&amp;B421&amp;""") ("&amp;Vlookup(E421,DropDown!J:N,5,FALSE)&amp;" OR """ &amp;YEAR(D421) &amp; """ OR ""All New"" OR Episode OR Watch OR tv OR Show OR Series OR season OR binge OR Stream OR Film OR Movie OR Premiere OR Screening OR Feature OR Trailer OR Teaser OR theater OR release)"</f>
        <v>#N/A</v>
      </c>
      <c r="O421" s="23" t="str">
        <f t="shared" si="1"/>
        <v>#</v>
      </c>
      <c r="P421" s="23" t="str">
        <f t="shared" si="2"/>
        <v>#</v>
      </c>
      <c r="Q421" s="23"/>
      <c r="R421" s="23" t="str">
        <f>"("""&amp;B421&amp;""") ("&amp;Vlookup(E421,DropDown!R:V,5,FALSE)&amp;IF(ISBLANK(D421)," | "," "&amp;"OR """&amp;YEAR(D421)&amp;""" | ") &amp; """All New"" | Episode | Watch | tv | Show | Series | season | binge | Stream | Film | Movie | Premiere | Screening | Feature | Trailer | Teaser | theater | release)"</f>
        <v>#N/A</v>
      </c>
      <c r="S421" s="23"/>
      <c r="T421" s="23"/>
      <c r="U421" s="23"/>
      <c r="V421" s="23"/>
      <c r="W421" s="23"/>
      <c r="X421" s="38"/>
      <c r="Y421" s="38"/>
      <c r="Z421" s="38"/>
      <c r="AA421" s="38"/>
    </row>
    <row r="422">
      <c r="A422" s="31"/>
      <c r="B422" s="38"/>
      <c r="C422" s="38"/>
      <c r="D422" s="50"/>
      <c r="E422" s="50"/>
      <c r="F422" s="50"/>
      <c r="G422" s="27" t="str">
        <f>VLOOKUP(E422,DropDown!J:K,2,FALSE)</f>
        <v>#N/A</v>
      </c>
      <c r="H422" s="50"/>
      <c r="I422" s="50"/>
      <c r="J422" s="50"/>
      <c r="K422" s="25" t="s">
        <v>116</v>
      </c>
      <c r="L422" s="23"/>
      <c r="M422" s="23"/>
      <c r="N422" s="25" t="str">
        <f>"("""&amp;B422&amp;""") ("&amp;Vlookup(E422,DropDown!J:N,5,FALSE)&amp;" OR """ &amp;YEAR(D422) &amp; """ OR ""All New"" OR Episode OR Watch OR tv OR Show OR Series OR season OR binge OR Stream OR Film OR Movie OR Premiere OR Screening OR Feature OR Trailer OR Teaser OR theater OR release)"</f>
        <v>#N/A</v>
      </c>
      <c r="O422" s="23" t="str">
        <f t="shared" si="1"/>
        <v>#</v>
      </c>
      <c r="P422" s="23" t="str">
        <f t="shared" si="2"/>
        <v>#</v>
      </c>
      <c r="Q422" s="23"/>
      <c r="R422" s="23" t="str">
        <f>"("""&amp;B422&amp;""") ("&amp;Vlookup(E422,DropDown!R:V,5,FALSE)&amp;IF(ISBLANK(D422)," | "," "&amp;"OR """&amp;YEAR(D422)&amp;""" | ") &amp; """All New"" | Episode | Watch | tv | Show | Series | season | binge | Stream | Film | Movie | Premiere | Screening | Feature | Trailer | Teaser | theater | release)"</f>
        <v>#N/A</v>
      </c>
      <c r="S422" s="23"/>
      <c r="T422" s="23"/>
      <c r="U422" s="23"/>
      <c r="V422" s="23"/>
      <c r="W422" s="23"/>
      <c r="X422" s="38"/>
      <c r="Y422" s="38"/>
      <c r="Z422" s="38"/>
      <c r="AA422" s="38"/>
    </row>
    <row r="423">
      <c r="A423" s="31"/>
      <c r="B423" s="38"/>
      <c r="C423" s="38"/>
      <c r="D423" s="50"/>
      <c r="E423" s="50"/>
      <c r="F423" s="50"/>
      <c r="G423" s="27" t="str">
        <f>VLOOKUP(E423,DropDown!J:K,2,FALSE)</f>
        <v>#N/A</v>
      </c>
      <c r="H423" s="50"/>
      <c r="I423" s="50"/>
      <c r="J423" s="50"/>
      <c r="K423" s="25" t="s">
        <v>116</v>
      </c>
      <c r="L423" s="23"/>
      <c r="M423" s="23"/>
      <c r="N423" s="25" t="str">
        <f>"("""&amp;B423&amp;""") ("&amp;Vlookup(E423,DropDown!J:N,5,FALSE)&amp;" OR """ &amp;YEAR(D423) &amp; """ OR ""All New"" OR Episode OR Watch OR tv OR Show OR Series OR season OR binge OR Stream OR Film OR Movie OR Premiere OR Screening OR Feature OR Trailer OR Teaser OR theater OR release)"</f>
        <v>#N/A</v>
      </c>
      <c r="O423" s="23" t="str">
        <f t="shared" si="1"/>
        <v>#</v>
      </c>
      <c r="P423" s="23" t="str">
        <f t="shared" si="2"/>
        <v>#</v>
      </c>
      <c r="Q423" s="23"/>
      <c r="R423" s="23" t="str">
        <f>"("""&amp;B423&amp;""") ("&amp;Vlookup(E423,DropDown!R:V,5,FALSE)&amp;IF(ISBLANK(D423)," | "," "&amp;"OR """&amp;YEAR(D423)&amp;""" | ") &amp; """All New"" | Episode | Watch | tv | Show | Series | season | binge | Stream | Film | Movie | Premiere | Screening | Feature | Trailer | Teaser | theater | release)"</f>
        <v>#N/A</v>
      </c>
      <c r="S423" s="23"/>
      <c r="T423" s="23"/>
      <c r="U423" s="23"/>
      <c r="V423" s="23"/>
      <c r="W423" s="23"/>
      <c r="X423" s="38"/>
      <c r="Y423" s="38"/>
      <c r="Z423" s="38"/>
      <c r="AA423" s="38"/>
    </row>
    <row r="424">
      <c r="A424" s="31"/>
      <c r="B424" s="38"/>
      <c r="C424" s="38"/>
      <c r="D424" s="50"/>
      <c r="E424" s="50"/>
      <c r="F424" s="50"/>
      <c r="G424" s="27" t="str">
        <f>VLOOKUP(E424,DropDown!J:K,2,FALSE)</f>
        <v>#N/A</v>
      </c>
      <c r="H424" s="50"/>
      <c r="I424" s="50"/>
      <c r="J424" s="50"/>
      <c r="K424" s="25" t="s">
        <v>116</v>
      </c>
      <c r="L424" s="23"/>
      <c r="M424" s="23"/>
      <c r="N424" s="25" t="str">
        <f>"("""&amp;B424&amp;""") ("&amp;Vlookup(E424,DropDown!J:N,5,FALSE)&amp;" OR """ &amp;YEAR(D424) &amp; """ OR ""All New"" OR Episode OR Watch OR tv OR Show OR Series OR season OR binge OR Stream OR Film OR Movie OR Premiere OR Screening OR Feature OR Trailer OR Teaser OR theater OR release)"</f>
        <v>#N/A</v>
      </c>
      <c r="O424" s="23" t="str">
        <f t="shared" si="1"/>
        <v>#</v>
      </c>
      <c r="P424" s="23" t="str">
        <f t="shared" si="2"/>
        <v>#</v>
      </c>
      <c r="Q424" s="23"/>
      <c r="R424" s="23" t="str">
        <f>"("""&amp;B424&amp;""") ("&amp;Vlookup(E424,DropDown!R:V,5,FALSE)&amp;IF(ISBLANK(D424)," | "," "&amp;"OR """&amp;YEAR(D424)&amp;""" | ") &amp; """All New"" | Episode | Watch | tv | Show | Series | season | binge | Stream | Film | Movie | Premiere | Screening | Feature | Trailer | Teaser | theater | release)"</f>
        <v>#N/A</v>
      </c>
      <c r="S424" s="23"/>
      <c r="T424" s="23"/>
      <c r="U424" s="23"/>
      <c r="V424" s="23"/>
      <c r="W424" s="23"/>
      <c r="X424" s="38"/>
      <c r="Y424" s="38"/>
      <c r="Z424" s="38"/>
      <c r="AA424" s="38"/>
    </row>
    <row r="425">
      <c r="A425" s="31"/>
      <c r="B425" s="38"/>
      <c r="C425" s="38"/>
      <c r="D425" s="50"/>
      <c r="E425" s="50"/>
      <c r="F425" s="50"/>
      <c r="G425" s="27" t="str">
        <f>VLOOKUP(E425,DropDown!J:K,2,FALSE)</f>
        <v>#N/A</v>
      </c>
      <c r="H425" s="50"/>
      <c r="I425" s="50"/>
      <c r="J425" s="50"/>
      <c r="K425" s="25" t="s">
        <v>116</v>
      </c>
      <c r="L425" s="23"/>
      <c r="M425" s="23"/>
      <c r="N425" s="25" t="str">
        <f>"("""&amp;B425&amp;""") ("&amp;Vlookup(E425,DropDown!J:N,5,FALSE)&amp;" OR """ &amp;YEAR(D425) &amp; """ OR ""All New"" OR Episode OR Watch OR tv OR Show OR Series OR season OR binge OR Stream OR Film OR Movie OR Premiere OR Screening OR Feature OR Trailer OR Teaser OR theater OR release)"</f>
        <v>#N/A</v>
      </c>
      <c r="O425" s="23" t="str">
        <f t="shared" si="1"/>
        <v>#</v>
      </c>
      <c r="P425" s="23" t="str">
        <f t="shared" si="2"/>
        <v>#</v>
      </c>
      <c r="Q425" s="23"/>
      <c r="R425" s="23" t="str">
        <f>"("""&amp;B425&amp;""") ("&amp;Vlookup(E425,DropDown!R:V,5,FALSE)&amp;IF(ISBLANK(D425)," | "," "&amp;"OR """&amp;YEAR(D425)&amp;""" | ") &amp; """All New"" | Episode | Watch | tv | Show | Series | season | binge | Stream | Film | Movie | Premiere | Screening | Feature | Trailer | Teaser | theater | release)"</f>
        <v>#N/A</v>
      </c>
      <c r="S425" s="23"/>
      <c r="T425" s="23"/>
      <c r="U425" s="23"/>
      <c r="V425" s="23"/>
      <c r="W425" s="23"/>
      <c r="X425" s="38"/>
      <c r="Y425" s="38"/>
      <c r="Z425" s="38"/>
      <c r="AA425" s="38"/>
    </row>
    <row r="426">
      <c r="A426" s="31"/>
      <c r="B426" s="38"/>
      <c r="C426" s="38"/>
      <c r="D426" s="50"/>
      <c r="E426" s="50"/>
      <c r="F426" s="50"/>
      <c r="G426" s="27" t="str">
        <f>VLOOKUP(E426,DropDown!J:K,2,FALSE)</f>
        <v>#N/A</v>
      </c>
      <c r="H426" s="50"/>
      <c r="I426" s="50"/>
      <c r="J426" s="50"/>
      <c r="K426" s="25" t="s">
        <v>116</v>
      </c>
      <c r="L426" s="23"/>
      <c r="M426" s="23"/>
      <c r="N426" s="25" t="str">
        <f>"("""&amp;B426&amp;""") ("&amp;Vlookup(E426,DropDown!J:N,5,FALSE)&amp;" OR """ &amp;YEAR(D426) &amp; """ OR ""All New"" OR Episode OR Watch OR tv OR Show OR Series OR season OR binge OR Stream OR Film OR Movie OR Premiere OR Screening OR Feature OR Trailer OR Teaser OR theater OR release)"</f>
        <v>#N/A</v>
      </c>
      <c r="O426" s="23" t="str">
        <f t="shared" si="1"/>
        <v>#</v>
      </c>
      <c r="P426" s="23" t="str">
        <f t="shared" si="2"/>
        <v>#</v>
      </c>
      <c r="Q426" s="23"/>
      <c r="R426" s="23" t="str">
        <f>"("""&amp;B426&amp;""") ("&amp;Vlookup(E426,DropDown!R:V,5,FALSE)&amp;IF(ISBLANK(D426)," | "," "&amp;"OR """&amp;YEAR(D426)&amp;""" | ") &amp; """All New"" | Episode | Watch | tv | Show | Series | season | binge | Stream | Film | Movie | Premiere | Screening | Feature | Trailer | Teaser | theater | release)"</f>
        <v>#N/A</v>
      </c>
      <c r="S426" s="23"/>
      <c r="T426" s="23"/>
      <c r="U426" s="23"/>
      <c r="V426" s="23"/>
      <c r="W426" s="23"/>
      <c r="X426" s="38"/>
      <c r="Y426" s="38"/>
      <c r="Z426" s="38"/>
      <c r="AA426" s="38"/>
    </row>
    <row r="427">
      <c r="A427" s="31"/>
      <c r="B427" s="38"/>
      <c r="C427" s="38"/>
      <c r="D427" s="50"/>
      <c r="E427" s="50"/>
      <c r="F427" s="50"/>
      <c r="G427" s="27" t="str">
        <f>VLOOKUP(E427,DropDown!J:K,2,FALSE)</f>
        <v>#N/A</v>
      </c>
      <c r="H427" s="50"/>
      <c r="I427" s="50"/>
      <c r="J427" s="50"/>
      <c r="K427" s="25" t="s">
        <v>116</v>
      </c>
      <c r="L427" s="23"/>
      <c r="M427" s="23"/>
      <c r="N427" s="25" t="str">
        <f>"("""&amp;B427&amp;""") ("&amp;Vlookup(E427,DropDown!J:N,5,FALSE)&amp;" OR """ &amp;YEAR(D427) &amp; """ OR ""All New"" OR Episode OR Watch OR tv OR Show OR Series OR season OR binge OR Stream OR Film OR Movie OR Premiere OR Screening OR Feature OR Trailer OR Teaser OR theater OR release)"</f>
        <v>#N/A</v>
      </c>
      <c r="O427" s="23" t="str">
        <f t="shared" si="1"/>
        <v>#</v>
      </c>
      <c r="P427" s="23" t="str">
        <f t="shared" si="2"/>
        <v>#</v>
      </c>
      <c r="Q427" s="23"/>
      <c r="R427" s="23" t="str">
        <f>"("""&amp;B427&amp;""") ("&amp;Vlookup(E427,DropDown!R:V,5,FALSE)&amp;IF(ISBLANK(D427)," | "," "&amp;"OR """&amp;YEAR(D427)&amp;""" | ") &amp; """All New"" | Episode | Watch | tv | Show | Series | season | binge | Stream | Film | Movie | Premiere | Screening | Feature | Trailer | Teaser | theater | release)"</f>
        <v>#N/A</v>
      </c>
      <c r="S427" s="23"/>
      <c r="T427" s="23"/>
      <c r="U427" s="23"/>
      <c r="V427" s="23"/>
      <c r="W427" s="23"/>
      <c r="X427" s="38"/>
      <c r="Y427" s="38"/>
      <c r="Z427" s="38"/>
      <c r="AA427" s="38"/>
    </row>
    <row r="428">
      <c r="A428" s="31"/>
      <c r="B428" s="38"/>
      <c r="C428" s="38"/>
      <c r="D428" s="50"/>
      <c r="E428" s="50"/>
      <c r="F428" s="50"/>
      <c r="G428" s="27" t="str">
        <f>VLOOKUP(E428,DropDown!J:K,2,FALSE)</f>
        <v>#N/A</v>
      </c>
      <c r="H428" s="50"/>
      <c r="I428" s="50"/>
      <c r="J428" s="50"/>
      <c r="K428" s="25" t="s">
        <v>116</v>
      </c>
      <c r="L428" s="23"/>
      <c r="M428" s="23"/>
      <c r="N428" s="25" t="str">
        <f>"("""&amp;B428&amp;""") ("&amp;Vlookup(E428,DropDown!J:N,5,FALSE)&amp;" OR """ &amp;YEAR(D428) &amp; """ OR ""All New"" OR Episode OR Watch OR tv OR Show OR Series OR season OR binge OR Stream OR Film OR Movie OR Premiere OR Screening OR Feature OR Trailer OR Teaser OR theater OR release)"</f>
        <v>#N/A</v>
      </c>
      <c r="O428" s="23" t="str">
        <f t="shared" si="1"/>
        <v>#</v>
      </c>
      <c r="P428" s="23" t="str">
        <f t="shared" si="2"/>
        <v>#</v>
      </c>
      <c r="Q428" s="23"/>
      <c r="R428" s="23" t="str">
        <f>"("""&amp;B428&amp;""") ("&amp;Vlookup(E428,DropDown!R:V,5,FALSE)&amp;IF(ISBLANK(D428)," | "," "&amp;"OR """&amp;YEAR(D428)&amp;""" | ") &amp; """All New"" | Episode | Watch | tv | Show | Series | season | binge | Stream | Film | Movie | Premiere | Screening | Feature | Trailer | Teaser | theater | release)"</f>
        <v>#N/A</v>
      </c>
      <c r="S428" s="23"/>
      <c r="T428" s="23"/>
      <c r="U428" s="23"/>
      <c r="V428" s="23"/>
      <c r="W428" s="23"/>
      <c r="X428" s="38"/>
      <c r="Y428" s="38"/>
      <c r="Z428" s="38"/>
      <c r="AA428" s="38"/>
    </row>
    <row r="429">
      <c r="A429" s="31"/>
      <c r="B429" s="38"/>
      <c r="C429" s="38"/>
      <c r="D429" s="50"/>
      <c r="E429" s="50"/>
      <c r="F429" s="50"/>
      <c r="G429" s="27" t="str">
        <f>VLOOKUP(E429,DropDown!J:K,2,FALSE)</f>
        <v>#N/A</v>
      </c>
      <c r="H429" s="50"/>
      <c r="I429" s="50"/>
      <c r="J429" s="50"/>
      <c r="K429" s="25" t="s">
        <v>116</v>
      </c>
      <c r="L429" s="23"/>
      <c r="M429" s="23"/>
      <c r="N429" s="25" t="str">
        <f>"("""&amp;B429&amp;""") ("&amp;Vlookup(E429,DropDown!J:N,5,FALSE)&amp;" OR """ &amp;YEAR(D429) &amp; """ OR ""All New"" OR Episode OR Watch OR tv OR Show OR Series OR season OR binge OR Stream OR Film OR Movie OR Premiere OR Screening OR Feature OR Trailer OR Teaser OR theater OR release)"</f>
        <v>#N/A</v>
      </c>
      <c r="O429" s="23" t="str">
        <f t="shared" si="1"/>
        <v>#</v>
      </c>
      <c r="P429" s="23" t="str">
        <f t="shared" si="2"/>
        <v>#</v>
      </c>
      <c r="Q429" s="23"/>
      <c r="R429" s="23" t="str">
        <f>"("""&amp;B429&amp;""") ("&amp;Vlookup(E429,DropDown!R:V,5,FALSE)&amp;IF(ISBLANK(D429)," | "," "&amp;"OR """&amp;YEAR(D429)&amp;""" | ") &amp; """All New"" | Episode | Watch | tv | Show | Series | season | binge | Stream | Film | Movie | Premiere | Screening | Feature | Trailer | Teaser | theater | release)"</f>
        <v>#N/A</v>
      </c>
      <c r="S429" s="23"/>
      <c r="T429" s="23"/>
      <c r="U429" s="23"/>
      <c r="V429" s="23"/>
      <c r="W429" s="23"/>
      <c r="X429" s="38"/>
      <c r="Y429" s="38"/>
      <c r="Z429" s="38"/>
      <c r="AA429" s="38"/>
    </row>
    <row r="430">
      <c r="A430" s="31"/>
      <c r="B430" s="38"/>
      <c r="C430" s="38"/>
      <c r="D430" s="50"/>
      <c r="E430" s="50"/>
      <c r="F430" s="50"/>
      <c r="G430" s="27" t="str">
        <f>VLOOKUP(E430,DropDown!J:K,2,FALSE)</f>
        <v>#N/A</v>
      </c>
      <c r="H430" s="50"/>
      <c r="I430" s="50"/>
      <c r="J430" s="50"/>
      <c r="K430" s="25" t="s">
        <v>116</v>
      </c>
      <c r="L430" s="23"/>
      <c r="M430" s="23"/>
      <c r="N430" s="25" t="str">
        <f>"("""&amp;B430&amp;""") ("&amp;Vlookup(E430,DropDown!J:N,5,FALSE)&amp;" OR """ &amp;YEAR(D430) &amp; """ OR ""All New"" OR Episode OR Watch OR tv OR Show OR Series OR season OR binge OR Stream OR Film OR Movie OR Premiere OR Screening OR Feature OR Trailer OR Teaser OR theater OR release)"</f>
        <v>#N/A</v>
      </c>
      <c r="O430" s="23" t="str">
        <f t="shared" si="1"/>
        <v>#</v>
      </c>
      <c r="P430" s="23" t="str">
        <f t="shared" si="2"/>
        <v>#</v>
      </c>
      <c r="Q430" s="23"/>
      <c r="R430" s="23" t="str">
        <f>"("""&amp;B430&amp;""") ("&amp;Vlookup(E430,DropDown!R:V,5,FALSE)&amp;IF(ISBLANK(D430)," | "," "&amp;"OR """&amp;YEAR(D430)&amp;""" | ") &amp; """All New"" | Episode | Watch | tv | Show | Series | season | binge | Stream | Film | Movie | Premiere | Screening | Feature | Trailer | Teaser | theater | release)"</f>
        <v>#N/A</v>
      </c>
      <c r="S430" s="23"/>
      <c r="T430" s="23"/>
      <c r="U430" s="23"/>
      <c r="V430" s="23"/>
      <c r="W430" s="23"/>
      <c r="X430" s="38"/>
      <c r="Y430" s="38"/>
      <c r="Z430" s="38"/>
      <c r="AA430" s="38"/>
    </row>
    <row r="431">
      <c r="A431" s="31"/>
      <c r="B431" s="38"/>
      <c r="C431" s="38"/>
      <c r="D431" s="50"/>
      <c r="E431" s="50"/>
      <c r="F431" s="50"/>
      <c r="G431" s="27" t="str">
        <f>VLOOKUP(E431,DropDown!J:K,2,FALSE)</f>
        <v>#N/A</v>
      </c>
      <c r="H431" s="50"/>
      <c r="I431" s="50"/>
      <c r="J431" s="50"/>
      <c r="K431" s="25" t="s">
        <v>116</v>
      </c>
      <c r="L431" s="23"/>
      <c r="M431" s="23"/>
      <c r="N431" s="25" t="str">
        <f>"("""&amp;B431&amp;""") ("&amp;Vlookup(E431,DropDown!J:N,5,FALSE)&amp;" OR """ &amp;YEAR(D431) &amp; """ OR ""All New"" OR Episode OR Watch OR tv OR Show OR Series OR season OR binge OR Stream OR Film OR Movie OR Premiere OR Screening OR Feature OR Trailer OR Teaser OR theater OR release)"</f>
        <v>#N/A</v>
      </c>
      <c r="O431" s="23" t="str">
        <f t="shared" si="1"/>
        <v>#</v>
      </c>
      <c r="P431" s="23" t="str">
        <f t="shared" si="2"/>
        <v>#</v>
      </c>
      <c r="Q431" s="23"/>
      <c r="R431" s="23" t="str">
        <f>"("""&amp;B431&amp;""") ("&amp;Vlookup(E431,DropDown!R:V,5,FALSE)&amp;IF(ISBLANK(D431)," | "," "&amp;"OR """&amp;YEAR(D431)&amp;""" | ") &amp; """All New"" | Episode | Watch | tv | Show | Series | season | binge | Stream | Film | Movie | Premiere | Screening | Feature | Trailer | Teaser | theater | release)"</f>
        <v>#N/A</v>
      </c>
      <c r="S431" s="23"/>
      <c r="T431" s="23"/>
      <c r="U431" s="23"/>
      <c r="V431" s="23"/>
      <c r="W431" s="23"/>
      <c r="X431" s="38"/>
      <c r="Y431" s="38"/>
      <c r="Z431" s="38"/>
      <c r="AA431" s="38"/>
    </row>
    <row r="432">
      <c r="A432" s="31"/>
      <c r="B432" s="38"/>
      <c r="C432" s="38"/>
      <c r="D432" s="50"/>
      <c r="E432" s="50"/>
      <c r="F432" s="50"/>
      <c r="G432" s="27" t="str">
        <f>VLOOKUP(E432,DropDown!J:K,2,FALSE)</f>
        <v>#N/A</v>
      </c>
      <c r="H432" s="50"/>
      <c r="I432" s="50"/>
      <c r="J432" s="50"/>
      <c r="K432" s="25" t="s">
        <v>116</v>
      </c>
      <c r="L432" s="23"/>
      <c r="M432" s="23"/>
      <c r="N432" s="25" t="str">
        <f>"("""&amp;B432&amp;""") ("&amp;Vlookup(E432,DropDown!J:N,5,FALSE)&amp;" OR """ &amp;YEAR(D432) &amp; """ OR ""All New"" OR Episode OR Watch OR tv OR Show OR Series OR season OR binge OR Stream OR Film OR Movie OR Premiere OR Screening OR Feature OR Trailer OR Teaser OR theater OR release)"</f>
        <v>#N/A</v>
      </c>
      <c r="O432" s="23" t="str">
        <f t="shared" si="1"/>
        <v>#</v>
      </c>
      <c r="P432" s="23" t="str">
        <f t="shared" si="2"/>
        <v>#</v>
      </c>
      <c r="Q432" s="23"/>
      <c r="R432" s="23" t="str">
        <f>"("""&amp;B432&amp;""") ("&amp;Vlookup(E432,DropDown!R:V,5,FALSE)&amp;IF(ISBLANK(D432)," | "," "&amp;"OR """&amp;YEAR(D432)&amp;""" | ") &amp; """All New"" | Episode | Watch | tv | Show | Series | season | binge | Stream | Film | Movie | Premiere | Screening | Feature | Trailer | Teaser | theater | release)"</f>
        <v>#N/A</v>
      </c>
      <c r="S432" s="23"/>
      <c r="T432" s="23"/>
      <c r="U432" s="23"/>
      <c r="V432" s="23"/>
      <c r="W432" s="23"/>
      <c r="X432" s="38"/>
      <c r="Y432" s="38"/>
      <c r="Z432" s="38"/>
      <c r="AA432" s="38"/>
    </row>
    <row r="433">
      <c r="A433" s="31"/>
      <c r="B433" s="38"/>
      <c r="C433" s="38"/>
      <c r="D433" s="50"/>
      <c r="E433" s="50"/>
      <c r="F433" s="50"/>
      <c r="G433" s="27" t="str">
        <f>VLOOKUP(E433,DropDown!J:K,2,FALSE)</f>
        <v>#N/A</v>
      </c>
      <c r="H433" s="50"/>
      <c r="I433" s="50"/>
      <c r="J433" s="50"/>
      <c r="K433" s="25" t="s">
        <v>116</v>
      </c>
      <c r="L433" s="23"/>
      <c r="M433" s="23"/>
      <c r="N433" s="25" t="str">
        <f>"("""&amp;B433&amp;""") ("&amp;Vlookup(E433,DropDown!J:N,5,FALSE)&amp;" OR """ &amp;YEAR(D433) &amp; """ OR ""All New"" OR Episode OR Watch OR tv OR Show OR Series OR season OR binge OR Stream OR Film OR Movie OR Premiere OR Screening OR Feature OR Trailer OR Teaser OR theater OR release)"</f>
        <v>#N/A</v>
      </c>
      <c r="O433" s="23" t="str">
        <f t="shared" si="1"/>
        <v>#</v>
      </c>
      <c r="P433" s="23" t="str">
        <f t="shared" si="2"/>
        <v>#</v>
      </c>
      <c r="Q433" s="23"/>
      <c r="R433" s="23" t="str">
        <f>"("""&amp;B433&amp;""") ("&amp;Vlookup(E433,DropDown!R:V,5,FALSE)&amp;IF(ISBLANK(D433)," | "," "&amp;"OR """&amp;YEAR(D433)&amp;""" | ") &amp; """All New"" | Episode | Watch | tv | Show | Series | season | binge | Stream | Film | Movie | Premiere | Screening | Feature | Trailer | Teaser | theater | release)"</f>
        <v>#N/A</v>
      </c>
      <c r="S433" s="23"/>
      <c r="T433" s="23"/>
      <c r="U433" s="23"/>
      <c r="V433" s="23"/>
      <c r="W433" s="23"/>
      <c r="X433" s="38"/>
      <c r="Y433" s="38"/>
      <c r="Z433" s="38"/>
      <c r="AA433" s="38"/>
    </row>
    <row r="434">
      <c r="A434" s="31"/>
      <c r="B434" s="38"/>
      <c r="C434" s="38"/>
      <c r="D434" s="50"/>
      <c r="E434" s="50"/>
      <c r="F434" s="50"/>
      <c r="G434" s="27" t="str">
        <f>VLOOKUP(E434,DropDown!J:K,2,FALSE)</f>
        <v>#N/A</v>
      </c>
      <c r="H434" s="50"/>
      <c r="I434" s="50"/>
      <c r="J434" s="50"/>
      <c r="K434" s="25" t="s">
        <v>116</v>
      </c>
      <c r="L434" s="23"/>
      <c r="M434" s="23"/>
      <c r="N434" s="25" t="str">
        <f>"("""&amp;B434&amp;""") ("&amp;Vlookup(E434,DropDown!J:N,5,FALSE)&amp;" OR """ &amp;YEAR(D434) &amp; """ OR ""All New"" OR Episode OR Watch OR tv OR Show OR Series OR season OR binge OR Stream OR Film OR Movie OR Premiere OR Screening OR Feature OR Trailer OR Teaser OR theater OR release)"</f>
        <v>#N/A</v>
      </c>
      <c r="O434" s="23" t="str">
        <f t="shared" si="1"/>
        <v>#</v>
      </c>
      <c r="P434" s="23" t="str">
        <f t="shared" si="2"/>
        <v>#</v>
      </c>
      <c r="Q434" s="23"/>
      <c r="R434" s="23" t="str">
        <f>"("""&amp;B434&amp;""") ("&amp;Vlookup(E434,DropDown!R:V,5,FALSE)&amp;IF(ISBLANK(D434)," | "," "&amp;"OR """&amp;YEAR(D434)&amp;""" | ") &amp; """All New"" | Episode | Watch | tv | Show | Series | season | binge | Stream | Film | Movie | Premiere | Screening | Feature | Trailer | Teaser | theater | release)"</f>
        <v>#N/A</v>
      </c>
      <c r="S434" s="23"/>
      <c r="T434" s="23"/>
      <c r="U434" s="23"/>
      <c r="V434" s="23"/>
      <c r="W434" s="23"/>
      <c r="X434" s="38"/>
      <c r="Y434" s="38"/>
      <c r="Z434" s="38"/>
      <c r="AA434" s="38"/>
    </row>
    <row r="435">
      <c r="A435" s="31"/>
      <c r="B435" s="38"/>
      <c r="C435" s="38"/>
      <c r="D435" s="50"/>
      <c r="E435" s="50"/>
      <c r="F435" s="50"/>
      <c r="G435" s="27" t="str">
        <f>VLOOKUP(E435,DropDown!J:K,2,FALSE)</f>
        <v>#N/A</v>
      </c>
      <c r="H435" s="50"/>
      <c r="I435" s="50"/>
      <c r="J435" s="50"/>
      <c r="K435" s="25" t="s">
        <v>116</v>
      </c>
      <c r="L435" s="23"/>
      <c r="M435" s="23"/>
      <c r="N435" s="25" t="str">
        <f>"("""&amp;B435&amp;""") ("&amp;Vlookup(E435,DropDown!J:N,5,FALSE)&amp;" OR """ &amp;YEAR(D435) &amp; """ OR ""All New"" OR Episode OR Watch OR tv OR Show OR Series OR season OR binge OR Stream OR Film OR Movie OR Premiere OR Screening OR Feature OR Trailer OR Teaser OR theater OR release)"</f>
        <v>#N/A</v>
      </c>
      <c r="O435" s="23" t="str">
        <f t="shared" si="1"/>
        <v>#</v>
      </c>
      <c r="P435" s="23" t="str">
        <f t="shared" si="2"/>
        <v>#</v>
      </c>
      <c r="Q435" s="23"/>
      <c r="R435" s="23" t="str">
        <f>"("""&amp;B435&amp;""") ("&amp;Vlookup(E435,DropDown!R:V,5,FALSE)&amp;IF(ISBLANK(D435)," | "," "&amp;"OR """&amp;YEAR(D435)&amp;""" | ") &amp; """All New"" | Episode | Watch | tv | Show | Series | season | binge | Stream | Film | Movie | Premiere | Screening | Feature | Trailer | Teaser | theater | release)"</f>
        <v>#N/A</v>
      </c>
      <c r="S435" s="23"/>
      <c r="T435" s="23"/>
      <c r="U435" s="23"/>
      <c r="V435" s="23"/>
      <c r="W435" s="23"/>
      <c r="X435" s="38"/>
      <c r="Y435" s="38"/>
      <c r="Z435" s="38"/>
      <c r="AA435" s="38"/>
    </row>
    <row r="436">
      <c r="A436" s="31"/>
      <c r="B436" s="38"/>
      <c r="C436" s="38"/>
      <c r="D436" s="50"/>
      <c r="E436" s="50"/>
      <c r="F436" s="50"/>
      <c r="G436" s="27" t="str">
        <f>VLOOKUP(E436,DropDown!J:K,2,FALSE)</f>
        <v>#N/A</v>
      </c>
      <c r="H436" s="50"/>
      <c r="I436" s="50"/>
      <c r="J436" s="50"/>
      <c r="K436" s="25" t="s">
        <v>116</v>
      </c>
      <c r="L436" s="23"/>
      <c r="M436" s="23"/>
      <c r="N436" s="25" t="str">
        <f>"("""&amp;B436&amp;""") ("&amp;Vlookup(E436,DropDown!J:N,5,FALSE)&amp;" OR """ &amp;YEAR(D436) &amp; """ OR ""All New"" OR Episode OR Watch OR tv OR Show OR Series OR season OR binge OR Stream OR Film OR Movie OR Premiere OR Screening OR Feature OR Trailer OR Teaser OR theater OR release)"</f>
        <v>#N/A</v>
      </c>
      <c r="O436" s="23" t="str">
        <f t="shared" si="1"/>
        <v>#</v>
      </c>
      <c r="P436" s="23" t="str">
        <f t="shared" si="2"/>
        <v>#</v>
      </c>
      <c r="Q436" s="23"/>
      <c r="R436" s="23" t="str">
        <f>"("""&amp;B436&amp;""") ("&amp;Vlookup(E436,DropDown!R:V,5,FALSE)&amp;IF(ISBLANK(D436)," | "," "&amp;"OR """&amp;YEAR(D436)&amp;""" | ") &amp; """All New"" | Episode | Watch | tv | Show | Series | season | binge | Stream | Film | Movie | Premiere | Screening | Feature | Trailer | Teaser | theater | release)"</f>
        <v>#N/A</v>
      </c>
      <c r="S436" s="23"/>
      <c r="T436" s="23"/>
      <c r="U436" s="23"/>
      <c r="V436" s="23"/>
      <c r="W436" s="23"/>
      <c r="X436" s="38"/>
      <c r="Y436" s="38"/>
      <c r="Z436" s="38"/>
      <c r="AA436" s="38"/>
    </row>
    <row r="437">
      <c r="A437" s="31"/>
      <c r="B437" s="38"/>
      <c r="C437" s="38"/>
      <c r="D437" s="50"/>
      <c r="E437" s="50"/>
      <c r="F437" s="50"/>
      <c r="G437" s="27" t="str">
        <f>VLOOKUP(E437,DropDown!J:K,2,FALSE)</f>
        <v>#N/A</v>
      </c>
      <c r="H437" s="50"/>
      <c r="I437" s="50"/>
      <c r="J437" s="50"/>
      <c r="K437" s="25" t="s">
        <v>116</v>
      </c>
      <c r="L437" s="23"/>
      <c r="M437" s="23"/>
      <c r="N437" s="25" t="str">
        <f>"("""&amp;B437&amp;""") ("&amp;Vlookup(E437,DropDown!J:N,5,FALSE)&amp;" OR """ &amp;YEAR(D437) &amp; """ OR ""All New"" OR Episode OR Watch OR tv OR Show OR Series OR season OR binge OR Stream OR Film OR Movie OR Premiere OR Screening OR Feature OR Trailer OR Teaser OR theater OR release)"</f>
        <v>#N/A</v>
      </c>
      <c r="O437" s="23" t="str">
        <f t="shared" si="1"/>
        <v>#</v>
      </c>
      <c r="P437" s="23" t="str">
        <f t="shared" si="2"/>
        <v>#</v>
      </c>
      <c r="Q437" s="23"/>
      <c r="R437" s="23" t="str">
        <f>"("""&amp;B437&amp;""") ("&amp;Vlookup(E437,DropDown!R:V,5,FALSE)&amp;IF(ISBLANK(D437)," | "," "&amp;"OR """&amp;YEAR(D437)&amp;""" | ") &amp; """All New"" | Episode | Watch | tv | Show | Series | season | binge | Stream | Film | Movie | Premiere | Screening | Feature | Trailer | Teaser | theater | release)"</f>
        <v>#N/A</v>
      </c>
      <c r="S437" s="23"/>
      <c r="T437" s="23"/>
      <c r="U437" s="23"/>
      <c r="V437" s="23"/>
      <c r="W437" s="23"/>
      <c r="X437" s="38"/>
      <c r="Y437" s="38"/>
      <c r="Z437" s="38"/>
      <c r="AA437" s="38"/>
    </row>
    <row r="438">
      <c r="A438" s="31"/>
      <c r="B438" s="38"/>
      <c r="C438" s="38"/>
      <c r="D438" s="50"/>
      <c r="E438" s="50"/>
      <c r="F438" s="50"/>
      <c r="G438" s="27" t="str">
        <f>VLOOKUP(E438,DropDown!J:K,2,FALSE)</f>
        <v>#N/A</v>
      </c>
      <c r="H438" s="50"/>
      <c r="I438" s="50"/>
      <c r="J438" s="50"/>
      <c r="K438" s="25" t="s">
        <v>116</v>
      </c>
      <c r="L438" s="23"/>
      <c r="M438" s="23"/>
      <c r="N438" s="25" t="str">
        <f>"("""&amp;B438&amp;""") ("&amp;Vlookup(E438,DropDown!J:N,5,FALSE)&amp;" OR """ &amp;YEAR(D438) &amp; """ OR ""All New"" OR Episode OR Watch OR tv OR Show OR Series OR season OR binge OR Stream OR Film OR Movie OR Premiere OR Screening OR Feature OR Trailer OR Teaser OR theater OR release)"</f>
        <v>#N/A</v>
      </c>
      <c r="O438" s="23" t="str">
        <f t="shared" si="1"/>
        <v>#</v>
      </c>
      <c r="P438" s="23" t="str">
        <f t="shared" si="2"/>
        <v>#</v>
      </c>
      <c r="Q438" s="23"/>
      <c r="R438" s="23" t="str">
        <f>"("""&amp;B438&amp;""") ("&amp;Vlookup(E438,DropDown!R:V,5,FALSE)&amp;IF(ISBLANK(D438)," | "," "&amp;"OR """&amp;YEAR(D438)&amp;""" | ") &amp; """All New"" | Episode | Watch | tv | Show | Series | season | binge | Stream | Film | Movie | Premiere | Screening | Feature | Trailer | Teaser | theater | release)"</f>
        <v>#N/A</v>
      </c>
      <c r="S438" s="23"/>
      <c r="T438" s="23"/>
      <c r="U438" s="23"/>
      <c r="V438" s="23"/>
      <c r="W438" s="23"/>
      <c r="X438" s="38"/>
      <c r="Y438" s="38"/>
      <c r="Z438" s="38"/>
      <c r="AA438" s="38"/>
    </row>
    <row r="439">
      <c r="A439" s="31"/>
      <c r="B439" s="38"/>
      <c r="C439" s="38"/>
      <c r="D439" s="50"/>
      <c r="E439" s="50"/>
      <c r="F439" s="50"/>
      <c r="G439" s="27" t="str">
        <f>VLOOKUP(E439,DropDown!J:K,2,FALSE)</f>
        <v>#N/A</v>
      </c>
      <c r="H439" s="50"/>
      <c r="I439" s="50"/>
      <c r="J439" s="50"/>
      <c r="K439" s="25" t="s">
        <v>116</v>
      </c>
      <c r="L439" s="23"/>
      <c r="M439" s="23"/>
      <c r="N439" s="25" t="str">
        <f>"("""&amp;B439&amp;""") ("&amp;Vlookup(E439,DropDown!J:N,5,FALSE)&amp;" OR """ &amp;YEAR(D439) &amp; """ OR ""All New"" OR Episode OR Watch OR tv OR Show OR Series OR season OR binge OR Stream OR Film OR Movie OR Premiere OR Screening OR Feature OR Trailer OR Teaser OR theater OR release)"</f>
        <v>#N/A</v>
      </c>
      <c r="O439" s="23" t="str">
        <f t="shared" si="1"/>
        <v>#</v>
      </c>
      <c r="P439" s="23" t="str">
        <f t="shared" si="2"/>
        <v>#</v>
      </c>
      <c r="Q439" s="23"/>
      <c r="R439" s="23" t="str">
        <f>"("""&amp;B439&amp;""") ("&amp;Vlookup(E439,DropDown!R:V,5,FALSE)&amp;IF(ISBLANK(D439)," | "," "&amp;"OR """&amp;YEAR(D439)&amp;""" | ") &amp; """All New"" | Episode | Watch | tv | Show | Series | season | binge | Stream | Film | Movie | Premiere | Screening | Feature | Trailer | Teaser | theater | release)"</f>
        <v>#N/A</v>
      </c>
      <c r="S439" s="23"/>
      <c r="T439" s="23"/>
      <c r="U439" s="23"/>
      <c r="V439" s="23"/>
      <c r="W439" s="23"/>
      <c r="X439" s="38"/>
      <c r="Y439" s="38"/>
      <c r="Z439" s="38"/>
      <c r="AA439" s="38"/>
    </row>
    <row r="440">
      <c r="A440" s="31"/>
      <c r="B440" s="38"/>
      <c r="C440" s="38"/>
      <c r="D440" s="50"/>
      <c r="E440" s="50"/>
      <c r="F440" s="50"/>
      <c r="G440" s="27" t="str">
        <f>VLOOKUP(E440,DropDown!J:K,2,FALSE)</f>
        <v>#N/A</v>
      </c>
      <c r="H440" s="50"/>
      <c r="I440" s="50"/>
      <c r="J440" s="50"/>
      <c r="K440" s="25" t="s">
        <v>116</v>
      </c>
      <c r="L440" s="23"/>
      <c r="M440" s="23"/>
      <c r="N440" s="25" t="str">
        <f>"("""&amp;B440&amp;""") ("&amp;Vlookup(E440,DropDown!J:N,5,FALSE)&amp;" OR """ &amp;YEAR(D440) &amp; """ OR ""All New"" OR Episode OR Watch OR tv OR Show OR Series OR season OR binge OR Stream OR Film OR Movie OR Premiere OR Screening OR Feature OR Trailer OR Teaser OR theater OR release)"</f>
        <v>#N/A</v>
      </c>
      <c r="O440" s="23" t="str">
        <f t="shared" si="1"/>
        <v>#</v>
      </c>
      <c r="P440" s="23" t="str">
        <f t="shared" si="2"/>
        <v>#</v>
      </c>
      <c r="Q440" s="23"/>
      <c r="R440" s="23" t="str">
        <f>"("""&amp;B440&amp;""") ("&amp;Vlookup(E440,DropDown!R:V,5,FALSE)&amp;IF(ISBLANK(D440)," | "," "&amp;"OR """&amp;YEAR(D440)&amp;""" | ") &amp; """All New"" | Episode | Watch | tv | Show | Series | season | binge | Stream | Film | Movie | Premiere | Screening | Feature | Trailer | Teaser | theater | release)"</f>
        <v>#N/A</v>
      </c>
      <c r="S440" s="23"/>
      <c r="T440" s="23"/>
      <c r="U440" s="23"/>
      <c r="V440" s="23"/>
      <c r="W440" s="23"/>
      <c r="X440" s="38"/>
      <c r="Y440" s="38"/>
      <c r="Z440" s="38"/>
      <c r="AA440" s="38"/>
    </row>
    <row r="441">
      <c r="A441" s="31"/>
      <c r="B441" s="38"/>
      <c r="C441" s="38"/>
      <c r="D441" s="50"/>
      <c r="E441" s="50"/>
      <c r="F441" s="50"/>
      <c r="G441" s="27" t="str">
        <f>VLOOKUP(E441,DropDown!J:K,2,FALSE)</f>
        <v>#N/A</v>
      </c>
      <c r="H441" s="50"/>
      <c r="I441" s="50"/>
      <c r="J441" s="50"/>
      <c r="K441" s="25" t="s">
        <v>116</v>
      </c>
      <c r="L441" s="23"/>
      <c r="M441" s="23"/>
      <c r="N441" s="25" t="str">
        <f>"("""&amp;B441&amp;""") ("&amp;Vlookup(E441,DropDown!J:N,5,FALSE)&amp;" OR """ &amp;YEAR(D441) &amp; """ OR ""All New"" OR Episode OR Watch OR tv OR Show OR Series OR season OR binge OR Stream OR Film OR Movie OR Premiere OR Screening OR Feature OR Trailer OR Teaser OR theater OR release)"</f>
        <v>#N/A</v>
      </c>
      <c r="O441" s="23" t="str">
        <f t="shared" si="1"/>
        <v>#</v>
      </c>
      <c r="P441" s="23" t="str">
        <f t="shared" si="2"/>
        <v>#</v>
      </c>
      <c r="Q441" s="23"/>
      <c r="R441" s="23" t="str">
        <f>"("""&amp;B441&amp;""") ("&amp;Vlookup(E441,DropDown!R:V,5,FALSE)&amp;IF(ISBLANK(D441)," | "," "&amp;"OR """&amp;YEAR(D441)&amp;""" | ") &amp; """All New"" | Episode | Watch | tv | Show | Series | season | binge | Stream | Film | Movie | Premiere | Screening | Feature | Trailer | Teaser | theater | release)"</f>
        <v>#N/A</v>
      </c>
      <c r="S441" s="23"/>
      <c r="T441" s="23"/>
      <c r="U441" s="23"/>
      <c r="V441" s="23"/>
      <c r="W441" s="23"/>
      <c r="X441" s="38"/>
      <c r="Y441" s="38"/>
      <c r="Z441" s="38"/>
      <c r="AA441" s="38"/>
    </row>
    <row r="442">
      <c r="A442" s="31"/>
      <c r="B442" s="38"/>
      <c r="C442" s="38"/>
      <c r="D442" s="50"/>
      <c r="E442" s="50"/>
      <c r="F442" s="50"/>
      <c r="G442" s="27" t="str">
        <f>VLOOKUP(E442,DropDown!J:K,2,FALSE)</f>
        <v>#N/A</v>
      </c>
      <c r="H442" s="50"/>
      <c r="I442" s="50"/>
      <c r="J442" s="50"/>
      <c r="K442" s="25" t="s">
        <v>116</v>
      </c>
      <c r="L442" s="23"/>
      <c r="M442" s="23"/>
      <c r="N442" s="25" t="str">
        <f>"("""&amp;B442&amp;""") ("&amp;Vlookup(E442,DropDown!J:N,5,FALSE)&amp;" OR """ &amp;YEAR(D442) &amp; """ OR ""All New"" OR Episode OR Watch OR tv OR Show OR Series OR season OR binge OR Stream OR Film OR Movie OR Premiere OR Screening OR Feature OR Trailer OR Teaser OR theater OR release)"</f>
        <v>#N/A</v>
      </c>
      <c r="O442" s="23" t="str">
        <f t="shared" si="1"/>
        <v>#</v>
      </c>
      <c r="P442" s="23" t="str">
        <f t="shared" si="2"/>
        <v>#</v>
      </c>
      <c r="Q442" s="23"/>
      <c r="R442" s="23" t="str">
        <f>"("""&amp;B442&amp;""") ("&amp;Vlookup(E442,DropDown!R:V,5,FALSE)&amp;IF(ISBLANK(D442)," | "," "&amp;"OR """&amp;YEAR(D442)&amp;""" | ") &amp; """All New"" | Episode | Watch | tv | Show | Series | season | binge | Stream | Film | Movie | Premiere | Screening | Feature | Trailer | Teaser | theater | release)"</f>
        <v>#N/A</v>
      </c>
      <c r="S442" s="23"/>
      <c r="T442" s="23"/>
      <c r="U442" s="23"/>
      <c r="V442" s="23"/>
      <c r="W442" s="23"/>
      <c r="X442" s="38"/>
      <c r="Y442" s="38"/>
      <c r="Z442" s="38"/>
      <c r="AA442" s="38"/>
    </row>
    <row r="443">
      <c r="A443" s="31"/>
      <c r="B443" s="38"/>
      <c r="C443" s="38"/>
      <c r="D443" s="50"/>
      <c r="E443" s="50"/>
      <c r="F443" s="50"/>
      <c r="G443" s="27" t="str">
        <f>VLOOKUP(E443,DropDown!J:K,2,FALSE)</f>
        <v>#N/A</v>
      </c>
      <c r="H443" s="50"/>
      <c r="I443" s="50"/>
      <c r="J443" s="50"/>
      <c r="K443" s="25" t="s">
        <v>116</v>
      </c>
      <c r="L443" s="23"/>
      <c r="M443" s="23"/>
      <c r="N443" s="25" t="str">
        <f>"("""&amp;B443&amp;""") ("&amp;Vlookup(E443,DropDown!J:N,5,FALSE)&amp;" OR """ &amp;YEAR(D443) &amp; """ OR ""All New"" OR Episode OR Watch OR tv OR Show OR Series OR season OR binge OR Stream OR Film OR Movie OR Premiere OR Screening OR Feature OR Trailer OR Teaser OR theater OR release)"</f>
        <v>#N/A</v>
      </c>
      <c r="O443" s="23" t="str">
        <f t="shared" si="1"/>
        <v>#</v>
      </c>
      <c r="P443" s="23" t="str">
        <f t="shared" si="2"/>
        <v>#</v>
      </c>
      <c r="Q443" s="23"/>
      <c r="R443" s="23" t="str">
        <f>"("""&amp;B443&amp;""") ("&amp;Vlookup(E443,DropDown!R:V,5,FALSE)&amp;IF(ISBLANK(D443)," | "," "&amp;"OR """&amp;YEAR(D443)&amp;""" | ") &amp; """All New"" | Episode | Watch | tv | Show | Series | season | binge | Stream | Film | Movie | Premiere | Screening | Feature | Trailer | Teaser | theater | release)"</f>
        <v>#N/A</v>
      </c>
      <c r="S443" s="23"/>
      <c r="T443" s="23"/>
      <c r="U443" s="23"/>
      <c r="V443" s="23"/>
      <c r="W443" s="23"/>
      <c r="X443" s="38"/>
      <c r="Y443" s="38"/>
      <c r="Z443" s="38"/>
      <c r="AA443" s="38"/>
    </row>
    <row r="444">
      <c r="A444" s="31"/>
      <c r="B444" s="38"/>
      <c r="C444" s="38"/>
      <c r="D444" s="50"/>
      <c r="E444" s="50"/>
      <c r="F444" s="50"/>
      <c r="G444" s="27" t="str">
        <f>VLOOKUP(E444,DropDown!J:K,2,FALSE)</f>
        <v>#N/A</v>
      </c>
      <c r="H444" s="50"/>
      <c r="I444" s="50"/>
      <c r="J444" s="50"/>
      <c r="K444" s="25" t="s">
        <v>116</v>
      </c>
      <c r="L444" s="23"/>
      <c r="M444" s="23"/>
      <c r="N444" s="25" t="str">
        <f>"("""&amp;B444&amp;""") ("&amp;Vlookup(E444,DropDown!J:N,5,FALSE)&amp;" OR """ &amp;YEAR(D444) &amp; """ OR ""All New"" OR Episode OR Watch OR tv OR Show OR Series OR season OR binge OR Stream OR Film OR Movie OR Premiere OR Screening OR Feature OR Trailer OR Teaser OR theater OR release)"</f>
        <v>#N/A</v>
      </c>
      <c r="O444" s="23" t="str">
        <f t="shared" si="1"/>
        <v>#</v>
      </c>
      <c r="P444" s="23" t="str">
        <f t="shared" si="2"/>
        <v>#</v>
      </c>
      <c r="Q444" s="23"/>
      <c r="R444" s="23" t="str">
        <f>"("""&amp;B444&amp;""") ("&amp;Vlookup(E444,DropDown!R:V,5,FALSE)&amp;IF(ISBLANK(D444)," | "," "&amp;"OR """&amp;YEAR(D444)&amp;""" | ") &amp; """All New"" | Episode | Watch | tv | Show | Series | season | binge | Stream | Film | Movie | Premiere | Screening | Feature | Trailer | Teaser | theater | release)"</f>
        <v>#N/A</v>
      </c>
      <c r="S444" s="23"/>
      <c r="T444" s="23"/>
      <c r="U444" s="23"/>
      <c r="V444" s="23"/>
      <c r="W444" s="23"/>
      <c r="X444" s="38"/>
      <c r="Y444" s="38"/>
      <c r="Z444" s="38"/>
      <c r="AA444" s="38"/>
    </row>
    <row r="445">
      <c r="A445" s="31"/>
      <c r="B445" s="38"/>
      <c r="C445" s="38"/>
      <c r="D445" s="50"/>
      <c r="E445" s="50"/>
      <c r="F445" s="50"/>
      <c r="G445" s="27" t="str">
        <f>VLOOKUP(E445,DropDown!J:K,2,FALSE)</f>
        <v>#N/A</v>
      </c>
      <c r="H445" s="50"/>
      <c r="I445" s="50"/>
      <c r="J445" s="50"/>
      <c r="K445" s="25" t="s">
        <v>116</v>
      </c>
      <c r="L445" s="23"/>
      <c r="M445" s="23"/>
      <c r="N445" s="25" t="str">
        <f>"("""&amp;B445&amp;""") ("&amp;Vlookup(E445,DropDown!J:N,5,FALSE)&amp;" OR """ &amp;YEAR(D445) &amp; """ OR ""All New"" OR Episode OR Watch OR tv OR Show OR Series OR season OR binge OR Stream OR Film OR Movie OR Premiere OR Screening OR Feature OR Trailer OR Teaser OR theater OR release)"</f>
        <v>#N/A</v>
      </c>
      <c r="O445" s="23" t="str">
        <f t="shared" si="1"/>
        <v>#</v>
      </c>
      <c r="P445" s="23" t="str">
        <f t="shared" si="2"/>
        <v>#</v>
      </c>
      <c r="Q445" s="23"/>
      <c r="R445" s="23" t="str">
        <f>"("""&amp;B445&amp;""") ("&amp;Vlookup(E445,DropDown!R:V,5,FALSE)&amp;IF(ISBLANK(D445)," | "," "&amp;"OR """&amp;YEAR(D445)&amp;""" | ") &amp; """All New"" | Episode | Watch | tv | Show | Series | season | binge | Stream | Film | Movie | Premiere | Screening | Feature | Trailer | Teaser | theater | release)"</f>
        <v>#N/A</v>
      </c>
      <c r="S445" s="23"/>
      <c r="T445" s="23"/>
      <c r="U445" s="23"/>
      <c r="V445" s="23"/>
      <c r="W445" s="23"/>
      <c r="X445" s="38"/>
      <c r="Y445" s="38"/>
      <c r="Z445" s="38"/>
      <c r="AA445" s="38"/>
    </row>
    <row r="446">
      <c r="A446" s="31"/>
      <c r="B446" s="38"/>
      <c r="C446" s="38"/>
      <c r="D446" s="50"/>
      <c r="E446" s="50"/>
      <c r="F446" s="50"/>
      <c r="G446" s="27" t="str">
        <f>VLOOKUP(E446,DropDown!J:K,2,FALSE)</f>
        <v>#N/A</v>
      </c>
      <c r="H446" s="50"/>
      <c r="I446" s="50"/>
      <c r="J446" s="50"/>
      <c r="K446" s="25" t="s">
        <v>116</v>
      </c>
      <c r="L446" s="23"/>
      <c r="M446" s="23"/>
      <c r="N446" s="25" t="str">
        <f>"("""&amp;B446&amp;""") ("&amp;Vlookup(E446,DropDown!J:N,5,FALSE)&amp;" OR """ &amp;YEAR(D446) &amp; """ OR ""All New"" OR Episode OR Watch OR tv OR Show OR Series OR season OR binge OR Stream OR Film OR Movie OR Premiere OR Screening OR Feature OR Trailer OR Teaser OR theater OR release)"</f>
        <v>#N/A</v>
      </c>
      <c r="O446" s="23" t="str">
        <f t="shared" si="1"/>
        <v>#</v>
      </c>
      <c r="P446" s="23" t="str">
        <f t="shared" si="2"/>
        <v>#</v>
      </c>
      <c r="Q446" s="23"/>
      <c r="R446" s="23" t="str">
        <f>"("""&amp;B446&amp;""") ("&amp;Vlookup(E446,DropDown!R:V,5,FALSE)&amp;IF(ISBLANK(D446)," | "," "&amp;"OR """&amp;YEAR(D446)&amp;""" | ") &amp; """All New"" | Episode | Watch | tv | Show | Series | season | binge | Stream | Film | Movie | Premiere | Screening | Feature | Trailer | Teaser | theater | release)"</f>
        <v>#N/A</v>
      </c>
      <c r="S446" s="23"/>
      <c r="T446" s="23"/>
      <c r="U446" s="23"/>
      <c r="V446" s="23"/>
      <c r="W446" s="23"/>
      <c r="X446" s="38"/>
      <c r="Y446" s="38"/>
      <c r="Z446" s="38"/>
      <c r="AA446" s="38"/>
    </row>
    <row r="447">
      <c r="A447" s="31"/>
      <c r="B447" s="38"/>
      <c r="C447" s="38"/>
      <c r="D447" s="50"/>
      <c r="E447" s="50"/>
      <c r="F447" s="50"/>
      <c r="G447" s="27" t="str">
        <f>VLOOKUP(E447,DropDown!J:K,2,FALSE)</f>
        <v>#N/A</v>
      </c>
      <c r="H447" s="50"/>
      <c r="I447" s="50"/>
      <c r="J447" s="50"/>
      <c r="K447" s="25" t="s">
        <v>116</v>
      </c>
      <c r="L447" s="23"/>
      <c r="M447" s="23"/>
      <c r="N447" s="25" t="str">
        <f>"("""&amp;B447&amp;""") ("&amp;Vlookup(E447,DropDown!J:N,5,FALSE)&amp;" OR """ &amp;YEAR(D447) &amp; """ OR ""All New"" OR Episode OR Watch OR tv OR Show OR Series OR season OR binge OR Stream OR Film OR Movie OR Premiere OR Screening OR Feature OR Trailer OR Teaser OR theater OR release)"</f>
        <v>#N/A</v>
      </c>
      <c r="O447" s="23" t="str">
        <f t="shared" si="1"/>
        <v>#</v>
      </c>
      <c r="P447" s="23" t="str">
        <f t="shared" si="2"/>
        <v>#</v>
      </c>
      <c r="Q447" s="23"/>
      <c r="R447" s="23" t="str">
        <f>"("""&amp;B447&amp;""") ("&amp;Vlookup(E447,DropDown!R:V,5,FALSE)&amp;IF(ISBLANK(D447)," | "," "&amp;"OR """&amp;YEAR(D447)&amp;""" | ") &amp; """All New"" | Episode | Watch | tv | Show | Series | season | binge | Stream | Film | Movie | Premiere | Screening | Feature | Trailer | Teaser | theater | release)"</f>
        <v>#N/A</v>
      </c>
      <c r="S447" s="23"/>
      <c r="T447" s="23"/>
      <c r="U447" s="23"/>
      <c r="V447" s="23"/>
      <c r="W447" s="23"/>
      <c r="X447" s="38"/>
      <c r="Y447" s="38"/>
      <c r="Z447" s="38"/>
      <c r="AA447" s="38"/>
    </row>
    <row r="448">
      <c r="A448" s="31"/>
      <c r="B448" s="38"/>
      <c r="C448" s="38"/>
      <c r="D448" s="50"/>
      <c r="E448" s="50"/>
      <c r="F448" s="50"/>
      <c r="G448" s="27" t="str">
        <f>VLOOKUP(E448,DropDown!J:K,2,FALSE)</f>
        <v>#N/A</v>
      </c>
      <c r="H448" s="50"/>
      <c r="I448" s="50"/>
      <c r="J448" s="50"/>
      <c r="K448" s="25" t="s">
        <v>116</v>
      </c>
      <c r="L448" s="23"/>
      <c r="M448" s="23"/>
      <c r="N448" s="25" t="str">
        <f>"("""&amp;B448&amp;""") ("&amp;Vlookup(E448,DropDown!J:N,5,FALSE)&amp;" OR """ &amp;YEAR(D448) &amp; """ OR ""All New"" OR Episode OR Watch OR tv OR Show OR Series OR season OR binge OR Stream OR Film OR Movie OR Premiere OR Screening OR Feature OR Trailer OR Teaser OR theater OR release)"</f>
        <v>#N/A</v>
      </c>
      <c r="O448" s="23" t="str">
        <f t="shared" si="1"/>
        <v>#</v>
      </c>
      <c r="P448" s="23" t="str">
        <f t="shared" si="2"/>
        <v>#</v>
      </c>
      <c r="Q448" s="23"/>
      <c r="R448" s="23" t="str">
        <f>"("""&amp;B448&amp;""") ("&amp;Vlookup(E448,DropDown!R:V,5,FALSE)&amp;IF(ISBLANK(D448)," | "," "&amp;"OR """&amp;YEAR(D448)&amp;""" | ") &amp; """All New"" | Episode | Watch | tv | Show | Series | season | binge | Stream | Film | Movie | Premiere | Screening | Feature | Trailer | Teaser | theater | release)"</f>
        <v>#N/A</v>
      </c>
      <c r="S448" s="23"/>
      <c r="T448" s="23"/>
      <c r="U448" s="23"/>
      <c r="V448" s="23"/>
      <c r="W448" s="23"/>
      <c r="X448" s="38"/>
      <c r="Y448" s="38"/>
      <c r="Z448" s="38"/>
      <c r="AA448" s="38"/>
    </row>
    <row r="449">
      <c r="A449" s="31"/>
      <c r="B449" s="38"/>
      <c r="C449" s="38"/>
      <c r="D449" s="50"/>
      <c r="E449" s="50"/>
      <c r="F449" s="50"/>
      <c r="G449" s="27" t="str">
        <f>VLOOKUP(E449,DropDown!J:K,2,FALSE)</f>
        <v>#N/A</v>
      </c>
      <c r="H449" s="50"/>
      <c r="I449" s="50"/>
      <c r="J449" s="50"/>
      <c r="K449" s="25" t="s">
        <v>116</v>
      </c>
      <c r="L449" s="23"/>
      <c r="M449" s="23"/>
      <c r="N449" s="25" t="str">
        <f>"("""&amp;B449&amp;""") ("&amp;Vlookup(E449,DropDown!J:N,5,FALSE)&amp;" OR """ &amp;YEAR(D449) &amp; """ OR ""All New"" OR Episode OR Watch OR tv OR Show OR Series OR season OR binge OR Stream OR Film OR Movie OR Premiere OR Screening OR Feature OR Trailer OR Teaser OR theater OR release)"</f>
        <v>#N/A</v>
      </c>
      <c r="O449" s="23" t="str">
        <f t="shared" si="1"/>
        <v>#</v>
      </c>
      <c r="P449" s="23" t="str">
        <f t="shared" si="2"/>
        <v>#</v>
      </c>
      <c r="Q449" s="23"/>
      <c r="R449" s="23" t="str">
        <f>"("""&amp;B449&amp;""") ("&amp;Vlookup(E449,DropDown!R:V,5,FALSE)&amp;IF(ISBLANK(D449)," | "," "&amp;"OR """&amp;YEAR(D449)&amp;""" | ") &amp; """All New"" | Episode | Watch | tv | Show | Series | season | binge | Stream | Film | Movie | Premiere | Screening | Feature | Trailer | Teaser | theater | release)"</f>
        <v>#N/A</v>
      </c>
      <c r="S449" s="23"/>
      <c r="T449" s="23"/>
      <c r="U449" s="23"/>
      <c r="V449" s="23"/>
      <c r="W449" s="23"/>
      <c r="X449" s="38"/>
      <c r="Y449" s="38"/>
      <c r="Z449" s="38"/>
      <c r="AA449" s="38"/>
    </row>
    <row r="450">
      <c r="A450" s="31"/>
      <c r="B450" s="38"/>
      <c r="C450" s="38"/>
      <c r="D450" s="50"/>
      <c r="E450" s="50"/>
      <c r="F450" s="50"/>
      <c r="G450" s="27" t="str">
        <f>VLOOKUP(E450,DropDown!J:K,2,FALSE)</f>
        <v>#N/A</v>
      </c>
      <c r="H450" s="50"/>
      <c r="I450" s="50"/>
      <c r="J450" s="50"/>
      <c r="K450" s="25" t="s">
        <v>116</v>
      </c>
      <c r="L450" s="23"/>
      <c r="M450" s="23"/>
      <c r="N450" s="25" t="str">
        <f>"("""&amp;B450&amp;""") ("&amp;Vlookup(E450,DropDown!J:N,5,FALSE)&amp;" OR """ &amp;YEAR(D450) &amp; """ OR ""All New"" OR Episode OR Watch OR tv OR Show OR Series OR season OR binge OR Stream OR Film OR Movie OR Premiere OR Screening OR Feature OR Trailer OR Teaser OR theater OR release)"</f>
        <v>#N/A</v>
      </c>
      <c r="O450" s="23" t="str">
        <f t="shared" si="1"/>
        <v>#</v>
      </c>
      <c r="P450" s="23" t="str">
        <f t="shared" si="2"/>
        <v>#</v>
      </c>
      <c r="Q450" s="23"/>
      <c r="R450" s="23" t="str">
        <f>"("""&amp;B450&amp;""") ("&amp;Vlookup(E450,DropDown!R:V,5,FALSE)&amp;IF(ISBLANK(D450)," | "," "&amp;"OR """&amp;YEAR(D450)&amp;""" | ") &amp; """All New"" | Episode | Watch | tv | Show | Series | season | binge | Stream | Film | Movie | Premiere | Screening | Feature | Trailer | Teaser | theater | release)"</f>
        <v>#N/A</v>
      </c>
      <c r="S450" s="23"/>
      <c r="T450" s="23"/>
      <c r="U450" s="23"/>
      <c r="V450" s="23"/>
      <c r="W450" s="23"/>
      <c r="X450" s="38"/>
      <c r="Y450" s="38"/>
      <c r="Z450" s="38"/>
      <c r="AA450" s="38"/>
    </row>
    <row r="451">
      <c r="A451" s="31"/>
      <c r="B451" s="38"/>
      <c r="C451" s="38"/>
      <c r="D451" s="50"/>
      <c r="E451" s="50"/>
      <c r="F451" s="50"/>
      <c r="G451" s="27" t="str">
        <f>VLOOKUP(E451,DropDown!J:K,2,FALSE)</f>
        <v>#N/A</v>
      </c>
      <c r="H451" s="50"/>
      <c r="I451" s="50"/>
      <c r="J451" s="50"/>
      <c r="K451" s="25" t="s">
        <v>116</v>
      </c>
      <c r="L451" s="23"/>
      <c r="M451" s="23"/>
      <c r="N451" s="25" t="str">
        <f>"("""&amp;B451&amp;""") ("&amp;Vlookup(E451,DropDown!J:N,5,FALSE)&amp;" OR """ &amp;YEAR(D451) &amp; """ OR ""All New"" OR Episode OR Watch OR tv OR Show OR Series OR season OR binge OR Stream OR Film OR Movie OR Premiere OR Screening OR Feature OR Trailer OR Teaser OR theater OR release)"</f>
        <v>#N/A</v>
      </c>
      <c r="O451" s="23" t="str">
        <f t="shared" si="1"/>
        <v>#</v>
      </c>
      <c r="P451" s="23" t="str">
        <f t="shared" si="2"/>
        <v>#</v>
      </c>
      <c r="Q451" s="23"/>
      <c r="R451" s="23" t="str">
        <f>"("""&amp;B451&amp;""") ("&amp;Vlookup(E451,DropDown!R:V,5,FALSE)&amp;IF(ISBLANK(D451)," | "," "&amp;"OR """&amp;YEAR(D451)&amp;""" | ") &amp; """All New"" | Episode | Watch | tv | Show | Series | season | binge | Stream | Film | Movie | Premiere | Screening | Feature | Trailer | Teaser | theater | release)"</f>
        <v>#N/A</v>
      </c>
      <c r="S451" s="23"/>
      <c r="T451" s="23"/>
      <c r="U451" s="23"/>
      <c r="V451" s="23"/>
      <c r="W451" s="23"/>
      <c r="X451" s="38"/>
      <c r="Y451" s="38"/>
      <c r="Z451" s="38"/>
      <c r="AA451" s="38"/>
    </row>
    <row r="452">
      <c r="A452" s="31"/>
      <c r="B452" s="38"/>
      <c r="C452" s="38"/>
      <c r="D452" s="50"/>
      <c r="E452" s="50"/>
      <c r="F452" s="50"/>
      <c r="G452" s="27" t="str">
        <f>VLOOKUP(E452,DropDown!J:K,2,FALSE)</f>
        <v>#N/A</v>
      </c>
      <c r="H452" s="50"/>
      <c r="I452" s="50"/>
      <c r="J452" s="50"/>
      <c r="K452" s="25" t="s">
        <v>116</v>
      </c>
      <c r="L452" s="23"/>
      <c r="M452" s="23"/>
      <c r="N452" s="25" t="str">
        <f>"("""&amp;B452&amp;""") ("&amp;Vlookup(E452,DropDown!J:N,5,FALSE)&amp;" OR """ &amp;YEAR(D452) &amp; """ OR ""All New"" OR Episode OR Watch OR tv OR Show OR Series OR season OR binge OR Stream OR Film OR Movie OR Premiere OR Screening OR Feature OR Trailer OR Teaser OR theater OR release)"</f>
        <v>#N/A</v>
      </c>
      <c r="O452" s="23" t="str">
        <f t="shared" si="1"/>
        <v>#</v>
      </c>
      <c r="P452" s="23" t="str">
        <f t="shared" si="2"/>
        <v>#</v>
      </c>
      <c r="Q452" s="23"/>
      <c r="R452" s="23" t="str">
        <f>"("""&amp;B452&amp;""") ("&amp;Vlookup(E452,DropDown!R:V,5,FALSE)&amp;IF(ISBLANK(D452)," | "," "&amp;"OR """&amp;YEAR(D452)&amp;""" | ") &amp; """All New"" | Episode | Watch | tv | Show | Series | season | binge | Stream | Film | Movie | Premiere | Screening | Feature | Trailer | Teaser | theater | release)"</f>
        <v>#N/A</v>
      </c>
      <c r="S452" s="23"/>
      <c r="T452" s="23"/>
      <c r="U452" s="23"/>
      <c r="V452" s="23"/>
      <c r="W452" s="23"/>
      <c r="X452" s="38"/>
      <c r="Y452" s="38"/>
      <c r="Z452" s="38"/>
      <c r="AA452" s="38"/>
    </row>
    <row r="453">
      <c r="A453" s="31"/>
      <c r="B453" s="38"/>
      <c r="C453" s="38"/>
      <c r="D453" s="50"/>
      <c r="E453" s="50"/>
      <c r="F453" s="50"/>
      <c r="G453" s="27" t="str">
        <f>VLOOKUP(E453,DropDown!J:K,2,FALSE)</f>
        <v>#N/A</v>
      </c>
      <c r="H453" s="50"/>
      <c r="I453" s="50"/>
      <c r="J453" s="50"/>
      <c r="K453" s="25" t="s">
        <v>116</v>
      </c>
      <c r="L453" s="23"/>
      <c r="M453" s="23"/>
      <c r="N453" s="25" t="str">
        <f>"("""&amp;B453&amp;""") ("&amp;Vlookup(E453,DropDown!J:N,5,FALSE)&amp;" OR """ &amp;YEAR(D453) &amp; """ OR ""All New"" OR Episode OR Watch OR tv OR Show OR Series OR season OR binge OR Stream OR Film OR Movie OR Premiere OR Screening OR Feature OR Trailer OR Teaser OR theater OR release)"</f>
        <v>#N/A</v>
      </c>
      <c r="O453" s="23" t="str">
        <f t="shared" si="1"/>
        <v>#</v>
      </c>
      <c r="P453" s="23" t="str">
        <f t="shared" si="2"/>
        <v>#</v>
      </c>
      <c r="Q453" s="23"/>
      <c r="R453" s="23" t="str">
        <f>"("""&amp;B453&amp;""") ("&amp;Vlookup(E453,DropDown!R:V,5,FALSE)&amp;IF(ISBLANK(D453)," | "," "&amp;"OR """&amp;YEAR(D453)&amp;""" | ") &amp; """All New"" | Episode | Watch | tv | Show | Series | season | binge | Stream | Film | Movie | Premiere | Screening | Feature | Trailer | Teaser | theater | release)"</f>
        <v>#N/A</v>
      </c>
      <c r="S453" s="23"/>
      <c r="T453" s="23"/>
      <c r="U453" s="23"/>
      <c r="V453" s="23"/>
      <c r="W453" s="23"/>
      <c r="X453" s="38"/>
      <c r="Y453" s="38"/>
      <c r="Z453" s="38"/>
      <c r="AA453" s="38"/>
    </row>
    <row r="454">
      <c r="A454" s="31"/>
      <c r="B454" s="38"/>
      <c r="C454" s="38"/>
      <c r="D454" s="50"/>
      <c r="E454" s="50"/>
      <c r="F454" s="50"/>
      <c r="G454" s="27" t="str">
        <f>VLOOKUP(E454,DropDown!J:K,2,FALSE)</f>
        <v>#N/A</v>
      </c>
      <c r="H454" s="50"/>
      <c r="I454" s="50"/>
      <c r="J454" s="50"/>
      <c r="K454" s="25" t="s">
        <v>116</v>
      </c>
      <c r="L454" s="23"/>
      <c r="M454" s="23"/>
      <c r="N454" s="25" t="str">
        <f>"("""&amp;B454&amp;""") ("&amp;Vlookup(E454,DropDown!J:N,5,FALSE)&amp;" OR """ &amp;YEAR(D454) &amp; """ OR ""All New"" OR Episode OR Watch OR tv OR Show OR Series OR season OR binge OR Stream OR Film OR Movie OR Premiere OR Screening OR Feature OR Trailer OR Teaser OR theater OR release)"</f>
        <v>#N/A</v>
      </c>
      <c r="O454" s="23" t="str">
        <f t="shared" si="1"/>
        <v>#</v>
      </c>
      <c r="P454" s="23" t="str">
        <f t="shared" si="2"/>
        <v>#</v>
      </c>
      <c r="Q454" s="23"/>
      <c r="R454" s="23" t="str">
        <f>"("""&amp;B454&amp;""") ("&amp;Vlookup(E454,DropDown!R:V,5,FALSE)&amp;IF(ISBLANK(D454)," | "," "&amp;"OR """&amp;YEAR(D454)&amp;""" | ") &amp; """All New"" | Episode | Watch | tv | Show | Series | season | binge | Stream | Film | Movie | Premiere | Screening | Feature | Trailer | Teaser | theater | release)"</f>
        <v>#N/A</v>
      </c>
      <c r="S454" s="23"/>
      <c r="T454" s="23"/>
      <c r="U454" s="23"/>
      <c r="V454" s="23"/>
      <c r="W454" s="23"/>
      <c r="X454" s="38"/>
      <c r="Y454" s="38"/>
      <c r="Z454" s="38"/>
      <c r="AA454" s="38"/>
    </row>
    <row r="455">
      <c r="A455" s="31"/>
      <c r="B455" s="38"/>
      <c r="C455" s="38"/>
      <c r="D455" s="50"/>
      <c r="E455" s="50"/>
      <c r="F455" s="50"/>
      <c r="G455" s="27" t="str">
        <f>VLOOKUP(E455,DropDown!J:K,2,FALSE)</f>
        <v>#N/A</v>
      </c>
      <c r="H455" s="50"/>
      <c r="I455" s="50"/>
      <c r="J455" s="50"/>
      <c r="K455" s="25" t="s">
        <v>116</v>
      </c>
      <c r="L455" s="23"/>
      <c r="M455" s="23"/>
      <c r="N455" s="25" t="str">
        <f>"("""&amp;B455&amp;""") ("&amp;Vlookup(E455,DropDown!J:N,5,FALSE)&amp;" OR """ &amp;YEAR(D455) &amp; """ OR ""All New"" OR Episode OR Watch OR tv OR Show OR Series OR season OR binge OR Stream OR Film OR Movie OR Premiere OR Screening OR Feature OR Trailer OR Teaser OR theater OR release)"</f>
        <v>#N/A</v>
      </c>
      <c r="O455" s="23" t="str">
        <f t="shared" si="1"/>
        <v>#</v>
      </c>
      <c r="P455" s="23" t="str">
        <f t="shared" si="2"/>
        <v>#</v>
      </c>
      <c r="Q455" s="23"/>
      <c r="R455" s="23" t="str">
        <f>"("""&amp;B455&amp;""") ("&amp;Vlookup(E455,DropDown!R:V,5,FALSE)&amp;IF(ISBLANK(D455)," | "," "&amp;"OR """&amp;YEAR(D455)&amp;""" | ") &amp; """All New"" | Episode | Watch | tv | Show | Series | season | binge | Stream | Film | Movie | Premiere | Screening | Feature | Trailer | Teaser | theater | release)"</f>
        <v>#N/A</v>
      </c>
      <c r="S455" s="23"/>
      <c r="T455" s="23"/>
      <c r="U455" s="23"/>
      <c r="V455" s="23"/>
      <c r="W455" s="23"/>
      <c r="X455" s="38"/>
      <c r="Y455" s="38"/>
      <c r="Z455" s="38"/>
      <c r="AA455" s="38"/>
    </row>
    <row r="456">
      <c r="A456" s="31"/>
      <c r="B456" s="38"/>
      <c r="C456" s="38"/>
      <c r="D456" s="50"/>
      <c r="E456" s="50"/>
      <c r="F456" s="50"/>
      <c r="G456" s="27" t="str">
        <f>VLOOKUP(E456,DropDown!J:K,2,FALSE)</f>
        <v>#N/A</v>
      </c>
      <c r="H456" s="50"/>
      <c r="I456" s="50"/>
      <c r="J456" s="50"/>
      <c r="K456" s="25" t="s">
        <v>116</v>
      </c>
      <c r="L456" s="23"/>
      <c r="M456" s="23"/>
      <c r="N456" s="25" t="str">
        <f>"("""&amp;B456&amp;""") ("&amp;Vlookup(E456,DropDown!J:N,5,FALSE)&amp;" OR """ &amp;YEAR(D456) &amp; """ OR ""All New"" OR Episode OR Watch OR tv OR Show OR Series OR season OR binge OR Stream OR Film OR Movie OR Premiere OR Screening OR Feature OR Trailer OR Teaser OR theater OR release)"</f>
        <v>#N/A</v>
      </c>
      <c r="O456" s="23" t="str">
        <f t="shared" si="1"/>
        <v>#</v>
      </c>
      <c r="P456" s="23" t="str">
        <f t="shared" si="2"/>
        <v>#</v>
      </c>
      <c r="Q456" s="23"/>
      <c r="R456" s="23" t="str">
        <f>"("""&amp;B456&amp;""") ("&amp;Vlookup(E456,DropDown!R:V,5,FALSE)&amp;IF(ISBLANK(D456)," | "," "&amp;"OR """&amp;YEAR(D456)&amp;""" | ") &amp; """All New"" | Episode | Watch | tv | Show | Series | season | binge | Stream | Film | Movie | Premiere | Screening | Feature | Trailer | Teaser | theater | release)"</f>
        <v>#N/A</v>
      </c>
      <c r="S456" s="23"/>
      <c r="T456" s="23"/>
      <c r="U456" s="23"/>
      <c r="V456" s="23"/>
      <c r="W456" s="23"/>
      <c r="X456" s="38"/>
      <c r="Y456" s="38"/>
      <c r="Z456" s="38"/>
      <c r="AA456" s="38"/>
    </row>
    <row r="457">
      <c r="A457" s="31"/>
      <c r="B457" s="38"/>
      <c r="C457" s="38"/>
      <c r="D457" s="50"/>
      <c r="E457" s="50"/>
      <c r="F457" s="50"/>
      <c r="G457" s="27" t="str">
        <f>VLOOKUP(E457,DropDown!J:K,2,FALSE)</f>
        <v>#N/A</v>
      </c>
      <c r="H457" s="50"/>
      <c r="I457" s="50"/>
      <c r="J457" s="50"/>
      <c r="K457" s="25" t="s">
        <v>116</v>
      </c>
      <c r="L457" s="23"/>
      <c r="M457" s="23"/>
      <c r="N457" s="25" t="str">
        <f>"("""&amp;B457&amp;""") ("&amp;Vlookup(E457,DropDown!J:N,5,FALSE)&amp;" OR """ &amp;YEAR(D457) &amp; """ OR ""All New"" OR Episode OR Watch OR tv OR Show OR Series OR season OR binge OR Stream OR Film OR Movie OR Premiere OR Screening OR Feature OR Trailer OR Teaser OR theater OR release)"</f>
        <v>#N/A</v>
      </c>
      <c r="O457" s="23" t="str">
        <f t="shared" si="1"/>
        <v>#</v>
      </c>
      <c r="P457" s="23" t="str">
        <f t="shared" si="2"/>
        <v>#</v>
      </c>
      <c r="Q457" s="23"/>
      <c r="R457" s="23" t="str">
        <f>"("""&amp;B457&amp;""") ("&amp;Vlookup(E457,DropDown!R:V,5,FALSE)&amp;IF(ISBLANK(D457)," | "," "&amp;"OR """&amp;YEAR(D457)&amp;""" | ") &amp; """All New"" | Episode | Watch | tv | Show | Series | season | binge | Stream | Film | Movie | Premiere | Screening | Feature | Trailer | Teaser | theater | release)"</f>
        <v>#N/A</v>
      </c>
      <c r="S457" s="23"/>
      <c r="T457" s="23"/>
      <c r="U457" s="23"/>
      <c r="V457" s="23"/>
      <c r="W457" s="23"/>
      <c r="X457" s="38"/>
      <c r="Y457" s="38"/>
      <c r="Z457" s="38"/>
      <c r="AA457" s="38"/>
    </row>
    <row r="458">
      <c r="A458" s="31"/>
      <c r="B458" s="38"/>
      <c r="C458" s="38"/>
      <c r="D458" s="50"/>
      <c r="E458" s="50"/>
      <c r="F458" s="50"/>
      <c r="G458" s="27" t="str">
        <f>VLOOKUP(E458,DropDown!J:K,2,FALSE)</f>
        <v>#N/A</v>
      </c>
      <c r="H458" s="50"/>
      <c r="I458" s="50"/>
      <c r="J458" s="50"/>
      <c r="K458" s="25" t="s">
        <v>116</v>
      </c>
      <c r="L458" s="23"/>
      <c r="M458" s="23"/>
      <c r="N458" s="25" t="str">
        <f>"("""&amp;B458&amp;""") ("&amp;Vlookup(E458,DropDown!J:N,5,FALSE)&amp;" OR """ &amp;YEAR(D458) &amp; """ OR ""All New"" OR Episode OR Watch OR tv OR Show OR Series OR season OR binge OR Stream OR Film OR Movie OR Premiere OR Screening OR Feature OR Trailer OR Teaser OR theater OR release)"</f>
        <v>#N/A</v>
      </c>
      <c r="O458" s="23" t="str">
        <f t="shared" si="1"/>
        <v>#</v>
      </c>
      <c r="P458" s="23" t="str">
        <f t="shared" si="2"/>
        <v>#</v>
      </c>
      <c r="Q458" s="23"/>
      <c r="R458" s="23" t="str">
        <f>"("""&amp;B458&amp;""") ("&amp;Vlookup(E458,DropDown!R:V,5,FALSE)&amp;IF(ISBLANK(D458)," | "," "&amp;"OR """&amp;YEAR(D458)&amp;""" | ") &amp; """All New"" | Episode | Watch | tv | Show | Series | season | binge | Stream | Film | Movie | Premiere | Screening | Feature | Trailer | Teaser | theater | release)"</f>
        <v>#N/A</v>
      </c>
      <c r="S458" s="23"/>
      <c r="T458" s="23"/>
      <c r="U458" s="23"/>
      <c r="V458" s="23"/>
      <c r="W458" s="23"/>
      <c r="X458" s="38"/>
      <c r="Y458" s="38"/>
      <c r="Z458" s="38"/>
      <c r="AA458" s="38"/>
    </row>
    <row r="459">
      <c r="A459" s="31"/>
      <c r="B459" s="38"/>
      <c r="C459" s="38"/>
      <c r="D459" s="50"/>
      <c r="E459" s="50"/>
      <c r="F459" s="50"/>
      <c r="G459" s="27" t="str">
        <f>VLOOKUP(E459,DropDown!J:K,2,FALSE)</f>
        <v>#N/A</v>
      </c>
      <c r="H459" s="50"/>
      <c r="I459" s="50"/>
      <c r="J459" s="50"/>
      <c r="K459" s="25" t="s">
        <v>116</v>
      </c>
      <c r="L459" s="23"/>
      <c r="M459" s="23"/>
      <c r="N459" s="25" t="str">
        <f>"("""&amp;B459&amp;""") ("&amp;Vlookup(E459,DropDown!J:N,5,FALSE)&amp;" OR """ &amp;YEAR(D459) &amp; """ OR ""All New"" OR Episode OR Watch OR tv OR Show OR Series OR season OR binge OR Stream OR Film OR Movie OR Premiere OR Screening OR Feature OR Trailer OR Teaser OR theater OR release)"</f>
        <v>#N/A</v>
      </c>
      <c r="O459" s="23" t="str">
        <f t="shared" si="1"/>
        <v>#</v>
      </c>
      <c r="P459" s="23" t="str">
        <f t="shared" si="2"/>
        <v>#</v>
      </c>
      <c r="Q459" s="23"/>
      <c r="R459" s="23" t="str">
        <f>"("""&amp;B459&amp;""") ("&amp;Vlookup(E459,DropDown!R:V,5,FALSE)&amp;IF(ISBLANK(D459)," | "," "&amp;"OR """&amp;YEAR(D459)&amp;""" | ") &amp; """All New"" | Episode | Watch | tv | Show | Series | season | binge | Stream | Film | Movie | Premiere | Screening | Feature | Trailer | Teaser | theater | release)"</f>
        <v>#N/A</v>
      </c>
      <c r="S459" s="23"/>
      <c r="T459" s="23"/>
      <c r="U459" s="23"/>
      <c r="V459" s="23"/>
      <c r="W459" s="23"/>
      <c r="X459" s="38"/>
      <c r="Y459" s="38"/>
      <c r="Z459" s="38"/>
      <c r="AA459" s="38"/>
    </row>
    <row r="460">
      <c r="A460" s="31"/>
      <c r="B460" s="38"/>
      <c r="C460" s="38"/>
      <c r="D460" s="50"/>
      <c r="E460" s="50"/>
      <c r="F460" s="50"/>
      <c r="G460" s="27" t="str">
        <f>VLOOKUP(E460,DropDown!J:K,2,FALSE)</f>
        <v>#N/A</v>
      </c>
      <c r="H460" s="50"/>
      <c r="I460" s="50"/>
      <c r="J460" s="50"/>
      <c r="K460" s="25" t="s">
        <v>116</v>
      </c>
      <c r="L460" s="23"/>
      <c r="M460" s="23"/>
      <c r="N460" s="25" t="str">
        <f>"("""&amp;B460&amp;""") ("&amp;Vlookup(E460,DropDown!J:N,5,FALSE)&amp;" OR """ &amp;YEAR(D460) &amp; """ OR ""All New"" OR Episode OR Watch OR tv OR Show OR Series OR season OR binge OR Stream OR Film OR Movie OR Premiere OR Screening OR Feature OR Trailer OR Teaser OR theater OR release)"</f>
        <v>#N/A</v>
      </c>
      <c r="O460" s="23" t="str">
        <f t="shared" si="1"/>
        <v>#</v>
      </c>
      <c r="P460" s="23" t="str">
        <f t="shared" si="2"/>
        <v>#</v>
      </c>
      <c r="Q460" s="23"/>
      <c r="R460" s="23" t="str">
        <f>"("""&amp;B460&amp;""") ("&amp;Vlookup(E460,DropDown!R:V,5,FALSE)&amp;IF(ISBLANK(D460)," | "," "&amp;"OR """&amp;YEAR(D460)&amp;""" | ") &amp; """All New"" | Episode | Watch | tv | Show | Series | season | binge | Stream | Film | Movie | Premiere | Screening | Feature | Trailer | Teaser | theater | release)"</f>
        <v>#N/A</v>
      </c>
      <c r="S460" s="23"/>
      <c r="T460" s="23"/>
      <c r="U460" s="23"/>
      <c r="V460" s="23"/>
      <c r="W460" s="23"/>
      <c r="X460" s="38"/>
      <c r="Y460" s="38"/>
      <c r="Z460" s="38"/>
      <c r="AA460" s="38"/>
    </row>
    <row r="461">
      <c r="A461" s="31"/>
      <c r="B461" s="38"/>
      <c r="C461" s="38"/>
      <c r="D461" s="50"/>
      <c r="E461" s="50"/>
      <c r="F461" s="50"/>
      <c r="G461" s="27" t="str">
        <f>VLOOKUP(E461,DropDown!J:K,2,FALSE)</f>
        <v>#N/A</v>
      </c>
      <c r="H461" s="50"/>
      <c r="I461" s="50"/>
      <c r="J461" s="50"/>
      <c r="K461" s="25" t="s">
        <v>116</v>
      </c>
      <c r="L461" s="23"/>
      <c r="M461" s="23"/>
      <c r="N461" s="25" t="str">
        <f>"("""&amp;B461&amp;""") ("&amp;Vlookup(E461,DropDown!J:N,5,FALSE)&amp;" OR """ &amp;YEAR(D461) &amp; """ OR ""All New"" OR Episode OR Watch OR tv OR Show OR Series OR season OR binge OR Stream OR Film OR Movie OR Premiere OR Screening OR Feature OR Trailer OR Teaser OR theater OR release)"</f>
        <v>#N/A</v>
      </c>
      <c r="O461" s="23" t="str">
        <f t="shared" si="1"/>
        <v>#</v>
      </c>
      <c r="P461" s="23" t="str">
        <f t="shared" si="2"/>
        <v>#</v>
      </c>
      <c r="Q461" s="23"/>
      <c r="R461" s="23" t="str">
        <f>"("""&amp;B461&amp;""") ("&amp;Vlookup(E461,DropDown!R:V,5,FALSE)&amp;IF(ISBLANK(D461)," | "," "&amp;"OR """&amp;YEAR(D461)&amp;""" | ") &amp; """All New"" | Episode | Watch | tv | Show | Series | season | binge | Stream | Film | Movie | Premiere | Screening | Feature | Trailer | Teaser | theater | release)"</f>
        <v>#N/A</v>
      </c>
      <c r="S461" s="23"/>
      <c r="T461" s="23"/>
      <c r="U461" s="23"/>
      <c r="V461" s="23"/>
      <c r="W461" s="23"/>
      <c r="X461" s="38"/>
      <c r="Y461" s="38"/>
      <c r="Z461" s="38"/>
      <c r="AA461" s="38"/>
    </row>
    <row r="462">
      <c r="A462" s="31"/>
      <c r="B462" s="38"/>
      <c r="C462" s="38"/>
      <c r="D462" s="50"/>
      <c r="E462" s="50"/>
      <c r="F462" s="50"/>
      <c r="G462" s="27" t="str">
        <f>VLOOKUP(E462,DropDown!J:K,2,FALSE)</f>
        <v>#N/A</v>
      </c>
      <c r="H462" s="50"/>
      <c r="I462" s="50"/>
      <c r="J462" s="50"/>
      <c r="K462" s="25" t="s">
        <v>116</v>
      </c>
      <c r="L462" s="23"/>
      <c r="M462" s="23"/>
      <c r="N462" s="25" t="str">
        <f>"("""&amp;B462&amp;""") ("&amp;Vlookup(E462,DropDown!J:N,5,FALSE)&amp;" OR """ &amp;YEAR(D462) &amp; """ OR ""All New"" OR Episode OR Watch OR tv OR Show OR Series OR season OR binge OR Stream OR Film OR Movie OR Premiere OR Screening OR Feature OR Trailer OR Teaser OR theater OR release)"</f>
        <v>#N/A</v>
      </c>
      <c r="O462" s="23" t="str">
        <f t="shared" si="1"/>
        <v>#</v>
      </c>
      <c r="P462" s="23" t="str">
        <f t="shared" si="2"/>
        <v>#</v>
      </c>
      <c r="Q462" s="23"/>
      <c r="R462" s="23" t="str">
        <f>"("""&amp;B462&amp;""") ("&amp;Vlookup(E462,DropDown!R:V,5,FALSE)&amp;IF(ISBLANK(D462)," | "," "&amp;"OR """&amp;YEAR(D462)&amp;""" | ") &amp; """All New"" | Episode | Watch | tv | Show | Series | season | binge | Stream | Film | Movie | Premiere | Screening | Feature | Trailer | Teaser | theater | release)"</f>
        <v>#N/A</v>
      </c>
      <c r="S462" s="23"/>
      <c r="T462" s="23"/>
      <c r="U462" s="23"/>
      <c r="V462" s="23"/>
      <c r="W462" s="23"/>
      <c r="X462" s="38"/>
      <c r="Y462" s="38"/>
      <c r="Z462" s="38"/>
      <c r="AA462" s="38"/>
    </row>
    <row r="463">
      <c r="A463" s="31"/>
      <c r="B463" s="38"/>
      <c r="C463" s="38"/>
      <c r="D463" s="50"/>
      <c r="E463" s="50"/>
      <c r="F463" s="50"/>
      <c r="G463" s="27" t="str">
        <f>VLOOKUP(E463,DropDown!J:K,2,FALSE)</f>
        <v>#N/A</v>
      </c>
      <c r="H463" s="50"/>
      <c r="I463" s="50"/>
      <c r="J463" s="50"/>
      <c r="K463" s="25" t="s">
        <v>116</v>
      </c>
      <c r="L463" s="23"/>
      <c r="M463" s="23"/>
      <c r="N463" s="25" t="str">
        <f>"("""&amp;B463&amp;""") ("&amp;Vlookup(E463,DropDown!J:N,5,FALSE)&amp;" OR """ &amp;YEAR(D463) &amp; """ OR ""All New"" OR Episode OR Watch OR tv OR Show OR Series OR season OR binge OR Stream OR Film OR Movie OR Premiere OR Screening OR Feature OR Trailer OR Teaser OR theater OR release)"</f>
        <v>#N/A</v>
      </c>
      <c r="O463" s="23" t="str">
        <f t="shared" si="1"/>
        <v>#</v>
      </c>
      <c r="P463" s="23" t="str">
        <f t="shared" si="2"/>
        <v>#</v>
      </c>
      <c r="Q463" s="23"/>
      <c r="R463" s="23" t="str">
        <f>"("""&amp;B463&amp;""") ("&amp;Vlookup(E463,DropDown!R:V,5,FALSE)&amp;IF(ISBLANK(D463)," | "," "&amp;"OR """&amp;YEAR(D463)&amp;""" | ") &amp; """All New"" | Episode | Watch | tv | Show | Series | season | binge | Stream | Film | Movie | Premiere | Screening | Feature | Trailer | Teaser | theater | release)"</f>
        <v>#N/A</v>
      </c>
      <c r="S463" s="23"/>
      <c r="T463" s="23"/>
      <c r="U463" s="23"/>
      <c r="V463" s="23"/>
      <c r="W463" s="23"/>
      <c r="X463" s="38"/>
      <c r="Y463" s="38"/>
      <c r="Z463" s="38"/>
      <c r="AA463" s="38"/>
    </row>
    <row r="464">
      <c r="A464" s="31"/>
      <c r="B464" s="38"/>
      <c r="C464" s="38"/>
      <c r="D464" s="50"/>
      <c r="E464" s="50"/>
      <c r="F464" s="50"/>
      <c r="G464" s="27" t="str">
        <f>VLOOKUP(E464,DropDown!J:K,2,FALSE)</f>
        <v>#N/A</v>
      </c>
      <c r="H464" s="50"/>
      <c r="I464" s="50"/>
      <c r="J464" s="50"/>
      <c r="K464" s="25" t="s">
        <v>116</v>
      </c>
      <c r="L464" s="23"/>
      <c r="M464" s="23"/>
      <c r="N464" s="25" t="str">
        <f>"("""&amp;B464&amp;""") ("&amp;Vlookup(E464,DropDown!J:N,5,FALSE)&amp;" OR """ &amp;YEAR(D464) &amp; """ OR ""All New"" OR Episode OR Watch OR tv OR Show OR Series OR season OR binge OR Stream OR Film OR Movie OR Premiere OR Screening OR Feature OR Trailer OR Teaser OR theater OR release)"</f>
        <v>#N/A</v>
      </c>
      <c r="O464" s="23" t="str">
        <f t="shared" si="1"/>
        <v>#</v>
      </c>
      <c r="P464" s="23" t="str">
        <f t="shared" si="2"/>
        <v>#</v>
      </c>
      <c r="Q464" s="23"/>
      <c r="R464" s="23" t="str">
        <f>"("""&amp;B464&amp;""") ("&amp;Vlookup(E464,DropDown!R:V,5,FALSE)&amp;IF(ISBLANK(D464)," | "," "&amp;"OR """&amp;YEAR(D464)&amp;""" | ") &amp; """All New"" | Episode | Watch | tv | Show | Series | season | binge | Stream | Film | Movie | Premiere | Screening | Feature | Trailer | Teaser | theater | release)"</f>
        <v>#N/A</v>
      </c>
      <c r="S464" s="23"/>
      <c r="T464" s="23"/>
      <c r="U464" s="23"/>
      <c r="V464" s="23"/>
      <c r="W464" s="23"/>
      <c r="X464" s="38"/>
      <c r="Y464" s="38"/>
      <c r="Z464" s="38"/>
      <c r="AA464" s="38"/>
    </row>
    <row r="465">
      <c r="A465" s="31"/>
      <c r="B465" s="38"/>
      <c r="C465" s="38"/>
      <c r="D465" s="50"/>
      <c r="E465" s="50"/>
      <c r="F465" s="50"/>
      <c r="G465" s="27" t="str">
        <f>VLOOKUP(E465,DropDown!J:K,2,FALSE)</f>
        <v>#N/A</v>
      </c>
      <c r="H465" s="50"/>
      <c r="I465" s="50"/>
      <c r="J465" s="50"/>
      <c r="K465" s="25" t="s">
        <v>116</v>
      </c>
      <c r="L465" s="23"/>
      <c r="M465" s="23"/>
      <c r="N465" s="25" t="str">
        <f>"("""&amp;B465&amp;""") ("&amp;Vlookup(E465,DropDown!J:N,5,FALSE)&amp;" OR """ &amp;YEAR(D465) &amp; """ OR ""All New"" OR Episode OR Watch OR tv OR Show OR Series OR season OR binge OR Stream OR Film OR Movie OR Premiere OR Screening OR Feature OR Trailer OR Teaser OR theater OR release)"</f>
        <v>#N/A</v>
      </c>
      <c r="O465" s="23" t="str">
        <f t="shared" si="1"/>
        <v>#</v>
      </c>
      <c r="P465" s="23" t="str">
        <f t="shared" si="2"/>
        <v>#</v>
      </c>
      <c r="Q465" s="23"/>
      <c r="R465" s="23" t="str">
        <f>"("""&amp;B465&amp;""") ("&amp;Vlookup(E465,DropDown!R:V,5,FALSE)&amp;IF(ISBLANK(D465)," | "," "&amp;"OR """&amp;YEAR(D465)&amp;""" | ") &amp; """All New"" | Episode | Watch | tv | Show | Series | season | binge | Stream | Film | Movie | Premiere | Screening | Feature | Trailer | Teaser | theater | release)"</f>
        <v>#N/A</v>
      </c>
      <c r="S465" s="23"/>
      <c r="T465" s="23"/>
      <c r="U465" s="23"/>
      <c r="V465" s="23"/>
      <c r="W465" s="23"/>
      <c r="X465" s="38"/>
      <c r="Y465" s="38"/>
      <c r="Z465" s="38"/>
      <c r="AA465" s="38"/>
    </row>
    <row r="466">
      <c r="A466" s="31"/>
      <c r="B466" s="38"/>
      <c r="C466" s="38"/>
      <c r="D466" s="50"/>
      <c r="E466" s="50"/>
      <c r="F466" s="50"/>
      <c r="G466" s="27" t="str">
        <f>VLOOKUP(E466,DropDown!J:K,2,FALSE)</f>
        <v>#N/A</v>
      </c>
      <c r="H466" s="50"/>
      <c r="I466" s="50"/>
      <c r="J466" s="50"/>
      <c r="K466" s="25" t="s">
        <v>116</v>
      </c>
      <c r="L466" s="23"/>
      <c r="M466" s="23"/>
      <c r="N466" s="25" t="str">
        <f>"("""&amp;B466&amp;""") ("&amp;Vlookup(E466,DropDown!J:N,5,FALSE)&amp;" OR """ &amp;YEAR(D466) &amp; """ OR ""All New"" OR Episode OR Watch OR tv OR Show OR Series OR season OR binge OR Stream OR Film OR Movie OR Premiere OR Screening OR Feature OR Trailer OR Teaser OR theater OR release)"</f>
        <v>#N/A</v>
      </c>
      <c r="O466" s="23" t="str">
        <f t="shared" si="1"/>
        <v>#</v>
      </c>
      <c r="P466" s="23" t="str">
        <f t="shared" si="2"/>
        <v>#</v>
      </c>
      <c r="Q466" s="23"/>
      <c r="R466" s="23" t="str">
        <f>"("""&amp;B466&amp;""") ("&amp;Vlookup(E466,DropDown!R:V,5,FALSE)&amp;IF(ISBLANK(D466)," | "," "&amp;"OR """&amp;YEAR(D466)&amp;""" | ") &amp; """All New"" | Episode | Watch | tv | Show | Series | season | binge | Stream | Film | Movie | Premiere | Screening | Feature | Trailer | Teaser | theater | release)"</f>
        <v>#N/A</v>
      </c>
      <c r="S466" s="23"/>
      <c r="T466" s="23"/>
      <c r="U466" s="23"/>
      <c r="V466" s="23"/>
      <c r="W466" s="23"/>
      <c r="X466" s="38"/>
      <c r="Y466" s="38"/>
      <c r="Z466" s="38"/>
      <c r="AA466" s="38"/>
    </row>
    <row r="467">
      <c r="A467" s="31"/>
      <c r="B467" s="38"/>
      <c r="C467" s="38"/>
      <c r="D467" s="50"/>
      <c r="E467" s="50"/>
      <c r="F467" s="50"/>
      <c r="G467" s="27" t="str">
        <f>VLOOKUP(E467,DropDown!J:K,2,FALSE)</f>
        <v>#N/A</v>
      </c>
      <c r="H467" s="50"/>
      <c r="I467" s="50"/>
      <c r="J467" s="50"/>
      <c r="K467" s="25" t="s">
        <v>116</v>
      </c>
      <c r="L467" s="23"/>
      <c r="M467" s="23"/>
      <c r="N467" s="25" t="str">
        <f>"("""&amp;B467&amp;""") ("&amp;Vlookup(E467,DropDown!J:N,5,FALSE)&amp;" OR """ &amp;YEAR(D467) &amp; """ OR ""All New"" OR Episode OR Watch OR tv OR Show OR Series OR season OR binge OR Stream OR Film OR Movie OR Premiere OR Screening OR Feature OR Trailer OR Teaser OR theater OR release)"</f>
        <v>#N/A</v>
      </c>
      <c r="O467" s="23" t="str">
        <f t="shared" si="1"/>
        <v>#</v>
      </c>
      <c r="P467" s="23" t="str">
        <f t="shared" si="2"/>
        <v>#</v>
      </c>
      <c r="Q467" s="23"/>
      <c r="R467" s="23" t="str">
        <f>"("""&amp;B467&amp;""") ("&amp;Vlookup(E467,DropDown!R:V,5,FALSE)&amp;IF(ISBLANK(D467)," | "," "&amp;"OR """&amp;YEAR(D467)&amp;""" | ") &amp; """All New"" | Episode | Watch | tv | Show | Series | season | binge | Stream | Film | Movie | Premiere | Screening | Feature | Trailer | Teaser | theater | release)"</f>
        <v>#N/A</v>
      </c>
      <c r="S467" s="23"/>
      <c r="T467" s="23"/>
      <c r="U467" s="23"/>
      <c r="V467" s="23"/>
      <c r="W467" s="23"/>
      <c r="X467" s="38"/>
      <c r="Y467" s="38"/>
      <c r="Z467" s="38"/>
      <c r="AA467" s="38"/>
    </row>
    <row r="468">
      <c r="A468" s="31"/>
      <c r="B468" s="38"/>
      <c r="C468" s="38"/>
      <c r="D468" s="50"/>
      <c r="E468" s="50"/>
      <c r="F468" s="50"/>
      <c r="G468" s="27" t="str">
        <f>VLOOKUP(E468,DropDown!J:K,2,FALSE)</f>
        <v>#N/A</v>
      </c>
      <c r="H468" s="50"/>
      <c r="I468" s="50"/>
      <c r="J468" s="50"/>
      <c r="K468" s="25" t="s">
        <v>116</v>
      </c>
      <c r="L468" s="23"/>
      <c r="M468" s="23"/>
      <c r="N468" s="25" t="str">
        <f>"("""&amp;B468&amp;""") ("&amp;Vlookup(E468,DropDown!J:N,5,FALSE)&amp;" OR """ &amp;YEAR(D468) &amp; """ OR ""All New"" OR Episode OR Watch OR tv OR Show OR Series OR season OR binge OR Stream OR Film OR Movie OR Premiere OR Screening OR Feature OR Trailer OR Teaser OR theater OR release)"</f>
        <v>#N/A</v>
      </c>
      <c r="O468" s="23" t="str">
        <f t="shared" si="1"/>
        <v>#</v>
      </c>
      <c r="P468" s="23" t="str">
        <f t="shared" si="2"/>
        <v>#</v>
      </c>
      <c r="Q468" s="23"/>
      <c r="R468" s="23" t="str">
        <f>"("""&amp;B468&amp;""") ("&amp;Vlookup(E468,DropDown!R:V,5,FALSE)&amp;IF(ISBLANK(D468)," | "," "&amp;"OR """&amp;YEAR(D468)&amp;""" | ") &amp; """All New"" | Episode | Watch | tv | Show | Series | season | binge | Stream | Film | Movie | Premiere | Screening | Feature | Trailer | Teaser | theater | release)"</f>
        <v>#N/A</v>
      </c>
      <c r="S468" s="23"/>
      <c r="T468" s="23"/>
      <c r="U468" s="23"/>
      <c r="V468" s="23"/>
      <c r="W468" s="23"/>
      <c r="X468" s="38"/>
      <c r="Y468" s="38"/>
      <c r="Z468" s="38"/>
      <c r="AA468" s="38"/>
    </row>
    <row r="469">
      <c r="A469" s="31"/>
      <c r="B469" s="38"/>
      <c r="C469" s="38"/>
      <c r="D469" s="50"/>
      <c r="E469" s="50"/>
      <c r="F469" s="50"/>
      <c r="G469" s="27" t="str">
        <f>VLOOKUP(E469,DropDown!J:K,2,FALSE)</f>
        <v>#N/A</v>
      </c>
      <c r="H469" s="50"/>
      <c r="I469" s="50"/>
      <c r="J469" s="50"/>
      <c r="K469" s="25" t="s">
        <v>116</v>
      </c>
      <c r="L469" s="23"/>
      <c r="M469" s="23"/>
      <c r="N469" s="25" t="str">
        <f>"("""&amp;B469&amp;""") ("&amp;Vlookup(E469,DropDown!J:N,5,FALSE)&amp;" OR """ &amp;YEAR(D469) &amp; """ OR ""All New"" OR Episode OR Watch OR tv OR Show OR Series OR season OR binge OR Stream OR Film OR Movie OR Premiere OR Screening OR Feature OR Trailer OR Teaser OR theater OR release)"</f>
        <v>#N/A</v>
      </c>
      <c r="O469" s="23" t="str">
        <f t="shared" si="1"/>
        <v>#</v>
      </c>
      <c r="P469" s="23" t="str">
        <f t="shared" si="2"/>
        <v>#</v>
      </c>
      <c r="Q469" s="23"/>
      <c r="R469" s="23" t="str">
        <f>"("""&amp;B469&amp;""") ("&amp;Vlookup(E469,DropDown!R:V,5,FALSE)&amp;IF(ISBLANK(D469)," | "," "&amp;"OR """&amp;YEAR(D469)&amp;""" | ") &amp; """All New"" | Episode | Watch | tv | Show | Series | season | binge | Stream | Film | Movie | Premiere | Screening | Feature | Trailer | Teaser | theater | release)"</f>
        <v>#N/A</v>
      </c>
      <c r="S469" s="23"/>
      <c r="T469" s="23"/>
      <c r="U469" s="23"/>
      <c r="V469" s="23"/>
      <c r="W469" s="23"/>
      <c r="X469" s="38"/>
      <c r="Y469" s="38"/>
      <c r="Z469" s="38"/>
      <c r="AA469" s="38"/>
    </row>
    <row r="470">
      <c r="A470" s="31"/>
      <c r="B470" s="38"/>
      <c r="C470" s="38"/>
      <c r="D470" s="50"/>
      <c r="E470" s="50"/>
      <c r="F470" s="50"/>
      <c r="G470" s="27" t="str">
        <f>VLOOKUP(E470,DropDown!J:K,2,FALSE)</f>
        <v>#N/A</v>
      </c>
      <c r="H470" s="50"/>
      <c r="I470" s="50"/>
      <c r="J470" s="50"/>
      <c r="K470" s="25" t="s">
        <v>116</v>
      </c>
      <c r="L470" s="23"/>
      <c r="M470" s="23"/>
      <c r="N470" s="25" t="str">
        <f>"("""&amp;B470&amp;""") ("&amp;Vlookup(E470,DropDown!J:N,5,FALSE)&amp;" OR """ &amp;YEAR(D470) &amp; """ OR ""All New"" OR Episode OR Watch OR tv OR Show OR Series OR season OR binge OR Stream OR Film OR Movie OR Premiere OR Screening OR Feature OR Trailer OR Teaser OR theater OR release)"</f>
        <v>#N/A</v>
      </c>
      <c r="O470" s="23" t="str">
        <f t="shared" si="1"/>
        <v>#</v>
      </c>
      <c r="P470" s="23" t="str">
        <f t="shared" si="2"/>
        <v>#</v>
      </c>
      <c r="Q470" s="23"/>
      <c r="R470" s="23" t="str">
        <f>"("""&amp;B470&amp;""") ("&amp;Vlookup(E470,DropDown!R:V,5,FALSE)&amp;IF(ISBLANK(D470)," | "," "&amp;"OR """&amp;YEAR(D470)&amp;""" | ") &amp; """All New"" | Episode | Watch | tv | Show | Series | season | binge | Stream | Film | Movie | Premiere | Screening | Feature | Trailer | Teaser | theater | release)"</f>
        <v>#N/A</v>
      </c>
      <c r="S470" s="23"/>
      <c r="T470" s="23"/>
      <c r="U470" s="23"/>
      <c r="V470" s="23"/>
      <c r="W470" s="23"/>
      <c r="X470" s="38"/>
      <c r="Y470" s="38"/>
      <c r="Z470" s="38"/>
      <c r="AA470" s="38"/>
    </row>
    <row r="471">
      <c r="A471" s="31"/>
      <c r="B471" s="38"/>
      <c r="C471" s="38"/>
      <c r="D471" s="50"/>
      <c r="E471" s="50"/>
      <c r="F471" s="50"/>
      <c r="G471" s="27" t="str">
        <f>VLOOKUP(E471,DropDown!J:K,2,FALSE)</f>
        <v>#N/A</v>
      </c>
      <c r="H471" s="50"/>
      <c r="I471" s="50"/>
      <c r="J471" s="50"/>
      <c r="K471" s="25" t="s">
        <v>116</v>
      </c>
      <c r="L471" s="23"/>
      <c r="M471" s="23"/>
      <c r="N471" s="25" t="str">
        <f>"("""&amp;B471&amp;""") ("&amp;Vlookup(E471,DropDown!J:N,5,FALSE)&amp;" OR """ &amp;YEAR(D471) &amp; """ OR ""All New"" OR Episode OR Watch OR tv OR Show OR Series OR season OR binge OR Stream OR Film OR Movie OR Premiere OR Screening OR Feature OR Trailer OR Teaser OR theater OR release)"</f>
        <v>#N/A</v>
      </c>
      <c r="O471" s="23" t="str">
        <f t="shared" si="1"/>
        <v>#</v>
      </c>
      <c r="P471" s="23" t="str">
        <f t="shared" si="2"/>
        <v>#</v>
      </c>
      <c r="Q471" s="23"/>
      <c r="R471" s="23" t="str">
        <f>"("""&amp;B471&amp;""") ("&amp;Vlookup(E471,DropDown!R:V,5,FALSE)&amp;IF(ISBLANK(D471)," | "," "&amp;"OR """&amp;YEAR(D471)&amp;""" | ") &amp; """All New"" | Episode | Watch | tv | Show | Series | season | binge | Stream | Film | Movie | Premiere | Screening | Feature | Trailer | Teaser | theater | release)"</f>
        <v>#N/A</v>
      </c>
      <c r="S471" s="23"/>
      <c r="T471" s="23"/>
      <c r="U471" s="23"/>
      <c r="V471" s="23"/>
      <c r="W471" s="23"/>
      <c r="X471" s="38"/>
      <c r="Y471" s="38"/>
      <c r="Z471" s="38"/>
      <c r="AA471" s="38"/>
    </row>
    <row r="472">
      <c r="A472" s="31"/>
      <c r="B472" s="38"/>
      <c r="C472" s="38"/>
      <c r="D472" s="50"/>
      <c r="E472" s="50"/>
      <c r="F472" s="50"/>
      <c r="G472" s="27" t="str">
        <f>VLOOKUP(E472,DropDown!J:K,2,FALSE)</f>
        <v>#N/A</v>
      </c>
      <c r="H472" s="50"/>
      <c r="I472" s="50"/>
      <c r="J472" s="50"/>
      <c r="K472" s="25" t="s">
        <v>116</v>
      </c>
      <c r="L472" s="23"/>
      <c r="M472" s="23"/>
      <c r="N472" s="25" t="str">
        <f>"("""&amp;B472&amp;""") ("&amp;Vlookup(E472,DropDown!J:N,5,FALSE)&amp;" OR """ &amp;YEAR(D472) &amp; """ OR ""All New"" OR Episode OR Watch OR tv OR Show OR Series OR season OR binge OR Stream OR Film OR Movie OR Premiere OR Screening OR Feature OR Trailer OR Teaser OR theater OR release)"</f>
        <v>#N/A</v>
      </c>
      <c r="O472" s="23" t="str">
        <f t="shared" si="1"/>
        <v>#</v>
      </c>
      <c r="P472" s="23" t="str">
        <f t="shared" si="2"/>
        <v>#</v>
      </c>
      <c r="Q472" s="23"/>
      <c r="R472" s="23" t="str">
        <f>"("""&amp;B472&amp;""") ("&amp;Vlookup(E472,DropDown!R:V,5,FALSE)&amp;IF(ISBLANK(D472)," | "," "&amp;"OR """&amp;YEAR(D472)&amp;""" | ") &amp; """All New"" | Episode | Watch | tv | Show | Series | season | binge | Stream | Film | Movie | Premiere | Screening | Feature | Trailer | Teaser | theater | release)"</f>
        <v>#N/A</v>
      </c>
      <c r="S472" s="23"/>
      <c r="T472" s="23"/>
      <c r="U472" s="23"/>
      <c r="V472" s="23"/>
      <c r="W472" s="23"/>
      <c r="X472" s="38"/>
      <c r="Y472" s="38"/>
      <c r="Z472" s="38"/>
      <c r="AA472" s="38"/>
    </row>
    <row r="473">
      <c r="A473" s="31"/>
      <c r="B473" s="38"/>
      <c r="C473" s="38"/>
      <c r="D473" s="50"/>
      <c r="E473" s="50"/>
      <c r="F473" s="50"/>
      <c r="G473" s="27" t="str">
        <f>VLOOKUP(E473,DropDown!J:K,2,FALSE)</f>
        <v>#N/A</v>
      </c>
      <c r="H473" s="50"/>
      <c r="I473" s="50"/>
      <c r="J473" s="50"/>
      <c r="K473" s="25" t="s">
        <v>116</v>
      </c>
      <c r="L473" s="23"/>
      <c r="M473" s="23"/>
      <c r="N473" s="25" t="str">
        <f>"("""&amp;B473&amp;""") ("&amp;Vlookup(E473,DropDown!J:N,5,FALSE)&amp;" OR """ &amp;YEAR(D473) &amp; """ OR ""All New"" OR Episode OR Watch OR tv OR Show OR Series OR season OR binge OR Stream OR Film OR Movie OR Premiere OR Screening OR Feature OR Trailer OR Teaser OR theater OR release)"</f>
        <v>#N/A</v>
      </c>
      <c r="O473" s="23" t="str">
        <f t="shared" si="1"/>
        <v>#</v>
      </c>
      <c r="P473" s="23" t="str">
        <f t="shared" si="2"/>
        <v>#</v>
      </c>
      <c r="Q473" s="23"/>
      <c r="R473" s="23" t="str">
        <f>"("""&amp;B473&amp;""") ("&amp;Vlookup(E473,DropDown!R:V,5,FALSE)&amp;IF(ISBLANK(D473)," | "," "&amp;"OR """&amp;YEAR(D473)&amp;""" | ") &amp; """All New"" | Episode | Watch | tv | Show | Series | season | binge | Stream | Film | Movie | Premiere | Screening | Feature | Trailer | Teaser | theater | release)"</f>
        <v>#N/A</v>
      </c>
      <c r="S473" s="23"/>
      <c r="T473" s="23"/>
      <c r="U473" s="23"/>
      <c r="V473" s="23"/>
      <c r="W473" s="23"/>
      <c r="X473" s="38"/>
      <c r="Y473" s="38"/>
      <c r="Z473" s="38"/>
      <c r="AA473" s="38"/>
    </row>
    <row r="474">
      <c r="A474" s="31"/>
      <c r="B474" s="38"/>
      <c r="C474" s="38"/>
      <c r="D474" s="50"/>
      <c r="E474" s="50"/>
      <c r="F474" s="50"/>
      <c r="G474" s="27" t="str">
        <f>VLOOKUP(E474,DropDown!J:K,2,FALSE)</f>
        <v>#N/A</v>
      </c>
      <c r="H474" s="50"/>
      <c r="I474" s="50"/>
      <c r="J474" s="50"/>
      <c r="K474" s="25" t="s">
        <v>116</v>
      </c>
      <c r="L474" s="23"/>
      <c r="M474" s="23"/>
      <c r="N474" s="25" t="str">
        <f>"("""&amp;B474&amp;""") ("&amp;Vlookup(E474,DropDown!J:N,5,FALSE)&amp;" OR """ &amp;YEAR(D474) &amp; """ OR ""All New"" OR Episode OR Watch OR tv OR Show OR Series OR season OR binge OR Stream OR Film OR Movie OR Premiere OR Screening OR Feature OR Trailer OR Teaser OR theater OR release)"</f>
        <v>#N/A</v>
      </c>
      <c r="O474" s="23" t="str">
        <f t="shared" si="1"/>
        <v>#</v>
      </c>
      <c r="P474" s="23" t="str">
        <f t="shared" si="2"/>
        <v>#</v>
      </c>
      <c r="Q474" s="23"/>
      <c r="R474" s="23" t="str">
        <f>"("""&amp;B474&amp;""") ("&amp;Vlookup(E474,DropDown!R:V,5,FALSE)&amp;IF(ISBLANK(D474)," | "," "&amp;"OR """&amp;YEAR(D474)&amp;""" | ") &amp; """All New"" | Episode | Watch | tv | Show | Series | season | binge | Stream | Film | Movie | Premiere | Screening | Feature | Trailer | Teaser | theater | release)"</f>
        <v>#N/A</v>
      </c>
      <c r="S474" s="23"/>
      <c r="T474" s="23"/>
      <c r="U474" s="23"/>
      <c r="V474" s="23"/>
      <c r="W474" s="23"/>
      <c r="X474" s="38"/>
      <c r="Y474" s="38"/>
      <c r="Z474" s="38"/>
      <c r="AA474" s="38"/>
    </row>
    <row r="475">
      <c r="A475" s="31"/>
      <c r="B475" s="38"/>
      <c r="C475" s="38"/>
      <c r="D475" s="50"/>
      <c r="E475" s="50"/>
      <c r="F475" s="50"/>
      <c r="G475" s="27" t="str">
        <f>VLOOKUP(E475,DropDown!J:K,2,FALSE)</f>
        <v>#N/A</v>
      </c>
      <c r="H475" s="50"/>
      <c r="I475" s="50"/>
      <c r="J475" s="50"/>
      <c r="K475" s="25" t="s">
        <v>116</v>
      </c>
      <c r="L475" s="23"/>
      <c r="M475" s="23"/>
      <c r="N475" s="25" t="str">
        <f>"("""&amp;B475&amp;""") ("&amp;Vlookup(E475,DropDown!J:N,5,FALSE)&amp;" OR """ &amp;YEAR(D475) &amp; """ OR ""All New"" OR Episode OR Watch OR tv OR Show OR Series OR season OR binge OR Stream OR Film OR Movie OR Premiere OR Screening OR Feature OR Trailer OR Teaser OR theater OR release)"</f>
        <v>#N/A</v>
      </c>
      <c r="O475" s="23" t="str">
        <f t="shared" si="1"/>
        <v>#</v>
      </c>
      <c r="P475" s="23" t="str">
        <f t="shared" si="2"/>
        <v>#</v>
      </c>
      <c r="Q475" s="23"/>
      <c r="R475" s="23" t="str">
        <f>"("""&amp;B475&amp;""") ("&amp;Vlookup(E475,DropDown!R:V,5,FALSE)&amp;IF(ISBLANK(D475)," | "," "&amp;"OR """&amp;YEAR(D475)&amp;""" | ") &amp; """All New"" | Episode | Watch | tv | Show | Series | season | binge | Stream | Film | Movie | Premiere | Screening | Feature | Trailer | Teaser | theater | release)"</f>
        <v>#N/A</v>
      </c>
      <c r="S475" s="23"/>
      <c r="T475" s="23"/>
      <c r="U475" s="23"/>
      <c r="V475" s="23"/>
      <c r="W475" s="23"/>
      <c r="X475" s="38"/>
      <c r="Y475" s="38"/>
      <c r="Z475" s="38"/>
      <c r="AA475" s="38"/>
    </row>
    <row r="476">
      <c r="A476" s="31"/>
      <c r="B476" s="38"/>
      <c r="C476" s="38"/>
      <c r="D476" s="50"/>
      <c r="E476" s="50"/>
      <c r="F476" s="50"/>
      <c r="G476" s="27" t="str">
        <f>VLOOKUP(E476,DropDown!J:K,2,FALSE)</f>
        <v>#N/A</v>
      </c>
      <c r="H476" s="50"/>
      <c r="I476" s="50"/>
      <c r="J476" s="50"/>
      <c r="K476" s="25" t="s">
        <v>116</v>
      </c>
      <c r="L476" s="23"/>
      <c r="M476" s="23"/>
      <c r="N476" s="25" t="str">
        <f>"("""&amp;B476&amp;""") ("&amp;Vlookup(E476,DropDown!J:N,5,FALSE)&amp;" OR """ &amp;YEAR(D476) &amp; """ OR ""All New"" OR Episode OR Watch OR tv OR Show OR Series OR season OR binge OR Stream OR Film OR Movie OR Premiere OR Screening OR Feature OR Trailer OR Teaser OR theater OR release)"</f>
        <v>#N/A</v>
      </c>
      <c r="O476" s="23" t="str">
        <f t="shared" si="1"/>
        <v>#</v>
      </c>
      <c r="P476" s="23" t="str">
        <f t="shared" si="2"/>
        <v>#</v>
      </c>
      <c r="Q476" s="23"/>
      <c r="R476" s="23" t="str">
        <f>"("""&amp;B476&amp;""") ("&amp;Vlookup(E476,DropDown!R:V,5,FALSE)&amp;IF(ISBLANK(D476)," | "," "&amp;"OR """&amp;YEAR(D476)&amp;""" | ") &amp; """All New"" | Episode | Watch | tv | Show | Series | season | binge | Stream | Film | Movie | Premiere | Screening | Feature | Trailer | Teaser | theater | release)"</f>
        <v>#N/A</v>
      </c>
      <c r="S476" s="23"/>
      <c r="T476" s="23"/>
      <c r="U476" s="23"/>
      <c r="V476" s="23"/>
      <c r="W476" s="23"/>
      <c r="X476" s="38"/>
      <c r="Y476" s="38"/>
      <c r="Z476" s="38"/>
      <c r="AA476" s="38"/>
    </row>
    <row r="477">
      <c r="A477" s="31"/>
      <c r="B477" s="38"/>
      <c r="C477" s="38"/>
      <c r="D477" s="50"/>
      <c r="E477" s="50"/>
      <c r="F477" s="50"/>
      <c r="G477" s="27" t="str">
        <f>VLOOKUP(E477,DropDown!J:K,2,FALSE)</f>
        <v>#N/A</v>
      </c>
      <c r="H477" s="50"/>
      <c r="I477" s="50"/>
      <c r="J477" s="50"/>
      <c r="K477" s="25" t="s">
        <v>116</v>
      </c>
      <c r="L477" s="23"/>
      <c r="M477" s="23"/>
      <c r="N477" s="25" t="str">
        <f>"("""&amp;B477&amp;""") ("&amp;Vlookup(E477,DropDown!J:N,5,FALSE)&amp;" OR """ &amp;YEAR(D477) &amp; """ OR ""All New"" OR Episode OR Watch OR tv OR Show OR Series OR season OR binge OR Stream OR Film OR Movie OR Premiere OR Screening OR Feature OR Trailer OR Teaser OR theater OR release)"</f>
        <v>#N/A</v>
      </c>
      <c r="O477" s="23" t="str">
        <f t="shared" si="1"/>
        <v>#</v>
      </c>
      <c r="P477" s="23" t="str">
        <f t="shared" si="2"/>
        <v>#</v>
      </c>
      <c r="Q477" s="23"/>
      <c r="R477" s="23" t="str">
        <f>"("""&amp;B477&amp;""") ("&amp;Vlookup(E477,DropDown!R:V,5,FALSE)&amp;IF(ISBLANK(D477)," | "," "&amp;"OR """&amp;YEAR(D477)&amp;""" | ") &amp; """All New"" | Episode | Watch | tv | Show | Series | season | binge | Stream | Film | Movie | Premiere | Screening | Feature | Trailer | Teaser | theater | release)"</f>
        <v>#N/A</v>
      </c>
      <c r="S477" s="23"/>
      <c r="T477" s="23"/>
      <c r="U477" s="23"/>
      <c r="V477" s="23"/>
      <c r="W477" s="23"/>
      <c r="X477" s="38"/>
      <c r="Y477" s="38"/>
      <c r="Z477" s="38"/>
      <c r="AA477" s="38"/>
    </row>
    <row r="478">
      <c r="A478" s="31"/>
      <c r="B478" s="38"/>
      <c r="C478" s="38"/>
      <c r="D478" s="50"/>
      <c r="E478" s="50"/>
      <c r="F478" s="50"/>
      <c r="G478" s="27" t="str">
        <f>VLOOKUP(E478,DropDown!J:K,2,FALSE)</f>
        <v>#N/A</v>
      </c>
      <c r="H478" s="50"/>
      <c r="I478" s="50"/>
      <c r="J478" s="50"/>
      <c r="K478" s="25" t="s">
        <v>116</v>
      </c>
      <c r="L478" s="23"/>
      <c r="M478" s="23"/>
      <c r="N478" s="25" t="str">
        <f>"("""&amp;B478&amp;""") ("&amp;Vlookup(E478,DropDown!J:N,5,FALSE)&amp;" OR """ &amp;YEAR(D478) &amp; """ OR ""All New"" OR Episode OR Watch OR tv OR Show OR Series OR season OR binge OR Stream OR Film OR Movie OR Premiere OR Screening OR Feature OR Trailer OR Teaser OR theater OR release)"</f>
        <v>#N/A</v>
      </c>
      <c r="O478" s="23" t="str">
        <f t="shared" si="1"/>
        <v>#</v>
      </c>
      <c r="P478" s="23" t="str">
        <f t="shared" si="2"/>
        <v>#</v>
      </c>
      <c r="Q478" s="23"/>
      <c r="R478" s="23" t="str">
        <f>"("""&amp;B478&amp;""") ("&amp;Vlookup(E478,DropDown!R:V,5,FALSE)&amp;IF(ISBLANK(D478)," | "," "&amp;"OR """&amp;YEAR(D478)&amp;""" | ") &amp; """All New"" | Episode | Watch | tv | Show | Series | season | binge | Stream | Film | Movie | Premiere | Screening | Feature | Trailer | Teaser | theater | release)"</f>
        <v>#N/A</v>
      </c>
      <c r="S478" s="23"/>
      <c r="T478" s="23"/>
      <c r="U478" s="23"/>
      <c r="V478" s="23"/>
      <c r="W478" s="23"/>
      <c r="X478" s="38"/>
      <c r="Y478" s="38"/>
      <c r="Z478" s="38"/>
      <c r="AA478" s="38"/>
    </row>
    <row r="479">
      <c r="A479" s="31"/>
      <c r="B479" s="38"/>
      <c r="C479" s="38"/>
      <c r="D479" s="50"/>
      <c r="E479" s="50"/>
      <c r="F479" s="50"/>
      <c r="G479" s="27" t="str">
        <f>VLOOKUP(E479,DropDown!J:K,2,FALSE)</f>
        <v>#N/A</v>
      </c>
      <c r="H479" s="50"/>
      <c r="I479" s="50"/>
      <c r="J479" s="50"/>
      <c r="K479" s="25" t="s">
        <v>116</v>
      </c>
      <c r="L479" s="23"/>
      <c r="M479" s="23"/>
      <c r="N479" s="25" t="str">
        <f>"("""&amp;B479&amp;""") ("&amp;Vlookup(E479,DropDown!J:N,5,FALSE)&amp;" OR """ &amp;YEAR(D479) &amp; """ OR ""All New"" OR Episode OR Watch OR tv OR Show OR Series OR season OR binge OR Stream OR Film OR Movie OR Premiere OR Screening OR Feature OR Trailer OR Teaser OR theater OR release)"</f>
        <v>#N/A</v>
      </c>
      <c r="O479" s="23" t="str">
        <f t="shared" si="1"/>
        <v>#</v>
      </c>
      <c r="P479" s="23" t="str">
        <f t="shared" si="2"/>
        <v>#</v>
      </c>
      <c r="Q479" s="23"/>
      <c r="R479" s="23" t="str">
        <f>"("""&amp;B479&amp;""") ("&amp;Vlookup(E479,DropDown!R:V,5,FALSE)&amp;IF(ISBLANK(D479)," | "," "&amp;"OR """&amp;YEAR(D479)&amp;""" | ") &amp; """All New"" | Episode | Watch | tv | Show | Series | season | binge | Stream | Film | Movie | Premiere | Screening | Feature | Trailer | Teaser | theater | release)"</f>
        <v>#N/A</v>
      </c>
      <c r="S479" s="23"/>
      <c r="T479" s="23"/>
      <c r="U479" s="23"/>
      <c r="V479" s="23"/>
      <c r="W479" s="23"/>
      <c r="X479" s="38"/>
      <c r="Y479" s="38"/>
      <c r="Z479" s="38"/>
      <c r="AA479" s="38"/>
    </row>
    <row r="480">
      <c r="A480" s="31"/>
      <c r="B480" s="38"/>
      <c r="C480" s="38"/>
      <c r="D480" s="50"/>
      <c r="E480" s="50"/>
      <c r="F480" s="50"/>
      <c r="G480" s="27" t="str">
        <f>VLOOKUP(E480,DropDown!J:K,2,FALSE)</f>
        <v>#N/A</v>
      </c>
      <c r="H480" s="50"/>
      <c r="I480" s="50"/>
      <c r="J480" s="50"/>
      <c r="K480" s="25" t="s">
        <v>116</v>
      </c>
      <c r="L480" s="23"/>
      <c r="M480" s="23"/>
      <c r="N480" s="25" t="str">
        <f>"("""&amp;B480&amp;""") ("&amp;Vlookup(E480,DropDown!J:N,5,FALSE)&amp;" OR """ &amp;YEAR(D480) &amp; """ OR ""All New"" OR Episode OR Watch OR tv OR Show OR Series OR season OR binge OR Stream OR Film OR Movie OR Premiere OR Screening OR Feature OR Trailer OR Teaser OR theater OR release)"</f>
        <v>#N/A</v>
      </c>
      <c r="O480" s="23" t="str">
        <f t="shared" si="1"/>
        <v>#</v>
      </c>
      <c r="P480" s="23" t="str">
        <f t="shared" si="2"/>
        <v>#</v>
      </c>
      <c r="Q480" s="23"/>
      <c r="R480" s="23" t="str">
        <f>"("""&amp;B480&amp;""") ("&amp;Vlookup(E480,DropDown!R:V,5,FALSE)&amp;IF(ISBLANK(D480)," | "," "&amp;"OR """&amp;YEAR(D480)&amp;""" | ") &amp; """All New"" | Episode | Watch | tv | Show | Series | season | binge | Stream | Film | Movie | Premiere | Screening | Feature | Trailer | Teaser | theater | release)"</f>
        <v>#N/A</v>
      </c>
      <c r="S480" s="23"/>
      <c r="T480" s="23"/>
      <c r="U480" s="23"/>
      <c r="V480" s="23"/>
      <c r="W480" s="23"/>
      <c r="X480" s="38"/>
      <c r="Y480" s="38"/>
      <c r="Z480" s="38"/>
      <c r="AA480" s="38"/>
    </row>
    <row r="481">
      <c r="A481" s="31"/>
      <c r="B481" s="38"/>
      <c r="C481" s="38"/>
      <c r="D481" s="50"/>
      <c r="E481" s="50"/>
      <c r="F481" s="50"/>
      <c r="G481" s="27" t="str">
        <f>VLOOKUP(E481,DropDown!J:K,2,FALSE)</f>
        <v>#N/A</v>
      </c>
      <c r="H481" s="50"/>
      <c r="I481" s="50"/>
      <c r="J481" s="50"/>
      <c r="K481" s="25" t="s">
        <v>116</v>
      </c>
      <c r="L481" s="23"/>
      <c r="M481" s="23"/>
      <c r="N481" s="25" t="str">
        <f>"("""&amp;B481&amp;""") ("&amp;Vlookup(E481,DropDown!J:N,5,FALSE)&amp;" OR """ &amp;YEAR(D481) &amp; """ OR ""All New"" OR Episode OR Watch OR tv OR Show OR Series OR season OR binge OR Stream OR Film OR Movie OR Premiere OR Screening OR Feature OR Trailer OR Teaser OR theater OR release)"</f>
        <v>#N/A</v>
      </c>
      <c r="O481" s="23" t="str">
        <f t="shared" si="1"/>
        <v>#</v>
      </c>
      <c r="P481" s="23" t="str">
        <f t="shared" si="2"/>
        <v>#</v>
      </c>
      <c r="Q481" s="23"/>
      <c r="R481" s="23" t="str">
        <f>"("""&amp;B481&amp;""") ("&amp;Vlookup(E481,DropDown!R:V,5,FALSE)&amp;IF(ISBLANK(D481)," | "," "&amp;"OR """&amp;YEAR(D481)&amp;""" | ") &amp; """All New"" | Episode | Watch | tv | Show | Series | season | binge | Stream | Film | Movie | Premiere | Screening | Feature | Trailer | Teaser | theater | release)"</f>
        <v>#N/A</v>
      </c>
      <c r="S481" s="23"/>
      <c r="T481" s="23"/>
      <c r="U481" s="23"/>
      <c r="V481" s="23"/>
      <c r="W481" s="23"/>
      <c r="X481" s="38"/>
      <c r="Y481" s="38"/>
      <c r="Z481" s="38"/>
      <c r="AA481" s="38"/>
    </row>
    <row r="482">
      <c r="A482" s="31"/>
      <c r="B482" s="38"/>
      <c r="C482" s="38"/>
      <c r="D482" s="50"/>
      <c r="E482" s="50"/>
      <c r="F482" s="50"/>
      <c r="G482" s="27" t="str">
        <f>VLOOKUP(E482,DropDown!J:K,2,FALSE)</f>
        <v>#N/A</v>
      </c>
      <c r="H482" s="50"/>
      <c r="I482" s="50"/>
      <c r="J482" s="50"/>
      <c r="K482" s="25" t="s">
        <v>116</v>
      </c>
      <c r="L482" s="23"/>
      <c r="M482" s="23"/>
      <c r="N482" s="25" t="str">
        <f>"("""&amp;B482&amp;""") ("&amp;Vlookup(E482,DropDown!J:N,5,FALSE)&amp;" OR """ &amp;YEAR(D482) &amp; """ OR ""All New"" OR Episode OR Watch OR tv OR Show OR Series OR season OR binge OR Stream OR Film OR Movie OR Premiere OR Screening OR Feature OR Trailer OR Teaser OR theater OR release)"</f>
        <v>#N/A</v>
      </c>
      <c r="O482" s="23" t="str">
        <f t="shared" si="1"/>
        <v>#</v>
      </c>
      <c r="P482" s="23" t="str">
        <f t="shared" si="2"/>
        <v>#</v>
      </c>
      <c r="Q482" s="23"/>
      <c r="R482" s="23" t="str">
        <f>"("""&amp;B482&amp;""") ("&amp;Vlookup(E482,DropDown!R:V,5,FALSE)&amp;IF(ISBLANK(D482)," | "," "&amp;"OR """&amp;YEAR(D482)&amp;""" | ") &amp; """All New"" | Episode | Watch | tv | Show | Series | season | binge | Stream | Film | Movie | Premiere | Screening | Feature | Trailer | Teaser | theater | release)"</f>
        <v>#N/A</v>
      </c>
      <c r="S482" s="23"/>
      <c r="T482" s="23"/>
      <c r="U482" s="23"/>
      <c r="V482" s="23"/>
      <c r="W482" s="23"/>
      <c r="X482" s="38"/>
      <c r="Y482" s="38"/>
      <c r="Z482" s="38"/>
      <c r="AA482" s="38"/>
    </row>
    <row r="483">
      <c r="A483" s="31"/>
      <c r="B483" s="38"/>
      <c r="C483" s="38"/>
      <c r="D483" s="50"/>
      <c r="E483" s="50"/>
      <c r="F483" s="50"/>
      <c r="G483" s="27" t="str">
        <f>VLOOKUP(E483,DropDown!J:K,2,FALSE)</f>
        <v>#N/A</v>
      </c>
      <c r="H483" s="50"/>
      <c r="I483" s="50"/>
      <c r="J483" s="50"/>
      <c r="K483" s="25" t="s">
        <v>116</v>
      </c>
      <c r="L483" s="23"/>
      <c r="M483" s="23"/>
      <c r="N483" s="25" t="str">
        <f>"("""&amp;B483&amp;""") ("&amp;Vlookup(E483,DropDown!J:N,5,FALSE)&amp;" OR """ &amp;YEAR(D483) &amp; """ OR ""All New"" OR Episode OR Watch OR tv OR Show OR Series OR season OR binge OR Stream OR Film OR Movie OR Premiere OR Screening OR Feature OR Trailer OR Teaser OR theater OR release)"</f>
        <v>#N/A</v>
      </c>
      <c r="O483" s="23" t="str">
        <f t="shared" si="1"/>
        <v>#</v>
      </c>
      <c r="P483" s="23" t="str">
        <f t="shared" si="2"/>
        <v>#</v>
      </c>
      <c r="Q483" s="23"/>
      <c r="R483" s="23" t="str">
        <f>"("""&amp;B483&amp;""") ("&amp;Vlookup(E483,DropDown!R:V,5,FALSE)&amp;IF(ISBLANK(D483)," | "," "&amp;"OR """&amp;YEAR(D483)&amp;""" | ") &amp; """All New"" | Episode | Watch | tv | Show | Series | season | binge | Stream | Film | Movie | Premiere | Screening | Feature | Trailer | Teaser | theater | release)"</f>
        <v>#N/A</v>
      </c>
      <c r="S483" s="23"/>
      <c r="T483" s="23"/>
      <c r="U483" s="23"/>
      <c r="V483" s="23"/>
      <c r="W483" s="23"/>
      <c r="X483" s="38"/>
      <c r="Y483" s="38"/>
      <c r="Z483" s="38"/>
      <c r="AA483" s="38"/>
    </row>
    <row r="484">
      <c r="A484" s="31"/>
      <c r="B484" s="38"/>
      <c r="C484" s="38"/>
      <c r="D484" s="50"/>
      <c r="E484" s="50"/>
      <c r="F484" s="50"/>
      <c r="G484" s="27" t="str">
        <f>VLOOKUP(E484,DropDown!J:K,2,FALSE)</f>
        <v>#N/A</v>
      </c>
      <c r="H484" s="50"/>
      <c r="I484" s="50"/>
      <c r="J484" s="50"/>
      <c r="K484" s="25" t="s">
        <v>116</v>
      </c>
      <c r="L484" s="23"/>
      <c r="M484" s="23"/>
      <c r="N484" s="25" t="str">
        <f>"("""&amp;B484&amp;""") ("&amp;Vlookup(E484,DropDown!J:N,5,FALSE)&amp;" OR """ &amp;YEAR(D484) &amp; """ OR ""All New"" OR Episode OR Watch OR tv OR Show OR Series OR season OR binge OR Stream OR Film OR Movie OR Premiere OR Screening OR Feature OR Trailer OR Teaser OR theater OR release)"</f>
        <v>#N/A</v>
      </c>
      <c r="O484" s="23" t="str">
        <f t="shared" si="1"/>
        <v>#</v>
      </c>
      <c r="P484" s="23" t="str">
        <f t="shared" si="2"/>
        <v>#</v>
      </c>
      <c r="Q484" s="23"/>
      <c r="R484" s="23" t="str">
        <f>"("""&amp;B484&amp;""") ("&amp;Vlookup(E484,DropDown!R:V,5,FALSE)&amp;IF(ISBLANK(D484)," | "," "&amp;"OR """&amp;YEAR(D484)&amp;""" | ") &amp; """All New"" | Episode | Watch | tv | Show | Series | season | binge | Stream | Film | Movie | Premiere | Screening | Feature | Trailer | Teaser | theater | release)"</f>
        <v>#N/A</v>
      </c>
      <c r="S484" s="23"/>
      <c r="T484" s="23"/>
      <c r="U484" s="23"/>
      <c r="V484" s="23"/>
      <c r="W484" s="23"/>
      <c r="X484" s="38"/>
      <c r="Y484" s="38"/>
      <c r="Z484" s="38"/>
      <c r="AA484" s="38"/>
    </row>
    <row r="485">
      <c r="A485" s="31"/>
      <c r="B485" s="38"/>
      <c r="C485" s="38"/>
      <c r="D485" s="50"/>
      <c r="E485" s="50"/>
      <c r="F485" s="50"/>
      <c r="G485" s="27" t="str">
        <f>VLOOKUP(E485,DropDown!J:K,2,FALSE)</f>
        <v>#N/A</v>
      </c>
      <c r="H485" s="50"/>
      <c r="I485" s="50"/>
      <c r="J485" s="50"/>
      <c r="K485" s="25" t="s">
        <v>116</v>
      </c>
      <c r="L485" s="23"/>
      <c r="M485" s="23"/>
      <c r="N485" s="25" t="str">
        <f>"("""&amp;B485&amp;""") ("&amp;Vlookup(E485,DropDown!J:N,5,FALSE)&amp;" OR """ &amp;YEAR(D485) &amp; """ OR ""All New"" OR Episode OR Watch OR tv OR Show OR Series OR season OR binge OR Stream OR Film OR Movie OR Premiere OR Screening OR Feature OR Trailer OR Teaser OR theater OR release)"</f>
        <v>#N/A</v>
      </c>
      <c r="O485" s="23" t="str">
        <f t="shared" si="1"/>
        <v>#</v>
      </c>
      <c r="P485" s="23" t="str">
        <f t="shared" si="2"/>
        <v>#</v>
      </c>
      <c r="Q485" s="23"/>
      <c r="R485" s="23" t="str">
        <f>"("""&amp;B485&amp;""") ("&amp;Vlookup(E485,DropDown!R:V,5,FALSE)&amp;IF(ISBLANK(D485)," | "," "&amp;"OR """&amp;YEAR(D485)&amp;""" | ") &amp; """All New"" | Episode | Watch | tv | Show | Series | season | binge | Stream | Film | Movie | Premiere | Screening | Feature | Trailer | Teaser | theater | release)"</f>
        <v>#N/A</v>
      </c>
      <c r="S485" s="23"/>
      <c r="T485" s="23"/>
      <c r="U485" s="23"/>
      <c r="V485" s="23"/>
      <c r="W485" s="23"/>
      <c r="X485" s="38"/>
      <c r="Y485" s="38"/>
      <c r="Z485" s="38"/>
      <c r="AA485" s="38"/>
    </row>
    <row r="486">
      <c r="A486" s="31"/>
      <c r="B486" s="38"/>
      <c r="C486" s="38"/>
      <c r="D486" s="50"/>
      <c r="E486" s="50"/>
      <c r="F486" s="50"/>
      <c r="G486" s="27" t="str">
        <f>VLOOKUP(E486,DropDown!J:K,2,FALSE)</f>
        <v>#N/A</v>
      </c>
      <c r="H486" s="50"/>
      <c r="I486" s="50"/>
      <c r="J486" s="50"/>
      <c r="K486" s="25" t="s">
        <v>116</v>
      </c>
      <c r="L486" s="23"/>
      <c r="M486" s="23"/>
      <c r="N486" s="25" t="str">
        <f>"("""&amp;B486&amp;""") ("&amp;Vlookup(E486,DropDown!J:N,5,FALSE)&amp;" OR """ &amp;YEAR(D486) &amp; """ OR ""All New"" OR Episode OR Watch OR tv OR Show OR Series OR season OR binge OR Stream OR Film OR Movie OR Premiere OR Screening OR Feature OR Trailer OR Teaser OR theater OR release)"</f>
        <v>#N/A</v>
      </c>
      <c r="O486" s="23" t="str">
        <f t="shared" si="1"/>
        <v>#</v>
      </c>
      <c r="P486" s="23" t="str">
        <f t="shared" si="2"/>
        <v>#</v>
      </c>
      <c r="Q486" s="23"/>
      <c r="R486" s="23" t="str">
        <f>"("""&amp;B486&amp;""") ("&amp;Vlookup(E486,DropDown!R:V,5,FALSE)&amp;IF(ISBLANK(D486)," | "," "&amp;"OR """&amp;YEAR(D486)&amp;""" | ") &amp; """All New"" | Episode | Watch | tv | Show | Series | season | binge | Stream | Film | Movie | Premiere | Screening | Feature | Trailer | Teaser | theater | release)"</f>
        <v>#N/A</v>
      </c>
      <c r="S486" s="23"/>
      <c r="T486" s="23"/>
      <c r="U486" s="23"/>
      <c r="V486" s="23"/>
      <c r="W486" s="23"/>
      <c r="X486" s="38"/>
      <c r="Y486" s="38"/>
      <c r="Z486" s="38"/>
      <c r="AA486" s="38"/>
    </row>
    <row r="487">
      <c r="A487" s="31"/>
      <c r="B487" s="38"/>
      <c r="C487" s="38"/>
      <c r="D487" s="50"/>
      <c r="E487" s="50"/>
      <c r="F487" s="50"/>
      <c r="G487" s="27" t="str">
        <f>VLOOKUP(E487,DropDown!J:K,2,FALSE)</f>
        <v>#N/A</v>
      </c>
      <c r="H487" s="50"/>
      <c r="I487" s="50"/>
      <c r="J487" s="50"/>
      <c r="K487" s="25" t="s">
        <v>116</v>
      </c>
      <c r="L487" s="23"/>
      <c r="M487" s="23"/>
      <c r="N487" s="25" t="str">
        <f>"("""&amp;B487&amp;""") ("&amp;Vlookup(E487,DropDown!J:N,5,FALSE)&amp;" OR """ &amp;YEAR(D487) &amp; """ OR ""All New"" OR Episode OR Watch OR tv OR Show OR Series OR season OR binge OR Stream OR Film OR Movie OR Premiere OR Screening OR Feature OR Trailer OR Teaser OR theater OR release)"</f>
        <v>#N/A</v>
      </c>
      <c r="O487" s="23" t="str">
        <f t="shared" si="1"/>
        <v>#</v>
      </c>
      <c r="P487" s="23" t="str">
        <f t="shared" si="2"/>
        <v>#</v>
      </c>
      <c r="Q487" s="23"/>
      <c r="R487" s="23" t="str">
        <f>"("""&amp;B487&amp;""") ("&amp;Vlookup(E487,DropDown!R:V,5,FALSE)&amp;IF(ISBLANK(D487)," | "," "&amp;"OR """&amp;YEAR(D487)&amp;""" | ") &amp; """All New"" | Episode | Watch | tv | Show | Series | season | binge | Stream | Film | Movie | Premiere | Screening | Feature | Trailer | Teaser | theater | release)"</f>
        <v>#N/A</v>
      </c>
      <c r="S487" s="23"/>
      <c r="T487" s="23"/>
      <c r="U487" s="23"/>
      <c r="V487" s="23"/>
      <c r="W487" s="23"/>
      <c r="X487" s="38"/>
      <c r="Y487" s="38"/>
      <c r="Z487" s="38"/>
      <c r="AA487" s="38"/>
    </row>
    <row r="488">
      <c r="A488" s="31"/>
      <c r="B488" s="38"/>
      <c r="C488" s="38"/>
      <c r="D488" s="50"/>
      <c r="E488" s="50"/>
      <c r="F488" s="50"/>
      <c r="G488" s="27" t="str">
        <f>VLOOKUP(E488,DropDown!J:K,2,FALSE)</f>
        <v>#N/A</v>
      </c>
      <c r="H488" s="50"/>
      <c r="I488" s="50"/>
      <c r="J488" s="50"/>
      <c r="K488" s="25" t="s">
        <v>116</v>
      </c>
      <c r="L488" s="23"/>
      <c r="M488" s="23"/>
      <c r="N488" s="25" t="str">
        <f>"("""&amp;B488&amp;""") ("&amp;Vlookup(E488,DropDown!J:N,5,FALSE)&amp;" OR """ &amp;YEAR(D488) &amp; """ OR ""All New"" OR Episode OR Watch OR tv OR Show OR Series OR season OR binge OR Stream OR Film OR Movie OR Premiere OR Screening OR Feature OR Trailer OR Teaser OR theater OR release)"</f>
        <v>#N/A</v>
      </c>
      <c r="O488" s="23" t="str">
        <f t="shared" si="1"/>
        <v>#</v>
      </c>
      <c r="P488" s="23" t="str">
        <f t="shared" si="2"/>
        <v>#</v>
      </c>
      <c r="Q488" s="23"/>
      <c r="R488" s="23" t="str">
        <f>"("""&amp;B488&amp;""") ("&amp;Vlookup(E488,DropDown!R:V,5,FALSE)&amp;IF(ISBLANK(D488)," | "," "&amp;"OR """&amp;YEAR(D488)&amp;""" | ") &amp; """All New"" | Episode | Watch | tv | Show | Series | season | binge | Stream | Film | Movie | Premiere | Screening | Feature | Trailer | Teaser | theater | release)"</f>
        <v>#N/A</v>
      </c>
      <c r="S488" s="23"/>
      <c r="T488" s="23"/>
      <c r="U488" s="23"/>
      <c r="V488" s="23"/>
      <c r="W488" s="23"/>
      <c r="X488" s="38"/>
      <c r="Y488" s="38"/>
      <c r="Z488" s="38"/>
      <c r="AA488" s="38"/>
    </row>
    <row r="489">
      <c r="A489" s="31"/>
      <c r="B489" s="38"/>
      <c r="C489" s="38"/>
      <c r="D489" s="50"/>
      <c r="E489" s="50"/>
      <c r="F489" s="50"/>
      <c r="G489" s="27" t="str">
        <f>VLOOKUP(E489,DropDown!J:K,2,FALSE)</f>
        <v>#N/A</v>
      </c>
      <c r="H489" s="50"/>
      <c r="I489" s="50"/>
      <c r="J489" s="50"/>
      <c r="K489" s="25" t="s">
        <v>116</v>
      </c>
      <c r="L489" s="23"/>
      <c r="M489" s="23"/>
      <c r="N489" s="25" t="str">
        <f>"("""&amp;B489&amp;""") ("&amp;Vlookup(E489,DropDown!J:N,5,FALSE)&amp;" OR """ &amp;YEAR(D489) &amp; """ OR ""All New"" OR Episode OR Watch OR tv OR Show OR Series OR season OR binge OR Stream OR Film OR Movie OR Premiere OR Screening OR Feature OR Trailer OR Teaser OR theater OR release)"</f>
        <v>#N/A</v>
      </c>
      <c r="O489" s="23" t="str">
        <f t="shared" si="1"/>
        <v>#</v>
      </c>
      <c r="P489" s="23" t="str">
        <f t="shared" si="2"/>
        <v>#</v>
      </c>
      <c r="Q489" s="23"/>
      <c r="R489" s="23" t="str">
        <f>"("""&amp;B489&amp;""") ("&amp;Vlookup(E489,DropDown!R:V,5,FALSE)&amp;IF(ISBLANK(D489)," | "," "&amp;"OR """&amp;YEAR(D489)&amp;""" | ") &amp; """All New"" | Episode | Watch | tv | Show | Series | season | binge | Stream | Film | Movie | Premiere | Screening | Feature | Trailer | Teaser | theater | release)"</f>
        <v>#N/A</v>
      </c>
      <c r="S489" s="23"/>
      <c r="T489" s="23"/>
      <c r="U489" s="23"/>
      <c r="V489" s="23"/>
      <c r="W489" s="23"/>
      <c r="X489" s="38"/>
      <c r="Y489" s="38"/>
      <c r="Z489" s="38"/>
      <c r="AA489" s="38"/>
    </row>
    <row r="490">
      <c r="A490" s="31"/>
      <c r="B490" s="38"/>
      <c r="C490" s="38"/>
      <c r="D490" s="50"/>
      <c r="E490" s="50"/>
      <c r="F490" s="50"/>
      <c r="G490" s="27" t="str">
        <f>VLOOKUP(E490,DropDown!J:K,2,FALSE)</f>
        <v>#N/A</v>
      </c>
      <c r="H490" s="50"/>
      <c r="I490" s="50"/>
      <c r="J490" s="50"/>
      <c r="K490" s="25" t="s">
        <v>116</v>
      </c>
      <c r="L490" s="23"/>
      <c r="M490" s="23"/>
      <c r="N490" s="25" t="str">
        <f>"("""&amp;B490&amp;""") ("&amp;Vlookup(E490,DropDown!J:N,5,FALSE)&amp;" OR """ &amp;YEAR(D490) &amp; """ OR ""All New"" OR Episode OR Watch OR tv OR Show OR Series OR season OR binge OR Stream OR Film OR Movie OR Premiere OR Screening OR Feature OR Trailer OR Teaser OR theater OR release)"</f>
        <v>#N/A</v>
      </c>
      <c r="O490" s="23" t="str">
        <f t="shared" si="1"/>
        <v>#</v>
      </c>
      <c r="P490" s="23" t="str">
        <f t="shared" si="2"/>
        <v>#</v>
      </c>
      <c r="Q490" s="23"/>
      <c r="R490" s="23" t="str">
        <f>"("""&amp;B490&amp;""") ("&amp;Vlookup(E490,DropDown!R:V,5,FALSE)&amp;IF(ISBLANK(D490)," | "," "&amp;"OR """&amp;YEAR(D490)&amp;""" | ") &amp; """All New"" | Episode | Watch | tv | Show | Series | season | binge | Stream | Film | Movie | Premiere | Screening | Feature | Trailer | Teaser | theater | release)"</f>
        <v>#N/A</v>
      </c>
      <c r="S490" s="23"/>
      <c r="T490" s="23"/>
      <c r="U490" s="23"/>
      <c r="V490" s="23"/>
      <c r="W490" s="23"/>
      <c r="X490" s="38"/>
      <c r="Y490" s="38"/>
      <c r="Z490" s="38"/>
      <c r="AA490" s="38"/>
    </row>
    <row r="491">
      <c r="A491" s="31"/>
      <c r="B491" s="38"/>
      <c r="C491" s="38"/>
      <c r="D491" s="50"/>
      <c r="E491" s="50"/>
      <c r="F491" s="50"/>
      <c r="G491" s="27" t="str">
        <f>VLOOKUP(E491,DropDown!J:K,2,FALSE)</f>
        <v>#N/A</v>
      </c>
      <c r="H491" s="50"/>
      <c r="I491" s="50"/>
      <c r="J491" s="50"/>
      <c r="K491" s="25" t="s">
        <v>116</v>
      </c>
      <c r="L491" s="23"/>
      <c r="M491" s="23"/>
      <c r="N491" s="25" t="str">
        <f>"("""&amp;B491&amp;""") ("&amp;Vlookup(E491,DropDown!J:N,5,FALSE)&amp;" OR """ &amp;YEAR(D491) &amp; """ OR ""All New"" OR Episode OR Watch OR tv OR Show OR Series OR season OR binge OR Stream OR Film OR Movie OR Premiere OR Screening OR Feature OR Trailer OR Teaser OR theater OR release)"</f>
        <v>#N/A</v>
      </c>
      <c r="O491" s="23" t="str">
        <f t="shared" si="1"/>
        <v>#</v>
      </c>
      <c r="P491" s="23" t="str">
        <f t="shared" si="2"/>
        <v>#</v>
      </c>
      <c r="Q491" s="23"/>
      <c r="R491" s="23" t="str">
        <f>"("""&amp;B491&amp;""") ("&amp;Vlookup(E491,DropDown!R:V,5,FALSE)&amp;IF(ISBLANK(D491)," | "," "&amp;"OR """&amp;YEAR(D491)&amp;""" | ") &amp; """All New"" | Episode | Watch | tv | Show | Series | season | binge | Stream | Film | Movie | Premiere | Screening | Feature | Trailer | Teaser | theater | release)"</f>
        <v>#N/A</v>
      </c>
      <c r="S491" s="23"/>
      <c r="T491" s="23"/>
      <c r="U491" s="23"/>
      <c r="V491" s="23"/>
      <c r="W491" s="23"/>
      <c r="X491" s="38"/>
      <c r="Y491" s="38"/>
      <c r="Z491" s="38"/>
      <c r="AA491" s="38"/>
    </row>
    <row r="492">
      <c r="A492" s="31"/>
      <c r="B492" s="38"/>
      <c r="C492" s="38"/>
      <c r="D492" s="50"/>
      <c r="E492" s="50"/>
      <c r="F492" s="50"/>
      <c r="G492" s="27" t="str">
        <f>VLOOKUP(E492,DropDown!J:K,2,FALSE)</f>
        <v>#N/A</v>
      </c>
      <c r="H492" s="50"/>
      <c r="I492" s="50"/>
      <c r="J492" s="50"/>
      <c r="K492" s="25" t="s">
        <v>116</v>
      </c>
      <c r="L492" s="23"/>
      <c r="M492" s="23"/>
      <c r="N492" s="25" t="str">
        <f>"("""&amp;B492&amp;""") ("&amp;Vlookup(E492,DropDown!J:N,5,FALSE)&amp;" OR """ &amp;YEAR(D492) &amp; """ OR ""All New"" OR Episode OR Watch OR tv OR Show OR Series OR season OR binge OR Stream OR Film OR Movie OR Premiere OR Screening OR Feature OR Trailer OR Teaser OR theater OR release)"</f>
        <v>#N/A</v>
      </c>
      <c r="O492" s="23" t="str">
        <f t="shared" si="1"/>
        <v>#</v>
      </c>
      <c r="P492" s="23" t="str">
        <f t="shared" si="2"/>
        <v>#</v>
      </c>
      <c r="Q492" s="23"/>
      <c r="R492" s="23" t="str">
        <f>"("""&amp;B492&amp;""") ("&amp;Vlookup(E492,DropDown!R:V,5,FALSE)&amp;IF(ISBLANK(D492)," | "," "&amp;"OR """&amp;YEAR(D492)&amp;""" | ") &amp; """All New"" | Episode | Watch | tv | Show | Series | season | binge | Stream | Film | Movie | Premiere | Screening | Feature | Trailer | Teaser | theater | release)"</f>
        <v>#N/A</v>
      </c>
      <c r="S492" s="23"/>
      <c r="T492" s="23"/>
      <c r="U492" s="23"/>
      <c r="V492" s="23"/>
      <c r="W492" s="23"/>
      <c r="X492" s="38"/>
      <c r="Y492" s="38"/>
      <c r="Z492" s="38"/>
      <c r="AA492" s="38"/>
    </row>
    <row r="493">
      <c r="A493" s="31"/>
      <c r="B493" s="38"/>
      <c r="C493" s="38"/>
      <c r="D493" s="50"/>
      <c r="E493" s="50"/>
      <c r="F493" s="50"/>
      <c r="G493" s="27" t="str">
        <f>VLOOKUP(E493,DropDown!J:K,2,FALSE)</f>
        <v>#N/A</v>
      </c>
      <c r="H493" s="50"/>
      <c r="I493" s="50"/>
      <c r="J493" s="50"/>
      <c r="K493" s="25" t="s">
        <v>116</v>
      </c>
      <c r="L493" s="23"/>
      <c r="M493" s="23"/>
      <c r="N493" s="25" t="str">
        <f>"("""&amp;B493&amp;""") ("&amp;Vlookup(E493,DropDown!J:N,5,FALSE)&amp;" OR """ &amp;YEAR(D493) &amp; """ OR ""All New"" OR Episode OR Watch OR tv OR Show OR Series OR season OR binge OR Stream OR Film OR Movie OR Premiere OR Screening OR Feature OR Trailer OR Teaser OR theater OR release)"</f>
        <v>#N/A</v>
      </c>
      <c r="O493" s="23" t="str">
        <f t="shared" si="1"/>
        <v>#</v>
      </c>
      <c r="P493" s="23" t="str">
        <f t="shared" si="2"/>
        <v>#</v>
      </c>
      <c r="Q493" s="23"/>
      <c r="R493" s="23" t="str">
        <f>"("""&amp;B493&amp;""") ("&amp;Vlookup(E493,DropDown!R:V,5,FALSE)&amp;IF(ISBLANK(D493)," | "," "&amp;"OR """&amp;YEAR(D493)&amp;""" | ") &amp; """All New"" | Episode | Watch | tv | Show | Series | season | binge | Stream | Film | Movie | Premiere | Screening | Feature | Trailer | Teaser | theater | release)"</f>
        <v>#N/A</v>
      </c>
      <c r="S493" s="23"/>
      <c r="T493" s="23"/>
      <c r="U493" s="23"/>
      <c r="V493" s="23"/>
      <c r="W493" s="23"/>
      <c r="X493" s="38"/>
      <c r="Y493" s="38"/>
      <c r="Z493" s="38"/>
      <c r="AA493" s="38"/>
    </row>
    <row r="494">
      <c r="A494" s="31"/>
      <c r="B494" s="38"/>
      <c r="C494" s="38"/>
      <c r="D494" s="50"/>
      <c r="E494" s="50"/>
      <c r="F494" s="50"/>
      <c r="G494" s="27" t="str">
        <f>VLOOKUP(E494,DropDown!J:K,2,FALSE)</f>
        <v>#N/A</v>
      </c>
      <c r="H494" s="50"/>
      <c r="I494" s="50"/>
      <c r="J494" s="50"/>
      <c r="K494" s="25" t="s">
        <v>116</v>
      </c>
      <c r="L494" s="23"/>
      <c r="M494" s="23"/>
      <c r="N494" s="25" t="str">
        <f>"("""&amp;B494&amp;""") ("&amp;Vlookup(E494,DropDown!J:N,5,FALSE)&amp;" OR """ &amp;YEAR(D494) &amp; """ OR ""All New"" OR Episode OR Watch OR tv OR Show OR Series OR season OR binge OR Stream OR Film OR Movie OR Premiere OR Screening OR Feature OR Trailer OR Teaser OR theater OR release)"</f>
        <v>#N/A</v>
      </c>
      <c r="O494" s="23" t="str">
        <f t="shared" si="1"/>
        <v>#</v>
      </c>
      <c r="P494" s="23" t="str">
        <f t="shared" si="2"/>
        <v>#</v>
      </c>
      <c r="Q494" s="23"/>
      <c r="R494" s="23" t="str">
        <f>"("""&amp;B494&amp;""") ("&amp;Vlookup(E494,DropDown!R:V,5,FALSE)&amp;IF(ISBLANK(D494)," | "," "&amp;"OR """&amp;YEAR(D494)&amp;""" | ") &amp; """All New"" | Episode | Watch | tv | Show | Series | season | binge | Stream | Film | Movie | Premiere | Screening | Feature | Trailer | Teaser | theater | release)"</f>
        <v>#N/A</v>
      </c>
      <c r="S494" s="23"/>
      <c r="T494" s="23"/>
      <c r="U494" s="23"/>
      <c r="V494" s="23"/>
      <c r="W494" s="23"/>
      <c r="X494" s="38"/>
      <c r="Y494" s="38"/>
      <c r="Z494" s="38"/>
      <c r="AA494" s="38"/>
    </row>
    <row r="495">
      <c r="A495" s="31"/>
      <c r="B495" s="38"/>
      <c r="C495" s="38"/>
      <c r="D495" s="50"/>
      <c r="E495" s="50"/>
      <c r="F495" s="50"/>
      <c r="G495" s="27" t="str">
        <f>VLOOKUP(E495,DropDown!J:K,2,FALSE)</f>
        <v>#N/A</v>
      </c>
      <c r="H495" s="50"/>
      <c r="I495" s="50"/>
      <c r="J495" s="50"/>
      <c r="K495" s="25" t="s">
        <v>116</v>
      </c>
      <c r="L495" s="23"/>
      <c r="M495" s="23"/>
      <c r="N495" s="25" t="str">
        <f>"("""&amp;B495&amp;""") ("&amp;Vlookup(E495,DropDown!J:N,5,FALSE)&amp;" OR """ &amp;YEAR(D495) &amp; """ OR ""All New"" OR Episode OR Watch OR tv OR Show OR Series OR season OR binge OR Stream OR Film OR Movie OR Premiere OR Screening OR Feature OR Trailer OR Teaser OR theater OR release)"</f>
        <v>#N/A</v>
      </c>
      <c r="O495" s="23" t="str">
        <f t="shared" si="1"/>
        <v>#</v>
      </c>
      <c r="P495" s="23" t="str">
        <f t="shared" si="2"/>
        <v>#</v>
      </c>
      <c r="Q495" s="23"/>
      <c r="R495" s="23" t="str">
        <f>"("""&amp;B495&amp;""") ("&amp;Vlookup(E495,DropDown!R:V,5,FALSE)&amp;IF(ISBLANK(D495)," | "," "&amp;"OR """&amp;YEAR(D495)&amp;""" | ") &amp; """All New"" | Episode | Watch | tv | Show | Series | season | binge | Stream | Film | Movie | Premiere | Screening | Feature | Trailer | Teaser | theater | release)"</f>
        <v>#N/A</v>
      </c>
      <c r="S495" s="23"/>
      <c r="T495" s="23"/>
      <c r="U495" s="23"/>
      <c r="V495" s="23"/>
      <c r="W495" s="23"/>
      <c r="X495" s="38"/>
      <c r="Y495" s="38"/>
      <c r="Z495" s="38"/>
      <c r="AA495" s="38"/>
    </row>
    <row r="496">
      <c r="A496" s="31"/>
      <c r="B496" s="38"/>
      <c r="C496" s="38"/>
      <c r="D496" s="50"/>
      <c r="E496" s="50"/>
      <c r="F496" s="50"/>
      <c r="G496" s="27" t="str">
        <f>VLOOKUP(E496,DropDown!J:K,2,FALSE)</f>
        <v>#N/A</v>
      </c>
      <c r="H496" s="50"/>
      <c r="I496" s="50"/>
      <c r="J496" s="50"/>
      <c r="K496" s="25" t="s">
        <v>116</v>
      </c>
      <c r="L496" s="23"/>
      <c r="M496" s="23"/>
      <c r="N496" s="25" t="str">
        <f>"("""&amp;B496&amp;""") ("&amp;Vlookup(E496,DropDown!J:N,5,FALSE)&amp;" OR """ &amp;YEAR(D496) &amp; """ OR ""All New"" OR Episode OR Watch OR tv OR Show OR Series OR season OR binge OR Stream OR Film OR Movie OR Premiere OR Screening OR Feature OR Trailer OR Teaser OR theater OR release)"</f>
        <v>#N/A</v>
      </c>
      <c r="O496" s="23" t="str">
        <f t="shared" si="1"/>
        <v>#</v>
      </c>
      <c r="P496" s="23" t="str">
        <f t="shared" si="2"/>
        <v>#</v>
      </c>
      <c r="Q496" s="23"/>
      <c r="R496" s="23" t="str">
        <f>"("""&amp;B496&amp;""") ("&amp;Vlookup(E496,DropDown!R:V,5,FALSE)&amp;IF(ISBLANK(D496)," | "," "&amp;"OR """&amp;YEAR(D496)&amp;""" | ") &amp; """All New"" | Episode | Watch | tv | Show | Series | season | binge | Stream | Film | Movie | Premiere | Screening | Feature | Trailer | Teaser | theater | release)"</f>
        <v>#N/A</v>
      </c>
      <c r="S496" s="23"/>
      <c r="T496" s="23"/>
      <c r="U496" s="23"/>
      <c r="V496" s="23"/>
      <c r="W496" s="23"/>
      <c r="X496" s="38"/>
      <c r="Y496" s="38"/>
      <c r="Z496" s="38"/>
      <c r="AA496" s="38"/>
    </row>
    <row r="497">
      <c r="A497" s="31"/>
      <c r="B497" s="38"/>
      <c r="C497" s="38"/>
      <c r="D497" s="50"/>
      <c r="E497" s="50"/>
      <c r="F497" s="50"/>
      <c r="G497" s="27" t="str">
        <f>VLOOKUP(E497,DropDown!J:K,2,FALSE)</f>
        <v>#N/A</v>
      </c>
      <c r="H497" s="50"/>
      <c r="I497" s="50"/>
      <c r="J497" s="50"/>
      <c r="K497" s="25" t="s">
        <v>116</v>
      </c>
      <c r="L497" s="23"/>
      <c r="M497" s="23"/>
      <c r="N497" s="25" t="str">
        <f>"("""&amp;B497&amp;""") ("&amp;Vlookup(E497,DropDown!J:N,5,FALSE)&amp;" OR """ &amp;YEAR(D497) &amp; """ OR ""All New"" OR Episode OR Watch OR tv OR Show OR Series OR season OR binge OR Stream OR Film OR Movie OR Premiere OR Screening OR Feature OR Trailer OR Teaser OR theater OR release)"</f>
        <v>#N/A</v>
      </c>
      <c r="O497" s="23" t="str">
        <f t="shared" si="1"/>
        <v>#</v>
      </c>
      <c r="P497" s="23" t="str">
        <f t="shared" si="2"/>
        <v>#</v>
      </c>
      <c r="Q497" s="23"/>
      <c r="R497" s="23" t="str">
        <f>"("""&amp;B497&amp;""") ("&amp;Vlookup(E497,DropDown!R:V,5,FALSE)&amp;IF(ISBLANK(D497)," | "," "&amp;"OR """&amp;YEAR(D497)&amp;""" | ") &amp; """All New"" | Episode | Watch | tv | Show | Series | season | binge | Stream | Film | Movie | Premiere | Screening | Feature | Trailer | Teaser | theater | release)"</f>
        <v>#N/A</v>
      </c>
      <c r="S497" s="23"/>
      <c r="T497" s="23"/>
      <c r="U497" s="23"/>
      <c r="V497" s="23"/>
      <c r="W497" s="23"/>
      <c r="X497" s="38"/>
      <c r="Y497" s="38"/>
      <c r="Z497" s="38"/>
      <c r="AA497" s="38"/>
    </row>
    <row r="498">
      <c r="A498" s="31"/>
      <c r="B498" s="38"/>
      <c r="C498" s="38"/>
      <c r="D498" s="50"/>
      <c r="E498" s="50"/>
      <c r="F498" s="50"/>
      <c r="G498" s="27" t="str">
        <f>VLOOKUP(E498,DropDown!J:K,2,FALSE)</f>
        <v>#N/A</v>
      </c>
      <c r="H498" s="50"/>
      <c r="I498" s="50"/>
      <c r="J498" s="50"/>
      <c r="K498" s="25" t="s">
        <v>116</v>
      </c>
      <c r="L498" s="23"/>
      <c r="M498" s="23"/>
      <c r="N498" s="25" t="str">
        <f>"("""&amp;B498&amp;""") ("&amp;Vlookup(E498,DropDown!J:N,5,FALSE)&amp;" OR """ &amp;YEAR(D498) &amp; """ OR ""All New"" OR Episode OR Watch OR tv OR Show OR Series OR season OR binge OR Stream OR Film OR Movie OR Premiere OR Screening OR Feature OR Trailer OR Teaser OR theater OR release)"</f>
        <v>#N/A</v>
      </c>
      <c r="O498" s="23" t="str">
        <f t="shared" si="1"/>
        <v>#</v>
      </c>
      <c r="P498" s="23" t="str">
        <f t="shared" si="2"/>
        <v>#</v>
      </c>
      <c r="Q498" s="23"/>
      <c r="R498" s="23" t="str">
        <f>"("""&amp;B498&amp;""") ("&amp;Vlookup(E498,DropDown!R:V,5,FALSE)&amp;IF(ISBLANK(D498)," | "," "&amp;"OR """&amp;YEAR(D498)&amp;""" | ") &amp; """All New"" | Episode | Watch | tv | Show | Series | season | binge | Stream | Film | Movie | Premiere | Screening | Feature | Trailer | Teaser | theater | release)"</f>
        <v>#N/A</v>
      </c>
      <c r="S498" s="23"/>
      <c r="T498" s="23"/>
      <c r="U498" s="23"/>
      <c r="V498" s="23"/>
      <c r="W498" s="23"/>
      <c r="X498" s="38"/>
      <c r="Y498" s="38"/>
      <c r="Z498" s="38"/>
      <c r="AA498" s="38"/>
    </row>
    <row r="499">
      <c r="A499" s="31"/>
      <c r="B499" s="38"/>
      <c r="C499" s="38"/>
      <c r="D499" s="50"/>
      <c r="E499" s="50"/>
      <c r="F499" s="50"/>
      <c r="G499" s="27" t="str">
        <f>VLOOKUP(E499,DropDown!J:K,2,FALSE)</f>
        <v>#N/A</v>
      </c>
      <c r="H499" s="50"/>
      <c r="I499" s="50"/>
      <c r="J499" s="50"/>
      <c r="K499" s="25" t="s">
        <v>116</v>
      </c>
      <c r="L499" s="23"/>
      <c r="M499" s="23"/>
      <c r="N499" s="25" t="str">
        <f>"("""&amp;B499&amp;""") ("&amp;Vlookup(E499,DropDown!J:N,5,FALSE)&amp;" OR """ &amp;YEAR(D499) &amp; """ OR ""All New"" OR Episode OR Watch OR tv OR Show OR Series OR season OR binge OR Stream OR Film OR Movie OR Premiere OR Screening OR Feature OR Trailer OR Teaser OR theater OR release)"</f>
        <v>#N/A</v>
      </c>
      <c r="O499" s="23" t="str">
        <f t="shared" si="1"/>
        <v>#</v>
      </c>
      <c r="P499" s="23" t="str">
        <f t="shared" si="2"/>
        <v>#</v>
      </c>
      <c r="Q499" s="23"/>
      <c r="R499" s="23" t="str">
        <f>"("""&amp;B499&amp;""") ("&amp;Vlookup(E499,DropDown!R:V,5,FALSE)&amp;IF(ISBLANK(D499)," | "," "&amp;"OR """&amp;YEAR(D499)&amp;""" | ") &amp; """All New"" | Episode | Watch | tv | Show | Series | season | binge | Stream | Film | Movie | Premiere | Screening | Feature | Trailer | Teaser | theater | release)"</f>
        <v>#N/A</v>
      </c>
      <c r="S499" s="23"/>
      <c r="T499" s="23"/>
      <c r="U499" s="23"/>
      <c r="V499" s="23"/>
      <c r="W499" s="23"/>
      <c r="X499" s="38"/>
      <c r="Y499" s="38"/>
      <c r="Z499" s="38"/>
      <c r="AA499" s="38"/>
    </row>
    <row r="500">
      <c r="A500" s="31"/>
      <c r="B500" s="38"/>
      <c r="C500" s="38"/>
      <c r="D500" s="50"/>
      <c r="E500" s="50"/>
      <c r="F500" s="50"/>
      <c r="G500" s="27" t="str">
        <f>VLOOKUP(E500,DropDown!J:K,2,FALSE)</f>
        <v>#N/A</v>
      </c>
      <c r="H500" s="50"/>
      <c r="I500" s="50"/>
      <c r="J500" s="50"/>
      <c r="K500" s="25" t="s">
        <v>116</v>
      </c>
      <c r="L500" s="23"/>
      <c r="M500" s="23"/>
      <c r="N500" s="25" t="str">
        <f>"("""&amp;B500&amp;""") ("&amp;Vlookup(E500,DropDown!J:N,5,FALSE)&amp;" OR """ &amp;YEAR(D500) &amp; """ OR ""All New"" OR Episode OR Watch OR tv OR Show OR Series OR season OR binge OR Stream OR Film OR Movie OR Premiere OR Screening OR Feature OR Trailer OR Teaser OR theater OR release)"</f>
        <v>#N/A</v>
      </c>
      <c r="O500" s="23" t="str">
        <f t="shared" si="1"/>
        <v>#</v>
      </c>
      <c r="P500" s="23" t="str">
        <f t="shared" si="2"/>
        <v>#</v>
      </c>
      <c r="Q500" s="23"/>
      <c r="R500" s="23" t="str">
        <f>"("""&amp;B500&amp;""") ("&amp;Vlookup(E500,DropDown!R:V,5,FALSE)&amp;IF(ISBLANK(D500)," | "," "&amp;"OR """&amp;YEAR(D500)&amp;""" | ") &amp; """All New"" | Episode | Watch | tv | Show | Series | season | binge | Stream | Film | Movie | Premiere | Screening | Feature | Trailer | Teaser | theater | release)"</f>
        <v>#N/A</v>
      </c>
      <c r="S500" s="23"/>
      <c r="T500" s="23"/>
      <c r="U500" s="23"/>
      <c r="V500" s="23"/>
      <c r="W500" s="23"/>
      <c r="X500" s="38"/>
      <c r="Y500" s="38"/>
      <c r="Z500" s="38"/>
      <c r="AA500" s="38"/>
    </row>
    <row r="501">
      <c r="A501" s="31"/>
      <c r="B501" s="38"/>
      <c r="C501" s="38"/>
      <c r="D501" s="50"/>
      <c r="E501" s="50"/>
      <c r="F501" s="50"/>
      <c r="G501" s="27" t="str">
        <f>VLOOKUP(E501,DropDown!J:K,2,FALSE)</f>
        <v>#N/A</v>
      </c>
      <c r="H501" s="50"/>
      <c r="I501" s="50"/>
      <c r="J501" s="50"/>
      <c r="K501" s="25" t="s">
        <v>116</v>
      </c>
      <c r="L501" s="23"/>
      <c r="M501" s="23"/>
      <c r="N501" s="25" t="str">
        <f>"("""&amp;B501&amp;""") ("&amp;Vlookup(E501,DropDown!J:N,5,FALSE)&amp;" OR """ &amp;YEAR(D501) &amp; """ OR ""All New"" OR Episode OR Watch OR tv OR Show OR Series OR season OR binge OR Stream OR Film OR Movie OR Premiere OR Screening OR Feature OR Trailer OR Teaser OR theater OR release)"</f>
        <v>#N/A</v>
      </c>
      <c r="O501" s="23" t="str">
        <f t="shared" si="1"/>
        <v>#</v>
      </c>
      <c r="P501" s="23" t="str">
        <f t="shared" si="2"/>
        <v>#</v>
      </c>
      <c r="Q501" s="23"/>
      <c r="R501" s="23" t="str">
        <f>"("""&amp;B501&amp;""") ("&amp;Vlookup(E501,DropDown!R:V,5,FALSE)&amp;IF(ISBLANK(D501)," | "," "&amp;"OR """&amp;YEAR(D501)&amp;""" | ") &amp; """All New"" | Episode | Watch | tv | Show | Series | season | binge | Stream | Film | Movie | Premiere | Screening | Feature | Trailer | Teaser | theater | release)"</f>
        <v>#N/A</v>
      </c>
      <c r="S501" s="23"/>
      <c r="T501" s="23"/>
      <c r="U501" s="23"/>
      <c r="V501" s="23"/>
      <c r="W501" s="23"/>
      <c r="X501" s="38"/>
      <c r="Y501" s="38"/>
      <c r="Z501" s="38"/>
      <c r="AA501" s="38"/>
    </row>
    <row r="502">
      <c r="A502" s="31"/>
      <c r="B502" s="38"/>
      <c r="C502" s="38"/>
      <c r="D502" s="50"/>
      <c r="E502" s="50"/>
      <c r="F502" s="50"/>
      <c r="G502" s="27" t="str">
        <f>VLOOKUP(E502,DropDown!J:K,2,FALSE)</f>
        <v>#N/A</v>
      </c>
      <c r="H502" s="50"/>
      <c r="I502" s="50"/>
      <c r="J502" s="50"/>
      <c r="K502" s="25" t="s">
        <v>116</v>
      </c>
      <c r="L502" s="23"/>
      <c r="M502" s="23"/>
      <c r="N502" s="25" t="str">
        <f>"("""&amp;B502&amp;""") ("&amp;Vlookup(E502,DropDown!J:N,5,FALSE)&amp;" OR """ &amp;YEAR(D502) &amp; """ OR ""All New"" OR Episode OR Watch OR tv OR Show OR Series OR season OR binge OR Stream OR Film OR Movie OR Premiere OR Screening OR Feature OR Trailer OR Teaser OR theater OR release)"</f>
        <v>#N/A</v>
      </c>
      <c r="O502" s="23" t="str">
        <f t="shared" si="1"/>
        <v>#</v>
      </c>
      <c r="P502" s="23" t="str">
        <f t="shared" si="2"/>
        <v>#</v>
      </c>
      <c r="Q502" s="23"/>
      <c r="R502" s="23" t="str">
        <f>"("""&amp;B502&amp;""") ("&amp;Vlookup(E502,DropDown!R:V,5,FALSE)&amp;IF(ISBLANK(D502)," | "," "&amp;"OR """&amp;YEAR(D502)&amp;""" | ") &amp; """All New"" | Episode | Watch | tv | Show | Series | season | binge | Stream | Film | Movie | Premiere | Screening | Feature | Trailer | Teaser | theater | release)"</f>
        <v>#N/A</v>
      </c>
      <c r="S502" s="23"/>
      <c r="T502" s="23"/>
      <c r="U502" s="23"/>
      <c r="V502" s="23"/>
      <c r="W502" s="23"/>
      <c r="X502" s="38"/>
      <c r="Y502" s="38"/>
      <c r="Z502" s="38"/>
      <c r="AA502" s="38"/>
    </row>
    <row r="503">
      <c r="A503" s="31"/>
      <c r="B503" s="38"/>
      <c r="C503" s="38"/>
      <c r="D503" s="50"/>
      <c r="E503" s="50"/>
      <c r="F503" s="50"/>
      <c r="G503" s="27" t="str">
        <f>VLOOKUP(E503,DropDown!J:K,2,FALSE)</f>
        <v>#N/A</v>
      </c>
      <c r="H503" s="50"/>
      <c r="I503" s="50"/>
      <c r="J503" s="50"/>
      <c r="K503" s="25" t="s">
        <v>116</v>
      </c>
      <c r="L503" s="23"/>
      <c r="M503" s="23"/>
      <c r="N503" s="25" t="str">
        <f>"("""&amp;B503&amp;""") ("&amp;Vlookup(E503,DropDown!J:N,5,FALSE)&amp;" OR """ &amp;YEAR(D503) &amp; """ OR ""All New"" OR Episode OR Watch OR tv OR Show OR Series OR season OR binge OR Stream OR Film OR Movie OR Premiere OR Screening OR Feature OR Trailer OR Teaser OR theater OR release)"</f>
        <v>#N/A</v>
      </c>
      <c r="O503" s="23" t="str">
        <f t="shared" si="1"/>
        <v>#</v>
      </c>
      <c r="P503" s="23" t="str">
        <f t="shared" si="2"/>
        <v>#</v>
      </c>
      <c r="Q503" s="23"/>
      <c r="R503" s="23" t="str">
        <f>"("""&amp;B503&amp;""") ("&amp;Vlookup(E503,DropDown!R:V,5,FALSE)&amp;IF(ISBLANK(D503)," | "," "&amp;"OR """&amp;YEAR(D503)&amp;""" | ") &amp; """All New"" | Episode | Watch | tv | Show | Series | season | binge | Stream | Film | Movie | Premiere | Screening | Feature | Trailer | Teaser | theater | release)"</f>
        <v>#N/A</v>
      </c>
      <c r="S503" s="23"/>
      <c r="T503" s="23"/>
      <c r="U503" s="23"/>
      <c r="V503" s="23"/>
      <c r="W503" s="23"/>
      <c r="X503" s="38"/>
      <c r="Y503" s="38"/>
      <c r="Z503" s="38"/>
      <c r="AA503" s="38"/>
    </row>
    <row r="504">
      <c r="A504" s="31"/>
      <c r="B504" s="38"/>
      <c r="C504" s="38"/>
      <c r="D504" s="50"/>
      <c r="E504" s="50"/>
      <c r="F504" s="50"/>
      <c r="G504" s="27" t="str">
        <f>VLOOKUP(E504,DropDown!J:K,2,FALSE)</f>
        <v>#N/A</v>
      </c>
      <c r="H504" s="50"/>
      <c r="I504" s="50"/>
      <c r="J504" s="50"/>
      <c r="K504" s="25" t="s">
        <v>116</v>
      </c>
      <c r="L504" s="23"/>
      <c r="M504" s="23"/>
      <c r="N504" s="25" t="str">
        <f>"("""&amp;B504&amp;""") ("&amp;Vlookup(E504,DropDown!J:N,5,FALSE)&amp;" OR """ &amp;YEAR(D504) &amp; """ OR ""All New"" OR Episode OR Watch OR tv OR Show OR Series OR season OR binge OR Stream OR Film OR Movie OR Premiere OR Screening OR Feature OR Trailer OR Teaser OR theater OR release)"</f>
        <v>#N/A</v>
      </c>
      <c r="O504" s="23" t="str">
        <f t="shared" si="1"/>
        <v>#</v>
      </c>
      <c r="P504" s="23" t="str">
        <f t="shared" si="2"/>
        <v>#</v>
      </c>
      <c r="Q504" s="23"/>
      <c r="R504" s="23" t="str">
        <f>"("""&amp;B504&amp;""") ("&amp;Vlookup(E504,DropDown!R:V,5,FALSE)&amp;IF(ISBLANK(D504)," | "," "&amp;"OR """&amp;YEAR(D504)&amp;""" | ") &amp; """All New"" | Episode | Watch | tv | Show | Series | season | binge | Stream | Film | Movie | Premiere | Screening | Feature | Trailer | Teaser | theater | release)"</f>
        <v>#N/A</v>
      </c>
      <c r="S504" s="23"/>
      <c r="T504" s="23"/>
      <c r="U504" s="23"/>
      <c r="V504" s="23"/>
      <c r="W504" s="23"/>
      <c r="X504" s="38"/>
      <c r="Y504" s="38"/>
      <c r="Z504" s="38"/>
      <c r="AA504" s="38"/>
    </row>
    <row r="505">
      <c r="A505" s="31"/>
      <c r="B505" s="38"/>
      <c r="C505" s="38"/>
      <c r="D505" s="50"/>
      <c r="E505" s="50"/>
      <c r="F505" s="50"/>
      <c r="G505" s="27" t="str">
        <f>VLOOKUP(E505,DropDown!J:K,2,FALSE)</f>
        <v>#N/A</v>
      </c>
      <c r="H505" s="50"/>
      <c r="I505" s="50"/>
      <c r="J505" s="50"/>
      <c r="K505" s="25" t="s">
        <v>116</v>
      </c>
      <c r="L505" s="23"/>
      <c r="M505" s="23"/>
      <c r="N505" s="25" t="str">
        <f>"("""&amp;B505&amp;""") ("&amp;Vlookup(E505,DropDown!J:N,5,FALSE)&amp;" OR """ &amp;YEAR(D505) &amp; """ OR ""All New"" OR Episode OR Watch OR tv OR Show OR Series OR season OR binge OR Stream OR Film OR Movie OR Premiere OR Screening OR Feature OR Trailer OR Teaser OR theater OR release)"</f>
        <v>#N/A</v>
      </c>
      <c r="O505" s="23" t="str">
        <f t="shared" si="1"/>
        <v>#</v>
      </c>
      <c r="P505" s="23" t="str">
        <f t="shared" si="2"/>
        <v>#</v>
      </c>
      <c r="Q505" s="23"/>
      <c r="R505" s="23" t="str">
        <f>"("""&amp;B505&amp;""") ("&amp;Vlookup(E505,DropDown!R:V,5,FALSE)&amp;IF(ISBLANK(D505)," | "," "&amp;"OR """&amp;YEAR(D505)&amp;""" | ") &amp; """All New"" | Episode | Watch | tv | Show | Series | season | binge | Stream | Film | Movie | Premiere | Screening | Feature | Trailer | Teaser | theater | release)"</f>
        <v>#N/A</v>
      </c>
      <c r="S505" s="23"/>
      <c r="T505" s="23"/>
      <c r="U505" s="23"/>
      <c r="V505" s="23"/>
      <c r="W505" s="23"/>
      <c r="X505" s="38"/>
      <c r="Y505" s="38"/>
      <c r="Z505" s="38"/>
      <c r="AA505" s="38"/>
    </row>
    <row r="506">
      <c r="A506" s="31"/>
      <c r="B506" s="38"/>
      <c r="C506" s="38"/>
      <c r="D506" s="50"/>
      <c r="E506" s="50"/>
      <c r="F506" s="50"/>
      <c r="G506" s="27" t="str">
        <f>VLOOKUP(E506,DropDown!J:K,2,FALSE)</f>
        <v>#N/A</v>
      </c>
      <c r="H506" s="50"/>
      <c r="I506" s="50"/>
      <c r="J506" s="50"/>
      <c r="K506" s="25" t="s">
        <v>116</v>
      </c>
      <c r="L506" s="23"/>
      <c r="M506" s="23"/>
      <c r="N506" s="25" t="str">
        <f>"("""&amp;B506&amp;""") ("&amp;Vlookup(E506,DropDown!J:N,5,FALSE)&amp;" OR """ &amp;YEAR(D506) &amp; """ OR ""All New"" OR Episode OR Watch OR tv OR Show OR Series OR season OR binge OR Stream OR Film OR Movie OR Premiere OR Screening OR Feature OR Trailer OR Teaser OR theater OR release)"</f>
        <v>#N/A</v>
      </c>
      <c r="O506" s="23" t="str">
        <f t="shared" si="1"/>
        <v>#</v>
      </c>
      <c r="P506" s="23" t="str">
        <f t="shared" si="2"/>
        <v>#</v>
      </c>
      <c r="Q506" s="23"/>
      <c r="R506" s="23" t="str">
        <f>"("""&amp;B506&amp;""") ("&amp;Vlookup(E506,DropDown!R:V,5,FALSE)&amp;IF(ISBLANK(D506)," | "," "&amp;"OR """&amp;YEAR(D506)&amp;""" | ") &amp; """All New"" | Episode | Watch | tv | Show | Series | season | binge | Stream | Film | Movie | Premiere | Screening | Feature | Trailer | Teaser | theater | release)"</f>
        <v>#N/A</v>
      </c>
      <c r="S506" s="23"/>
      <c r="T506" s="23"/>
      <c r="U506" s="23"/>
      <c r="V506" s="23"/>
      <c r="W506" s="23"/>
      <c r="X506" s="38"/>
      <c r="Y506" s="38"/>
      <c r="Z506" s="38"/>
      <c r="AA506" s="38"/>
    </row>
    <row r="507">
      <c r="A507" s="31"/>
      <c r="B507" s="38"/>
      <c r="C507" s="38"/>
      <c r="D507" s="50"/>
      <c r="E507" s="50"/>
      <c r="F507" s="50"/>
      <c r="G507" s="27" t="str">
        <f>VLOOKUP(E507,DropDown!J:K,2,FALSE)</f>
        <v>#N/A</v>
      </c>
      <c r="H507" s="50"/>
      <c r="I507" s="50"/>
      <c r="J507" s="50"/>
      <c r="K507" s="25" t="s">
        <v>116</v>
      </c>
      <c r="L507" s="23"/>
      <c r="M507" s="23"/>
      <c r="N507" s="25" t="str">
        <f>"("""&amp;B507&amp;""") ("&amp;Vlookup(E507,DropDown!J:N,5,FALSE)&amp;" OR """ &amp;YEAR(D507) &amp; """ OR ""All New"" OR Episode OR Watch OR tv OR Show OR Series OR season OR binge OR Stream OR Film OR Movie OR Premiere OR Screening OR Feature OR Trailer OR Teaser OR theater OR release)"</f>
        <v>#N/A</v>
      </c>
      <c r="O507" s="23" t="str">
        <f t="shared" si="1"/>
        <v>#</v>
      </c>
      <c r="P507" s="23" t="str">
        <f t="shared" si="2"/>
        <v>#</v>
      </c>
      <c r="Q507" s="23"/>
      <c r="R507" s="23" t="str">
        <f>"("""&amp;B507&amp;""") ("&amp;Vlookup(E507,DropDown!R:V,5,FALSE)&amp;IF(ISBLANK(D507)," | "," "&amp;"OR """&amp;YEAR(D507)&amp;""" | ") &amp; """All New"" | Episode | Watch | tv | Show | Series | season | binge | Stream | Film | Movie | Premiere | Screening | Feature | Trailer | Teaser | theater | release)"</f>
        <v>#N/A</v>
      </c>
      <c r="S507" s="23"/>
      <c r="T507" s="23"/>
      <c r="U507" s="23"/>
      <c r="V507" s="23"/>
      <c r="W507" s="23"/>
      <c r="X507" s="38"/>
      <c r="Y507" s="38"/>
      <c r="Z507" s="38"/>
      <c r="AA507" s="38"/>
    </row>
    <row r="508">
      <c r="A508" s="31"/>
      <c r="B508" s="38"/>
      <c r="C508" s="38"/>
      <c r="D508" s="50"/>
      <c r="E508" s="50"/>
      <c r="F508" s="50"/>
      <c r="G508" s="27" t="str">
        <f>VLOOKUP(E508,DropDown!J:K,2,FALSE)</f>
        <v>#N/A</v>
      </c>
      <c r="H508" s="50"/>
      <c r="I508" s="50"/>
      <c r="J508" s="50"/>
      <c r="K508" s="25" t="s">
        <v>116</v>
      </c>
      <c r="L508" s="23"/>
      <c r="M508" s="23"/>
      <c r="N508" s="25" t="str">
        <f>"("""&amp;B508&amp;""") ("&amp;Vlookup(E508,DropDown!J:N,5,FALSE)&amp;" OR """ &amp;YEAR(D508) &amp; """ OR ""All New"" OR Episode OR Watch OR tv OR Show OR Series OR season OR binge OR Stream OR Film OR Movie OR Premiere OR Screening OR Feature OR Trailer OR Teaser OR theater OR release)"</f>
        <v>#N/A</v>
      </c>
      <c r="O508" s="23" t="str">
        <f t="shared" si="1"/>
        <v>#</v>
      </c>
      <c r="P508" s="23" t="str">
        <f t="shared" si="2"/>
        <v>#</v>
      </c>
      <c r="Q508" s="23"/>
      <c r="R508" s="23" t="str">
        <f>"("""&amp;B508&amp;""") ("&amp;Vlookup(E508,DropDown!R:V,5,FALSE)&amp;IF(ISBLANK(D508)," | "," "&amp;"OR """&amp;YEAR(D508)&amp;""" | ") &amp; """All New"" | Episode | Watch | tv | Show | Series | season | binge | Stream | Film | Movie | Premiere | Screening | Feature | Trailer | Teaser | theater | release)"</f>
        <v>#N/A</v>
      </c>
      <c r="S508" s="23"/>
      <c r="T508" s="23"/>
      <c r="U508" s="23"/>
      <c r="V508" s="23"/>
      <c r="W508" s="23"/>
      <c r="X508" s="38"/>
      <c r="Y508" s="38"/>
      <c r="Z508" s="38"/>
      <c r="AA508" s="38"/>
    </row>
    <row r="509">
      <c r="A509" s="31"/>
      <c r="B509" s="38"/>
      <c r="C509" s="38"/>
      <c r="D509" s="50"/>
      <c r="E509" s="50"/>
      <c r="F509" s="50"/>
      <c r="G509" s="27" t="str">
        <f>VLOOKUP(E509,DropDown!J:K,2,FALSE)</f>
        <v>#N/A</v>
      </c>
      <c r="H509" s="50"/>
      <c r="I509" s="50"/>
      <c r="J509" s="50"/>
      <c r="K509" s="25" t="s">
        <v>116</v>
      </c>
      <c r="L509" s="23"/>
      <c r="M509" s="23"/>
      <c r="N509" s="25" t="str">
        <f>"("""&amp;B509&amp;""") ("&amp;Vlookup(E509,DropDown!J:N,5,FALSE)&amp;" OR """ &amp;YEAR(D509) &amp; """ OR ""All New"" OR Episode OR Watch OR tv OR Show OR Series OR season OR binge OR Stream OR Film OR Movie OR Premiere OR Screening OR Feature OR Trailer OR Teaser OR theater OR release)"</f>
        <v>#N/A</v>
      </c>
      <c r="O509" s="23" t="str">
        <f t="shared" si="1"/>
        <v>#</v>
      </c>
      <c r="P509" s="23" t="str">
        <f t="shared" si="2"/>
        <v>#</v>
      </c>
      <c r="Q509" s="23"/>
      <c r="R509" s="23" t="str">
        <f>"("""&amp;B509&amp;""") ("&amp;Vlookup(E509,DropDown!R:V,5,FALSE)&amp;IF(ISBLANK(D509)," | "," "&amp;"OR """&amp;YEAR(D509)&amp;""" | ") &amp; """All New"" | Episode | Watch | tv | Show | Series | season | binge | Stream | Film | Movie | Premiere | Screening | Feature | Trailer | Teaser | theater | release)"</f>
        <v>#N/A</v>
      </c>
      <c r="S509" s="23"/>
      <c r="T509" s="23"/>
      <c r="U509" s="23"/>
      <c r="V509" s="23"/>
      <c r="W509" s="23"/>
      <c r="X509" s="38"/>
      <c r="Y509" s="38"/>
      <c r="Z509" s="38"/>
      <c r="AA509" s="38"/>
    </row>
    <row r="510">
      <c r="A510" s="31"/>
      <c r="B510" s="38"/>
      <c r="C510" s="38"/>
      <c r="D510" s="50"/>
      <c r="E510" s="50"/>
      <c r="F510" s="50"/>
      <c r="G510" s="27" t="str">
        <f>VLOOKUP(E510,DropDown!J:K,2,FALSE)</f>
        <v>#N/A</v>
      </c>
      <c r="H510" s="50"/>
      <c r="I510" s="50"/>
      <c r="J510" s="50"/>
      <c r="K510" s="25" t="s">
        <v>116</v>
      </c>
      <c r="L510" s="23"/>
      <c r="M510" s="23"/>
      <c r="N510" s="25" t="str">
        <f>"("""&amp;B510&amp;""") ("&amp;Vlookup(E510,DropDown!J:N,5,FALSE)&amp;" OR """ &amp;YEAR(D510) &amp; """ OR ""All New"" OR Episode OR Watch OR tv OR Show OR Series OR season OR binge OR Stream OR Film OR Movie OR Premiere OR Screening OR Feature OR Trailer OR Teaser OR theater OR release)"</f>
        <v>#N/A</v>
      </c>
      <c r="O510" s="23" t="str">
        <f t="shared" si="1"/>
        <v>#</v>
      </c>
      <c r="P510" s="23" t="str">
        <f t="shared" si="2"/>
        <v>#</v>
      </c>
      <c r="Q510" s="23"/>
      <c r="R510" s="23" t="str">
        <f>"("""&amp;B510&amp;""") ("&amp;Vlookup(E510,DropDown!R:V,5,FALSE)&amp;IF(ISBLANK(D510)," | "," "&amp;"OR """&amp;YEAR(D510)&amp;""" | ") &amp; """All New"" | Episode | Watch | tv | Show | Series | season | binge | Stream | Film | Movie | Premiere | Screening | Feature | Trailer | Teaser | theater | release)"</f>
        <v>#N/A</v>
      </c>
      <c r="S510" s="23"/>
      <c r="T510" s="23"/>
      <c r="U510" s="23"/>
      <c r="V510" s="23"/>
      <c r="W510" s="23"/>
      <c r="X510" s="38"/>
      <c r="Y510" s="38"/>
      <c r="Z510" s="38"/>
      <c r="AA510" s="38"/>
    </row>
    <row r="511">
      <c r="A511" s="31"/>
      <c r="B511" s="38"/>
      <c r="C511" s="38"/>
      <c r="D511" s="50"/>
      <c r="E511" s="50"/>
      <c r="F511" s="50"/>
      <c r="G511" s="27" t="str">
        <f>VLOOKUP(E511,DropDown!J:K,2,FALSE)</f>
        <v>#N/A</v>
      </c>
      <c r="H511" s="50"/>
      <c r="I511" s="50"/>
      <c r="J511" s="50"/>
      <c r="K511" s="25" t="s">
        <v>116</v>
      </c>
      <c r="L511" s="23"/>
      <c r="M511" s="23"/>
      <c r="N511" s="25" t="str">
        <f>"("""&amp;B511&amp;""") ("&amp;Vlookup(E511,DropDown!J:N,5,FALSE)&amp;" OR """ &amp;YEAR(D511) &amp; """ OR ""All New"" OR Episode OR Watch OR tv OR Show OR Series OR season OR binge OR Stream OR Film OR Movie OR Premiere OR Screening OR Feature OR Trailer OR Teaser OR theater OR release)"</f>
        <v>#N/A</v>
      </c>
      <c r="O511" s="23" t="str">
        <f t="shared" si="1"/>
        <v>#</v>
      </c>
      <c r="P511" s="23" t="str">
        <f t="shared" si="2"/>
        <v>#</v>
      </c>
      <c r="Q511" s="23"/>
      <c r="R511" s="23" t="str">
        <f>"("""&amp;B511&amp;""") ("&amp;Vlookup(E511,DropDown!R:V,5,FALSE)&amp;IF(ISBLANK(D511)," | "," "&amp;"OR """&amp;YEAR(D511)&amp;""" | ") &amp; """All New"" | Episode | Watch | tv | Show | Series | season | binge | Stream | Film | Movie | Premiere | Screening | Feature | Trailer | Teaser | theater | release)"</f>
        <v>#N/A</v>
      </c>
      <c r="S511" s="23"/>
      <c r="T511" s="23"/>
      <c r="U511" s="23"/>
      <c r="V511" s="23"/>
      <c r="W511" s="23"/>
      <c r="X511" s="38"/>
      <c r="Y511" s="38"/>
      <c r="Z511" s="38"/>
      <c r="AA511" s="38"/>
    </row>
    <row r="512">
      <c r="A512" s="31"/>
      <c r="B512" s="38"/>
      <c r="C512" s="38"/>
      <c r="D512" s="50"/>
      <c r="E512" s="50"/>
      <c r="F512" s="50"/>
      <c r="G512" s="27" t="str">
        <f>VLOOKUP(E512,DropDown!J:K,2,FALSE)</f>
        <v>#N/A</v>
      </c>
      <c r="H512" s="50"/>
      <c r="I512" s="50"/>
      <c r="J512" s="50"/>
      <c r="K512" s="25" t="s">
        <v>116</v>
      </c>
      <c r="L512" s="23"/>
      <c r="M512" s="23"/>
      <c r="N512" s="25" t="str">
        <f>"("""&amp;B512&amp;""") ("&amp;Vlookup(E512,DropDown!J:N,5,FALSE)&amp;" OR """ &amp;YEAR(D512) &amp; """ OR ""All New"" OR Episode OR Watch OR tv OR Show OR Series OR season OR binge OR Stream OR Film OR Movie OR Premiere OR Screening OR Feature OR Trailer OR Teaser OR theater OR release)"</f>
        <v>#N/A</v>
      </c>
      <c r="O512" s="23" t="str">
        <f t="shared" si="1"/>
        <v>#</v>
      </c>
      <c r="P512" s="23" t="str">
        <f t="shared" si="2"/>
        <v>#</v>
      </c>
      <c r="Q512" s="23"/>
      <c r="R512" s="23" t="str">
        <f>"("""&amp;B512&amp;""") ("&amp;Vlookup(E512,DropDown!R:V,5,FALSE)&amp;IF(ISBLANK(D512)," | "," "&amp;"OR """&amp;YEAR(D512)&amp;""" | ") &amp; """All New"" | Episode | Watch | tv | Show | Series | season | binge | Stream | Film | Movie | Premiere | Screening | Feature | Trailer | Teaser | theater | release)"</f>
        <v>#N/A</v>
      </c>
      <c r="S512" s="23"/>
      <c r="T512" s="23"/>
      <c r="U512" s="23"/>
      <c r="V512" s="23"/>
      <c r="W512" s="23"/>
      <c r="X512" s="38"/>
      <c r="Y512" s="38"/>
      <c r="Z512" s="38"/>
      <c r="AA512" s="38"/>
    </row>
    <row r="513">
      <c r="A513" s="31"/>
      <c r="B513" s="38"/>
      <c r="C513" s="38"/>
      <c r="D513" s="50"/>
      <c r="E513" s="50"/>
      <c r="F513" s="50"/>
      <c r="G513" s="27" t="str">
        <f>VLOOKUP(E513,DropDown!J:K,2,FALSE)</f>
        <v>#N/A</v>
      </c>
      <c r="H513" s="50"/>
      <c r="I513" s="50"/>
      <c r="J513" s="50"/>
      <c r="K513" s="25" t="s">
        <v>116</v>
      </c>
      <c r="L513" s="23"/>
      <c r="M513" s="23"/>
      <c r="N513" s="25" t="str">
        <f>"("""&amp;B513&amp;""") ("&amp;Vlookup(E513,DropDown!J:N,5,FALSE)&amp;" OR """ &amp;YEAR(D513) &amp; """ OR ""All New"" OR Episode OR Watch OR tv OR Show OR Series OR season OR binge OR Stream OR Film OR Movie OR Premiere OR Screening OR Feature OR Trailer OR Teaser OR theater OR release)"</f>
        <v>#N/A</v>
      </c>
      <c r="O513" s="23" t="str">
        <f t="shared" si="1"/>
        <v>#</v>
      </c>
      <c r="P513" s="23" t="str">
        <f t="shared" si="2"/>
        <v>#</v>
      </c>
      <c r="Q513" s="23"/>
      <c r="R513" s="23" t="str">
        <f>"("""&amp;B513&amp;""") ("&amp;Vlookup(E513,DropDown!R:V,5,FALSE)&amp;IF(ISBLANK(D513)," | "," "&amp;"OR """&amp;YEAR(D513)&amp;""" | ") &amp; """All New"" | Episode | Watch | tv | Show | Series | season | binge | Stream | Film | Movie | Premiere | Screening | Feature | Trailer | Teaser | theater | release)"</f>
        <v>#N/A</v>
      </c>
      <c r="S513" s="23"/>
      <c r="T513" s="23"/>
      <c r="U513" s="23"/>
      <c r="V513" s="23"/>
      <c r="W513" s="23"/>
      <c r="X513" s="38"/>
      <c r="Y513" s="38"/>
      <c r="Z513" s="38"/>
      <c r="AA513" s="38"/>
    </row>
    <row r="514">
      <c r="A514" s="31"/>
      <c r="B514" s="38"/>
      <c r="C514" s="38"/>
      <c r="D514" s="50"/>
      <c r="E514" s="50"/>
      <c r="F514" s="50"/>
      <c r="G514" s="27" t="str">
        <f>VLOOKUP(E514,DropDown!J:K,2,FALSE)</f>
        <v>#N/A</v>
      </c>
      <c r="H514" s="50"/>
      <c r="I514" s="50"/>
      <c r="J514" s="50"/>
      <c r="K514" s="25" t="s">
        <v>116</v>
      </c>
      <c r="L514" s="23"/>
      <c r="M514" s="23"/>
      <c r="N514" s="25" t="str">
        <f>"("""&amp;B514&amp;""") ("&amp;Vlookup(E514,DropDown!J:N,5,FALSE)&amp;" OR """ &amp;YEAR(D514) &amp; """ OR ""All New"" OR Episode OR Watch OR tv OR Show OR Series OR season OR binge OR Stream OR Film OR Movie OR Premiere OR Screening OR Feature OR Trailer OR Teaser OR theater OR release)"</f>
        <v>#N/A</v>
      </c>
      <c r="O514" s="23" t="str">
        <f t="shared" si="1"/>
        <v>#</v>
      </c>
      <c r="P514" s="23" t="str">
        <f t="shared" si="2"/>
        <v>#</v>
      </c>
      <c r="Q514" s="23"/>
      <c r="R514" s="23" t="str">
        <f>"("""&amp;B514&amp;""") ("&amp;Vlookup(E514,DropDown!R:V,5,FALSE)&amp;IF(ISBLANK(D514)," | "," "&amp;"OR """&amp;YEAR(D514)&amp;""" | ") &amp; """All New"" | Episode | Watch | tv | Show | Series | season | binge | Stream | Film | Movie | Premiere | Screening | Feature | Trailer | Teaser | theater | release)"</f>
        <v>#N/A</v>
      </c>
      <c r="S514" s="23"/>
      <c r="T514" s="23"/>
      <c r="U514" s="23"/>
      <c r="V514" s="23"/>
      <c r="W514" s="23"/>
      <c r="X514" s="38"/>
      <c r="Y514" s="38"/>
      <c r="Z514" s="38"/>
      <c r="AA514" s="38"/>
    </row>
    <row r="515">
      <c r="A515" s="31"/>
      <c r="B515" s="38"/>
      <c r="C515" s="38"/>
      <c r="D515" s="50"/>
      <c r="E515" s="50"/>
      <c r="F515" s="50"/>
      <c r="G515" s="27" t="str">
        <f>VLOOKUP(E515,DropDown!J:K,2,FALSE)</f>
        <v>#N/A</v>
      </c>
      <c r="H515" s="50"/>
      <c r="I515" s="50"/>
      <c r="J515" s="50"/>
      <c r="K515" s="25" t="s">
        <v>116</v>
      </c>
      <c r="L515" s="23"/>
      <c r="M515" s="23"/>
      <c r="N515" s="25" t="str">
        <f>"("""&amp;B515&amp;""") ("&amp;Vlookup(E515,DropDown!J:N,5,FALSE)&amp;" OR """ &amp;YEAR(D515) &amp; """ OR ""All New"" OR Episode OR Watch OR tv OR Show OR Series OR season OR binge OR Stream OR Film OR Movie OR Premiere OR Screening OR Feature OR Trailer OR Teaser OR theater OR release)"</f>
        <v>#N/A</v>
      </c>
      <c r="O515" s="23" t="str">
        <f t="shared" si="1"/>
        <v>#</v>
      </c>
      <c r="P515" s="23" t="str">
        <f t="shared" si="2"/>
        <v>#</v>
      </c>
      <c r="Q515" s="23"/>
      <c r="R515" s="23" t="str">
        <f>"("""&amp;B515&amp;""") ("&amp;Vlookup(E515,DropDown!R:V,5,FALSE)&amp;IF(ISBLANK(D515)," | "," "&amp;"OR """&amp;YEAR(D515)&amp;""" | ") &amp; """All New"" | Episode | Watch | tv | Show | Series | season | binge | Stream | Film | Movie | Premiere | Screening | Feature | Trailer | Teaser | theater | release)"</f>
        <v>#N/A</v>
      </c>
      <c r="S515" s="23"/>
      <c r="T515" s="23"/>
      <c r="U515" s="23"/>
      <c r="V515" s="23"/>
      <c r="W515" s="23"/>
      <c r="X515" s="38"/>
      <c r="Y515" s="38"/>
      <c r="Z515" s="38"/>
      <c r="AA515" s="38"/>
    </row>
    <row r="516">
      <c r="A516" s="31"/>
      <c r="B516" s="38"/>
      <c r="C516" s="38"/>
      <c r="D516" s="50"/>
      <c r="E516" s="50"/>
      <c r="F516" s="50"/>
      <c r="G516" s="27" t="str">
        <f>VLOOKUP(E516,DropDown!J:K,2,FALSE)</f>
        <v>#N/A</v>
      </c>
      <c r="H516" s="50"/>
      <c r="I516" s="50"/>
      <c r="J516" s="50"/>
      <c r="K516" s="25" t="s">
        <v>116</v>
      </c>
      <c r="L516" s="23"/>
      <c r="M516" s="23"/>
      <c r="N516" s="25" t="str">
        <f>"("""&amp;B516&amp;""") ("&amp;Vlookup(E516,DropDown!J:N,5,FALSE)&amp;" OR """ &amp;YEAR(D516) &amp; """ OR ""All New"" OR Episode OR Watch OR tv OR Show OR Series OR season OR binge OR Stream OR Film OR Movie OR Premiere OR Screening OR Feature OR Trailer OR Teaser OR theater OR release)"</f>
        <v>#N/A</v>
      </c>
      <c r="O516" s="23" t="str">
        <f t="shared" si="1"/>
        <v>#</v>
      </c>
      <c r="P516" s="23" t="str">
        <f t="shared" si="2"/>
        <v>#</v>
      </c>
      <c r="Q516" s="23"/>
      <c r="R516" s="23" t="str">
        <f>"("""&amp;B516&amp;""") ("&amp;Vlookup(E516,DropDown!R:V,5,FALSE)&amp;IF(ISBLANK(D516)," | "," "&amp;"OR """&amp;YEAR(D516)&amp;""" | ") &amp; """All New"" | Episode | Watch | tv | Show | Series | season | binge | Stream | Film | Movie | Premiere | Screening | Feature | Trailer | Teaser | theater | release)"</f>
        <v>#N/A</v>
      </c>
      <c r="S516" s="23"/>
      <c r="T516" s="23"/>
      <c r="U516" s="23"/>
      <c r="V516" s="23"/>
      <c r="W516" s="23"/>
      <c r="X516" s="38"/>
      <c r="Y516" s="38"/>
      <c r="Z516" s="38"/>
      <c r="AA516" s="38"/>
    </row>
    <row r="517">
      <c r="A517" s="31"/>
      <c r="B517" s="38"/>
      <c r="C517" s="38"/>
      <c r="D517" s="50"/>
      <c r="E517" s="50"/>
      <c r="F517" s="50"/>
      <c r="G517" s="27" t="str">
        <f>VLOOKUP(E517,DropDown!J:K,2,FALSE)</f>
        <v>#N/A</v>
      </c>
      <c r="H517" s="50"/>
      <c r="I517" s="50"/>
      <c r="J517" s="50"/>
      <c r="K517" s="25" t="s">
        <v>116</v>
      </c>
      <c r="L517" s="23"/>
      <c r="M517" s="23"/>
      <c r="N517" s="25" t="str">
        <f>"("""&amp;B517&amp;""") ("&amp;Vlookup(E517,DropDown!J:N,5,FALSE)&amp;" OR """ &amp;YEAR(D517) &amp; """ OR ""All New"" OR Episode OR Watch OR tv OR Show OR Series OR season OR binge OR Stream OR Film OR Movie OR Premiere OR Screening OR Feature OR Trailer OR Teaser OR theater OR release)"</f>
        <v>#N/A</v>
      </c>
      <c r="O517" s="23" t="str">
        <f t="shared" si="1"/>
        <v>#</v>
      </c>
      <c r="P517" s="23" t="str">
        <f t="shared" si="2"/>
        <v>#</v>
      </c>
      <c r="Q517" s="23"/>
      <c r="R517" s="23" t="str">
        <f>"("""&amp;B517&amp;""") ("&amp;Vlookup(E517,DropDown!R:V,5,FALSE)&amp;IF(ISBLANK(D517)," | "," "&amp;"OR """&amp;YEAR(D517)&amp;""" | ") &amp; """All New"" | Episode | Watch | tv | Show | Series | season | binge | Stream | Film | Movie | Premiere | Screening | Feature | Trailer | Teaser | theater | release)"</f>
        <v>#N/A</v>
      </c>
      <c r="S517" s="23"/>
      <c r="T517" s="23"/>
      <c r="U517" s="23"/>
      <c r="V517" s="23"/>
      <c r="W517" s="23"/>
      <c r="X517" s="38"/>
      <c r="Y517" s="38"/>
      <c r="Z517" s="38"/>
      <c r="AA517" s="38"/>
    </row>
    <row r="518">
      <c r="A518" s="31"/>
      <c r="B518" s="38"/>
      <c r="C518" s="38"/>
      <c r="D518" s="50"/>
      <c r="E518" s="50"/>
      <c r="F518" s="50"/>
      <c r="G518" s="27" t="str">
        <f>VLOOKUP(E518,DropDown!J:K,2,FALSE)</f>
        <v>#N/A</v>
      </c>
      <c r="H518" s="50"/>
      <c r="I518" s="50"/>
      <c r="J518" s="50"/>
      <c r="K518" s="25" t="s">
        <v>116</v>
      </c>
      <c r="L518" s="23"/>
      <c r="M518" s="23"/>
      <c r="N518" s="25" t="str">
        <f>"("""&amp;B518&amp;""") ("&amp;Vlookup(E518,DropDown!J:N,5,FALSE)&amp;" OR """ &amp;YEAR(D518) &amp; """ OR ""All New"" OR Episode OR Watch OR tv OR Show OR Series OR season OR binge OR Stream OR Film OR Movie OR Premiere OR Screening OR Feature OR Trailer OR Teaser OR theater OR release)"</f>
        <v>#N/A</v>
      </c>
      <c r="O518" s="23" t="str">
        <f t="shared" si="1"/>
        <v>#</v>
      </c>
      <c r="P518" s="23" t="str">
        <f t="shared" si="2"/>
        <v>#</v>
      </c>
      <c r="Q518" s="23"/>
      <c r="R518" s="23" t="str">
        <f>"("""&amp;B518&amp;""") ("&amp;Vlookup(E518,DropDown!R:V,5,FALSE)&amp;IF(ISBLANK(D518)," | "," "&amp;"OR """&amp;YEAR(D518)&amp;""" | ") &amp; """All New"" | Episode | Watch | tv | Show | Series | season | binge | Stream | Film | Movie | Premiere | Screening | Feature | Trailer | Teaser | theater | release)"</f>
        <v>#N/A</v>
      </c>
      <c r="S518" s="23"/>
      <c r="T518" s="23"/>
      <c r="U518" s="23"/>
      <c r="V518" s="23"/>
      <c r="W518" s="23"/>
      <c r="X518" s="38"/>
      <c r="Y518" s="38"/>
      <c r="Z518" s="38"/>
      <c r="AA518" s="38"/>
    </row>
    <row r="519">
      <c r="A519" s="31"/>
      <c r="B519" s="38"/>
      <c r="C519" s="38"/>
      <c r="D519" s="50"/>
      <c r="E519" s="50"/>
      <c r="F519" s="50"/>
      <c r="G519" s="27" t="str">
        <f>VLOOKUP(E519,DropDown!J:K,2,FALSE)</f>
        <v>#N/A</v>
      </c>
      <c r="H519" s="50"/>
      <c r="I519" s="50"/>
      <c r="J519" s="50"/>
      <c r="K519" s="25" t="s">
        <v>116</v>
      </c>
      <c r="L519" s="23"/>
      <c r="M519" s="23"/>
      <c r="N519" s="25" t="str">
        <f>"("""&amp;B519&amp;""") ("&amp;Vlookup(E519,DropDown!J:N,5,FALSE)&amp;" OR """ &amp;YEAR(D519) &amp; """ OR ""All New"" OR Episode OR Watch OR tv OR Show OR Series OR season OR binge OR Stream OR Film OR Movie OR Premiere OR Screening OR Feature OR Trailer OR Teaser OR theater OR release)"</f>
        <v>#N/A</v>
      </c>
      <c r="O519" s="23" t="str">
        <f t="shared" si="1"/>
        <v>#</v>
      </c>
      <c r="P519" s="23" t="str">
        <f t="shared" si="2"/>
        <v>#</v>
      </c>
      <c r="Q519" s="23"/>
      <c r="R519" s="23" t="str">
        <f>"("""&amp;B519&amp;""") ("&amp;Vlookup(E519,DropDown!R:V,5,FALSE)&amp;IF(ISBLANK(D519)," | "," "&amp;"OR """&amp;YEAR(D519)&amp;""" | ") &amp; """All New"" | Episode | Watch | tv | Show | Series | season | binge | Stream | Film | Movie | Premiere | Screening | Feature | Trailer | Teaser | theater | release)"</f>
        <v>#N/A</v>
      </c>
      <c r="S519" s="23"/>
      <c r="T519" s="23"/>
      <c r="U519" s="23"/>
      <c r="V519" s="23"/>
      <c r="W519" s="23"/>
      <c r="X519" s="38"/>
      <c r="Y519" s="38"/>
      <c r="Z519" s="38"/>
      <c r="AA519" s="38"/>
    </row>
    <row r="520">
      <c r="A520" s="31"/>
      <c r="B520" s="38"/>
      <c r="C520" s="38"/>
      <c r="D520" s="50"/>
      <c r="E520" s="50"/>
      <c r="F520" s="50"/>
      <c r="G520" s="27" t="str">
        <f>VLOOKUP(E520,DropDown!J:K,2,FALSE)</f>
        <v>#N/A</v>
      </c>
      <c r="H520" s="50"/>
      <c r="I520" s="50"/>
      <c r="J520" s="50"/>
      <c r="K520" s="25" t="s">
        <v>116</v>
      </c>
      <c r="L520" s="23"/>
      <c r="M520" s="23"/>
      <c r="N520" s="25" t="str">
        <f>"("""&amp;B520&amp;""") ("&amp;Vlookup(E520,DropDown!J:N,5,FALSE)&amp;" OR """ &amp;YEAR(D520) &amp; """ OR ""All New"" OR Episode OR Watch OR tv OR Show OR Series OR season OR binge OR Stream OR Film OR Movie OR Premiere OR Screening OR Feature OR Trailer OR Teaser OR theater OR release)"</f>
        <v>#N/A</v>
      </c>
      <c r="O520" s="23" t="str">
        <f t="shared" si="1"/>
        <v>#</v>
      </c>
      <c r="P520" s="23" t="str">
        <f t="shared" si="2"/>
        <v>#</v>
      </c>
      <c r="Q520" s="23"/>
      <c r="R520" s="23" t="str">
        <f>"("""&amp;B520&amp;""") ("&amp;Vlookup(E520,DropDown!R:V,5,FALSE)&amp;IF(ISBLANK(D520)," | "," "&amp;"OR """&amp;YEAR(D520)&amp;""" | ") &amp; """All New"" | Episode | Watch | tv | Show | Series | season | binge | Stream | Film | Movie | Premiere | Screening | Feature | Trailer | Teaser | theater | release)"</f>
        <v>#N/A</v>
      </c>
      <c r="S520" s="23"/>
      <c r="T520" s="23"/>
      <c r="U520" s="23"/>
      <c r="V520" s="23"/>
      <c r="W520" s="23"/>
      <c r="X520" s="38"/>
      <c r="Y520" s="38"/>
      <c r="Z520" s="38"/>
      <c r="AA520" s="38"/>
    </row>
    <row r="521">
      <c r="A521" s="31"/>
      <c r="B521" s="38"/>
      <c r="C521" s="38"/>
      <c r="D521" s="50"/>
      <c r="E521" s="50"/>
      <c r="F521" s="50"/>
      <c r="G521" s="27" t="str">
        <f>VLOOKUP(E521,DropDown!J:K,2,FALSE)</f>
        <v>#N/A</v>
      </c>
      <c r="H521" s="50"/>
      <c r="I521" s="50"/>
      <c r="J521" s="50"/>
      <c r="K521" s="25" t="s">
        <v>116</v>
      </c>
      <c r="L521" s="23"/>
      <c r="M521" s="23"/>
      <c r="N521" s="25" t="str">
        <f>"("""&amp;B521&amp;""") ("&amp;Vlookup(E521,DropDown!J:N,5,FALSE)&amp;" OR """ &amp;YEAR(D521) &amp; """ OR ""All New"" OR Episode OR Watch OR tv OR Show OR Series OR season OR binge OR Stream OR Film OR Movie OR Premiere OR Screening OR Feature OR Trailer OR Teaser OR theater OR release)"</f>
        <v>#N/A</v>
      </c>
      <c r="O521" s="23" t="str">
        <f t="shared" si="1"/>
        <v>#</v>
      </c>
      <c r="P521" s="23" t="str">
        <f t="shared" si="2"/>
        <v>#</v>
      </c>
      <c r="Q521" s="23"/>
      <c r="R521" s="23" t="str">
        <f>"("""&amp;B521&amp;""") ("&amp;Vlookup(E521,DropDown!R:V,5,FALSE)&amp;IF(ISBLANK(D521)," | "," "&amp;"OR """&amp;YEAR(D521)&amp;""" | ") &amp; """All New"" | Episode | Watch | tv | Show | Series | season | binge | Stream | Film | Movie | Premiere | Screening | Feature | Trailer | Teaser | theater | release)"</f>
        <v>#N/A</v>
      </c>
      <c r="S521" s="23"/>
      <c r="T521" s="23"/>
      <c r="U521" s="23"/>
      <c r="V521" s="23"/>
      <c r="W521" s="23"/>
      <c r="X521" s="38"/>
      <c r="Y521" s="38"/>
      <c r="Z521" s="38"/>
      <c r="AA521" s="38"/>
    </row>
    <row r="522">
      <c r="A522" s="31"/>
      <c r="B522" s="38"/>
      <c r="C522" s="38"/>
      <c r="D522" s="50"/>
      <c r="E522" s="50"/>
      <c r="F522" s="50"/>
      <c r="G522" s="27" t="str">
        <f>VLOOKUP(E522,DropDown!J:K,2,FALSE)</f>
        <v>#N/A</v>
      </c>
      <c r="H522" s="50"/>
      <c r="I522" s="50"/>
      <c r="J522" s="50"/>
      <c r="K522" s="25" t="s">
        <v>116</v>
      </c>
      <c r="L522" s="23"/>
      <c r="M522" s="23"/>
      <c r="N522" s="25" t="str">
        <f>"("""&amp;B522&amp;""") ("&amp;Vlookup(E522,DropDown!J:N,5,FALSE)&amp;" OR """ &amp;YEAR(D522) &amp; """ OR ""All New"" OR Episode OR Watch OR tv OR Show OR Series OR season OR binge OR Stream OR Film OR Movie OR Premiere OR Screening OR Feature OR Trailer OR Teaser OR theater OR release)"</f>
        <v>#N/A</v>
      </c>
      <c r="O522" s="23" t="str">
        <f t="shared" si="1"/>
        <v>#</v>
      </c>
      <c r="P522" s="23" t="str">
        <f t="shared" si="2"/>
        <v>#</v>
      </c>
      <c r="Q522" s="23"/>
      <c r="R522" s="23" t="str">
        <f>"("""&amp;B522&amp;""") ("&amp;Vlookup(E522,DropDown!R:V,5,FALSE)&amp;IF(ISBLANK(D522)," | "," "&amp;"OR """&amp;YEAR(D522)&amp;""" | ") &amp; """All New"" | Episode | Watch | tv | Show | Series | season | binge | Stream | Film | Movie | Premiere | Screening | Feature | Trailer | Teaser | theater | release)"</f>
        <v>#N/A</v>
      </c>
      <c r="S522" s="23"/>
      <c r="T522" s="23"/>
      <c r="U522" s="23"/>
      <c r="V522" s="23"/>
      <c r="W522" s="23"/>
      <c r="X522" s="38"/>
      <c r="Y522" s="38"/>
      <c r="Z522" s="38"/>
      <c r="AA522" s="38"/>
    </row>
    <row r="523">
      <c r="A523" s="31"/>
      <c r="B523" s="38"/>
      <c r="C523" s="38"/>
      <c r="D523" s="50"/>
      <c r="E523" s="50"/>
      <c r="F523" s="50"/>
      <c r="G523" s="27" t="str">
        <f>VLOOKUP(E523,DropDown!J:K,2,FALSE)</f>
        <v>#N/A</v>
      </c>
      <c r="H523" s="50"/>
      <c r="I523" s="50"/>
      <c r="J523" s="50"/>
      <c r="K523" s="25" t="s">
        <v>116</v>
      </c>
      <c r="L523" s="23"/>
      <c r="M523" s="23"/>
      <c r="N523" s="25" t="str">
        <f>"("""&amp;B523&amp;""") ("&amp;Vlookup(E523,DropDown!J:N,5,FALSE)&amp;" OR """ &amp;YEAR(D523) &amp; """ OR ""All New"" OR Episode OR Watch OR tv OR Show OR Series OR season OR binge OR Stream OR Film OR Movie OR Premiere OR Screening OR Feature OR Trailer OR Teaser OR theater OR release)"</f>
        <v>#N/A</v>
      </c>
      <c r="O523" s="23" t="str">
        <f t="shared" si="1"/>
        <v>#</v>
      </c>
      <c r="P523" s="23" t="str">
        <f t="shared" si="2"/>
        <v>#</v>
      </c>
      <c r="Q523" s="23"/>
      <c r="R523" s="23" t="str">
        <f>"("""&amp;B523&amp;""") ("&amp;Vlookup(E523,DropDown!R:V,5,FALSE)&amp;IF(ISBLANK(D523)," | "," "&amp;"OR """&amp;YEAR(D523)&amp;""" | ") &amp; """All New"" | Episode | Watch | tv | Show | Series | season | binge | Stream | Film | Movie | Premiere | Screening | Feature | Trailer | Teaser | theater | release)"</f>
        <v>#N/A</v>
      </c>
      <c r="S523" s="23"/>
      <c r="T523" s="23"/>
      <c r="U523" s="23"/>
      <c r="V523" s="23"/>
      <c r="W523" s="23"/>
      <c r="X523" s="38"/>
      <c r="Y523" s="38"/>
      <c r="Z523" s="38"/>
      <c r="AA523" s="38"/>
    </row>
    <row r="524">
      <c r="A524" s="31"/>
      <c r="B524" s="38"/>
      <c r="C524" s="38"/>
      <c r="D524" s="50"/>
      <c r="E524" s="50"/>
      <c r="F524" s="50"/>
      <c r="G524" s="27" t="str">
        <f>VLOOKUP(E524,DropDown!J:K,2,FALSE)</f>
        <v>#N/A</v>
      </c>
      <c r="H524" s="50"/>
      <c r="I524" s="50"/>
      <c r="J524" s="50"/>
      <c r="K524" s="25" t="s">
        <v>116</v>
      </c>
      <c r="L524" s="23"/>
      <c r="M524" s="23"/>
      <c r="N524" s="25" t="str">
        <f>"("""&amp;B524&amp;""") ("&amp;Vlookup(E524,DropDown!J:N,5,FALSE)&amp;" OR """ &amp;YEAR(D524) &amp; """ OR ""All New"" OR Episode OR Watch OR tv OR Show OR Series OR season OR binge OR Stream OR Film OR Movie OR Premiere OR Screening OR Feature OR Trailer OR Teaser OR theater OR release)"</f>
        <v>#N/A</v>
      </c>
      <c r="O524" s="23" t="str">
        <f t="shared" si="1"/>
        <v>#</v>
      </c>
      <c r="P524" s="23" t="str">
        <f t="shared" si="2"/>
        <v>#</v>
      </c>
      <c r="Q524" s="23"/>
      <c r="R524" s="23" t="str">
        <f>"("""&amp;B524&amp;""") ("&amp;Vlookup(E524,DropDown!R:V,5,FALSE)&amp;IF(ISBLANK(D524)," | "," "&amp;"OR """&amp;YEAR(D524)&amp;""" | ") &amp; """All New"" | Episode | Watch | tv | Show | Series | season | binge | Stream | Film | Movie | Premiere | Screening | Feature | Trailer | Teaser | theater | release)"</f>
        <v>#N/A</v>
      </c>
      <c r="S524" s="23"/>
      <c r="T524" s="23"/>
      <c r="U524" s="23"/>
      <c r="V524" s="23"/>
      <c r="W524" s="23"/>
      <c r="X524" s="38"/>
      <c r="Y524" s="38"/>
      <c r="Z524" s="38"/>
      <c r="AA524" s="38"/>
    </row>
    <row r="525">
      <c r="A525" s="31"/>
      <c r="B525" s="38"/>
      <c r="C525" s="38"/>
      <c r="D525" s="50"/>
      <c r="E525" s="50"/>
      <c r="F525" s="50"/>
      <c r="G525" s="27" t="str">
        <f>VLOOKUP(E525,DropDown!J:K,2,FALSE)</f>
        <v>#N/A</v>
      </c>
      <c r="H525" s="50"/>
      <c r="I525" s="50"/>
      <c r="J525" s="50"/>
      <c r="K525" s="25" t="s">
        <v>116</v>
      </c>
      <c r="L525" s="23"/>
      <c r="M525" s="23"/>
      <c r="N525" s="25" t="str">
        <f>"("""&amp;B525&amp;""") ("&amp;Vlookup(E525,DropDown!J:N,5,FALSE)&amp;" OR """ &amp;YEAR(D525) &amp; """ OR ""All New"" OR Episode OR Watch OR tv OR Show OR Series OR season OR binge OR Stream OR Film OR Movie OR Premiere OR Screening OR Feature OR Trailer OR Teaser OR theater OR release)"</f>
        <v>#N/A</v>
      </c>
      <c r="O525" s="23" t="str">
        <f t="shared" si="1"/>
        <v>#</v>
      </c>
      <c r="P525" s="23" t="str">
        <f t="shared" si="2"/>
        <v>#</v>
      </c>
      <c r="Q525" s="23"/>
      <c r="R525" s="23" t="str">
        <f>"("""&amp;B525&amp;""") ("&amp;Vlookup(E525,DropDown!R:V,5,FALSE)&amp;IF(ISBLANK(D525)," | "," "&amp;"OR """&amp;YEAR(D525)&amp;""" | ") &amp; """All New"" | Episode | Watch | tv | Show | Series | season | binge | Stream | Film | Movie | Premiere | Screening | Feature | Trailer | Teaser | theater | release)"</f>
        <v>#N/A</v>
      </c>
      <c r="S525" s="23"/>
      <c r="T525" s="23"/>
      <c r="U525" s="23"/>
      <c r="V525" s="23"/>
      <c r="W525" s="23"/>
      <c r="X525" s="38"/>
      <c r="Y525" s="38"/>
      <c r="Z525" s="38"/>
      <c r="AA525" s="38"/>
    </row>
    <row r="526">
      <c r="A526" s="31"/>
      <c r="B526" s="38"/>
      <c r="C526" s="38"/>
      <c r="D526" s="50"/>
      <c r="E526" s="50"/>
      <c r="F526" s="50"/>
      <c r="G526" s="27" t="str">
        <f>VLOOKUP(E526,DropDown!J:K,2,FALSE)</f>
        <v>#N/A</v>
      </c>
      <c r="H526" s="50"/>
      <c r="I526" s="50"/>
      <c r="J526" s="50"/>
      <c r="K526" s="25" t="s">
        <v>116</v>
      </c>
      <c r="L526" s="23"/>
      <c r="M526" s="23"/>
      <c r="N526" s="25" t="str">
        <f>"("""&amp;B526&amp;""") ("&amp;Vlookup(E526,DropDown!J:N,5,FALSE)&amp;" OR """ &amp;YEAR(D526) &amp; """ OR ""All New"" OR Episode OR Watch OR tv OR Show OR Series OR season OR binge OR Stream OR Film OR Movie OR Premiere OR Screening OR Feature OR Trailer OR Teaser OR theater OR release)"</f>
        <v>#N/A</v>
      </c>
      <c r="O526" s="23" t="str">
        <f t="shared" si="1"/>
        <v>#</v>
      </c>
      <c r="P526" s="23" t="str">
        <f t="shared" si="2"/>
        <v>#</v>
      </c>
      <c r="Q526" s="23"/>
      <c r="R526" s="23" t="str">
        <f>"("""&amp;B526&amp;""") ("&amp;Vlookup(E526,DropDown!R:V,5,FALSE)&amp;IF(ISBLANK(D526)," | "," "&amp;"OR """&amp;YEAR(D526)&amp;""" | ") &amp; """All New"" | Episode | Watch | tv | Show | Series | season | binge | Stream | Film | Movie | Premiere | Screening | Feature | Trailer | Teaser | theater | release)"</f>
        <v>#N/A</v>
      </c>
      <c r="S526" s="23"/>
      <c r="T526" s="23"/>
      <c r="U526" s="23"/>
      <c r="V526" s="23"/>
      <c r="W526" s="23"/>
      <c r="X526" s="38"/>
      <c r="Y526" s="38"/>
      <c r="Z526" s="38"/>
      <c r="AA526" s="38"/>
    </row>
    <row r="527">
      <c r="A527" s="31"/>
      <c r="B527" s="38"/>
      <c r="C527" s="38"/>
      <c r="D527" s="50"/>
      <c r="E527" s="50"/>
      <c r="F527" s="50"/>
      <c r="G527" s="27" t="str">
        <f>VLOOKUP(E527,DropDown!J:K,2,FALSE)</f>
        <v>#N/A</v>
      </c>
      <c r="H527" s="50"/>
      <c r="I527" s="50"/>
      <c r="J527" s="50"/>
      <c r="K527" s="25" t="s">
        <v>116</v>
      </c>
      <c r="L527" s="23"/>
      <c r="M527" s="23"/>
      <c r="N527" s="25" t="str">
        <f>"("""&amp;B527&amp;""") ("&amp;Vlookup(E527,DropDown!J:N,5,FALSE)&amp;" OR """ &amp;YEAR(D527) &amp; """ OR ""All New"" OR Episode OR Watch OR tv OR Show OR Series OR season OR binge OR Stream OR Film OR Movie OR Premiere OR Screening OR Feature OR Trailer OR Teaser OR theater OR release)"</f>
        <v>#N/A</v>
      </c>
      <c r="O527" s="23" t="str">
        <f t="shared" si="1"/>
        <v>#</v>
      </c>
      <c r="P527" s="23" t="str">
        <f t="shared" si="2"/>
        <v>#</v>
      </c>
      <c r="Q527" s="23"/>
      <c r="R527" s="23" t="str">
        <f>"("""&amp;B527&amp;""") ("&amp;Vlookup(E527,DropDown!R:V,5,FALSE)&amp;IF(ISBLANK(D527)," | "," "&amp;"OR """&amp;YEAR(D527)&amp;""" | ") &amp; """All New"" | Episode | Watch | tv | Show | Series | season | binge | Stream | Film | Movie | Premiere | Screening | Feature | Trailer | Teaser | theater | release)"</f>
        <v>#N/A</v>
      </c>
      <c r="S527" s="23"/>
      <c r="T527" s="23"/>
      <c r="U527" s="23"/>
      <c r="V527" s="23"/>
      <c r="W527" s="23"/>
      <c r="X527" s="38"/>
      <c r="Y527" s="38"/>
      <c r="Z527" s="38"/>
      <c r="AA527" s="38"/>
    </row>
    <row r="528">
      <c r="A528" s="31"/>
      <c r="B528" s="38"/>
      <c r="C528" s="38"/>
      <c r="D528" s="50"/>
      <c r="E528" s="50"/>
      <c r="F528" s="50"/>
      <c r="G528" s="27" t="str">
        <f>VLOOKUP(E528,DropDown!J:K,2,FALSE)</f>
        <v>#N/A</v>
      </c>
      <c r="H528" s="50"/>
      <c r="I528" s="50"/>
      <c r="J528" s="50"/>
      <c r="K528" s="25" t="s">
        <v>116</v>
      </c>
      <c r="L528" s="23"/>
      <c r="M528" s="23"/>
      <c r="N528" s="25" t="str">
        <f>"("""&amp;B528&amp;""") ("&amp;Vlookup(E528,DropDown!J:N,5,FALSE)&amp;" OR """ &amp;YEAR(D528) &amp; """ OR ""All New"" OR Episode OR Watch OR tv OR Show OR Series OR season OR binge OR Stream OR Film OR Movie OR Premiere OR Screening OR Feature OR Trailer OR Teaser OR theater OR release)"</f>
        <v>#N/A</v>
      </c>
      <c r="O528" s="23" t="str">
        <f t="shared" si="1"/>
        <v>#</v>
      </c>
      <c r="P528" s="23" t="str">
        <f t="shared" si="2"/>
        <v>#</v>
      </c>
      <c r="Q528" s="23"/>
      <c r="R528" s="23" t="str">
        <f>"("""&amp;B528&amp;""") ("&amp;Vlookup(E528,DropDown!R:V,5,FALSE)&amp;IF(ISBLANK(D528)," | "," "&amp;"OR """&amp;YEAR(D528)&amp;""" | ") &amp; """All New"" | Episode | Watch | tv | Show | Series | season | binge | Stream | Film | Movie | Premiere | Screening | Feature | Trailer | Teaser | theater | release)"</f>
        <v>#N/A</v>
      </c>
      <c r="S528" s="23"/>
      <c r="T528" s="23"/>
      <c r="U528" s="23"/>
      <c r="V528" s="23"/>
      <c r="W528" s="23"/>
      <c r="X528" s="38"/>
      <c r="Y528" s="38"/>
      <c r="Z528" s="38"/>
      <c r="AA528" s="38"/>
    </row>
    <row r="529">
      <c r="A529" s="31"/>
      <c r="B529" s="38"/>
      <c r="C529" s="38"/>
      <c r="D529" s="50"/>
      <c r="E529" s="50"/>
      <c r="F529" s="50"/>
      <c r="G529" s="27" t="str">
        <f>VLOOKUP(E529,DropDown!J:K,2,FALSE)</f>
        <v>#N/A</v>
      </c>
      <c r="H529" s="50"/>
      <c r="I529" s="50"/>
      <c r="J529" s="50"/>
      <c r="K529" s="25" t="s">
        <v>116</v>
      </c>
      <c r="L529" s="23"/>
      <c r="M529" s="23"/>
      <c r="N529" s="25" t="str">
        <f>"("""&amp;B529&amp;""") ("&amp;Vlookup(E529,DropDown!J:N,5,FALSE)&amp;" OR """ &amp;YEAR(D529) &amp; """ OR ""All New"" OR Episode OR Watch OR tv OR Show OR Series OR season OR binge OR Stream OR Film OR Movie OR Premiere OR Screening OR Feature OR Trailer OR Teaser OR theater OR release)"</f>
        <v>#N/A</v>
      </c>
      <c r="O529" s="23" t="str">
        <f t="shared" si="1"/>
        <v>#</v>
      </c>
      <c r="P529" s="23" t="str">
        <f t="shared" si="2"/>
        <v>#</v>
      </c>
      <c r="Q529" s="23"/>
      <c r="R529" s="23" t="str">
        <f>"("""&amp;B529&amp;""") ("&amp;Vlookup(E529,DropDown!R:V,5,FALSE)&amp;IF(ISBLANK(D529)," | "," "&amp;"OR """&amp;YEAR(D529)&amp;""" | ") &amp; """All New"" | Episode | Watch | tv | Show | Series | season | binge | Stream | Film | Movie | Premiere | Screening | Feature | Trailer | Teaser | theater | release)"</f>
        <v>#N/A</v>
      </c>
      <c r="S529" s="23"/>
      <c r="T529" s="23"/>
      <c r="U529" s="23"/>
      <c r="V529" s="23"/>
      <c r="W529" s="23"/>
      <c r="X529" s="38"/>
      <c r="Y529" s="38"/>
      <c r="Z529" s="38"/>
      <c r="AA529" s="38"/>
    </row>
    <row r="530">
      <c r="A530" s="31"/>
      <c r="B530" s="38"/>
      <c r="C530" s="38"/>
      <c r="D530" s="50"/>
      <c r="E530" s="50"/>
      <c r="F530" s="50"/>
      <c r="G530" s="27" t="str">
        <f>VLOOKUP(E530,DropDown!J:K,2,FALSE)</f>
        <v>#N/A</v>
      </c>
      <c r="H530" s="50"/>
      <c r="I530" s="50"/>
      <c r="J530" s="50"/>
      <c r="K530" s="25" t="s">
        <v>116</v>
      </c>
      <c r="L530" s="23"/>
      <c r="M530" s="23"/>
      <c r="N530" s="25" t="str">
        <f>"("""&amp;B530&amp;""") ("&amp;Vlookup(E530,DropDown!J:N,5,FALSE)&amp;" OR """ &amp;YEAR(D530) &amp; """ OR ""All New"" OR Episode OR Watch OR tv OR Show OR Series OR season OR binge OR Stream OR Film OR Movie OR Premiere OR Screening OR Feature OR Trailer OR Teaser OR theater OR release)"</f>
        <v>#N/A</v>
      </c>
      <c r="O530" s="23" t="str">
        <f t="shared" si="1"/>
        <v>#</v>
      </c>
      <c r="P530" s="23" t="str">
        <f t="shared" si="2"/>
        <v>#</v>
      </c>
      <c r="Q530" s="23"/>
      <c r="R530" s="23" t="str">
        <f>"("""&amp;B530&amp;""") ("&amp;Vlookup(E530,DropDown!R:V,5,FALSE)&amp;IF(ISBLANK(D530)," | "," "&amp;"OR """&amp;YEAR(D530)&amp;""" | ") &amp; """All New"" | Episode | Watch | tv | Show | Series | season | binge | Stream | Film | Movie | Premiere | Screening | Feature | Trailer | Teaser | theater | release)"</f>
        <v>#N/A</v>
      </c>
      <c r="S530" s="23"/>
      <c r="T530" s="23"/>
      <c r="U530" s="23"/>
      <c r="V530" s="23"/>
      <c r="W530" s="23"/>
      <c r="X530" s="38"/>
      <c r="Y530" s="38"/>
      <c r="Z530" s="38"/>
      <c r="AA530" s="38"/>
    </row>
    <row r="531">
      <c r="A531" s="31"/>
      <c r="B531" s="38"/>
      <c r="C531" s="38"/>
      <c r="D531" s="50"/>
      <c r="E531" s="50"/>
      <c r="F531" s="50"/>
      <c r="G531" s="27" t="str">
        <f>VLOOKUP(E531,DropDown!J:K,2,FALSE)</f>
        <v>#N/A</v>
      </c>
      <c r="H531" s="50"/>
      <c r="I531" s="50"/>
      <c r="J531" s="50"/>
      <c r="K531" s="25" t="s">
        <v>116</v>
      </c>
      <c r="L531" s="23"/>
      <c r="M531" s="23"/>
      <c r="N531" s="25" t="str">
        <f>"("""&amp;B531&amp;""") ("&amp;Vlookup(E531,DropDown!J:N,5,FALSE)&amp;" OR """ &amp;YEAR(D531) &amp; """ OR ""All New"" OR Episode OR Watch OR tv OR Show OR Series OR season OR binge OR Stream OR Film OR Movie OR Premiere OR Screening OR Feature OR Trailer OR Teaser OR theater OR release)"</f>
        <v>#N/A</v>
      </c>
      <c r="O531" s="23" t="str">
        <f t="shared" si="1"/>
        <v>#</v>
      </c>
      <c r="P531" s="23" t="str">
        <f t="shared" si="2"/>
        <v>#</v>
      </c>
      <c r="Q531" s="23"/>
      <c r="R531" s="23" t="str">
        <f>"("""&amp;B531&amp;""") ("&amp;Vlookup(E531,DropDown!R:V,5,FALSE)&amp;IF(ISBLANK(D531)," | "," "&amp;"OR """&amp;YEAR(D531)&amp;""" | ") &amp; """All New"" | Episode | Watch | tv | Show | Series | season | binge | Stream | Film | Movie | Premiere | Screening | Feature | Trailer | Teaser | theater | release)"</f>
        <v>#N/A</v>
      </c>
      <c r="S531" s="23"/>
      <c r="T531" s="23"/>
      <c r="U531" s="23"/>
      <c r="V531" s="23"/>
      <c r="W531" s="23"/>
      <c r="X531" s="38"/>
      <c r="Y531" s="38"/>
      <c r="Z531" s="38"/>
      <c r="AA531" s="38"/>
    </row>
    <row r="532">
      <c r="A532" s="31"/>
      <c r="B532" s="38"/>
      <c r="C532" s="38"/>
      <c r="D532" s="50"/>
      <c r="E532" s="50"/>
      <c r="F532" s="50"/>
      <c r="G532" s="27" t="str">
        <f>VLOOKUP(E532,DropDown!J:K,2,FALSE)</f>
        <v>#N/A</v>
      </c>
      <c r="H532" s="50"/>
      <c r="I532" s="50"/>
      <c r="J532" s="50"/>
      <c r="K532" s="25" t="s">
        <v>116</v>
      </c>
      <c r="L532" s="23"/>
      <c r="M532" s="23"/>
      <c r="N532" s="25" t="str">
        <f>"("""&amp;B532&amp;""") ("&amp;Vlookup(E532,DropDown!J:N,5,FALSE)&amp;" OR """ &amp;YEAR(D532) &amp; """ OR ""All New"" OR Episode OR Watch OR tv OR Show OR Series OR season OR binge OR Stream OR Film OR Movie OR Premiere OR Screening OR Feature OR Trailer OR Teaser OR theater OR release)"</f>
        <v>#N/A</v>
      </c>
      <c r="O532" s="23" t="str">
        <f t="shared" si="1"/>
        <v>#</v>
      </c>
      <c r="P532" s="23" t="str">
        <f t="shared" si="2"/>
        <v>#</v>
      </c>
      <c r="Q532" s="23"/>
      <c r="R532" s="23" t="str">
        <f>"("""&amp;B532&amp;""") ("&amp;Vlookup(E532,DropDown!R:V,5,FALSE)&amp;IF(ISBLANK(D532)," | "," "&amp;"OR """&amp;YEAR(D532)&amp;""" | ") &amp; """All New"" | Episode | Watch | tv | Show | Series | season | binge | Stream | Film | Movie | Premiere | Screening | Feature | Trailer | Teaser | theater | release)"</f>
        <v>#N/A</v>
      </c>
      <c r="S532" s="23"/>
      <c r="T532" s="23"/>
      <c r="U532" s="23"/>
      <c r="V532" s="23"/>
      <c r="W532" s="23"/>
      <c r="X532" s="38"/>
      <c r="Y532" s="38"/>
      <c r="Z532" s="38"/>
      <c r="AA532" s="38"/>
    </row>
    <row r="533">
      <c r="A533" s="31"/>
      <c r="B533" s="38"/>
      <c r="C533" s="38"/>
      <c r="D533" s="50"/>
      <c r="E533" s="50"/>
      <c r="F533" s="50"/>
      <c r="G533" s="27" t="str">
        <f>VLOOKUP(E533,DropDown!J:K,2,FALSE)</f>
        <v>#N/A</v>
      </c>
      <c r="H533" s="50"/>
      <c r="I533" s="50"/>
      <c r="J533" s="50"/>
      <c r="K533" s="25" t="s">
        <v>116</v>
      </c>
      <c r="L533" s="23"/>
      <c r="M533" s="23"/>
      <c r="N533" s="25" t="str">
        <f>"("""&amp;B533&amp;""") ("&amp;Vlookup(E533,DropDown!J:N,5,FALSE)&amp;" OR """ &amp;YEAR(D533) &amp; """ OR ""All New"" OR Episode OR Watch OR tv OR Show OR Series OR season OR binge OR Stream OR Film OR Movie OR Premiere OR Screening OR Feature OR Trailer OR Teaser OR theater OR release)"</f>
        <v>#N/A</v>
      </c>
      <c r="O533" s="23" t="str">
        <f t="shared" si="1"/>
        <v>#</v>
      </c>
      <c r="P533" s="23" t="str">
        <f t="shared" si="2"/>
        <v>#</v>
      </c>
      <c r="Q533" s="23"/>
      <c r="R533" s="23" t="str">
        <f>"("""&amp;B533&amp;""") ("&amp;Vlookup(E533,DropDown!R:V,5,FALSE)&amp;IF(ISBLANK(D533)," | "," "&amp;"OR """&amp;YEAR(D533)&amp;""" | ") &amp; """All New"" | Episode | Watch | tv | Show | Series | season | binge | Stream | Film | Movie | Premiere | Screening | Feature | Trailer | Teaser | theater | release)"</f>
        <v>#N/A</v>
      </c>
      <c r="S533" s="23"/>
      <c r="T533" s="23"/>
      <c r="U533" s="23"/>
      <c r="V533" s="23"/>
      <c r="W533" s="23"/>
      <c r="X533" s="38"/>
      <c r="Y533" s="38"/>
      <c r="Z533" s="38"/>
      <c r="AA533" s="38"/>
    </row>
    <row r="534">
      <c r="A534" s="31"/>
      <c r="B534" s="38"/>
      <c r="C534" s="38"/>
      <c r="D534" s="50"/>
      <c r="E534" s="50"/>
      <c r="F534" s="50"/>
      <c r="G534" s="27" t="str">
        <f>VLOOKUP(E534,DropDown!J:K,2,FALSE)</f>
        <v>#N/A</v>
      </c>
      <c r="H534" s="50"/>
      <c r="I534" s="50"/>
      <c r="J534" s="50"/>
      <c r="K534" s="25" t="s">
        <v>116</v>
      </c>
      <c r="L534" s="23"/>
      <c r="M534" s="23"/>
      <c r="N534" s="25" t="str">
        <f>"("""&amp;B534&amp;""") ("&amp;Vlookup(E534,DropDown!J:N,5,FALSE)&amp;" OR """ &amp;YEAR(D534) &amp; """ OR ""All New"" OR Episode OR Watch OR tv OR Show OR Series OR season OR binge OR Stream OR Film OR Movie OR Premiere OR Screening OR Feature OR Trailer OR Teaser OR theater OR release)"</f>
        <v>#N/A</v>
      </c>
      <c r="O534" s="23" t="str">
        <f t="shared" si="1"/>
        <v>#</v>
      </c>
      <c r="P534" s="23" t="str">
        <f t="shared" si="2"/>
        <v>#</v>
      </c>
      <c r="Q534" s="23"/>
      <c r="R534" s="23" t="str">
        <f>"("""&amp;B534&amp;""") ("&amp;Vlookup(E534,DropDown!R:V,5,FALSE)&amp;IF(ISBLANK(D534)," | "," "&amp;"OR """&amp;YEAR(D534)&amp;""" | ") &amp; """All New"" | Episode | Watch | tv | Show | Series | season | binge | Stream | Film | Movie | Premiere | Screening | Feature | Trailer | Teaser | theater | release)"</f>
        <v>#N/A</v>
      </c>
      <c r="S534" s="23"/>
      <c r="T534" s="23"/>
      <c r="U534" s="23"/>
      <c r="V534" s="23"/>
      <c r="W534" s="23"/>
      <c r="X534" s="38"/>
      <c r="Y534" s="38"/>
      <c r="Z534" s="38"/>
      <c r="AA534" s="38"/>
    </row>
    <row r="535">
      <c r="A535" s="31"/>
      <c r="B535" s="38"/>
      <c r="C535" s="38"/>
      <c r="D535" s="50"/>
      <c r="E535" s="50"/>
      <c r="F535" s="50"/>
      <c r="G535" s="27" t="str">
        <f>VLOOKUP(E535,DropDown!J:K,2,FALSE)</f>
        <v>#N/A</v>
      </c>
      <c r="H535" s="50"/>
      <c r="I535" s="50"/>
      <c r="J535" s="50"/>
      <c r="K535" s="25" t="s">
        <v>116</v>
      </c>
      <c r="L535" s="23"/>
      <c r="M535" s="23"/>
      <c r="N535" s="25" t="str">
        <f>"("""&amp;B535&amp;""") ("&amp;Vlookup(E535,DropDown!J:N,5,FALSE)&amp;" OR """ &amp;YEAR(D535) &amp; """ OR ""All New"" OR Episode OR Watch OR tv OR Show OR Series OR season OR binge OR Stream OR Film OR Movie OR Premiere OR Screening OR Feature OR Trailer OR Teaser OR theater OR release)"</f>
        <v>#N/A</v>
      </c>
      <c r="O535" s="23" t="str">
        <f t="shared" si="1"/>
        <v>#</v>
      </c>
      <c r="P535" s="23" t="str">
        <f t="shared" si="2"/>
        <v>#</v>
      </c>
      <c r="Q535" s="23"/>
      <c r="R535" s="23" t="str">
        <f>"("""&amp;B535&amp;""") ("&amp;Vlookup(E535,DropDown!R:V,5,FALSE)&amp;IF(ISBLANK(D535)," | "," "&amp;"OR """&amp;YEAR(D535)&amp;""" | ") &amp; """All New"" | Episode | Watch | tv | Show | Series | season | binge | Stream | Film | Movie | Premiere | Screening | Feature | Trailer | Teaser | theater | release)"</f>
        <v>#N/A</v>
      </c>
      <c r="S535" s="23"/>
      <c r="T535" s="23"/>
      <c r="U535" s="23"/>
      <c r="V535" s="23"/>
      <c r="W535" s="23"/>
      <c r="X535" s="38"/>
      <c r="Y535" s="38"/>
      <c r="Z535" s="38"/>
      <c r="AA535" s="38"/>
    </row>
    <row r="536">
      <c r="A536" s="31"/>
      <c r="B536" s="38"/>
      <c r="C536" s="38"/>
      <c r="D536" s="50"/>
      <c r="E536" s="50"/>
      <c r="F536" s="50"/>
      <c r="G536" s="27" t="str">
        <f>VLOOKUP(E536,DropDown!J:K,2,FALSE)</f>
        <v>#N/A</v>
      </c>
      <c r="H536" s="50"/>
      <c r="I536" s="50"/>
      <c r="J536" s="50"/>
      <c r="K536" s="25" t="s">
        <v>116</v>
      </c>
      <c r="L536" s="23"/>
      <c r="M536" s="23"/>
      <c r="N536" s="25" t="str">
        <f>"("""&amp;B536&amp;""") ("&amp;Vlookup(E536,DropDown!J:N,5,FALSE)&amp;" OR """ &amp;YEAR(D536) &amp; """ OR ""All New"" OR Episode OR Watch OR tv OR Show OR Series OR season OR binge OR Stream OR Film OR Movie OR Premiere OR Screening OR Feature OR Trailer OR Teaser OR theater OR release)"</f>
        <v>#N/A</v>
      </c>
      <c r="O536" s="23" t="str">
        <f t="shared" si="1"/>
        <v>#</v>
      </c>
      <c r="P536" s="23" t="str">
        <f t="shared" si="2"/>
        <v>#</v>
      </c>
      <c r="Q536" s="23"/>
      <c r="R536" s="23" t="str">
        <f>"("""&amp;B536&amp;""") ("&amp;Vlookup(E536,DropDown!R:V,5,FALSE)&amp;IF(ISBLANK(D536)," | "," "&amp;"OR """&amp;YEAR(D536)&amp;""" | ") &amp; """All New"" | Episode | Watch | tv | Show | Series | season | binge | Stream | Film | Movie | Premiere | Screening | Feature | Trailer | Teaser | theater | release)"</f>
        <v>#N/A</v>
      </c>
      <c r="S536" s="23"/>
      <c r="T536" s="23"/>
      <c r="U536" s="23"/>
      <c r="V536" s="23"/>
      <c r="W536" s="23"/>
      <c r="X536" s="38"/>
      <c r="Y536" s="38"/>
      <c r="Z536" s="38"/>
      <c r="AA536" s="38"/>
    </row>
    <row r="537">
      <c r="A537" s="31"/>
      <c r="B537" s="38"/>
      <c r="C537" s="38"/>
      <c r="D537" s="50"/>
      <c r="E537" s="50"/>
      <c r="F537" s="50"/>
      <c r="G537" s="27" t="str">
        <f>VLOOKUP(E537,DropDown!J:K,2,FALSE)</f>
        <v>#N/A</v>
      </c>
      <c r="H537" s="50"/>
      <c r="I537" s="50"/>
      <c r="J537" s="50"/>
      <c r="K537" s="25" t="s">
        <v>116</v>
      </c>
      <c r="L537" s="23"/>
      <c r="M537" s="23"/>
      <c r="N537" s="25" t="str">
        <f>"("""&amp;B537&amp;""") ("&amp;Vlookup(E537,DropDown!J:N,5,FALSE)&amp;" OR """ &amp;YEAR(D537) &amp; """ OR ""All New"" OR Episode OR Watch OR tv OR Show OR Series OR season OR binge OR Stream OR Film OR Movie OR Premiere OR Screening OR Feature OR Trailer OR Teaser OR theater OR release)"</f>
        <v>#N/A</v>
      </c>
      <c r="O537" s="23" t="str">
        <f t="shared" si="1"/>
        <v>#</v>
      </c>
      <c r="P537" s="23" t="str">
        <f t="shared" si="2"/>
        <v>#</v>
      </c>
      <c r="Q537" s="23"/>
      <c r="R537" s="23" t="str">
        <f>"("""&amp;B537&amp;""") ("&amp;Vlookup(E537,DropDown!R:V,5,FALSE)&amp;IF(ISBLANK(D537)," | "," "&amp;"OR """&amp;YEAR(D537)&amp;""" | ") &amp; """All New"" | Episode | Watch | tv | Show | Series | season | binge | Stream | Film | Movie | Premiere | Screening | Feature | Trailer | Teaser | theater | release)"</f>
        <v>#N/A</v>
      </c>
      <c r="S537" s="23"/>
      <c r="T537" s="23"/>
      <c r="U537" s="23"/>
      <c r="V537" s="23"/>
      <c r="W537" s="23"/>
      <c r="X537" s="38"/>
      <c r="Y537" s="38"/>
      <c r="Z537" s="38"/>
      <c r="AA537" s="38"/>
    </row>
    <row r="538">
      <c r="A538" s="31"/>
      <c r="B538" s="38"/>
      <c r="C538" s="38"/>
      <c r="D538" s="50"/>
      <c r="E538" s="50"/>
      <c r="F538" s="50"/>
      <c r="G538" s="27" t="str">
        <f>VLOOKUP(E538,DropDown!J:K,2,FALSE)</f>
        <v>#N/A</v>
      </c>
      <c r="H538" s="50"/>
      <c r="I538" s="50"/>
      <c r="J538" s="50"/>
      <c r="K538" s="25" t="s">
        <v>116</v>
      </c>
      <c r="L538" s="23"/>
      <c r="M538" s="23"/>
      <c r="N538" s="25" t="str">
        <f>"("""&amp;B538&amp;""") ("&amp;Vlookup(E538,DropDown!J:N,5,FALSE)&amp;" OR """ &amp;YEAR(D538) &amp; """ OR ""All New"" OR Episode OR Watch OR tv OR Show OR Series OR season OR binge OR Stream OR Film OR Movie OR Premiere OR Screening OR Feature OR Trailer OR Teaser OR theater OR release)"</f>
        <v>#N/A</v>
      </c>
      <c r="O538" s="23" t="str">
        <f t="shared" si="1"/>
        <v>#</v>
      </c>
      <c r="P538" s="23" t="str">
        <f t="shared" si="2"/>
        <v>#</v>
      </c>
      <c r="Q538" s="23"/>
      <c r="R538" s="23" t="str">
        <f>"("""&amp;B538&amp;""") ("&amp;Vlookup(E538,DropDown!R:V,5,FALSE)&amp;IF(ISBLANK(D538)," | "," "&amp;"OR """&amp;YEAR(D538)&amp;""" | ") &amp; """All New"" | Episode | Watch | tv | Show | Series | season | binge | Stream | Film | Movie | Premiere | Screening | Feature | Trailer | Teaser | theater | release)"</f>
        <v>#N/A</v>
      </c>
      <c r="S538" s="23"/>
      <c r="T538" s="23"/>
      <c r="U538" s="23"/>
      <c r="V538" s="23"/>
      <c r="W538" s="23"/>
      <c r="X538" s="38"/>
      <c r="Y538" s="38"/>
      <c r="Z538" s="38"/>
      <c r="AA538" s="38"/>
    </row>
    <row r="539">
      <c r="A539" s="31"/>
      <c r="B539" s="38"/>
      <c r="C539" s="38"/>
      <c r="D539" s="50"/>
      <c r="E539" s="50"/>
      <c r="F539" s="50"/>
      <c r="G539" s="27" t="str">
        <f>VLOOKUP(E539,DropDown!J:K,2,FALSE)</f>
        <v>#N/A</v>
      </c>
      <c r="H539" s="50"/>
      <c r="I539" s="50"/>
      <c r="J539" s="50"/>
      <c r="K539" s="25" t="s">
        <v>116</v>
      </c>
      <c r="L539" s="23"/>
      <c r="M539" s="23"/>
      <c r="N539" s="25" t="str">
        <f>"("""&amp;B539&amp;""") ("&amp;Vlookup(E539,DropDown!J:N,5,FALSE)&amp;" OR """ &amp;YEAR(D539) &amp; """ OR ""All New"" OR Episode OR Watch OR tv OR Show OR Series OR season OR binge OR Stream OR Film OR Movie OR Premiere OR Screening OR Feature OR Trailer OR Teaser OR theater OR release)"</f>
        <v>#N/A</v>
      </c>
      <c r="O539" s="23" t="str">
        <f t="shared" si="1"/>
        <v>#</v>
      </c>
      <c r="P539" s="23" t="str">
        <f t="shared" si="2"/>
        <v>#</v>
      </c>
      <c r="Q539" s="23"/>
      <c r="R539" s="23" t="str">
        <f>"("""&amp;B539&amp;""") ("&amp;Vlookup(E539,DropDown!R:V,5,FALSE)&amp;IF(ISBLANK(D539)," | "," "&amp;"OR """&amp;YEAR(D539)&amp;""" | ") &amp; """All New"" | Episode | Watch | tv | Show | Series | season | binge | Stream | Film | Movie | Premiere | Screening | Feature | Trailer | Teaser | theater | release)"</f>
        <v>#N/A</v>
      </c>
      <c r="S539" s="23"/>
      <c r="T539" s="23"/>
      <c r="U539" s="23"/>
      <c r="V539" s="23"/>
      <c r="W539" s="23"/>
      <c r="X539" s="38"/>
      <c r="Y539" s="38"/>
      <c r="Z539" s="38"/>
      <c r="AA539" s="38"/>
    </row>
    <row r="540">
      <c r="A540" s="31"/>
      <c r="B540" s="38"/>
      <c r="C540" s="38"/>
      <c r="D540" s="50"/>
      <c r="E540" s="50"/>
      <c r="F540" s="50"/>
      <c r="G540" s="27" t="str">
        <f>VLOOKUP(E540,DropDown!J:K,2,FALSE)</f>
        <v>#N/A</v>
      </c>
      <c r="H540" s="50"/>
      <c r="I540" s="50"/>
      <c r="J540" s="50"/>
      <c r="K540" s="25" t="s">
        <v>116</v>
      </c>
      <c r="L540" s="23"/>
      <c r="M540" s="23"/>
      <c r="N540" s="25" t="str">
        <f>"("""&amp;B540&amp;""") ("&amp;Vlookup(E540,DropDown!J:N,5,FALSE)&amp;" OR """ &amp;YEAR(D540) &amp; """ OR ""All New"" OR Episode OR Watch OR tv OR Show OR Series OR season OR binge OR Stream OR Film OR Movie OR Premiere OR Screening OR Feature OR Trailer OR Teaser OR theater OR release)"</f>
        <v>#N/A</v>
      </c>
      <c r="O540" s="23" t="str">
        <f t="shared" si="1"/>
        <v>#</v>
      </c>
      <c r="P540" s="23" t="str">
        <f t="shared" si="2"/>
        <v>#</v>
      </c>
      <c r="Q540" s="23"/>
      <c r="R540" s="23" t="str">
        <f>"("""&amp;B540&amp;""") ("&amp;Vlookup(E540,DropDown!R:V,5,FALSE)&amp;IF(ISBLANK(D540)," | "," "&amp;"OR """&amp;YEAR(D540)&amp;""" | ") &amp; """All New"" | Episode | Watch | tv | Show | Series | season | binge | Stream | Film | Movie | Premiere | Screening | Feature | Trailer | Teaser | theater | release)"</f>
        <v>#N/A</v>
      </c>
      <c r="S540" s="23"/>
      <c r="T540" s="23"/>
      <c r="U540" s="23"/>
      <c r="V540" s="23"/>
      <c r="W540" s="23"/>
      <c r="X540" s="38"/>
      <c r="Y540" s="38"/>
      <c r="Z540" s="38"/>
      <c r="AA540" s="38"/>
    </row>
    <row r="541">
      <c r="A541" s="31"/>
      <c r="B541" s="38"/>
      <c r="C541" s="38"/>
      <c r="D541" s="50"/>
      <c r="E541" s="50"/>
      <c r="F541" s="50"/>
      <c r="G541" s="27" t="str">
        <f>VLOOKUP(E541,DropDown!J:K,2,FALSE)</f>
        <v>#N/A</v>
      </c>
      <c r="H541" s="50"/>
      <c r="I541" s="50"/>
      <c r="J541" s="50"/>
      <c r="K541" s="25" t="s">
        <v>116</v>
      </c>
      <c r="L541" s="23"/>
      <c r="M541" s="23"/>
      <c r="N541" s="25" t="str">
        <f>"("""&amp;B541&amp;""") ("&amp;Vlookup(E541,DropDown!J:N,5,FALSE)&amp;" OR """ &amp;YEAR(D541) &amp; """ OR ""All New"" OR Episode OR Watch OR tv OR Show OR Series OR season OR binge OR Stream OR Film OR Movie OR Premiere OR Screening OR Feature OR Trailer OR Teaser OR theater OR release)"</f>
        <v>#N/A</v>
      </c>
      <c r="O541" s="23" t="str">
        <f t="shared" si="1"/>
        <v>#</v>
      </c>
      <c r="P541" s="23" t="str">
        <f t="shared" si="2"/>
        <v>#</v>
      </c>
      <c r="Q541" s="23"/>
      <c r="R541" s="23" t="str">
        <f>"("""&amp;B541&amp;""") ("&amp;Vlookup(E541,DropDown!R:V,5,FALSE)&amp;IF(ISBLANK(D541)," | "," "&amp;"OR """&amp;YEAR(D541)&amp;""" | ") &amp; """All New"" | Episode | Watch | tv | Show | Series | season | binge | Stream | Film | Movie | Premiere | Screening | Feature | Trailer | Teaser | theater | release)"</f>
        <v>#N/A</v>
      </c>
      <c r="S541" s="23"/>
      <c r="T541" s="23"/>
      <c r="U541" s="23"/>
      <c r="V541" s="23"/>
      <c r="W541" s="23"/>
      <c r="X541" s="38"/>
      <c r="Y541" s="38"/>
      <c r="Z541" s="38"/>
      <c r="AA541" s="38"/>
    </row>
    <row r="542">
      <c r="A542" s="31"/>
      <c r="B542" s="38"/>
      <c r="C542" s="38"/>
      <c r="D542" s="50"/>
      <c r="E542" s="50"/>
      <c r="F542" s="50"/>
      <c r="G542" s="27" t="str">
        <f>VLOOKUP(E542,DropDown!J:K,2,FALSE)</f>
        <v>#N/A</v>
      </c>
      <c r="H542" s="50"/>
      <c r="I542" s="50"/>
      <c r="J542" s="50"/>
      <c r="K542" s="25" t="s">
        <v>116</v>
      </c>
      <c r="L542" s="23"/>
      <c r="M542" s="23"/>
      <c r="N542" s="25" t="str">
        <f>"("""&amp;B542&amp;""") ("&amp;Vlookup(E542,DropDown!J:N,5,FALSE)&amp;" OR """ &amp;YEAR(D542) &amp; """ OR ""All New"" OR Episode OR Watch OR tv OR Show OR Series OR season OR binge OR Stream OR Film OR Movie OR Premiere OR Screening OR Feature OR Trailer OR Teaser OR theater OR release)"</f>
        <v>#N/A</v>
      </c>
      <c r="O542" s="23" t="str">
        <f t="shared" si="1"/>
        <v>#</v>
      </c>
      <c r="P542" s="23" t="str">
        <f t="shared" si="2"/>
        <v>#</v>
      </c>
      <c r="Q542" s="23"/>
      <c r="R542" s="23" t="str">
        <f>"("""&amp;B542&amp;""") ("&amp;Vlookup(E542,DropDown!R:V,5,FALSE)&amp;IF(ISBLANK(D542)," | "," "&amp;"OR """&amp;YEAR(D542)&amp;""" | ") &amp; """All New"" | Episode | Watch | tv | Show | Series | season | binge | Stream | Film | Movie | Premiere | Screening | Feature | Trailer | Teaser | theater | release)"</f>
        <v>#N/A</v>
      </c>
      <c r="S542" s="23"/>
      <c r="T542" s="23"/>
      <c r="U542" s="23"/>
      <c r="V542" s="23"/>
      <c r="W542" s="23"/>
      <c r="X542" s="38"/>
      <c r="Y542" s="38"/>
      <c r="Z542" s="38"/>
      <c r="AA542" s="38"/>
    </row>
    <row r="543">
      <c r="A543" s="31"/>
      <c r="B543" s="38"/>
      <c r="C543" s="38"/>
      <c r="D543" s="50"/>
      <c r="E543" s="50"/>
      <c r="F543" s="50"/>
      <c r="G543" s="27" t="str">
        <f>VLOOKUP(E543,DropDown!J:K,2,FALSE)</f>
        <v>#N/A</v>
      </c>
      <c r="H543" s="50"/>
      <c r="I543" s="50"/>
      <c r="J543" s="50"/>
      <c r="K543" s="25" t="s">
        <v>116</v>
      </c>
      <c r="L543" s="23"/>
      <c r="M543" s="23"/>
      <c r="N543" s="25" t="str">
        <f>"("""&amp;B543&amp;""") ("&amp;Vlookup(E543,DropDown!J:N,5,FALSE)&amp;" OR """ &amp;YEAR(D543) &amp; """ OR ""All New"" OR Episode OR Watch OR tv OR Show OR Series OR season OR binge OR Stream OR Film OR Movie OR Premiere OR Screening OR Feature OR Trailer OR Teaser OR theater OR release)"</f>
        <v>#N/A</v>
      </c>
      <c r="O543" s="23" t="str">
        <f t="shared" si="1"/>
        <v>#</v>
      </c>
      <c r="P543" s="23" t="str">
        <f t="shared" si="2"/>
        <v>#</v>
      </c>
      <c r="Q543" s="23"/>
      <c r="R543" s="23" t="str">
        <f>"("""&amp;B543&amp;""") ("&amp;Vlookup(E543,DropDown!R:V,5,FALSE)&amp;IF(ISBLANK(D543)," | "," "&amp;"OR """&amp;YEAR(D543)&amp;""" | ") &amp; """All New"" | Episode | Watch | tv | Show | Series | season | binge | Stream | Film | Movie | Premiere | Screening | Feature | Trailer | Teaser | theater | release)"</f>
        <v>#N/A</v>
      </c>
      <c r="S543" s="23"/>
      <c r="T543" s="23"/>
      <c r="U543" s="23"/>
      <c r="V543" s="23"/>
      <c r="W543" s="23"/>
      <c r="X543" s="38"/>
      <c r="Y543" s="38"/>
      <c r="Z543" s="38"/>
      <c r="AA543" s="38"/>
    </row>
    <row r="544">
      <c r="A544" s="31"/>
      <c r="B544" s="38"/>
      <c r="C544" s="38"/>
      <c r="D544" s="50"/>
      <c r="E544" s="50"/>
      <c r="F544" s="50"/>
      <c r="G544" s="27" t="str">
        <f>VLOOKUP(E544,DropDown!J:K,2,FALSE)</f>
        <v>#N/A</v>
      </c>
      <c r="H544" s="50"/>
      <c r="I544" s="50"/>
      <c r="J544" s="50"/>
      <c r="K544" s="25" t="s">
        <v>116</v>
      </c>
      <c r="L544" s="23"/>
      <c r="M544" s="23"/>
      <c r="N544" s="25" t="str">
        <f>"("""&amp;B544&amp;""") ("&amp;Vlookup(E544,DropDown!J:N,5,FALSE)&amp;" OR """ &amp;YEAR(D544) &amp; """ OR ""All New"" OR Episode OR Watch OR tv OR Show OR Series OR season OR binge OR Stream OR Film OR Movie OR Premiere OR Screening OR Feature OR Trailer OR Teaser OR theater OR release)"</f>
        <v>#N/A</v>
      </c>
      <c r="O544" s="23" t="str">
        <f t="shared" si="1"/>
        <v>#</v>
      </c>
      <c r="P544" s="23" t="str">
        <f t="shared" si="2"/>
        <v>#</v>
      </c>
      <c r="Q544" s="23"/>
      <c r="R544" s="23" t="str">
        <f>"("""&amp;B544&amp;""") ("&amp;Vlookup(E544,DropDown!R:V,5,FALSE)&amp;IF(ISBLANK(D544)," | "," "&amp;"OR """&amp;YEAR(D544)&amp;""" | ") &amp; """All New"" | Episode | Watch | tv | Show | Series | season | binge | Stream | Film | Movie | Premiere | Screening | Feature | Trailer | Teaser | theater | release)"</f>
        <v>#N/A</v>
      </c>
      <c r="S544" s="23"/>
      <c r="T544" s="23"/>
      <c r="U544" s="23"/>
      <c r="V544" s="23"/>
      <c r="W544" s="23"/>
      <c r="X544" s="38"/>
      <c r="Y544" s="38"/>
      <c r="Z544" s="38"/>
      <c r="AA544" s="38"/>
    </row>
    <row r="545">
      <c r="A545" s="31"/>
      <c r="B545" s="38"/>
      <c r="C545" s="38"/>
      <c r="D545" s="50"/>
      <c r="E545" s="50"/>
      <c r="F545" s="50"/>
      <c r="G545" s="27" t="str">
        <f>VLOOKUP(E545,DropDown!J:K,2,FALSE)</f>
        <v>#N/A</v>
      </c>
      <c r="H545" s="50"/>
      <c r="I545" s="50"/>
      <c r="J545" s="50"/>
      <c r="K545" s="25" t="s">
        <v>116</v>
      </c>
      <c r="L545" s="23"/>
      <c r="M545" s="23"/>
      <c r="N545" s="25" t="str">
        <f>"("""&amp;B545&amp;""") ("&amp;Vlookup(E545,DropDown!J:N,5,FALSE)&amp;" OR """ &amp;YEAR(D545) &amp; """ OR ""All New"" OR Episode OR Watch OR tv OR Show OR Series OR season OR binge OR Stream OR Film OR Movie OR Premiere OR Screening OR Feature OR Trailer OR Teaser OR theater OR release)"</f>
        <v>#N/A</v>
      </c>
      <c r="O545" s="23" t="str">
        <f t="shared" si="1"/>
        <v>#</v>
      </c>
      <c r="P545" s="23" t="str">
        <f t="shared" si="2"/>
        <v>#</v>
      </c>
      <c r="Q545" s="23"/>
      <c r="R545" s="23" t="str">
        <f>"("""&amp;B545&amp;""") ("&amp;Vlookup(E545,DropDown!R:V,5,FALSE)&amp;IF(ISBLANK(D545)," | "," "&amp;"OR """&amp;YEAR(D545)&amp;""" | ") &amp; """All New"" | Episode | Watch | tv | Show | Series | season | binge | Stream | Film | Movie | Premiere | Screening | Feature | Trailer | Teaser | theater | release)"</f>
        <v>#N/A</v>
      </c>
      <c r="S545" s="23"/>
      <c r="T545" s="23"/>
      <c r="U545" s="23"/>
      <c r="V545" s="23"/>
      <c r="W545" s="23"/>
      <c r="X545" s="38"/>
      <c r="Y545" s="38"/>
      <c r="Z545" s="38"/>
      <c r="AA545" s="38"/>
    </row>
    <row r="546">
      <c r="A546" s="31"/>
      <c r="B546" s="38"/>
      <c r="C546" s="38"/>
      <c r="D546" s="50"/>
      <c r="E546" s="50"/>
      <c r="F546" s="50"/>
      <c r="G546" s="27" t="str">
        <f>VLOOKUP(E546,DropDown!J:K,2,FALSE)</f>
        <v>#N/A</v>
      </c>
      <c r="H546" s="50"/>
      <c r="I546" s="50"/>
      <c r="J546" s="50"/>
      <c r="K546" s="25" t="s">
        <v>116</v>
      </c>
      <c r="L546" s="23"/>
      <c r="M546" s="23"/>
      <c r="N546" s="25" t="str">
        <f>"("""&amp;B546&amp;""") ("&amp;Vlookup(E546,DropDown!J:N,5,FALSE)&amp;" OR """ &amp;YEAR(D546) &amp; """ OR ""All New"" OR Episode OR Watch OR tv OR Show OR Series OR season OR binge OR Stream OR Film OR Movie OR Premiere OR Screening OR Feature OR Trailer OR Teaser OR theater OR release)"</f>
        <v>#N/A</v>
      </c>
      <c r="O546" s="23" t="str">
        <f t="shared" si="1"/>
        <v>#</v>
      </c>
      <c r="P546" s="23" t="str">
        <f t="shared" si="2"/>
        <v>#</v>
      </c>
      <c r="Q546" s="23"/>
      <c r="R546" s="23" t="str">
        <f>"("""&amp;B546&amp;""") ("&amp;Vlookup(E546,DropDown!R:V,5,FALSE)&amp;IF(ISBLANK(D546)," | "," "&amp;"OR """&amp;YEAR(D546)&amp;""" | ") &amp; """All New"" | Episode | Watch | tv | Show | Series | season | binge | Stream | Film | Movie | Premiere | Screening | Feature | Trailer | Teaser | theater | release)"</f>
        <v>#N/A</v>
      </c>
      <c r="S546" s="23"/>
      <c r="T546" s="23"/>
      <c r="U546" s="23"/>
      <c r="V546" s="23"/>
      <c r="W546" s="23"/>
      <c r="X546" s="38"/>
      <c r="Y546" s="38"/>
      <c r="Z546" s="38"/>
      <c r="AA546" s="38"/>
    </row>
    <row r="547">
      <c r="A547" s="31"/>
      <c r="B547" s="38"/>
      <c r="C547" s="38"/>
      <c r="D547" s="50"/>
      <c r="E547" s="50"/>
      <c r="F547" s="50"/>
      <c r="G547" s="27" t="str">
        <f>VLOOKUP(E547,DropDown!J:K,2,FALSE)</f>
        <v>#N/A</v>
      </c>
      <c r="H547" s="50"/>
      <c r="I547" s="50"/>
      <c r="J547" s="50"/>
      <c r="K547" s="25" t="s">
        <v>116</v>
      </c>
      <c r="L547" s="23"/>
      <c r="M547" s="23"/>
      <c r="N547" s="25" t="str">
        <f>"("""&amp;B547&amp;""") ("&amp;Vlookup(E547,DropDown!J:N,5,FALSE)&amp;" OR """ &amp;YEAR(D547) &amp; """ OR ""All New"" OR Episode OR Watch OR tv OR Show OR Series OR season OR binge OR Stream OR Film OR Movie OR Premiere OR Screening OR Feature OR Trailer OR Teaser OR theater OR release)"</f>
        <v>#N/A</v>
      </c>
      <c r="O547" s="23" t="str">
        <f t="shared" si="1"/>
        <v>#</v>
      </c>
      <c r="P547" s="23" t="str">
        <f t="shared" si="2"/>
        <v>#</v>
      </c>
      <c r="Q547" s="23"/>
      <c r="R547" s="23" t="str">
        <f>"("""&amp;B547&amp;""") ("&amp;Vlookup(E547,DropDown!R:V,5,FALSE)&amp;IF(ISBLANK(D547)," | "," "&amp;"OR """&amp;YEAR(D547)&amp;""" | ") &amp; """All New"" | Episode | Watch | tv | Show | Series | season | binge | Stream | Film | Movie | Premiere | Screening | Feature | Trailer | Teaser | theater | release)"</f>
        <v>#N/A</v>
      </c>
      <c r="S547" s="23"/>
      <c r="T547" s="23"/>
      <c r="U547" s="23"/>
      <c r="V547" s="23"/>
      <c r="W547" s="23"/>
      <c r="X547" s="38"/>
      <c r="Y547" s="38"/>
      <c r="Z547" s="38"/>
      <c r="AA547" s="38"/>
    </row>
    <row r="548">
      <c r="A548" s="31"/>
      <c r="B548" s="38"/>
      <c r="C548" s="38"/>
      <c r="D548" s="50"/>
      <c r="E548" s="50"/>
      <c r="F548" s="50"/>
      <c r="G548" s="27" t="str">
        <f>VLOOKUP(E548,DropDown!J:K,2,FALSE)</f>
        <v>#N/A</v>
      </c>
      <c r="H548" s="50"/>
      <c r="I548" s="50"/>
      <c r="J548" s="50"/>
      <c r="K548" s="25" t="s">
        <v>116</v>
      </c>
      <c r="L548" s="23"/>
      <c r="M548" s="23"/>
      <c r="N548" s="25" t="str">
        <f>"("""&amp;B548&amp;""") ("&amp;Vlookup(E548,DropDown!J:N,5,FALSE)&amp;" OR """ &amp;YEAR(D548) &amp; """ OR ""All New"" OR Episode OR Watch OR tv OR Show OR Series OR season OR binge OR Stream OR Film OR Movie OR Premiere OR Screening OR Feature OR Trailer OR Teaser OR theater OR release)"</f>
        <v>#N/A</v>
      </c>
      <c r="O548" s="23" t="str">
        <f t="shared" si="1"/>
        <v>#</v>
      </c>
      <c r="P548" s="23" t="str">
        <f t="shared" si="2"/>
        <v>#</v>
      </c>
      <c r="Q548" s="23"/>
      <c r="R548" s="23" t="str">
        <f>"("""&amp;B548&amp;""") ("&amp;Vlookup(E548,DropDown!R:V,5,FALSE)&amp;IF(ISBLANK(D548)," | "," "&amp;"OR """&amp;YEAR(D548)&amp;""" | ") &amp; """All New"" | Episode | Watch | tv | Show | Series | season | binge | Stream | Film | Movie | Premiere | Screening | Feature | Trailer | Teaser | theater | release)"</f>
        <v>#N/A</v>
      </c>
      <c r="S548" s="23"/>
      <c r="T548" s="23"/>
      <c r="U548" s="23"/>
      <c r="V548" s="23"/>
      <c r="W548" s="23"/>
      <c r="X548" s="38"/>
      <c r="Y548" s="38"/>
      <c r="Z548" s="38"/>
      <c r="AA548" s="38"/>
    </row>
    <row r="549">
      <c r="A549" s="31"/>
      <c r="B549" s="38"/>
      <c r="C549" s="38"/>
      <c r="D549" s="50"/>
      <c r="E549" s="50"/>
      <c r="F549" s="50"/>
      <c r="G549" s="27" t="str">
        <f>VLOOKUP(E549,DropDown!J:K,2,FALSE)</f>
        <v>#N/A</v>
      </c>
      <c r="H549" s="50"/>
      <c r="I549" s="50"/>
      <c r="J549" s="50"/>
      <c r="K549" s="25" t="s">
        <v>116</v>
      </c>
      <c r="L549" s="23"/>
      <c r="M549" s="23"/>
      <c r="N549" s="25" t="str">
        <f>"("""&amp;B549&amp;""") ("&amp;Vlookup(E549,DropDown!J:N,5,FALSE)&amp;" OR """ &amp;YEAR(D549) &amp; """ OR ""All New"" OR Episode OR Watch OR tv OR Show OR Series OR season OR binge OR Stream OR Film OR Movie OR Premiere OR Screening OR Feature OR Trailer OR Teaser OR theater OR release)"</f>
        <v>#N/A</v>
      </c>
      <c r="O549" s="23" t="str">
        <f t="shared" si="1"/>
        <v>#</v>
      </c>
      <c r="P549" s="23" t="str">
        <f t="shared" si="2"/>
        <v>#</v>
      </c>
      <c r="Q549" s="23"/>
      <c r="R549" s="23" t="str">
        <f>"("""&amp;B549&amp;""") ("&amp;Vlookup(E549,DropDown!R:V,5,FALSE)&amp;IF(ISBLANK(D549)," | "," "&amp;"OR """&amp;YEAR(D549)&amp;""" | ") &amp; """All New"" | Episode | Watch | tv | Show | Series | season | binge | Stream | Film | Movie | Premiere | Screening | Feature | Trailer | Teaser | theater | release)"</f>
        <v>#N/A</v>
      </c>
      <c r="S549" s="23"/>
      <c r="T549" s="23"/>
      <c r="U549" s="23"/>
      <c r="V549" s="23"/>
      <c r="W549" s="23"/>
      <c r="X549" s="38"/>
      <c r="Y549" s="38"/>
      <c r="Z549" s="38"/>
      <c r="AA549" s="38"/>
    </row>
    <row r="550">
      <c r="A550" s="31"/>
      <c r="B550" s="38"/>
      <c r="C550" s="38"/>
      <c r="D550" s="50"/>
      <c r="E550" s="50"/>
      <c r="F550" s="50"/>
      <c r="G550" s="27" t="str">
        <f>VLOOKUP(E550,DropDown!J:K,2,FALSE)</f>
        <v>#N/A</v>
      </c>
      <c r="H550" s="50"/>
      <c r="I550" s="50"/>
      <c r="J550" s="50"/>
      <c r="K550" s="25" t="s">
        <v>116</v>
      </c>
      <c r="L550" s="23"/>
      <c r="M550" s="23"/>
      <c r="N550" s="25" t="str">
        <f>"("""&amp;B550&amp;""") ("&amp;Vlookup(E550,DropDown!J:N,5,FALSE)&amp;" OR """ &amp;YEAR(D550) &amp; """ OR ""All New"" OR Episode OR Watch OR tv OR Show OR Series OR season OR binge OR Stream OR Film OR Movie OR Premiere OR Screening OR Feature OR Trailer OR Teaser OR theater OR release)"</f>
        <v>#N/A</v>
      </c>
      <c r="O550" s="23" t="str">
        <f t="shared" si="1"/>
        <v>#</v>
      </c>
      <c r="P550" s="23" t="str">
        <f t="shared" si="2"/>
        <v>#</v>
      </c>
      <c r="Q550" s="23"/>
      <c r="R550" s="23" t="str">
        <f>"("""&amp;B550&amp;""") ("&amp;Vlookup(E550,DropDown!R:V,5,FALSE)&amp;IF(ISBLANK(D550)," | "," "&amp;"OR """&amp;YEAR(D550)&amp;""" | ") &amp; """All New"" | Episode | Watch | tv | Show | Series | season | binge | Stream | Film | Movie | Premiere | Screening | Feature | Trailer | Teaser | theater | release)"</f>
        <v>#N/A</v>
      </c>
      <c r="S550" s="23"/>
      <c r="T550" s="23"/>
      <c r="U550" s="23"/>
      <c r="V550" s="23"/>
      <c r="W550" s="23"/>
      <c r="X550" s="38"/>
      <c r="Y550" s="38"/>
      <c r="Z550" s="38"/>
      <c r="AA550" s="38"/>
    </row>
    <row r="551">
      <c r="A551" s="31"/>
      <c r="B551" s="38"/>
      <c r="C551" s="38"/>
      <c r="D551" s="50"/>
      <c r="E551" s="50"/>
      <c r="F551" s="50"/>
      <c r="G551" s="27" t="str">
        <f>VLOOKUP(E551,DropDown!J:K,2,FALSE)</f>
        <v>#N/A</v>
      </c>
      <c r="H551" s="50"/>
      <c r="I551" s="50"/>
      <c r="J551" s="50"/>
      <c r="K551" s="25" t="s">
        <v>116</v>
      </c>
      <c r="L551" s="23"/>
      <c r="M551" s="23"/>
      <c r="N551" s="25" t="str">
        <f>"("""&amp;B551&amp;""") ("&amp;Vlookup(E551,DropDown!J:N,5,FALSE)&amp;" OR """ &amp;YEAR(D551) &amp; """ OR ""All New"" OR Episode OR Watch OR tv OR Show OR Series OR season OR binge OR Stream OR Film OR Movie OR Premiere OR Screening OR Feature OR Trailer OR Teaser OR theater OR release)"</f>
        <v>#N/A</v>
      </c>
      <c r="O551" s="23" t="str">
        <f t="shared" si="1"/>
        <v>#</v>
      </c>
      <c r="P551" s="23" t="str">
        <f t="shared" si="2"/>
        <v>#</v>
      </c>
      <c r="Q551" s="23"/>
      <c r="R551" s="23" t="str">
        <f>"("""&amp;B551&amp;""") ("&amp;Vlookup(E551,DropDown!R:V,5,FALSE)&amp;IF(ISBLANK(D551)," | "," "&amp;"OR """&amp;YEAR(D551)&amp;""" | ") &amp; """All New"" | Episode | Watch | tv | Show | Series | season | binge | Stream | Film | Movie | Premiere | Screening | Feature | Trailer | Teaser | theater | release)"</f>
        <v>#N/A</v>
      </c>
      <c r="S551" s="23"/>
      <c r="T551" s="23"/>
      <c r="U551" s="23"/>
      <c r="V551" s="23"/>
      <c r="W551" s="23"/>
      <c r="X551" s="38"/>
      <c r="Y551" s="38"/>
      <c r="Z551" s="38"/>
      <c r="AA551" s="38"/>
    </row>
    <row r="552">
      <c r="A552" s="31"/>
      <c r="B552" s="38"/>
      <c r="C552" s="38"/>
      <c r="D552" s="50"/>
      <c r="E552" s="50"/>
      <c r="F552" s="50"/>
      <c r="G552" s="27" t="str">
        <f>VLOOKUP(E552,DropDown!J:K,2,FALSE)</f>
        <v>#N/A</v>
      </c>
      <c r="H552" s="50"/>
      <c r="I552" s="50"/>
      <c r="J552" s="50"/>
      <c r="K552" s="25" t="s">
        <v>116</v>
      </c>
      <c r="L552" s="23"/>
      <c r="M552" s="23"/>
      <c r="N552" s="25" t="str">
        <f>"("""&amp;B552&amp;""") ("&amp;Vlookup(E552,DropDown!J:N,5,FALSE)&amp;" OR """ &amp;YEAR(D552) &amp; """ OR ""All New"" OR Episode OR Watch OR tv OR Show OR Series OR season OR binge OR Stream OR Film OR Movie OR Premiere OR Screening OR Feature OR Trailer OR Teaser OR theater OR release)"</f>
        <v>#N/A</v>
      </c>
      <c r="O552" s="23" t="str">
        <f t="shared" si="1"/>
        <v>#</v>
      </c>
      <c r="P552" s="23" t="str">
        <f t="shared" si="2"/>
        <v>#</v>
      </c>
      <c r="Q552" s="23"/>
      <c r="R552" s="23" t="str">
        <f>"("""&amp;B552&amp;""") ("&amp;Vlookup(E552,DropDown!R:V,5,FALSE)&amp;IF(ISBLANK(D552)," | "," "&amp;"OR """&amp;YEAR(D552)&amp;""" | ") &amp; """All New"" | Episode | Watch | tv | Show | Series | season | binge | Stream | Film | Movie | Premiere | Screening | Feature | Trailer | Teaser | theater | release)"</f>
        <v>#N/A</v>
      </c>
      <c r="S552" s="23"/>
      <c r="T552" s="23"/>
      <c r="U552" s="23"/>
      <c r="V552" s="23"/>
      <c r="W552" s="23"/>
      <c r="X552" s="38"/>
      <c r="Y552" s="38"/>
      <c r="Z552" s="38"/>
      <c r="AA552" s="38"/>
    </row>
    <row r="553">
      <c r="A553" s="31"/>
      <c r="B553" s="38"/>
      <c r="C553" s="38"/>
      <c r="D553" s="50"/>
      <c r="E553" s="50"/>
      <c r="F553" s="50"/>
      <c r="G553" s="27" t="str">
        <f>VLOOKUP(E553,DropDown!J:K,2,FALSE)</f>
        <v>#N/A</v>
      </c>
      <c r="H553" s="50"/>
      <c r="I553" s="50"/>
      <c r="J553" s="50"/>
      <c r="K553" s="25" t="s">
        <v>116</v>
      </c>
      <c r="L553" s="23"/>
      <c r="M553" s="23"/>
      <c r="N553" s="25" t="str">
        <f>"("""&amp;B553&amp;""") ("&amp;Vlookup(E553,DropDown!J:N,5,FALSE)&amp;" OR """ &amp;YEAR(D553) &amp; """ OR ""All New"" OR Episode OR Watch OR tv OR Show OR Series OR season OR binge OR Stream OR Film OR Movie OR Premiere OR Screening OR Feature OR Trailer OR Teaser OR theater OR release)"</f>
        <v>#N/A</v>
      </c>
      <c r="O553" s="23" t="str">
        <f t="shared" si="1"/>
        <v>#</v>
      </c>
      <c r="P553" s="23" t="str">
        <f t="shared" si="2"/>
        <v>#</v>
      </c>
      <c r="Q553" s="23"/>
      <c r="R553" s="23" t="str">
        <f>"("""&amp;B553&amp;""") ("&amp;Vlookup(E553,DropDown!R:V,5,FALSE)&amp;IF(ISBLANK(D553)," | "," "&amp;"OR """&amp;YEAR(D553)&amp;""" | ") &amp; """All New"" | Episode | Watch | tv | Show | Series | season | binge | Stream | Film | Movie | Premiere | Screening | Feature | Trailer | Teaser | theater | release)"</f>
        <v>#N/A</v>
      </c>
      <c r="S553" s="23"/>
      <c r="T553" s="23"/>
      <c r="U553" s="23"/>
      <c r="V553" s="23"/>
      <c r="W553" s="23"/>
      <c r="X553" s="38"/>
      <c r="Y553" s="38"/>
      <c r="Z553" s="38"/>
      <c r="AA553" s="38"/>
    </row>
    <row r="554">
      <c r="A554" s="31"/>
      <c r="B554" s="38"/>
      <c r="C554" s="38"/>
      <c r="D554" s="50"/>
      <c r="E554" s="50"/>
      <c r="F554" s="50"/>
      <c r="G554" s="27" t="str">
        <f>VLOOKUP(E554,DropDown!J:K,2,FALSE)</f>
        <v>#N/A</v>
      </c>
      <c r="H554" s="50"/>
      <c r="I554" s="50"/>
      <c r="J554" s="50"/>
      <c r="K554" s="25" t="s">
        <v>116</v>
      </c>
      <c r="L554" s="23"/>
      <c r="M554" s="23"/>
      <c r="N554" s="25" t="str">
        <f>"("""&amp;B554&amp;""") ("&amp;Vlookup(E554,DropDown!J:N,5,FALSE)&amp;" OR """ &amp;YEAR(D554) &amp; """ OR ""All New"" OR Episode OR Watch OR tv OR Show OR Series OR season OR binge OR Stream OR Film OR Movie OR Premiere OR Screening OR Feature OR Trailer OR Teaser OR theater OR release)"</f>
        <v>#N/A</v>
      </c>
      <c r="O554" s="23" t="str">
        <f t="shared" si="1"/>
        <v>#</v>
      </c>
      <c r="P554" s="23" t="str">
        <f t="shared" si="2"/>
        <v>#</v>
      </c>
      <c r="Q554" s="23"/>
      <c r="R554" s="23" t="str">
        <f>"("""&amp;B554&amp;""") ("&amp;Vlookup(E554,DropDown!R:V,5,FALSE)&amp;IF(ISBLANK(D554)," | "," "&amp;"OR """&amp;YEAR(D554)&amp;""" | ") &amp; """All New"" | Episode | Watch | tv | Show | Series | season | binge | Stream | Film | Movie | Premiere | Screening | Feature | Trailer | Teaser | theater | release)"</f>
        <v>#N/A</v>
      </c>
      <c r="S554" s="23"/>
      <c r="T554" s="23"/>
      <c r="U554" s="23"/>
      <c r="V554" s="23"/>
      <c r="W554" s="23"/>
      <c r="X554" s="38"/>
      <c r="Y554" s="38"/>
      <c r="Z554" s="38"/>
      <c r="AA554" s="38"/>
    </row>
    <row r="555">
      <c r="A555" s="31"/>
      <c r="B555" s="38"/>
      <c r="C555" s="38"/>
      <c r="D555" s="50"/>
      <c r="E555" s="50"/>
      <c r="F555" s="50"/>
      <c r="G555" s="27" t="str">
        <f>VLOOKUP(E555,DropDown!J:K,2,FALSE)</f>
        <v>#N/A</v>
      </c>
      <c r="H555" s="50"/>
      <c r="I555" s="50"/>
      <c r="J555" s="50"/>
      <c r="K555" s="25" t="s">
        <v>116</v>
      </c>
      <c r="L555" s="23"/>
      <c r="M555" s="23"/>
      <c r="N555" s="25" t="str">
        <f>"("""&amp;B555&amp;""") ("&amp;Vlookup(E555,DropDown!J:N,5,FALSE)&amp;" OR """ &amp;YEAR(D555) &amp; """ OR ""All New"" OR Episode OR Watch OR tv OR Show OR Series OR season OR binge OR Stream OR Film OR Movie OR Premiere OR Screening OR Feature OR Trailer OR Teaser OR theater OR release)"</f>
        <v>#N/A</v>
      </c>
      <c r="O555" s="23" t="str">
        <f t="shared" si="1"/>
        <v>#</v>
      </c>
      <c r="P555" s="23" t="str">
        <f t="shared" si="2"/>
        <v>#</v>
      </c>
      <c r="Q555" s="23"/>
      <c r="R555" s="23" t="str">
        <f>"("""&amp;B555&amp;""") ("&amp;Vlookup(E555,DropDown!R:V,5,FALSE)&amp;IF(ISBLANK(D555)," | "," "&amp;"OR """&amp;YEAR(D555)&amp;""" | ") &amp; """All New"" | Episode | Watch | tv | Show | Series | season | binge | Stream | Film | Movie | Premiere | Screening | Feature | Trailer | Teaser | theater | release)"</f>
        <v>#N/A</v>
      </c>
      <c r="S555" s="23"/>
      <c r="T555" s="23"/>
      <c r="U555" s="23"/>
      <c r="V555" s="23"/>
      <c r="W555" s="23"/>
      <c r="X555" s="38"/>
      <c r="Y555" s="38"/>
      <c r="Z555" s="38"/>
      <c r="AA555" s="38"/>
    </row>
    <row r="556">
      <c r="A556" s="31"/>
      <c r="B556" s="38"/>
      <c r="C556" s="38"/>
      <c r="D556" s="50"/>
      <c r="E556" s="50"/>
      <c r="F556" s="50"/>
      <c r="G556" s="27" t="str">
        <f>VLOOKUP(E556,DropDown!J:K,2,FALSE)</f>
        <v>#N/A</v>
      </c>
      <c r="H556" s="50"/>
      <c r="I556" s="50"/>
      <c r="J556" s="50"/>
      <c r="K556" s="25" t="s">
        <v>116</v>
      </c>
      <c r="L556" s="23"/>
      <c r="M556" s="23"/>
      <c r="N556" s="25" t="str">
        <f>"("""&amp;B556&amp;""") ("&amp;Vlookup(E556,DropDown!J:N,5,FALSE)&amp;" OR """ &amp;YEAR(D556) &amp; """ OR ""All New"" OR Episode OR Watch OR tv OR Show OR Series OR season OR binge OR Stream OR Film OR Movie OR Premiere OR Screening OR Feature OR Trailer OR Teaser OR theater OR release)"</f>
        <v>#N/A</v>
      </c>
      <c r="O556" s="23" t="str">
        <f t="shared" si="1"/>
        <v>#</v>
      </c>
      <c r="P556" s="23" t="str">
        <f t="shared" si="2"/>
        <v>#</v>
      </c>
      <c r="Q556" s="23"/>
      <c r="R556" s="23" t="str">
        <f>"("""&amp;B556&amp;""") ("&amp;Vlookup(E556,DropDown!R:V,5,FALSE)&amp;IF(ISBLANK(D556)," | "," "&amp;"OR """&amp;YEAR(D556)&amp;""" | ") &amp; """All New"" | Episode | Watch | tv | Show | Series | season | binge | Stream | Film | Movie | Premiere | Screening | Feature | Trailer | Teaser | theater | release)"</f>
        <v>#N/A</v>
      </c>
      <c r="S556" s="23"/>
      <c r="T556" s="23"/>
      <c r="U556" s="23"/>
      <c r="V556" s="23"/>
      <c r="W556" s="23"/>
      <c r="X556" s="38"/>
      <c r="Y556" s="38"/>
      <c r="Z556" s="38"/>
      <c r="AA556" s="38"/>
    </row>
    <row r="557">
      <c r="A557" s="31"/>
      <c r="B557" s="38"/>
      <c r="C557" s="38"/>
      <c r="D557" s="50"/>
      <c r="E557" s="50"/>
      <c r="F557" s="50"/>
      <c r="G557" s="27" t="str">
        <f>VLOOKUP(E557,DropDown!J:K,2,FALSE)</f>
        <v>#N/A</v>
      </c>
      <c r="H557" s="50"/>
      <c r="I557" s="50"/>
      <c r="J557" s="50"/>
      <c r="K557" s="25" t="s">
        <v>116</v>
      </c>
      <c r="L557" s="23"/>
      <c r="M557" s="23"/>
      <c r="N557" s="25" t="str">
        <f>"("""&amp;B557&amp;""") ("&amp;Vlookup(E557,DropDown!J:N,5,FALSE)&amp;" OR """ &amp;YEAR(D557) &amp; """ OR ""All New"" OR Episode OR Watch OR tv OR Show OR Series OR season OR binge OR Stream OR Film OR Movie OR Premiere OR Screening OR Feature OR Trailer OR Teaser OR theater OR release)"</f>
        <v>#N/A</v>
      </c>
      <c r="O557" s="23" t="str">
        <f t="shared" si="1"/>
        <v>#</v>
      </c>
      <c r="P557" s="23" t="str">
        <f t="shared" si="2"/>
        <v>#</v>
      </c>
      <c r="Q557" s="23"/>
      <c r="R557" s="23" t="str">
        <f>"("""&amp;B557&amp;""") ("&amp;Vlookup(E557,DropDown!R:V,5,FALSE)&amp;IF(ISBLANK(D557)," | "," "&amp;"OR """&amp;YEAR(D557)&amp;""" | ") &amp; """All New"" | Episode | Watch | tv | Show | Series | season | binge | Stream | Film | Movie | Premiere | Screening | Feature | Trailer | Teaser | theater | release)"</f>
        <v>#N/A</v>
      </c>
      <c r="S557" s="23"/>
      <c r="T557" s="23"/>
      <c r="U557" s="23"/>
      <c r="V557" s="23"/>
      <c r="W557" s="23"/>
      <c r="X557" s="38"/>
      <c r="Y557" s="38"/>
      <c r="Z557" s="38"/>
      <c r="AA557" s="38"/>
    </row>
    <row r="558">
      <c r="A558" s="31"/>
      <c r="B558" s="38"/>
      <c r="C558" s="38"/>
      <c r="D558" s="50"/>
      <c r="E558" s="50"/>
      <c r="F558" s="50"/>
      <c r="G558" s="27" t="str">
        <f>VLOOKUP(E558,DropDown!J:K,2,FALSE)</f>
        <v>#N/A</v>
      </c>
      <c r="H558" s="50"/>
      <c r="I558" s="50"/>
      <c r="J558" s="50"/>
      <c r="K558" s="25" t="s">
        <v>116</v>
      </c>
      <c r="L558" s="23"/>
      <c r="M558" s="23"/>
      <c r="N558" s="25" t="str">
        <f>"("""&amp;B558&amp;""") ("&amp;Vlookup(E558,DropDown!J:N,5,FALSE)&amp;" OR """ &amp;YEAR(D558) &amp; """ OR ""All New"" OR Episode OR Watch OR tv OR Show OR Series OR season OR binge OR Stream OR Film OR Movie OR Premiere OR Screening OR Feature OR Trailer OR Teaser OR theater OR release)"</f>
        <v>#N/A</v>
      </c>
      <c r="O558" s="23" t="str">
        <f t="shared" si="1"/>
        <v>#</v>
      </c>
      <c r="P558" s="23" t="str">
        <f t="shared" si="2"/>
        <v>#</v>
      </c>
      <c r="Q558" s="23"/>
      <c r="R558" s="23" t="str">
        <f>"("""&amp;B558&amp;""") ("&amp;Vlookup(E558,DropDown!R:V,5,FALSE)&amp;IF(ISBLANK(D558)," | "," "&amp;"OR """&amp;YEAR(D558)&amp;""" | ") &amp; """All New"" | Episode | Watch | tv | Show | Series | season | binge | Stream | Film | Movie | Premiere | Screening | Feature | Trailer | Teaser | theater | release)"</f>
        <v>#N/A</v>
      </c>
      <c r="S558" s="23"/>
      <c r="T558" s="23"/>
      <c r="U558" s="23"/>
      <c r="V558" s="23"/>
      <c r="W558" s="23"/>
      <c r="X558" s="38"/>
      <c r="Y558" s="38"/>
      <c r="Z558" s="38"/>
      <c r="AA558" s="38"/>
    </row>
    <row r="559">
      <c r="A559" s="31"/>
      <c r="B559" s="38"/>
      <c r="C559" s="38"/>
      <c r="D559" s="50"/>
      <c r="E559" s="50"/>
      <c r="F559" s="50"/>
      <c r="G559" s="27" t="str">
        <f>VLOOKUP(E559,DropDown!J:K,2,FALSE)</f>
        <v>#N/A</v>
      </c>
      <c r="H559" s="50"/>
      <c r="I559" s="50"/>
      <c r="J559" s="50"/>
      <c r="K559" s="25" t="s">
        <v>116</v>
      </c>
      <c r="L559" s="23"/>
      <c r="M559" s="23"/>
      <c r="N559" s="25" t="str">
        <f>"("""&amp;B559&amp;""") ("&amp;Vlookup(E559,DropDown!J:N,5,FALSE)&amp;" OR """ &amp;YEAR(D559) &amp; """ OR ""All New"" OR Episode OR Watch OR tv OR Show OR Series OR season OR binge OR Stream OR Film OR Movie OR Premiere OR Screening OR Feature OR Trailer OR Teaser OR theater OR release)"</f>
        <v>#N/A</v>
      </c>
      <c r="O559" s="23" t="str">
        <f t="shared" si="1"/>
        <v>#</v>
      </c>
      <c r="P559" s="23" t="str">
        <f t="shared" si="2"/>
        <v>#</v>
      </c>
      <c r="Q559" s="23"/>
      <c r="R559" s="23" t="str">
        <f>"("""&amp;B559&amp;""") ("&amp;Vlookup(E559,DropDown!R:V,5,FALSE)&amp;IF(ISBLANK(D559)," | "," "&amp;"OR """&amp;YEAR(D559)&amp;""" | ") &amp; """All New"" | Episode | Watch | tv | Show | Series | season | binge | Stream | Film | Movie | Premiere | Screening | Feature | Trailer | Teaser | theater | release)"</f>
        <v>#N/A</v>
      </c>
      <c r="S559" s="23"/>
      <c r="T559" s="23"/>
      <c r="U559" s="23"/>
      <c r="V559" s="23"/>
      <c r="W559" s="23"/>
      <c r="X559" s="38"/>
      <c r="Y559" s="38"/>
      <c r="Z559" s="38"/>
      <c r="AA559" s="38"/>
    </row>
    <row r="560">
      <c r="A560" s="31"/>
      <c r="B560" s="38"/>
      <c r="C560" s="38"/>
      <c r="D560" s="50"/>
      <c r="E560" s="50"/>
      <c r="F560" s="50"/>
      <c r="G560" s="27" t="str">
        <f>VLOOKUP(E560,DropDown!J:K,2,FALSE)</f>
        <v>#N/A</v>
      </c>
      <c r="H560" s="50"/>
      <c r="I560" s="50"/>
      <c r="J560" s="50"/>
      <c r="K560" s="25" t="s">
        <v>116</v>
      </c>
      <c r="L560" s="23"/>
      <c r="M560" s="23"/>
      <c r="N560" s="25" t="str">
        <f>"("""&amp;B560&amp;""") ("&amp;Vlookup(E560,DropDown!J:N,5,FALSE)&amp;" OR """ &amp;YEAR(D560) &amp; """ OR ""All New"" OR Episode OR Watch OR tv OR Show OR Series OR season OR binge OR Stream OR Film OR Movie OR Premiere OR Screening OR Feature OR Trailer OR Teaser OR theater OR release)"</f>
        <v>#N/A</v>
      </c>
      <c r="O560" s="23" t="str">
        <f t="shared" si="1"/>
        <v>#</v>
      </c>
      <c r="P560" s="23" t="str">
        <f t="shared" si="2"/>
        <v>#</v>
      </c>
      <c r="Q560" s="23"/>
      <c r="R560" s="23" t="str">
        <f>"("""&amp;B560&amp;""") ("&amp;Vlookup(E560,DropDown!R:V,5,FALSE)&amp;IF(ISBLANK(D560)," | "," "&amp;"OR """&amp;YEAR(D560)&amp;""" | ") &amp; """All New"" | Episode | Watch | tv | Show | Series | season | binge | Stream | Film | Movie | Premiere | Screening | Feature | Trailer | Teaser | theater | release)"</f>
        <v>#N/A</v>
      </c>
      <c r="S560" s="23"/>
      <c r="T560" s="23"/>
      <c r="U560" s="23"/>
      <c r="V560" s="23"/>
      <c r="W560" s="23"/>
      <c r="X560" s="38"/>
      <c r="Y560" s="38"/>
      <c r="Z560" s="38"/>
      <c r="AA560" s="38"/>
    </row>
    <row r="561">
      <c r="A561" s="31"/>
      <c r="B561" s="38"/>
      <c r="C561" s="38"/>
      <c r="D561" s="50"/>
      <c r="E561" s="50"/>
      <c r="F561" s="50"/>
      <c r="G561" s="27" t="str">
        <f>VLOOKUP(E561,DropDown!J:K,2,FALSE)</f>
        <v>#N/A</v>
      </c>
      <c r="H561" s="50"/>
      <c r="I561" s="50"/>
      <c r="J561" s="50"/>
      <c r="K561" s="25" t="s">
        <v>116</v>
      </c>
      <c r="L561" s="23"/>
      <c r="M561" s="23"/>
      <c r="N561" s="25" t="str">
        <f>"("""&amp;B561&amp;""") ("&amp;Vlookup(E561,DropDown!J:N,5,FALSE)&amp;" OR """ &amp;YEAR(D561) &amp; """ OR ""All New"" OR Episode OR Watch OR tv OR Show OR Series OR season OR binge OR Stream OR Film OR Movie OR Premiere OR Screening OR Feature OR Trailer OR Teaser OR theater OR release)"</f>
        <v>#N/A</v>
      </c>
      <c r="O561" s="23" t="str">
        <f t="shared" si="1"/>
        <v>#</v>
      </c>
      <c r="P561" s="23" t="str">
        <f t="shared" si="2"/>
        <v>#</v>
      </c>
      <c r="Q561" s="23"/>
      <c r="R561" s="23" t="str">
        <f>"("""&amp;B561&amp;""") ("&amp;Vlookup(E561,DropDown!R:V,5,FALSE)&amp;IF(ISBLANK(D561)," | "," "&amp;"OR """&amp;YEAR(D561)&amp;""" | ") &amp; """All New"" | Episode | Watch | tv | Show | Series | season | binge | Stream | Film | Movie | Premiere | Screening | Feature | Trailer | Teaser | theater | release)"</f>
        <v>#N/A</v>
      </c>
      <c r="S561" s="23"/>
      <c r="T561" s="23"/>
      <c r="U561" s="23"/>
      <c r="V561" s="23"/>
      <c r="W561" s="23"/>
      <c r="X561" s="38"/>
      <c r="Y561" s="38"/>
      <c r="Z561" s="38"/>
      <c r="AA561" s="38"/>
    </row>
    <row r="562">
      <c r="A562" s="31"/>
      <c r="B562" s="38"/>
      <c r="C562" s="38"/>
      <c r="D562" s="50"/>
      <c r="E562" s="50"/>
      <c r="F562" s="50"/>
      <c r="G562" s="27" t="str">
        <f>VLOOKUP(E562,DropDown!J:K,2,FALSE)</f>
        <v>#N/A</v>
      </c>
      <c r="H562" s="50"/>
      <c r="I562" s="50"/>
      <c r="J562" s="50"/>
      <c r="K562" s="25" t="s">
        <v>116</v>
      </c>
      <c r="L562" s="23"/>
      <c r="M562" s="23"/>
      <c r="N562" s="25" t="str">
        <f>"("""&amp;B562&amp;""") ("&amp;Vlookup(E562,DropDown!J:N,5,FALSE)&amp;" OR """ &amp;YEAR(D562) &amp; """ OR ""All New"" OR Episode OR Watch OR tv OR Show OR Series OR season OR binge OR Stream OR Film OR Movie OR Premiere OR Screening OR Feature OR Trailer OR Teaser OR theater OR release)"</f>
        <v>#N/A</v>
      </c>
      <c r="O562" s="23" t="str">
        <f t="shared" si="1"/>
        <v>#</v>
      </c>
      <c r="P562" s="23" t="str">
        <f t="shared" si="2"/>
        <v>#</v>
      </c>
      <c r="Q562" s="23"/>
      <c r="R562" s="23" t="str">
        <f>"("""&amp;B562&amp;""") ("&amp;Vlookup(E562,DropDown!R:V,5,FALSE)&amp;IF(ISBLANK(D562)," | "," "&amp;"OR """&amp;YEAR(D562)&amp;""" | ") &amp; """All New"" | Episode | Watch | tv | Show | Series | season | binge | Stream | Film | Movie | Premiere | Screening | Feature | Trailer | Teaser | theater | release)"</f>
        <v>#N/A</v>
      </c>
      <c r="S562" s="23"/>
      <c r="T562" s="23"/>
      <c r="U562" s="23"/>
      <c r="V562" s="23"/>
      <c r="W562" s="23"/>
      <c r="X562" s="38"/>
      <c r="Y562" s="38"/>
      <c r="Z562" s="38"/>
      <c r="AA562" s="38"/>
    </row>
    <row r="563">
      <c r="A563" s="31"/>
      <c r="B563" s="38"/>
      <c r="C563" s="38"/>
      <c r="D563" s="50"/>
      <c r="E563" s="50"/>
      <c r="F563" s="50"/>
      <c r="G563" s="27" t="str">
        <f>VLOOKUP(E563,DropDown!J:K,2,FALSE)</f>
        <v>#N/A</v>
      </c>
      <c r="H563" s="50"/>
      <c r="I563" s="50"/>
      <c r="J563" s="50"/>
      <c r="K563" s="25" t="s">
        <v>116</v>
      </c>
      <c r="L563" s="23"/>
      <c r="M563" s="23"/>
      <c r="N563" s="25" t="str">
        <f>"("""&amp;B563&amp;""") ("&amp;Vlookup(E563,DropDown!J:N,5,FALSE)&amp;" OR """ &amp;YEAR(D563) &amp; """ OR ""All New"" OR Episode OR Watch OR tv OR Show OR Series OR season OR binge OR Stream OR Film OR Movie OR Premiere OR Screening OR Feature OR Trailer OR Teaser OR theater OR release)"</f>
        <v>#N/A</v>
      </c>
      <c r="O563" s="23" t="str">
        <f t="shared" si="1"/>
        <v>#</v>
      </c>
      <c r="P563" s="23" t="str">
        <f t="shared" si="2"/>
        <v>#</v>
      </c>
      <c r="Q563" s="23"/>
      <c r="R563" s="23" t="str">
        <f>"("""&amp;B563&amp;""") ("&amp;Vlookup(E563,DropDown!R:V,5,FALSE)&amp;IF(ISBLANK(D563)," | "," "&amp;"OR """&amp;YEAR(D563)&amp;""" | ") &amp; """All New"" | Episode | Watch | tv | Show | Series | season | binge | Stream | Film | Movie | Premiere | Screening | Feature | Trailer | Teaser | theater | release)"</f>
        <v>#N/A</v>
      </c>
      <c r="S563" s="23"/>
      <c r="T563" s="23"/>
      <c r="U563" s="23"/>
      <c r="V563" s="23"/>
      <c r="W563" s="23"/>
      <c r="X563" s="38"/>
      <c r="Y563" s="38"/>
      <c r="Z563" s="38"/>
      <c r="AA563" s="38"/>
    </row>
    <row r="564">
      <c r="A564" s="31"/>
      <c r="B564" s="38"/>
      <c r="C564" s="38"/>
      <c r="D564" s="50"/>
      <c r="E564" s="50"/>
      <c r="F564" s="50"/>
      <c r="G564" s="27" t="str">
        <f>VLOOKUP(E564,DropDown!J:K,2,FALSE)</f>
        <v>#N/A</v>
      </c>
      <c r="H564" s="50"/>
      <c r="I564" s="50"/>
      <c r="J564" s="50"/>
      <c r="K564" s="25" t="s">
        <v>116</v>
      </c>
      <c r="L564" s="23"/>
      <c r="M564" s="23"/>
      <c r="N564" s="25" t="str">
        <f>"("""&amp;B564&amp;""") ("&amp;Vlookup(E564,DropDown!J:N,5,FALSE)&amp;" OR """ &amp;YEAR(D564) &amp; """ OR ""All New"" OR Episode OR Watch OR tv OR Show OR Series OR season OR binge OR Stream OR Film OR Movie OR Premiere OR Screening OR Feature OR Trailer OR Teaser OR theater OR release)"</f>
        <v>#N/A</v>
      </c>
      <c r="O564" s="23" t="str">
        <f t="shared" si="1"/>
        <v>#</v>
      </c>
      <c r="P564" s="23" t="str">
        <f t="shared" si="2"/>
        <v>#</v>
      </c>
      <c r="Q564" s="23"/>
      <c r="R564" s="23" t="str">
        <f>"("""&amp;B564&amp;""") ("&amp;Vlookup(E564,DropDown!R:V,5,FALSE)&amp;IF(ISBLANK(D564)," | "," "&amp;"OR """&amp;YEAR(D564)&amp;""" | ") &amp; """All New"" | Episode | Watch | tv | Show | Series | season | binge | Stream | Film | Movie | Premiere | Screening | Feature | Trailer | Teaser | theater | release)"</f>
        <v>#N/A</v>
      </c>
      <c r="S564" s="23"/>
      <c r="T564" s="23"/>
      <c r="U564" s="23"/>
      <c r="V564" s="23"/>
      <c r="W564" s="23"/>
      <c r="X564" s="38"/>
      <c r="Y564" s="38"/>
      <c r="Z564" s="38"/>
      <c r="AA564" s="38"/>
    </row>
    <row r="565">
      <c r="A565" s="31"/>
      <c r="B565" s="38"/>
      <c r="C565" s="38"/>
      <c r="D565" s="50"/>
      <c r="E565" s="50"/>
      <c r="F565" s="50"/>
      <c r="G565" s="27" t="str">
        <f>VLOOKUP(E565,DropDown!J:K,2,FALSE)</f>
        <v>#N/A</v>
      </c>
      <c r="H565" s="50"/>
      <c r="I565" s="50"/>
      <c r="J565" s="50"/>
      <c r="K565" s="25" t="s">
        <v>116</v>
      </c>
      <c r="L565" s="23"/>
      <c r="M565" s="23"/>
      <c r="N565" s="25" t="str">
        <f>"("""&amp;B565&amp;""") ("&amp;Vlookup(E565,DropDown!J:N,5,FALSE)&amp;" OR """ &amp;YEAR(D565) &amp; """ OR ""All New"" OR Episode OR Watch OR tv OR Show OR Series OR season OR binge OR Stream OR Film OR Movie OR Premiere OR Screening OR Feature OR Trailer OR Teaser OR theater OR release)"</f>
        <v>#N/A</v>
      </c>
      <c r="O565" s="23" t="str">
        <f t="shared" si="1"/>
        <v>#</v>
      </c>
      <c r="P565" s="23" t="str">
        <f t="shared" si="2"/>
        <v>#</v>
      </c>
      <c r="Q565" s="23"/>
      <c r="R565" s="23" t="str">
        <f>"("""&amp;B565&amp;""") ("&amp;Vlookup(E565,DropDown!R:V,5,FALSE)&amp;IF(ISBLANK(D565)," | "," "&amp;"OR """&amp;YEAR(D565)&amp;""" | ") &amp; """All New"" | Episode | Watch | tv | Show | Series | season | binge | Stream | Film | Movie | Premiere | Screening | Feature | Trailer | Teaser | theater | release)"</f>
        <v>#N/A</v>
      </c>
      <c r="S565" s="23"/>
      <c r="T565" s="23"/>
      <c r="U565" s="23"/>
      <c r="V565" s="23"/>
      <c r="W565" s="23"/>
      <c r="X565" s="38"/>
      <c r="Y565" s="38"/>
      <c r="Z565" s="38"/>
      <c r="AA565" s="38"/>
    </row>
    <row r="566">
      <c r="A566" s="31"/>
      <c r="B566" s="38"/>
      <c r="C566" s="38"/>
      <c r="D566" s="50"/>
      <c r="E566" s="50"/>
      <c r="F566" s="50"/>
      <c r="G566" s="27" t="str">
        <f>VLOOKUP(E566,DropDown!J:K,2,FALSE)</f>
        <v>#N/A</v>
      </c>
      <c r="H566" s="50"/>
      <c r="I566" s="50"/>
      <c r="J566" s="50"/>
      <c r="K566" s="25" t="s">
        <v>116</v>
      </c>
      <c r="L566" s="23"/>
      <c r="M566" s="23"/>
      <c r="N566" s="25" t="str">
        <f>"("""&amp;B566&amp;""") ("&amp;Vlookup(E566,DropDown!J:N,5,FALSE)&amp;" OR """ &amp;YEAR(D566) &amp; """ OR ""All New"" OR Episode OR Watch OR tv OR Show OR Series OR season OR binge OR Stream OR Film OR Movie OR Premiere OR Screening OR Feature OR Trailer OR Teaser OR theater OR release)"</f>
        <v>#N/A</v>
      </c>
      <c r="O566" s="23" t="str">
        <f t="shared" si="1"/>
        <v>#</v>
      </c>
      <c r="P566" s="23" t="str">
        <f t="shared" si="2"/>
        <v>#</v>
      </c>
      <c r="Q566" s="23"/>
      <c r="R566" s="23" t="str">
        <f>"("""&amp;B566&amp;""") ("&amp;Vlookup(E566,DropDown!R:V,5,FALSE)&amp;IF(ISBLANK(D566)," | "," "&amp;"OR """&amp;YEAR(D566)&amp;""" | ") &amp; """All New"" | Episode | Watch | tv | Show | Series | season | binge | Stream | Film | Movie | Premiere | Screening | Feature | Trailer | Teaser | theater | release)"</f>
        <v>#N/A</v>
      </c>
      <c r="S566" s="23"/>
      <c r="T566" s="23"/>
      <c r="U566" s="23"/>
      <c r="V566" s="23"/>
      <c r="W566" s="23"/>
      <c r="X566" s="38"/>
      <c r="Y566" s="38"/>
      <c r="Z566" s="38"/>
      <c r="AA566" s="38"/>
    </row>
    <row r="567">
      <c r="A567" s="31"/>
      <c r="B567" s="38"/>
      <c r="C567" s="38"/>
      <c r="D567" s="50"/>
      <c r="E567" s="50"/>
      <c r="F567" s="50"/>
      <c r="G567" s="27" t="str">
        <f>VLOOKUP(E567,DropDown!J:K,2,FALSE)</f>
        <v>#N/A</v>
      </c>
      <c r="H567" s="50"/>
      <c r="I567" s="50"/>
      <c r="J567" s="50"/>
      <c r="K567" s="25" t="s">
        <v>116</v>
      </c>
      <c r="L567" s="23"/>
      <c r="M567" s="23"/>
      <c r="N567" s="25" t="str">
        <f>"("""&amp;B567&amp;""") ("&amp;Vlookup(E567,DropDown!J:N,5,FALSE)&amp;" OR """ &amp;YEAR(D567) &amp; """ OR ""All New"" OR Episode OR Watch OR tv OR Show OR Series OR season OR binge OR Stream OR Film OR Movie OR Premiere OR Screening OR Feature OR Trailer OR Teaser OR theater OR release)"</f>
        <v>#N/A</v>
      </c>
      <c r="O567" s="23" t="str">
        <f t="shared" si="1"/>
        <v>#</v>
      </c>
      <c r="P567" s="23" t="str">
        <f t="shared" si="2"/>
        <v>#</v>
      </c>
      <c r="Q567" s="23"/>
      <c r="R567" s="23" t="str">
        <f>"("""&amp;B567&amp;""") ("&amp;Vlookup(E567,DropDown!R:V,5,FALSE)&amp;IF(ISBLANK(D567)," | "," "&amp;"OR """&amp;YEAR(D567)&amp;""" | ") &amp; """All New"" | Episode | Watch | tv | Show | Series | season | binge | Stream | Film | Movie | Premiere | Screening | Feature | Trailer | Teaser | theater | release)"</f>
        <v>#N/A</v>
      </c>
      <c r="S567" s="23"/>
      <c r="T567" s="23"/>
      <c r="U567" s="23"/>
      <c r="V567" s="23"/>
      <c r="W567" s="23"/>
      <c r="X567" s="38"/>
      <c r="Y567" s="38"/>
      <c r="Z567" s="38"/>
      <c r="AA567" s="38"/>
    </row>
    <row r="568">
      <c r="A568" s="31"/>
      <c r="B568" s="38"/>
      <c r="C568" s="38"/>
      <c r="D568" s="50"/>
      <c r="E568" s="50"/>
      <c r="F568" s="50"/>
      <c r="G568" s="27" t="str">
        <f>VLOOKUP(E568,DropDown!J:K,2,FALSE)</f>
        <v>#N/A</v>
      </c>
      <c r="H568" s="50"/>
      <c r="I568" s="50"/>
      <c r="J568" s="50"/>
      <c r="K568" s="25" t="s">
        <v>116</v>
      </c>
      <c r="L568" s="23"/>
      <c r="M568" s="23"/>
      <c r="N568" s="25" t="str">
        <f>"("""&amp;B568&amp;""") ("&amp;Vlookup(E568,DropDown!J:N,5,FALSE)&amp;" OR """ &amp;YEAR(D568) &amp; """ OR ""All New"" OR Episode OR Watch OR tv OR Show OR Series OR season OR binge OR Stream OR Film OR Movie OR Premiere OR Screening OR Feature OR Trailer OR Teaser OR theater OR release)"</f>
        <v>#N/A</v>
      </c>
      <c r="O568" s="23" t="str">
        <f t="shared" si="1"/>
        <v>#</v>
      </c>
      <c r="P568" s="23" t="str">
        <f t="shared" si="2"/>
        <v>#</v>
      </c>
      <c r="Q568" s="23"/>
      <c r="R568" s="23" t="str">
        <f>"("""&amp;B568&amp;""") ("&amp;Vlookup(E568,DropDown!R:V,5,FALSE)&amp;IF(ISBLANK(D568)," | "," "&amp;"OR """&amp;YEAR(D568)&amp;""" | ") &amp; """All New"" | Episode | Watch | tv | Show | Series | season | binge | Stream | Film | Movie | Premiere | Screening | Feature | Trailer | Teaser | theater | release)"</f>
        <v>#N/A</v>
      </c>
      <c r="S568" s="23"/>
      <c r="T568" s="23"/>
      <c r="U568" s="23"/>
      <c r="V568" s="23"/>
      <c r="W568" s="23"/>
      <c r="X568" s="38"/>
      <c r="Y568" s="38"/>
      <c r="Z568" s="38"/>
      <c r="AA568" s="38"/>
    </row>
    <row r="569">
      <c r="A569" s="31"/>
      <c r="B569" s="38"/>
      <c r="C569" s="38"/>
      <c r="D569" s="50"/>
      <c r="E569" s="50"/>
      <c r="F569" s="50"/>
      <c r="G569" s="27" t="str">
        <f>VLOOKUP(E569,DropDown!J:K,2,FALSE)</f>
        <v>#N/A</v>
      </c>
      <c r="H569" s="50"/>
      <c r="I569" s="50"/>
      <c r="J569" s="50"/>
      <c r="K569" s="25" t="s">
        <v>116</v>
      </c>
      <c r="L569" s="23"/>
      <c r="M569" s="23"/>
      <c r="N569" s="25" t="str">
        <f>"("""&amp;B569&amp;""") ("&amp;Vlookup(E569,DropDown!J:N,5,FALSE)&amp;" OR """ &amp;YEAR(D569) &amp; """ OR ""All New"" OR Episode OR Watch OR tv OR Show OR Series OR season OR binge OR Stream OR Film OR Movie OR Premiere OR Screening OR Feature OR Trailer OR Teaser OR theater OR release)"</f>
        <v>#N/A</v>
      </c>
      <c r="O569" s="23" t="str">
        <f t="shared" si="1"/>
        <v>#</v>
      </c>
      <c r="P569" s="23" t="str">
        <f t="shared" si="2"/>
        <v>#</v>
      </c>
      <c r="Q569" s="23"/>
      <c r="R569" s="23" t="str">
        <f>"("""&amp;B569&amp;""") ("&amp;Vlookup(E569,DropDown!R:V,5,FALSE)&amp;IF(ISBLANK(D569)," | "," "&amp;"OR """&amp;YEAR(D569)&amp;""" | ") &amp; """All New"" | Episode | Watch | tv | Show | Series | season | binge | Stream | Film | Movie | Premiere | Screening | Feature | Trailer | Teaser | theater | release)"</f>
        <v>#N/A</v>
      </c>
      <c r="S569" s="23"/>
      <c r="T569" s="23"/>
      <c r="U569" s="23"/>
      <c r="V569" s="23"/>
      <c r="W569" s="23"/>
      <c r="X569" s="38"/>
      <c r="Y569" s="38"/>
      <c r="Z569" s="38"/>
      <c r="AA569" s="38"/>
    </row>
    <row r="570">
      <c r="A570" s="31"/>
      <c r="B570" s="38"/>
      <c r="C570" s="38"/>
      <c r="D570" s="50"/>
      <c r="E570" s="50"/>
      <c r="F570" s="50"/>
      <c r="G570" s="27" t="str">
        <f>VLOOKUP(E570,DropDown!J:K,2,FALSE)</f>
        <v>#N/A</v>
      </c>
      <c r="H570" s="50"/>
      <c r="I570" s="50"/>
      <c r="J570" s="50"/>
      <c r="K570" s="25" t="s">
        <v>116</v>
      </c>
      <c r="L570" s="23"/>
      <c r="M570" s="23"/>
      <c r="N570" s="25" t="str">
        <f>"("""&amp;B570&amp;""") ("&amp;Vlookup(E570,DropDown!J:N,5,FALSE)&amp;" OR """ &amp;YEAR(D570) &amp; """ OR ""All New"" OR Episode OR Watch OR tv OR Show OR Series OR season OR binge OR Stream OR Film OR Movie OR Premiere OR Screening OR Feature OR Trailer OR Teaser OR theater OR release)"</f>
        <v>#N/A</v>
      </c>
      <c r="O570" s="23" t="str">
        <f t="shared" si="1"/>
        <v>#</v>
      </c>
      <c r="P570" s="23" t="str">
        <f t="shared" si="2"/>
        <v>#</v>
      </c>
      <c r="Q570" s="23"/>
      <c r="R570" s="23" t="str">
        <f>"("""&amp;B570&amp;""") ("&amp;Vlookup(E570,DropDown!R:V,5,FALSE)&amp;IF(ISBLANK(D570)," | "," "&amp;"OR """&amp;YEAR(D570)&amp;""" | ") &amp; """All New"" | Episode | Watch | tv | Show | Series | season | binge | Stream | Film | Movie | Premiere | Screening | Feature | Trailer | Teaser | theater | release)"</f>
        <v>#N/A</v>
      </c>
      <c r="S570" s="23"/>
      <c r="T570" s="23"/>
      <c r="U570" s="23"/>
      <c r="V570" s="23"/>
      <c r="W570" s="23"/>
      <c r="X570" s="38"/>
      <c r="Y570" s="38"/>
      <c r="Z570" s="38"/>
      <c r="AA570" s="38"/>
    </row>
    <row r="571">
      <c r="A571" s="31"/>
      <c r="B571" s="38"/>
      <c r="C571" s="38"/>
      <c r="D571" s="50"/>
      <c r="E571" s="50"/>
      <c r="F571" s="50"/>
      <c r="G571" s="27" t="str">
        <f>VLOOKUP(E571,DropDown!J:K,2,FALSE)</f>
        <v>#N/A</v>
      </c>
      <c r="H571" s="50"/>
      <c r="I571" s="50"/>
      <c r="J571" s="50"/>
      <c r="K571" s="25" t="s">
        <v>116</v>
      </c>
      <c r="L571" s="23"/>
      <c r="M571" s="23"/>
      <c r="N571" s="25" t="str">
        <f>"("""&amp;B571&amp;""") ("&amp;Vlookup(E571,DropDown!J:N,5,FALSE)&amp;" OR """ &amp;YEAR(D571) &amp; """ OR ""All New"" OR Episode OR Watch OR tv OR Show OR Series OR season OR binge OR Stream OR Film OR Movie OR Premiere OR Screening OR Feature OR Trailer OR Teaser OR theater OR release)"</f>
        <v>#N/A</v>
      </c>
      <c r="O571" s="23" t="str">
        <f t="shared" si="1"/>
        <v>#</v>
      </c>
      <c r="P571" s="23" t="str">
        <f t="shared" si="2"/>
        <v>#</v>
      </c>
      <c r="Q571" s="23"/>
      <c r="R571" s="23" t="str">
        <f>"("""&amp;B571&amp;""") ("&amp;Vlookup(E571,DropDown!R:V,5,FALSE)&amp;IF(ISBLANK(D571)," | "," "&amp;"OR """&amp;YEAR(D571)&amp;""" | ") &amp; """All New"" | Episode | Watch | tv | Show | Series | season | binge | Stream | Film | Movie | Premiere | Screening | Feature | Trailer | Teaser | theater | release)"</f>
        <v>#N/A</v>
      </c>
      <c r="S571" s="23"/>
      <c r="T571" s="23"/>
      <c r="U571" s="23"/>
      <c r="V571" s="23"/>
      <c r="W571" s="23"/>
      <c r="X571" s="38"/>
      <c r="Y571" s="38"/>
      <c r="Z571" s="38"/>
      <c r="AA571" s="38"/>
    </row>
    <row r="572">
      <c r="A572" s="31"/>
      <c r="B572" s="38"/>
      <c r="C572" s="38"/>
      <c r="D572" s="50"/>
      <c r="E572" s="50"/>
      <c r="F572" s="50"/>
      <c r="G572" s="27" t="str">
        <f>VLOOKUP(E572,DropDown!J:K,2,FALSE)</f>
        <v>#N/A</v>
      </c>
      <c r="H572" s="50"/>
      <c r="I572" s="50"/>
      <c r="J572" s="50"/>
      <c r="K572" s="25" t="s">
        <v>116</v>
      </c>
      <c r="L572" s="23"/>
      <c r="M572" s="23"/>
      <c r="N572" s="25" t="str">
        <f>"("""&amp;B572&amp;""") ("&amp;Vlookup(E572,DropDown!J:N,5,FALSE)&amp;" OR """ &amp;YEAR(D572) &amp; """ OR ""All New"" OR Episode OR Watch OR tv OR Show OR Series OR season OR binge OR Stream OR Film OR Movie OR Premiere OR Screening OR Feature OR Trailer OR Teaser OR theater OR release)"</f>
        <v>#N/A</v>
      </c>
      <c r="O572" s="23" t="str">
        <f t="shared" si="1"/>
        <v>#</v>
      </c>
      <c r="P572" s="23" t="str">
        <f t="shared" si="2"/>
        <v>#</v>
      </c>
      <c r="Q572" s="23"/>
      <c r="R572" s="23" t="str">
        <f>"("""&amp;B572&amp;""") ("&amp;Vlookup(E572,DropDown!R:V,5,FALSE)&amp;IF(ISBLANK(D572)," | "," "&amp;"OR """&amp;YEAR(D572)&amp;""" | ") &amp; """All New"" | Episode | Watch | tv | Show | Series | season | binge | Stream | Film | Movie | Premiere | Screening | Feature | Trailer | Teaser | theater | release)"</f>
        <v>#N/A</v>
      </c>
      <c r="S572" s="23"/>
      <c r="T572" s="23"/>
      <c r="U572" s="23"/>
      <c r="V572" s="23"/>
      <c r="W572" s="23"/>
      <c r="X572" s="38"/>
      <c r="Y572" s="38"/>
      <c r="Z572" s="38"/>
      <c r="AA572" s="38"/>
    </row>
    <row r="573">
      <c r="A573" s="31"/>
      <c r="B573" s="38"/>
      <c r="C573" s="38"/>
      <c r="D573" s="50"/>
      <c r="E573" s="50"/>
      <c r="F573" s="50"/>
      <c r="G573" s="27" t="str">
        <f>VLOOKUP(E573,DropDown!J:K,2,FALSE)</f>
        <v>#N/A</v>
      </c>
      <c r="H573" s="50"/>
      <c r="I573" s="50"/>
      <c r="J573" s="50"/>
      <c r="K573" s="25" t="s">
        <v>116</v>
      </c>
      <c r="L573" s="23"/>
      <c r="M573" s="23"/>
      <c r="N573" s="25" t="str">
        <f>"("""&amp;B573&amp;""") ("&amp;Vlookup(E573,DropDown!J:N,5,FALSE)&amp;" OR """ &amp;YEAR(D573) &amp; """ OR ""All New"" OR Episode OR Watch OR tv OR Show OR Series OR season OR binge OR Stream OR Film OR Movie OR Premiere OR Screening OR Feature OR Trailer OR Teaser OR theater OR release)"</f>
        <v>#N/A</v>
      </c>
      <c r="O573" s="23" t="str">
        <f t="shared" si="1"/>
        <v>#</v>
      </c>
      <c r="P573" s="23" t="str">
        <f t="shared" si="2"/>
        <v>#</v>
      </c>
      <c r="Q573" s="23"/>
      <c r="R573" s="23" t="str">
        <f>"("""&amp;B573&amp;""") ("&amp;Vlookup(E573,DropDown!R:V,5,FALSE)&amp;IF(ISBLANK(D573)," | "," "&amp;"OR """&amp;YEAR(D573)&amp;""" | ") &amp; """All New"" | Episode | Watch | tv | Show | Series | season | binge | Stream | Film | Movie | Premiere | Screening | Feature | Trailer | Teaser | theater | release)"</f>
        <v>#N/A</v>
      </c>
      <c r="S573" s="23"/>
      <c r="T573" s="23"/>
      <c r="U573" s="23"/>
      <c r="V573" s="23"/>
      <c r="W573" s="23"/>
      <c r="X573" s="38"/>
      <c r="Y573" s="38"/>
      <c r="Z573" s="38"/>
      <c r="AA573" s="38"/>
    </row>
    <row r="574">
      <c r="A574" s="31"/>
      <c r="B574" s="38"/>
      <c r="C574" s="38"/>
      <c r="D574" s="50"/>
      <c r="E574" s="50"/>
      <c r="F574" s="50"/>
      <c r="G574" s="27" t="str">
        <f>VLOOKUP(E574,DropDown!J:K,2,FALSE)</f>
        <v>#N/A</v>
      </c>
      <c r="H574" s="50"/>
      <c r="I574" s="50"/>
      <c r="J574" s="50"/>
      <c r="K574" s="25" t="s">
        <v>116</v>
      </c>
      <c r="L574" s="23"/>
      <c r="M574" s="23"/>
      <c r="N574" s="25" t="str">
        <f>"("""&amp;B574&amp;""") ("&amp;Vlookup(E574,DropDown!J:N,5,FALSE)&amp;" OR """ &amp;YEAR(D574) &amp; """ OR ""All New"" OR Episode OR Watch OR tv OR Show OR Series OR season OR binge OR Stream OR Film OR Movie OR Premiere OR Screening OR Feature OR Trailer OR Teaser OR theater OR release)"</f>
        <v>#N/A</v>
      </c>
      <c r="O574" s="23" t="str">
        <f t="shared" si="1"/>
        <v>#</v>
      </c>
      <c r="P574" s="23" t="str">
        <f t="shared" si="2"/>
        <v>#</v>
      </c>
      <c r="Q574" s="23"/>
      <c r="R574" s="23" t="str">
        <f>"("""&amp;B574&amp;""") ("&amp;Vlookup(E574,DropDown!R:V,5,FALSE)&amp;IF(ISBLANK(D574)," | "," "&amp;"OR """&amp;YEAR(D574)&amp;""" | ") &amp; """All New"" | Episode | Watch | tv | Show | Series | season | binge | Stream | Film | Movie | Premiere | Screening | Feature | Trailer | Teaser | theater | release)"</f>
        <v>#N/A</v>
      </c>
      <c r="S574" s="23"/>
      <c r="T574" s="23"/>
      <c r="U574" s="23"/>
      <c r="V574" s="23"/>
      <c r="W574" s="23"/>
      <c r="X574" s="38"/>
      <c r="Y574" s="38"/>
      <c r="Z574" s="38"/>
      <c r="AA574" s="38"/>
    </row>
    <row r="575">
      <c r="A575" s="31"/>
      <c r="B575" s="38"/>
      <c r="C575" s="38"/>
      <c r="D575" s="50"/>
      <c r="E575" s="50"/>
      <c r="F575" s="50"/>
      <c r="G575" s="27" t="str">
        <f>VLOOKUP(E575,DropDown!J:K,2,FALSE)</f>
        <v>#N/A</v>
      </c>
      <c r="H575" s="50"/>
      <c r="I575" s="50"/>
      <c r="J575" s="50"/>
      <c r="K575" s="25" t="s">
        <v>116</v>
      </c>
      <c r="L575" s="23"/>
      <c r="M575" s="23"/>
      <c r="N575" s="25" t="str">
        <f>"("""&amp;B575&amp;""") ("&amp;Vlookup(E575,DropDown!J:N,5,FALSE)&amp;" OR """ &amp;YEAR(D575) &amp; """ OR ""All New"" OR Episode OR Watch OR tv OR Show OR Series OR season OR binge OR Stream OR Film OR Movie OR Premiere OR Screening OR Feature OR Trailer OR Teaser OR theater OR release)"</f>
        <v>#N/A</v>
      </c>
      <c r="O575" s="23" t="str">
        <f t="shared" si="1"/>
        <v>#</v>
      </c>
      <c r="P575" s="23" t="str">
        <f t="shared" si="2"/>
        <v>#</v>
      </c>
      <c r="Q575" s="23"/>
      <c r="R575" s="23" t="str">
        <f>"("""&amp;B575&amp;""") ("&amp;Vlookup(E575,DropDown!R:V,5,FALSE)&amp;IF(ISBLANK(D575)," | "," "&amp;"OR """&amp;YEAR(D575)&amp;""" | ") &amp; """All New"" | Episode | Watch | tv | Show | Series | season | binge | Stream | Film | Movie | Premiere | Screening | Feature | Trailer | Teaser | theater | release)"</f>
        <v>#N/A</v>
      </c>
      <c r="S575" s="23"/>
      <c r="T575" s="23"/>
      <c r="U575" s="23"/>
      <c r="V575" s="23"/>
      <c r="W575" s="23"/>
      <c r="X575" s="38"/>
      <c r="Y575" s="38"/>
      <c r="Z575" s="38"/>
      <c r="AA575" s="38"/>
    </row>
    <row r="576">
      <c r="A576" s="31"/>
      <c r="B576" s="38"/>
      <c r="C576" s="38"/>
      <c r="D576" s="50"/>
      <c r="E576" s="50"/>
      <c r="F576" s="50"/>
      <c r="G576" s="27" t="str">
        <f>VLOOKUP(E576,DropDown!J:K,2,FALSE)</f>
        <v>#N/A</v>
      </c>
      <c r="H576" s="50"/>
      <c r="I576" s="50"/>
      <c r="J576" s="50"/>
      <c r="K576" s="25" t="s">
        <v>116</v>
      </c>
      <c r="L576" s="23"/>
      <c r="M576" s="23"/>
      <c r="N576" s="25" t="str">
        <f>"("""&amp;B576&amp;""") ("&amp;Vlookup(E576,DropDown!J:N,5,FALSE)&amp;" OR """ &amp;YEAR(D576) &amp; """ OR ""All New"" OR Episode OR Watch OR tv OR Show OR Series OR season OR binge OR Stream OR Film OR Movie OR Premiere OR Screening OR Feature OR Trailer OR Teaser OR theater OR release)"</f>
        <v>#N/A</v>
      </c>
      <c r="O576" s="23" t="str">
        <f t="shared" si="1"/>
        <v>#</v>
      </c>
      <c r="P576" s="23" t="str">
        <f t="shared" si="2"/>
        <v>#</v>
      </c>
      <c r="Q576" s="23"/>
      <c r="R576" s="23" t="str">
        <f>"("""&amp;B576&amp;""") ("&amp;Vlookup(E576,DropDown!R:V,5,FALSE)&amp;IF(ISBLANK(D576)," | "," "&amp;"OR """&amp;YEAR(D576)&amp;""" | ") &amp; """All New"" | Episode | Watch | tv | Show | Series | season | binge | Stream | Film | Movie | Premiere | Screening | Feature | Trailer | Teaser | theater | release)"</f>
        <v>#N/A</v>
      </c>
      <c r="S576" s="23"/>
      <c r="T576" s="23"/>
      <c r="U576" s="23"/>
      <c r="V576" s="23"/>
      <c r="W576" s="23"/>
      <c r="X576" s="38"/>
      <c r="Y576" s="38"/>
      <c r="Z576" s="38"/>
      <c r="AA576" s="38"/>
    </row>
    <row r="577">
      <c r="A577" s="31"/>
      <c r="B577" s="38"/>
      <c r="C577" s="38"/>
      <c r="D577" s="50"/>
      <c r="E577" s="50"/>
      <c r="F577" s="50"/>
      <c r="G577" s="27" t="str">
        <f>VLOOKUP(E577,DropDown!J:K,2,FALSE)</f>
        <v>#N/A</v>
      </c>
      <c r="H577" s="50"/>
      <c r="I577" s="50"/>
      <c r="J577" s="50"/>
      <c r="K577" s="25" t="s">
        <v>116</v>
      </c>
      <c r="L577" s="23"/>
      <c r="M577" s="23"/>
      <c r="N577" s="25" t="str">
        <f>"("""&amp;B577&amp;""") ("&amp;Vlookup(E577,DropDown!J:N,5,FALSE)&amp;" OR """ &amp;YEAR(D577) &amp; """ OR ""All New"" OR Episode OR Watch OR tv OR Show OR Series OR season OR binge OR Stream OR Film OR Movie OR Premiere OR Screening OR Feature OR Trailer OR Teaser OR theater OR release)"</f>
        <v>#N/A</v>
      </c>
      <c r="O577" s="23" t="str">
        <f t="shared" si="1"/>
        <v>#</v>
      </c>
      <c r="P577" s="23" t="str">
        <f t="shared" si="2"/>
        <v>#</v>
      </c>
      <c r="Q577" s="23"/>
      <c r="R577" s="23" t="str">
        <f>"("""&amp;B577&amp;""") ("&amp;Vlookup(E577,DropDown!R:V,5,FALSE)&amp;IF(ISBLANK(D577)," | "," "&amp;"OR """&amp;YEAR(D577)&amp;""" | ") &amp; """All New"" | Episode | Watch | tv | Show | Series | season | binge | Stream | Film | Movie | Premiere | Screening | Feature | Trailer | Teaser | theater | release)"</f>
        <v>#N/A</v>
      </c>
      <c r="S577" s="23"/>
      <c r="T577" s="23"/>
      <c r="U577" s="23"/>
      <c r="V577" s="23"/>
      <c r="W577" s="23"/>
      <c r="X577" s="38"/>
      <c r="Y577" s="38"/>
      <c r="Z577" s="38"/>
      <c r="AA577" s="38"/>
    </row>
    <row r="578">
      <c r="A578" s="31"/>
      <c r="B578" s="38"/>
      <c r="C578" s="38"/>
      <c r="D578" s="50"/>
      <c r="E578" s="50"/>
      <c r="F578" s="50"/>
      <c r="G578" s="27" t="str">
        <f>VLOOKUP(E578,DropDown!J:K,2,FALSE)</f>
        <v>#N/A</v>
      </c>
      <c r="H578" s="50"/>
      <c r="I578" s="50"/>
      <c r="J578" s="50"/>
      <c r="K578" s="25" t="s">
        <v>116</v>
      </c>
      <c r="L578" s="23"/>
      <c r="M578" s="23"/>
      <c r="N578" s="25" t="str">
        <f>"("""&amp;B578&amp;""") ("&amp;Vlookup(E578,DropDown!J:N,5,FALSE)&amp;" OR """ &amp;YEAR(D578) &amp; """ OR ""All New"" OR Episode OR Watch OR tv OR Show OR Series OR season OR binge OR Stream OR Film OR Movie OR Premiere OR Screening OR Feature OR Trailer OR Teaser OR theater OR release)"</f>
        <v>#N/A</v>
      </c>
      <c r="O578" s="23" t="str">
        <f t="shared" si="1"/>
        <v>#</v>
      </c>
      <c r="P578" s="23" t="str">
        <f t="shared" si="2"/>
        <v>#</v>
      </c>
      <c r="Q578" s="23"/>
      <c r="R578" s="23" t="str">
        <f>"("""&amp;B578&amp;""") ("&amp;Vlookup(E578,DropDown!R:V,5,FALSE)&amp;IF(ISBLANK(D578)," | "," "&amp;"OR """&amp;YEAR(D578)&amp;""" | ") &amp; """All New"" | Episode | Watch | tv | Show | Series | season | binge | Stream | Film | Movie | Premiere | Screening | Feature | Trailer | Teaser | theater | release)"</f>
        <v>#N/A</v>
      </c>
      <c r="S578" s="23"/>
      <c r="T578" s="23"/>
      <c r="U578" s="23"/>
      <c r="V578" s="23"/>
      <c r="W578" s="23"/>
      <c r="X578" s="38"/>
      <c r="Y578" s="38"/>
      <c r="Z578" s="38"/>
      <c r="AA578" s="38"/>
    </row>
    <row r="579">
      <c r="A579" s="31"/>
      <c r="B579" s="38"/>
      <c r="C579" s="38"/>
      <c r="D579" s="50"/>
      <c r="E579" s="50"/>
      <c r="F579" s="50"/>
      <c r="G579" s="27" t="str">
        <f>VLOOKUP(E579,DropDown!J:K,2,FALSE)</f>
        <v>#N/A</v>
      </c>
      <c r="H579" s="50"/>
      <c r="I579" s="50"/>
      <c r="J579" s="50"/>
      <c r="K579" s="25" t="s">
        <v>116</v>
      </c>
      <c r="L579" s="23"/>
      <c r="M579" s="23"/>
      <c r="N579" s="25" t="str">
        <f>"("""&amp;B579&amp;""") ("&amp;Vlookup(E579,DropDown!J:N,5,FALSE)&amp;" OR """ &amp;YEAR(D579) &amp; """ OR ""All New"" OR Episode OR Watch OR tv OR Show OR Series OR season OR binge OR Stream OR Film OR Movie OR Premiere OR Screening OR Feature OR Trailer OR Teaser OR theater OR release)"</f>
        <v>#N/A</v>
      </c>
      <c r="O579" s="23" t="str">
        <f t="shared" si="1"/>
        <v>#</v>
      </c>
      <c r="P579" s="23" t="str">
        <f t="shared" si="2"/>
        <v>#</v>
      </c>
      <c r="Q579" s="23"/>
      <c r="R579" s="23" t="str">
        <f>"("""&amp;B579&amp;""") ("&amp;Vlookup(E579,DropDown!R:V,5,FALSE)&amp;IF(ISBLANK(D579)," | "," "&amp;"OR """&amp;YEAR(D579)&amp;""" | ") &amp; """All New"" | Episode | Watch | tv | Show | Series | season | binge | Stream | Film | Movie | Premiere | Screening | Feature | Trailer | Teaser | theater | release)"</f>
        <v>#N/A</v>
      </c>
      <c r="S579" s="23"/>
      <c r="T579" s="23"/>
      <c r="U579" s="23"/>
      <c r="V579" s="23"/>
      <c r="W579" s="23"/>
      <c r="X579" s="38"/>
      <c r="Y579" s="38"/>
      <c r="Z579" s="38"/>
      <c r="AA579" s="38"/>
    </row>
    <row r="580">
      <c r="A580" s="31"/>
      <c r="B580" s="38"/>
      <c r="C580" s="38"/>
      <c r="D580" s="50"/>
      <c r="E580" s="50"/>
      <c r="F580" s="50"/>
      <c r="G580" s="27" t="str">
        <f>VLOOKUP(E580,DropDown!J:K,2,FALSE)</f>
        <v>#N/A</v>
      </c>
      <c r="H580" s="50"/>
      <c r="I580" s="50"/>
      <c r="J580" s="50"/>
      <c r="K580" s="25" t="s">
        <v>116</v>
      </c>
      <c r="L580" s="23"/>
      <c r="M580" s="23"/>
      <c r="N580" s="25" t="str">
        <f>"("""&amp;B580&amp;""") ("&amp;Vlookup(E580,DropDown!J:N,5,FALSE)&amp;" OR """ &amp;YEAR(D580) &amp; """ OR ""All New"" OR Episode OR Watch OR tv OR Show OR Series OR season OR binge OR Stream OR Film OR Movie OR Premiere OR Screening OR Feature OR Trailer OR Teaser OR theater OR release)"</f>
        <v>#N/A</v>
      </c>
      <c r="O580" s="23" t="str">
        <f t="shared" si="1"/>
        <v>#</v>
      </c>
      <c r="P580" s="23" t="str">
        <f t="shared" si="2"/>
        <v>#</v>
      </c>
      <c r="Q580" s="23"/>
      <c r="R580" s="23" t="str">
        <f>"("""&amp;B580&amp;""") ("&amp;Vlookup(E580,DropDown!R:V,5,FALSE)&amp;IF(ISBLANK(D580)," | "," "&amp;"OR """&amp;YEAR(D580)&amp;""" | ") &amp; """All New"" | Episode | Watch | tv | Show | Series | season | binge | Stream | Film | Movie | Premiere | Screening | Feature | Trailer | Teaser | theater | release)"</f>
        <v>#N/A</v>
      </c>
      <c r="S580" s="23"/>
      <c r="T580" s="23"/>
      <c r="U580" s="23"/>
      <c r="V580" s="23"/>
      <c r="W580" s="23"/>
      <c r="X580" s="38"/>
      <c r="Y580" s="38"/>
      <c r="Z580" s="38"/>
      <c r="AA580" s="38"/>
    </row>
    <row r="581">
      <c r="A581" s="31"/>
      <c r="B581" s="38"/>
      <c r="C581" s="38"/>
      <c r="D581" s="50"/>
      <c r="E581" s="50"/>
      <c r="F581" s="50"/>
      <c r="G581" s="27" t="str">
        <f>VLOOKUP(E581,DropDown!J:K,2,FALSE)</f>
        <v>#N/A</v>
      </c>
      <c r="H581" s="50"/>
      <c r="I581" s="50"/>
      <c r="J581" s="50"/>
      <c r="K581" s="25" t="s">
        <v>116</v>
      </c>
      <c r="L581" s="23"/>
      <c r="M581" s="23"/>
      <c r="N581" s="25" t="str">
        <f>"("""&amp;B581&amp;""") ("&amp;Vlookup(E581,DropDown!J:N,5,FALSE)&amp;" OR """ &amp;YEAR(D581) &amp; """ OR ""All New"" OR Episode OR Watch OR tv OR Show OR Series OR season OR binge OR Stream OR Film OR Movie OR Premiere OR Screening OR Feature OR Trailer OR Teaser OR theater OR release)"</f>
        <v>#N/A</v>
      </c>
      <c r="O581" s="23" t="str">
        <f t="shared" si="1"/>
        <v>#</v>
      </c>
      <c r="P581" s="23" t="str">
        <f t="shared" si="2"/>
        <v>#</v>
      </c>
      <c r="Q581" s="23"/>
      <c r="R581" s="23" t="str">
        <f>"("""&amp;B581&amp;""") ("&amp;Vlookup(E581,DropDown!R:V,5,FALSE)&amp;IF(ISBLANK(D581)," | "," "&amp;"OR """&amp;YEAR(D581)&amp;""" | ") &amp; """All New"" | Episode | Watch | tv | Show | Series | season | binge | Stream | Film | Movie | Premiere | Screening | Feature | Trailer | Teaser | theater | release)"</f>
        <v>#N/A</v>
      </c>
      <c r="S581" s="23"/>
      <c r="T581" s="23"/>
      <c r="U581" s="23"/>
      <c r="V581" s="23"/>
      <c r="W581" s="23"/>
      <c r="X581" s="38"/>
      <c r="Y581" s="38"/>
      <c r="Z581" s="38"/>
      <c r="AA581" s="38"/>
    </row>
    <row r="582">
      <c r="A582" s="31"/>
      <c r="B582" s="38"/>
      <c r="C582" s="38"/>
      <c r="D582" s="50"/>
      <c r="E582" s="50"/>
      <c r="F582" s="50"/>
      <c r="G582" s="27" t="str">
        <f>VLOOKUP(E582,DropDown!J:K,2,FALSE)</f>
        <v>#N/A</v>
      </c>
      <c r="H582" s="50"/>
      <c r="I582" s="50"/>
      <c r="J582" s="50"/>
      <c r="K582" s="25" t="s">
        <v>116</v>
      </c>
      <c r="L582" s="23"/>
      <c r="M582" s="23"/>
      <c r="N582" s="25" t="str">
        <f>"("""&amp;B582&amp;""") ("&amp;Vlookup(E582,DropDown!J:N,5,FALSE)&amp;" OR """ &amp;YEAR(D582) &amp; """ OR ""All New"" OR Episode OR Watch OR tv OR Show OR Series OR season OR binge OR Stream OR Film OR Movie OR Premiere OR Screening OR Feature OR Trailer OR Teaser OR theater OR release)"</f>
        <v>#N/A</v>
      </c>
      <c r="O582" s="23" t="str">
        <f t="shared" si="1"/>
        <v>#</v>
      </c>
      <c r="P582" s="23" t="str">
        <f t="shared" si="2"/>
        <v>#</v>
      </c>
      <c r="Q582" s="23"/>
      <c r="R582" s="23" t="str">
        <f>"("""&amp;B582&amp;""") ("&amp;Vlookup(E582,DropDown!R:V,5,FALSE)&amp;IF(ISBLANK(D582)," | "," "&amp;"OR """&amp;YEAR(D582)&amp;""" | ") &amp; """All New"" | Episode | Watch | tv | Show | Series | season | binge | Stream | Film | Movie | Premiere | Screening | Feature | Trailer | Teaser | theater | release)"</f>
        <v>#N/A</v>
      </c>
      <c r="S582" s="23"/>
      <c r="T582" s="23"/>
      <c r="U582" s="23"/>
      <c r="V582" s="23"/>
      <c r="W582" s="23"/>
      <c r="X582" s="38"/>
      <c r="Y582" s="38"/>
      <c r="Z582" s="38"/>
      <c r="AA582" s="38"/>
    </row>
    <row r="583">
      <c r="A583" s="31"/>
      <c r="B583" s="38"/>
      <c r="C583" s="38"/>
      <c r="D583" s="50"/>
      <c r="E583" s="50"/>
      <c r="F583" s="50"/>
      <c r="G583" s="27" t="str">
        <f>VLOOKUP(E583,DropDown!J:K,2,FALSE)</f>
        <v>#N/A</v>
      </c>
      <c r="H583" s="50"/>
      <c r="I583" s="50"/>
      <c r="J583" s="50"/>
      <c r="K583" s="25" t="s">
        <v>116</v>
      </c>
      <c r="L583" s="23"/>
      <c r="M583" s="23"/>
      <c r="N583" s="25" t="str">
        <f>"("""&amp;B583&amp;""") ("&amp;Vlookup(E583,DropDown!J:N,5,FALSE)&amp;" OR """ &amp;YEAR(D583) &amp; """ OR ""All New"" OR Episode OR Watch OR tv OR Show OR Series OR season OR binge OR Stream OR Film OR Movie OR Premiere OR Screening OR Feature OR Trailer OR Teaser OR theater OR release)"</f>
        <v>#N/A</v>
      </c>
      <c r="O583" s="23" t="str">
        <f t="shared" si="1"/>
        <v>#</v>
      </c>
      <c r="P583" s="23" t="str">
        <f t="shared" si="2"/>
        <v>#</v>
      </c>
      <c r="Q583" s="23"/>
      <c r="R583" s="23" t="str">
        <f>"("""&amp;B583&amp;""") ("&amp;Vlookup(E583,DropDown!R:V,5,FALSE)&amp;IF(ISBLANK(D583)," | "," "&amp;"OR """&amp;YEAR(D583)&amp;""" | ") &amp; """All New"" | Episode | Watch | tv | Show | Series | season | binge | Stream | Film | Movie | Premiere | Screening | Feature | Trailer | Teaser | theater | release)"</f>
        <v>#N/A</v>
      </c>
      <c r="S583" s="23"/>
      <c r="T583" s="23"/>
      <c r="U583" s="23"/>
      <c r="V583" s="23"/>
      <c r="W583" s="23"/>
      <c r="X583" s="38"/>
      <c r="Y583" s="38"/>
      <c r="Z583" s="38"/>
      <c r="AA583" s="38"/>
    </row>
    <row r="584">
      <c r="A584" s="31"/>
      <c r="B584" s="38"/>
      <c r="C584" s="38"/>
      <c r="D584" s="50"/>
      <c r="E584" s="50"/>
      <c r="F584" s="50"/>
      <c r="G584" s="27" t="str">
        <f>VLOOKUP(E584,DropDown!J:K,2,FALSE)</f>
        <v>#N/A</v>
      </c>
      <c r="H584" s="50"/>
      <c r="I584" s="50"/>
      <c r="J584" s="50"/>
      <c r="K584" s="25" t="s">
        <v>116</v>
      </c>
      <c r="L584" s="23"/>
      <c r="M584" s="23"/>
      <c r="N584" s="25" t="str">
        <f>"("""&amp;B584&amp;""") ("&amp;Vlookup(E584,DropDown!J:N,5,FALSE)&amp;" OR """ &amp;YEAR(D584) &amp; """ OR ""All New"" OR Episode OR Watch OR tv OR Show OR Series OR season OR binge OR Stream OR Film OR Movie OR Premiere OR Screening OR Feature OR Trailer OR Teaser OR theater OR release)"</f>
        <v>#N/A</v>
      </c>
      <c r="O584" s="23" t="str">
        <f t="shared" si="1"/>
        <v>#</v>
      </c>
      <c r="P584" s="23" t="str">
        <f t="shared" si="2"/>
        <v>#</v>
      </c>
      <c r="Q584" s="23"/>
      <c r="R584" s="23" t="str">
        <f>"("""&amp;B584&amp;""") ("&amp;Vlookup(E584,DropDown!R:V,5,FALSE)&amp;IF(ISBLANK(D584)," | "," "&amp;"OR """&amp;YEAR(D584)&amp;""" | ") &amp; """All New"" | Episode | Watch | tv | Show | Series | season | binge | Stream | Film | Movie | Premiere | Screening | Feature | Trailer | Teaser | theater | release)"</f>
        <v>#N/A</v>
      </c>
      <c r="S584" s="23"/>
      <c r="T584" s="23"/>
      <c r="U584" s="23"/>
      <c r="V584" s="23"/>
      <c r="W584" s="23"/>
      <c r="X584" s="38"/>
      <c r="Y584" s="38"/>
      <c r="Z584" s="38"/>
      <c r="AA584" s="38"/>
    </row>
    <row r="585">
      <c r="A585" s="31"/>
      <c r="B585" s="38"/>
      <c r="C585" s="38"/>
      <c r="D585" s="50"/>
      <c r="E585" s="50"/>
      <c r="F585" s="50"/>
      <c r="G585" s="27" t="str">
        <f>VLOOKUP(E585,DropDown!J:K,2,FALSE)</f>
        <v>#N/A</v>
      </c>
      <c r="H585" s="50"/>
      <c r="I585" s="50"/>
      <c r="J585" s="50"/>
      <c r="K585" s="25" t="s">
        <v>116</v>
      </c>
      <c r="L585" s="23"/>
      <c r="M585" s="23"/>
      <c r="N585" s="25" t="str">
        <f>"("""&amp;B585&amp;""") ("&amp;Vlookup(E585,DropDown!J:N,5,FALSE)&amp;" OR """ &amp;YEAR(D585) &amp; """ OR ""All New"" OR Episode OR Watch OR tv OR Show OR Series OR season OR binge OR Stream OR Film OR Movie OR Premiere OR Screening OR Feature OR Trailer OR Teaser OR theater OR release)"</f>
        <v>#N/A</v>
      </c>
      <c r="O585" s="23" t="str">
        <f t="shared" si="1"/>
        <v>#</v>
      </c>
      <c r="P585" s="23" t="str">
        <f t="shared" si="2"/>
        <v>#</v>
      </c>
      <c r="Q585" s="23"/>
      <c r="R585" s="23" t="str">
        <f>"("""&amp;B585&amp;""") ("&amp;Vlookup(E585,DropDown!R:V,5,FALSE)&amp;IF(ISBLANK(D585)," | "," "&amp;"OR """&amp;YEAR(D585)&amp;""" | ") &amp; """All New"" | Episode | Watch | tv | Show | Series | season | binge | Stream | Film | Movie | Premiere | Screening | Feature | Trailer | Teaser | theater | release)"</f>
        <v>#N/A</v>
      </c>
      <c r="S585" s="23"/>
      <c r="T585" s="23"/>
      <c r="U585" s="23"/>
      <c r="V585" s="23"/>
      <c r="W585" s="23"/>
      <c r="X585" s="38"/>
      <c r="Y585" s="38"/>
      <c r="Z585" s="38"/>
      <c r="AA585" s="38"/>
    </row>
    <row r="586">
      <c r="A586" s="31"/>
      <c r="B586" s="38"/>
      <c r="C586" s="38"/>
      <c r="D586" s="50"/>
      <c r="E586" s="50"/>
      <c r="F586" s="50"/>
      <c r="G586" s="27" t="str">
        <f>VLOOKUP(E586,DropDown!J:K,2,FALSE)</f>
        <v>#N/A</v>
      </c>
      <c r="H586" s="50"/>
      <c r="I586" s="50"/>
      <c r="J586" s="50"/>
      <c r="K586" s="25" t="s">
        <v>116</v>
      </c>
      <c r="L586" s="23"/>
      <c r="M586" s="23"/>
      <c r="N586" s="25" t="str">
        <f>"("""&amp;B586&amp;""") ("&amp;Vlookup(E586,DropDown!J:N,5,FALSE)&amp;" OR """ &amp;YEAR(D586) &amp; """ OR ""All New"" OR Episode OR Watch OR tv OR Show OR Series OR season OR binge OR Stream OR Film OR Movie OR Premiere OR Screening OR Feature OR Trailer OR Teaser OR theater OR release)"</f>
        <v>#N/A</v>
      </c>
      <c r="O586" s="23" t="str">
        <f t="shared" si="1"/>
        <v>#</v>
      </c>
      <c r="P586" s="23" t="str">
        <f t="shared" si="2"/>
        <v>#</v>
      </c>
      <c r="Q586" s="23"/>
      <c r="R586" s="23" t="str">
        <f>"("""&amp;B586&amp;""") ("&amp;Vlookup(E586,DropDown!R:V,5,FALSE)&amp;IF(ISBLANK(D586)," | "," "&amp;"OR """&amp;YEAR(D586)&amp;""" | ") &amp; """All New"" | Episode | Watch | tv | Show | Series | season | binge | Stream | Film | Movie | Premiere | Screening | Feature | Trailer | Teaser | theater | release)"</f>
        <v>#N/A</v>
      </c>
      <c r="S586" s="23"/>
      <c r="T586" s="23"/>
      <c r="U586" s="23"/>
      <c r="V586" s="23"/>
      <c r="W586" s="23"/>
      <c r="X586" s="38"/>
      <c r="Y586" s="38"/>
      <c r="Z586" s="38"/>
      <c r="AA586" s="38"/>
    </row>
    <row r="587">
      <c r="A587" s="31"/>
      <c r="B587" s="38"/>
      <c r="C587" s="38"/>
      <c r="D587" s="50"/>
      <c r="E587" s="50"/>
      <c r="F587" s="50"/>
      <c r="G587" s="27" t="str">
        <f>VLOOKUP(E587,DropDown!J:K,2,FALSE)</f>
        <v>#N/A</v>
      </c>
      <c r="H587" s="50"/>
      <c r="I587" s="50"/>
      <c r="J587" s="50"/>
      <c r="K587" s="25" t="s">
        <v>116</v>
      </c>
      <c r="L587" s="23"/>
      <c r="M587" s="23"/>
      <c r="N587" s="25" t="str">
        <f>"("""&amp;B587&amp;""") ("&amp;Vlookup(E587,DropDown!J:N,5,FALSE)&amp;" OR """ &amp;YEAR(D587) &amp; """ OR ""All New"" OR Episode OR Watch OR tv OR Show OR Series OR season OR binge OR Stream OR Film OR Movie OR Premiere OR Screening OR Feature OR Trailer OR Teaser OR theater OR release)"</f>
        <v>#N/A</v>
      </c>
      <c r="O587" s="23" t="str">
        <f t="shared" si="1"/>
        <v>#</v>
      </c>
      <c r="P587" s="23" t="str">
        <f t="shared" si="2"/>
        <v>#</v>
      </c>
      <c r="Q587" s="23"/>
      <c r="R587" s="23" t="str">
        <f>"("""&amp;B587&amp;""") ("&amp;Vlookup(E587,DropDown!R:V,5,FALSE)&amp;IF(ISBLANK(D587)," | "," "&amp;"OR """&amp;YEAR(D587)&amp;""" | ") &amp; """All New"" | Episode | Watch | tv | Show | Series | season | binge | Stream | Film | Movie | Premiere | Screening | Feature | Trailer | Teaser | theater | release)"</f>
        <v>#N/A</v>
      </c>
      <c r="S587" s="23"/>
      <c r="T587" s="23"/>
      <c r="U587" s="23"/>
      <c r="V587" s="23"/>
      <c r="W587" s="23"/>
      <c r="X587" s="38"/>
      <c r="Y587" s="38"/>
      <c r="Z587" s="38"/>
      <c r="AA587" s="38"/>
    </row>
    <row r="588">
      <c r="A588" s="31"/>
      <c r="B588" s="38"/>
      <c r="C588" s="38"/>
      <c r="D588" s="50"/>
      <c r="E588" s="50"/>
      <c r="F588" s="50"/>
      <c r="G588" s="27" t="str">
        <f>VLOOKUP(E588,DropDown!J:K,2,FALSE)</f>
        <v>#N/A</v>
      </c>
      <c r="H588" s="50"/>
      <c r="I588" s="50"/>
      <c r="J588" s="50"/>
      <c r="K588" s="25" t="s">
        <v>116</v>
      </c>
      <c r="L588" s="23"/>
      <c r="M588" s="23"/>
      <c r="N588" s="25" t="str">
        <f>"("""&amp;B588&amp;""") ("&amp;Vlookup(E588,DropDown!J:N,5,FALSE)&amp;" OR """ &amp;YEAR(D588) &amp; """ OR ""All New"" OR Episode OR Watch OR tv OR Show OR Series OR season OR binge OR Stream OR Film OR Movie OR Premiere OR Screening OR Feature OR Trailer OR Teaser OR theater OR release)"</f>
        <v>#N/A</v>
      </c>
      <c r="O588" s="23" t="str">
        <f t="shared" si="1"/>
        <v>#</v>
      </c>
      <c r="P588" s="23" t="str">
        <f t="shared" si="2"/>
        <v>#</v>
      </c>
      <c r="Q588" s="23"/>
      <c r="R588" s="23" t="str">
        <f>"("""&amp;B588&amp;""") ("&amp;Vlookup(E588,DropDown!R:V,5,FALSE)&amp;IF(ISBLANK(D588)," | "," "&amp;"OR """&amp;YEAR(D588)&amp;""" | ") &amp; """All New"" | Episode | Watch | tv | Show | Series | season | binge | Stream | Film | Movie | Premiere | Screening | Feature | Trailer | Teaser | theater | release)"</f>
        <v>#N/A</v>
      </c>
      <c r="S588" s="23"/>
      <c r="T588" s="23"/>
      <c r="U588" s="23"/>
      <c r="V588" s="23"/>
      <c r="W588" s="23"/>
      <c r="X588" s="38"/>
      <c r="Y588" s="38"/>
      <c r="Z588" s="38"/>
      <c r="AA588" s="38"/>
    </row>
    <row r="589">
      <c r="A589" s="31"/>
      <c r="B589" s="38"/>
      <c r="C589" s="38"/>
      <c r="D589" s="50"/>
      <c r="E589" s="50"/>
      <c r="F589" s="50"/>
      <c r="G589" s="27" t="str">
        <f>VLOOKUP(E589,DropDown!J:K,2,FALSE)</f>
        <v>#N/A</v>
      </c>
      <c r="H589" s="50"/>
      <c r="I589" s="50"/>
      <c r="J589" s="50"/>
      <c r="K589" s="25" t="s">
        <v>116</v>
      </c>
      <c r="L589" s="23"/>
      <c r="M589" s="23"/>
      <c r="N589" s="25" t="str">
        <f>"("""&amp;B589&amp;""") ("&amp;Vlookup(E589,DropDown!J:N,5,FALSE)&amp;" OR """ &amp;YEAR(D589) &amp; """ OR ""All New"" OR Episode OR Watch OR tv OR Show OR Series OR season OR binge OR Stream OR Film OR Movie OR Premiere OR Screening OR Feature OR Trailer OR Teaser OR theater OR release)"</f>
        <v>#N/A</v>
      </c>
      <c r="O589" s="23" t="str">
        <f t="shared" si="1"/>
        <v>#</v>
      </c>
      <c r="P589" s="23" t="str">
        <f t="shared" si="2"/>
        <v>#</v>
      </c>
      <c r="Q589" s="23"/>
      <c r="R589" s="23" t="str">
        <f>"("""&amp;B589&amp;""") ("&amp;Vlookup(E589,DropDown!R:V,5,FALSE)&amp;IF(ISBLANK(D589)," | "," "&amp;"OR """&amp;YEAR(D589)&amp;""" | ") &amp; """All New"" | Episode | Watch | tv | Show | Series | season | binge | Stream | Film | Movie | Premiere | Screening | Feature | Trailer | Teaser | theater | release)"</f>
        <v>#N/A</v>
      </c>
      <c r="S589" s="23"/>
      <c r="T589" s="23"/>
      <c r="U589" s="23"/>
      <c r="V589" s="23"/>
      <c r="W589" s="23"/>
      <c r="X589" s="38"/>
      <c r="Y589" s="38"/>
      <c r="Z589" s="38"/>
      <c r="AA589" s="38"/>
    </row>
    <row r="590">
      <c r="A590" s="31"/>
      <c r="B590" s="38"/>
      <c r="C590" s="38"/>
      <c r="D590" s="50"/>
      <c r="E590" s="50"/>
      <c r="F590" s="50"/>
      <c r="G590" s="27" t="str">
        <f>VLOOKUP(E590,DropDown!J:K,2,FALSE)</f>
        <v>#N/A</v>
      </c>
      <c r="H590" s="50"/>
      <c r="I590" s="50"/>
      <c r="J590" s="50"/>
      <c r="K590" s="25" t="s">
        <v>116</v>
      </c>
      <c r="L590" s="23"/>
      <c r="M590" s="23"/>
      <c r="N590" s="25" t="str">
        <f>"("""&amp;B590&amp;""") ("&amp;Vlookup(E590,DropDown!J:N,5,FALSE)&amp;" OR """ &amp;YEAR(D590) &amp; """ OR ""All New"" OR Episode OR Watch OR tv OR Show OR Series OR season OR binge OR Stream OR Film OR Movie OR Premiere OR Screening OR Feature OR Trailer OR Teaser OR theater OR release)"</f>
        <v>#N/A</v>
      </c>
      <c r="O590" s="23" t="str">
        <f t="shared" si="1"/>
        <v>#</v>
      </c>
      <c r="P590" s="23" t="str">
        <f t="shared" si="2"/>
        <v>#</v>
      </c>
      <c r="Q590" s="23"/>
      <c r="R590" s="23" t="str">
        <f>"("""&amp;B590&amp;""") ("&amp;Vlookup(E590,DropDown!R:V,5,FALSE)&amp;IF(ISBLANK(D590)," | "," "&amp;"OR """&amp;YEAR(D590)&amp;""" | ") &amp; """All New"" | Episode | Watch | tv | Show | Series | season | binge | Stream | Film | Movie | Premiere | Screening | Feature | Trailer | Teaser | theater | release)"</f>
        <v>#N/A</v>
      </c>
      <c r="S590" s="23"/>
      <c r="T590" s="23"/>
      <c r="U590" s="23"/>
      <c r="V590" s="23"/>
      <c r="W590" s="23"/>
      <c r="X590" s="38"/>
      <c r="Y590" s="38"/>
      <c r="Z590" s="38"/>
      <c r="AA590" s="38"/>
    </row>
    <row r="591">
      <c r="A591" s="31"/>
      <c r="B591" s="38"/>
      <c r="C591" s="38"/>
      <c r="D591" s="50"/>
      <c r="E591" s="50"/>
      <c r="F591" s="50"/>
      <c r="G591" s="27" t="str">
        <f>VLOOKUP(E591,DropDown!J:K,2,FALSE)</f>
        <v>#N/A</v>
      </c>
      <c r="H591" s="50"/>
      <c r="I591" s="50"/>
      <c r="J591" s="50"/>
      <c r="K591" s="25" t="s">
        <v>116</v>
      </c>
      <c r="L591" s="23"/>
      <c r="M591" s="23"/>
      <c r="N591" s="25" t="str">
        <f>"("""&amp;B591&amp;""") ("&amp;Vlookup(E591,DropDown!J:N,5,FALSE)&amp;" OR """ &amp;YEAR(D591) &amp; """ OR ""All New"" OR Episode OR Watch OR tv OR Show OR Series OR season OR binge OR Stream OR Film OR Movie OR Premiere OR Screening OR Feature OR Trailer OR Teaser OR theater OR release)"</f>
        <v>#N/A</v>
      </c>
      <c r="O591" s="23" t="str">
        <f t="shared" si="1"/>
        <v>#</v>
      </c>
      <c r="P591" s="23" t="str">
        <f t="shared" si="2"/>
        <v>#</v>
      </c>
      <c r="Q591" s="23"/>
      <c r="R591" s="23" t="str">
        <f>"("""&amp;B591&amp;""") ("&amp;Vlookup(E591,DropDown!R:V,5,FALSE)&amp;IF(ISBLANK(D591)," | "," "&amp;"OR """&amp;YEAR(D591)&amp;""" | ") &amp; """All New"" | Episode | Watch | tv | Show | Series | season | binge | Stream | Film | Movie | Premiere | Screening | Feature | Trailer | Teaser | theater | release)"</f>
        <v>#N/A</v>
      </c>
      <c r="S591" s="23"/>
      <c r="T591" s="23"/>
      <c r="U591" s="23"/>
      <c r="V591" s="23"/>
      <c r="W591" s="23"/>
      <c r="X591" s="38"/>
      <c r="Y591" s="38"/>
      <c r="Z591" s="38"/>
      <c r="AA591" s="38"/>
    </row>
    <row r="592">
      <c r="A592" s="31"/>
      <c r="B592" s="38"/>
      <c r="C592" s="38"/>
      <c r="D592" s="50"/>
      <c r="E592" s="50"/>
      <c r="F592" s="50"/>
      <c r="G592" s="27" t="str">
        <f>VLOOKUP(E592,DropDown!J:K,2,FALSE)</f>
        <v>#N/A</v>
      </c>
      <c r="H592" s="50"/>
      <c r="I592" s="50"/>
      <c r="J592" s="50"/>
      <c r="K592" s="25" t="s">
        <v>116</v>
      </c>
      <c r="L592" s="23"/>
      <c r="M592" s="23"/>
      <c r="N592" s="25" t="str">
        <f>"("""&amp;B592&amp;""") ("&amp;Vlookup(E592,DropDown!J:N,5,FALSE)&amp;" OR """ &amp;YEAR(D592) &amp; """ OR ""All New"" OR Episode OR Watch OR tv OR Show OR Series OR season OR binge OR Stream OR Film OR Movie OR Premiere OR Screening OR Feature OR Trailer OR Teaser OR theater OR release)"</f>
        <v>#N/A</v>
      </c>
      <c r="O592" s="23" t="str">
        <f t="shared" si="1"/>
        <v>#</v>
      </c>
      <c r="P592" s="23" t="str">
        <f t="shared" si="2"/>
        <v>#</v>
      </c>
      <c r="Q592" s="23"/>
      <c r="R592" s="23" t="str">
        <f>"("""&amp;B592&amp;""") ("&amp;Vlookup(E592,DropDown!R:V,5,FALSE)&amp;IF(ISBLANK(D592)," | "," "&amp;"OR """&amp;YEAR(D592)&amp;""" | ") &amp; """All New"" | Episode | Watch | tv | Show | Series | season | binge | Stream | Film | Movie | Premiere | Screening | Feature | Trailer | Teaser | theater | release)"</f>
        <v>#N/A</v>
      </c>
      <c r="S592" s="23"/>
      <c r="T592" s="23"/>
      <c r="U592" s="23"/>
      <c r="V592" s="23"/>
      <c r="W592" s="23"/>
      <c r="X592" s="38"/>
      <c r="Y592" s="38"/>
      <c r="Z592" s="38"/>
      <c r="AA592" s="38"/>
    </row>
    <row r="593">
      <c r="A593" s="31"/>
      <c r="B593" s="38"/>
      <c r="C593" s="38"/>
      <c r="D593" s="50"/>
      <c r="E593" s="50"/>
      <c r="F593" s="50"/>
      <c r="G593" s="27" t="str">
        <f>VLOOKUP(E593,DropDown!J:K,2,FALSE)</f>
        <v>#N/A</v>
      </c>
      <c r="H593" s="50"/>
      <c r="I593" s="50"/>
      <c r="J593" s="50"/>
      <c r="K593" s="25" t="s">
        <v>116</v>
      </c>
      <c r="L593" s="23"/>
      <c r="M593" s="23"/>
      <c r="N593" s="25" t="str">
        <f>"("""&amp;B593&amp;""") ("&amp;Vlookup(E593,DropDown!J:N,5,FALSE)&amp;" OR """ &amp;YEAR(D593) &amp; """ OR ""All New"" OR Episode OR Watch OR tv OR Show OR Series OR season OR binge OR Stream OR Film OR Movie OR Premiere OR Screening OR Feature OR Trailer OR Teaser OR theater OR release)"</f>
        <v>#N/A</v>
      </c>
      <c r="O593" s="23" t="str">
        <f t="shared" si="1"/>
        <v>#</v>
      </c>
      <c r="P593" s="23" t="str">
        <f t="shared" si="2"/>
        <v>#</v>
      </c>
      <c r="Q593" s="23"/>
      <c r="R593" s="23" t="str">
        <f>"("""&amp;B593&amp;""") ("&amp;Vlookup(E593,DropDown!R:V,5,FALSE)&amp;IF(ISBLANK(D593)," | "," "&amp;"OR """&amp;YEAR(D593)&amp;""" | ") &amp; """All New"" | Episode | Watch | tv | Show | Series | season | binge | Stream | Film | Movie | Premiere | Screening | Feature | Trailer | Teaser | theater | release)"</f>
        <v>#N/A</v>
      </c>
      <c r="S593" s="23"/>
      <c r="T593" s="23"/>
      <c r="U593" s="23"/>
      <c r="V593" s="23"/>
      <c r="W593" s="23"/>
      <c r="X593" s="38"/>
      <c r="Y593" s="38"/>
      <c r="Z593" s="38"/>
      <c r="AA593" s="38"/>
    </row>
    <row r="594">
      <c r="A594" s="31"/>
      <c r="B594" s="38"/>
      <c r="C594" s="38"/>
      <c r="D594" s="50"/>
      <c r="E594" s="50"/>
      <c r="F594" s="50"/>
      <c r="G594" s="27" t="str">
        <f>VLOOKUP(E594,DropDown!J:K,2,FALSE)</f>
        <v>#N/A</v>
      </c>
      <c r="H594" s="50"/>
      <c r="I594" s="50"/>
      <c r="J594" s="50"/>
      <c r="K594" s="25" t="s">
        <v>116</v>
      </c>
      <c r="L594" s="23"/>
      <c r="M594" s="23"/>
      <c r="N594" s="25" t="str">
        <f>"("""&amp;B594&amp;""") ("&amp;Vlookup(E594,DropDown!J:N,5,FALSE)&amp;" OR """ &amp;YEAR(D594) &amp; """ OR ""All New"" OR Episode OR Watch OR tv OR Show OR Series OR season OR binge OR Stream OR Film OR Movie OR Premiere OR Screening OR Feature OR Trailer OR Teaser OR theater OR release)"</f>
        <v>#N/A</v>
      </c>
      <c r="O594" s="23" t="str">
        <f t="shared" si="1"/>
        <v>#</v>
      </c>
      <c r="P594" s="23" t="str">
        <f t="shared" si="2"/>
        <v>#</v>
      </c>
      <c r="Q594" s="23"/>
      <c r="R594" s="23" t="str">
        <f>"("""&amp;B594&amp;""") ("&amp;Vlookup(E594,DropDown!R:V,5,FALSE)&amp;IF(ISBLANK(D594)," | "," "&amp;"OR """&amp;YEAR(D594)&amp;""" | ") &amp; """All New"" | Episode | Watch | tv | Show | Series | season | binge | Stream | Film | Movie | Premiere | Screening | Feature | Trailer | Teaser | theater | release)"</f>
        <v>#N/A</v>
      </c>
      <c r="S594" s="23"/>
      <c r="T594" s="23"/>
      <c r="U594" s="23"/>
      <c r="V594" s="23"/>
      <c r="W594" s="23"/>
      <c r="X594" s="38"/>
      <c r="Y594" s="38"/>
      <c r="Z594" s="38"/>
      <c r="AA594" s="38"/>
    </row>
    <row r="595">
      <c r="A595" s="31"/>
      <c r="B595" s="38"/>
      <c r="C595" s="38"/>
      <c r="D595" s="50"/>
      <c r="E595" s="50"/>
      <c r="F595" s="50"/>
      <c r="G595" s="27" t="str">
        <f>VLOOKUP(E595,DropDown!J:K,2,FALSE)</f>
        <v>#N/A</v>
      </c>
      <c r="H595" s="50"/>
      <c r="I595" s="50"/>
      <c r="J595" s="50"/>
      <c r="K595" s="25" t="s">
        <v>116</v>
      </c>
      <c r="L595" s="23"/>
      <c r="M595" s="23"/>
      <c r="N595" s="25" t="str">
        <f>"("""&amp;B595&amp;""") ("&amp;Vlookup(E595,DropDown!J:N,5,FALSE)&amp;" OR """ &amp;YEAR(D595) &amp; """ OR ""All New"" OR Episode OR Watch OR tv OR Show OR Series OR season OR binge OR Stream OR Film OR Movie OR Premiere OR Screening OR Feature OR Trailer OR Teaser OR theater OR release)"</f>
        <v>#N/A</v>
      </c>
      <c r="O595" s="23" t="str">
        <f t="shared" si="1"/>
        <v>#</v>
      </c>
      <c r="P595" s="23" t="str">
        <f t="shared" si="2"/>
        <v>#</v>
      </c>
      <c r="Q595" s="23"/>
      <c r="R595" s="23" t="str">
        <f>"("""&amp;B595&amp;""") ("&amp;Vlookup(E595,DropDown!R:V,5,FALSE)&amp;IF(ISBLANK(D595)," | "," "&amp;"OR """&amp;YEAR(D595)&amp;""" | ") &amp; """All New"" | Episode | Watch | tv | Show | Series | season | binge | Stream | Film | Movie | Premiere | Screening | Feature | Trailer | Teaser | theater | release)"</f>
        <v>#N/A</v>
      </c>
      <c r="S595" s="23"/>
      <c r="T595" s="23"/>
      <c r="U595" s="23"/>
      <c r="V595" s="23"/>
      <c r="W595" s="23"/>
      <c r="X595" s="38"/>
      <c r="Y595" s="38"/>
      <c r="Z595" s="38"/>
      <c r="AA595" s="38"/>
    </row>
    <row r="596">
      <c r="A596" s="31"/>
      <c r="B596" s="38"/>
      <c r="C596" s="38"/>
      <c r="D596" s="50"/>
      <c r="E596" s="50"/>
      <c r="F596" s="50"/>
      <c r="G596" s="27" t="str">
        <f>VLOOKUP(E596,DropDown!J:K,2,FALSE)</f>
        <v>#N/A</v>
      </c>
      <c r="H596" s="50"/>
      <c r="I596" s="50"/>
      <c r="J596" s="50"/>
      <c r="K596" s="25" t="s">
        <v>116</v>
      </c>
      <c r="L596" s="23"/>
      <c r="M596" s="23"/>
      <c r="N596" s="25" t="str">
        <f>"("""&amp;B596&amp;""") ("&amp;Vlookup(E596,DropDown!J:N,5,FALSE)&amp;" OR """ &amp;YEAR(D596) &amp; """ OR ""All New"" OR Episode OR Watch OR tv OR Show OR Series OR season OR binge OR Stream OR Film OR Movie OR Premiere OR Screening OR Feature OR Trailer OR Teaser OR theater OR release)"</f>
        <v>#N/A</v>
      </c>
      <c r="O596" s="23" t="str">
        <f t="shared" si="1"/>
        <v>#</v>
      </c>
      <c r="P596" s="23" t="str">
        <f t="shared" si="2"/>
        <v>#</v>
      </c>
      <c r="Q596" s="23"/>
      <c r="R596" s="23" t="str">
        <f>"("""&amp;B596&amp;""") ("&amp;Vlookup(E596,DropDown!R:V,5,FALSE)&amp;IF(ISBLANK(D596)," | "," "&amp;"OR """&amp;YEAR(D596)&amp;""" | ") &amp; """All New"" | Episode | Watch | tv | Show | Series | season | binge | Stream | Film | Movie | Premiere | Screening | Feature | Trailer | Teaser | theater | release)"</f>
        <v>#N/A</v>
      </c>
      <c r="S596" s="23"/>
      <c r="T596" s="23"/>
      <c r="U596" s="23"/>
      <c r="V596" s="23"/>
      <c r="W596" s="23"/>
      <c r="X596" s="38"/>
      <c r="Y596" s="38"/>
      <c r="Z596" s="38"/>
      <c r="AA596" s="38"/>
    </row>
    <row r="597">
      <c r="A597" s="31"/>
      <c r="B597" s="38"/>
      <c r="C597" s="38"/>
      <c r="D597" s="50"/>
      <c r="E597" s="50"/>
      <c r="F597" s="50"/>
      <c r="G597" s="27" t="str">
        <f>VLOOKUP(E597,DropDown!J:K,2,FALSE)</f>
        <v>#N/A</v>
      </c>
      <c r="H597" s="50"/>
      <c r="I597" s="50"/>
      <c r="J597" s="50"/>
      <c r="K597" s="25" t="s">
        <v>116</v>
      </c>
      <c r="L597" s="23"/>
      <c r="M597" s="23"/>
      <c r="N597" s="25" t="str">
        <f>"("""&amp;B597&amp;""") ("&amp;Vlookup(E597,DropDown!J:N,5,FALSE)&amp;" OR """ &amp;YEAR(D597) &amp; """ OR ""All New"" OR Episode OR Watch OR tv OR Show OR Series OR season OR binge OR Stream OR Film OR Movie OR Premiere OR Screening OR Feature OR Trailer OR Teaser OR theater OR release)"</f>
        <v>#N/A</v>
      </c>
      <c r="O597" s="23" t="str">
        <f t="shared" si="1"/>
        <v>#</v>
      </c>
      <c r="P597" s="23" t="str">
        <f t="shared" si="2"/>
        <v>#</v>
      </c>
      <c r="Q597" s="23"/>
      <c r="R597" s="23" t="str">
        <f>"("""&amp;B597&amp;""") ("&amp;Vlookup(E597,DropDown!R:V,5,FALSE)&amp;IF(ISBLANK(D597)," | "," "&amp;"OR """&amp;YEAR(D597)&amp;""" | ") &amp; """All New"" | Episode | Watch | tv | Show | Series | season | binge | Stream | Film | Movie | Premiere | Screening | Feature | Trailer | Teaser | theater | release)"</f>
        <v>#N/A</v>
      </c>
      <c r="S597" s="23"/>
      <c r="T597" s="23"/>
      <c r="U597" s="23"/>
      <c r="V597" s="23"/>
      <c r="W597" s="23"/>
      <c r="X597" s="38"/>
      <c r="Y597" s="38"/>
      <c r="Z597" s="38"/>
      <c r="AA597" s="38"/>
    </row>
    <row r="598">
      <c r="A598" s="31"/>
      <c r="B598" s="38"/>
      <c r="C598" s="38"/>
      <c r="D598" s="50"/>
      <c r="E598" s="50"/>
      <c r="F598" s="50"/>
      <c r="G598" s="27" t="str">
        <f>VLOOKUP(E598,DropDown!J:K,2,FALSE)</f>
        <v>#N/A</v>
      </c>
      <c r="H598" s="50"/>
      <c r="I598" s="50"/>
      <c r="J598" s="50"/>
      <c r="K598" s="25" t="s">
        <v>116</v>
      </c>
      <c r="L598" s="23"/>
      <c r="M598" s="23"/>
      <c r="N598" s="25" t="str">
        <f>"("""&amp;B598&amp;""") ("&amp;Vlookup(E598,DropDown!J:N,5,FALSE)&amp;" OR """ &amp;YEAR(D598) &amp; """ OR ""All New"" OR Episode OR Watch OR tv OR Show OR Series OR season OR binge OR Stream OR Film OR Movie OR Premiere OR Screening OR Feature OR Trailer OR Teaser OR theater OR release)"</f>
        <v>#N/A</v>
      </c>
      <c r="O598" s="23" t="str">
        <f t="shared" si="1"/>
        <v>#</v>
      </c>
      <c r="P598" s="23" t="str">
        <f t="shared" si="2"/>
        <v>#</v>
      </c>
      <c r="Q598" s="23"/>
      <c r="R598" s="23" t="str">
        <f>"("""&amp;B598&amp;""") ("&amp;Vlookup(E598,DropDown!R:V,5,FALSE)&amp;IF(ISBLANK(D598)," | "," "&amp;"OR """&amp;YEAR(D598)&amp;""" | ") &amp; """All New"" | Episode | Watch | tv | Show | Series | season | binge | Stream | Film | Movie | Premiere | Screening | Feature | Trailer | Teaser | theater | release)"</f>
        <v>#N/A</v>
      </c>
      <c r="S598" s="23"/>
      <c r="T598" s="23"/>
      <c r="U598" s="23"/>
      <c r="V598" s="23"/>
      <c r="W598" s="23"/>
      <c r="X598" s="38"/>
      <c r="Y598" s="38"/>
      <c r="Z598" s="38"/>
      <c r="AA598" s="38"/>
    </row>
    <row r="599">
      <c r="A599" s="31"/>
      <c r="B599" s="38"/>
      <c r="C599" s="38"/>
      <c r="D599" s="50"/>
      <c r="E599" s="50"/>
      <c r="F599" s="50"/>
      <c r="G599" s="27" t="str">
        <f>VLOOKUP(E599,DropDown!J:K,2,FALSE)</f>
        <v>#N/A</v>
      </c>
      <c r="H599" s="50"/>
      <c r="I599" s="50"/>
      <c r="J599" s="50"/>
      <c r="K599" s="25" t="s">
        <v>116</v>
      </c>
      <c r="L599" s="23"/>
      <c r="M599" s="23"/>
      <c r="N599" s="25" t="str">
        <f>"("""&amp;B599&amp;""") ("&amp;Vlookup(E599,DropDown!J:N,5,FALSE)&amp;" OR """ &amp;YEAR(D599) &amp; """ OR ""All New"" OR Episode OR Watch OR tv OR Show OR Series OR season OR binge OR Stream OR Film OR Movie OR Premiere OR Screening OR Feature OR Trailer OR Teaser OR theater OR release)"</f>
        <v>#N/A</v>
      </c>
      <c r="O599" s="23" t="str">
        <f t="shared" si="1"/>
        <v>#</v>
      </c>
      <c r="P599" s="23" t="str">
        <f t="shared" si="2"/>
        <v>#</v>
      </c>
      <c r="Q599" s="23"/>
      <c r="R599" s="23" t="str">
        <f>"("""&amp;B599&amp;""") ("&amp;Vlookup(E599,DropDown!R:V,5,FALSE)&amp;IF(ISBLANK(D599)," | "," "&amp;"OR """&amp;YEAR(D599)&amp;""" | ") &amp; """All New"" | Episode | Watch | tv | Show | Series | season | binge | Stream | Film | Movie | Premiere | Screening | Feature | Trailer | Teaser | theater | release)"</f>
        <v>#N/A</v>
      </c>
      <c r="S599" s="23"/>
      <c r="T599" s="23"/>
      <c r="U599" s="23"/>
      <c r="V599" s="23"/>
      <c r="W599" s="23"/>
      <c r="X599" s="38"/>
      <c r="Y599" s="38"/>
      <c r="Z599" s="38"/>
      <c r="AA599" s="38"/>
    </row>
    <row r="600">
      <c r="A600" s="31"/>
      <c r="B600" s="38"/>
      <c r="C600" s="38"/>
      <c r="D600" s="50"/>
      <c r="E600" s="50"/>
      <c r="F600" s="50"/>
      <c r="G600" s="27" t="str">
        <f>VLOOKUP(E600,DropDown!J:K,2,FALSE)</f>
        <v>#N/A</v>
      </c>
      <c r="H600" s="50"/>
      <c r="I600" s="50"/>
      <c r="J600" s="50"/>
      <c r="K600" s="25" t="s">
        <v>116</v>
      </c>
      <c r="L600" s="23"/>
      <c r="M600" s="23"/>
      <c r="N600" s="25" t="str">
        <f>"("""&amp;B600&amp;""") ("&amp;Vlookup(E600,DropDown!J:N,5,FALSE)&amp;" OR """ &amp;YEAR(D600) &amp; """ OR ""All New"" OR Episode OR Watch OR tv OR Show OR Series OR season OR binge OR Stream OR Film OR Movie OR Premiere OR Screening OR Feature OR Trailer OR Teaser OR theater OR release)"</f>
        <v>#N/A</v>
      </c>
      <c r="O600" s="23" t="str">
        <f t="shared" si="1"/>
        <v>#</v>
      </c>
      <c r="P600" s="23" t="str">
        <f t="shared" si="2"/>
        <v>#</v>
      </c>
      <c r="Q600" s="23"/>
      <c r="R600" s="23" t="str">
        <f>"("""&amp;B600&amp;""") ("&amp;Vlookup(E600,DropDown!R:V,5,FALSE)&amp;IF(ISBLANK(D600)," | "," "&amp;"OR """&amp;YEAR(D600)&amp;""" | ") &amp; """All New"" | Episode | Watch | tv | Show | Series | season | binge | Stream | Film | Movie | Premiere | Screening | Feature | Trailer | Teaser | theater | release)"</f>
        <v>#N/A</v>
      </c>
      <c r="S600" s="23"/>
      <c r="T600" s="23"/>
      <c r="U600" s="23"/>
      <c r="V600" s="23"/>
      <c r="W600" s="23"/>
      <c r="X600" s="38"/>
      <c r="Y600" s="38"/>
      <c r="Z600" s="38"/>
      <c r="AA600" s="38"/>
    </row>
    <row r="601">
      <c r="A601" s="31"/>
      <c r="B601" s="38"/>
      <c r="C601" s="38"/>
      <c r="D601" s="50"/>
      <c r="E601" s="50"/>
      <c r="F601" s="50"/>
      <c r="G601" s="27" t="str">
        <f>VLOOKUP(E601,DropDown!J:K,2,FALSE)</f>
        <v>#N/A</v>
      </c>
      <c r="H601" s="50"/>
      <c r="I601" s="50"/>
      <c r="J601" s="50"/>
      <c r="K601" s="25" t="s">
        <v>116</v>
      </c>
      <c r="L601" s="23"/>
      <c r="M601" s="23"/>
      <c r="N601" s="25" t="str">
        <f>"("""&amp;B601&amp;""") ("&amp;Vlookup(E601,DropDown!J:N,5,FALSE)&amp;" OR """ &amp;YEAR(D601) &amp; """ OR ""All New"" OR Episode OR Watch OR tv OR Show OR Series OR season OR binge OR Stream OR Film OR Movie OR Premiere OR Screening OR Feature OR Trailer OR Teaser OR theater OR release)"</f>
        <v>#N/A</v>
      </c>
      <c r="O601" s="23" t="str">
        <f t="shared" si="1"/>
        <v>#</v>
      </c>
      <c r="P601" s="23" t="str">
        <f t="shared" si="2"/>
        <v>#</v>
      </c>
      <c r="Q601" s="23"/>
      <c r="R601" s="23" t="str">
        <f>"("""&amp;B601&amp;""") ("&amp;Vlookup(E601,DropDown!R:V,5,FALSE)&amp;IF(ISBLANK(D601)," | "," "&amp;"OR """&amp;YEAR(D601)&amp;""" | ") &amp; """All New"" | Episode | Watch | tv | Show | Series | season | binge | Stream | Film | Movie | Premiere | Screening | Feature | Trailer | Teaser | theater | release)"</f>
        <v>#N/A</v>
      </c>
      <c r="S601" s="23"/>
      <c r="T601" s="23"/>
      <c r="U601" s="23"/>
      <c r="V601" s="23"/>
      <c r="W601" s="23"/>
      <c r="X601" s="38"/>
      <c r="Y601" s="38"/>
      <c r="Z601" s="38"/>
      <c r="AA601" s="38"/>
    </row>
    <row r="602">
      <c r="A602" s="31"/>
      <c r="B602" s="38"/>
      <c r="C602" s="38"/>
      <c r="D602" s="50"/>
      <c r="E602" s="50"/>
      <c r="F602" s="50"/>
      <c r="G602" s="27" t="str">
        <f>VLOOKUP(E602,DropDown!J:K,2,FALSE)</f>
        <v>#N/A</v>
      </c>
      <c r="H602" s="50"/>
      <c r="I602" s="50"/>
      <c r="J602" s="50"/>
      <c r="K602" s="25" t="s">
        <v>116</v>
      </c>
      <c r="L602" s="23"/>
      <c r="M602" s="23"/>
      <c r="N602" s="25" t="str">
        <f>"("""&amp;B602&amp;""") ("&amp;Vlookup(E602,DropDown!J:N,5,FALSE)&amp;" OR """ &amp;YEAR(D602) &amp; """ OR ""All New"" OR Episode OR Watch OR tv OR Show OR Series OR season OR binge OR Stream OR Film OR Movie OR Premiere OR Screening OR Feature OR Trailer OR Teaser OR theater OR release)"</f>
        <v>#N/A</v>
      </c>
      <c r="O602" s="23" t="str">
        <f t="shared" si="1"/>
        <v>#</v>
      </c>
      <c r="P602" s="23" t="str">
        <f t="shared" si="2"/>
        <v>#</v>
      </c>
      <c r="Q602" s="23"/>
      <c r="R602" s="23" t="str">
        <f>"("""&amp;B602&amp;""") ("&amp;Vlookup(E602,DropDown!R:V,5,FALSE)&amp;IF(ISBLANK(D602)," | "," "&amp;"OR """&amp;YEAR(D602)&amp;""" | ") &amp; """All New"" | Episode | Watch | tv | Show | Series | season | binge | Stream | Film | Movie | Premiere | Screening | Feature | Trailer | Teaser | theater | release)"</f>
        <v>#N/A</v>
      </c>
      <c r="S602" s="23"/>
      <c r="T602" s="23"/>
      <c r="U602" s="23"/>
      <c r="V602" s="23"/>
      <c r="W602" s="23"/>
      <c r="X602" s="38"/>
      <c r="Y602" s="38"/>
      <c r="Z602" s="38"/>
      <c r="AA602" s="38"/>
    </row>
    <row r="603">
      <c r="A603" s="31"/>
      <c r="B603" s="38"/>
      <c r="C603" s="38"/>
      <c r="D603" s="50"/>
      <c r="E603" s="50"/>
      <c r="F603" s="50"/>
      <c r="G603" s="27" t="str">
        <f>VLOOKUP(E603,DropDown!J:K,2,FALSE)</f>
        <v>#N/A</v>
      </c>
      <c r="H603" s="50"/>
      <c r="I603" s="50"/>
      <c r="J603" s="50"/>
      <c r="K603" s="25" t="s">
        <v>116</v>
      </c>
      <c r="L603" s="23"/>
      <c r="M603" s="23"/>
      <c r="N603" s="25" t="str">
        <f>"("""&amp;B603&amp;""") ("&amp;Vlookup(E603,DropDown!J:N,5,FALSE)&amp;" OR """ &amp;YEAR(D603) &amp; """ OR ""All New"" OR Episode OR Watch OR tv OR Show OR Series OR season OR binge OR Stream OR Film OR Movie OR Premiere OR Screening OR Feature OR Trailer OR Teaser OR theater OR release)"</f>
        <v>#N/A</v>
      </c>
      <c r="O603" s="23" t="str">
        <f t="shared" si="1"/>
        <v>#</v>
      </c>
      <c r="P603" s="23" t="str">
        <f t="shared" si="2"/>
        <v>#</v>
      </c>
      <c r="Q603" s="23"/>
      <c r="R603" s="23" t="str">
        <f>"("""&amp;B603&amp;""") ("&amp;Vlookup(E603,DropDown!R:V,5,FALSE)&amp;IF(ISBLANK(D603)," | "," "&amp;"OR """&amp;YEAR(D603)&amp;""" | ") &amp; """All New"" | Episode | Watch | tv | Show | Series | season | binge | Stream | Film | Movie | Premiere | Screening | Feature | Trailer | Teaser | theater | release)"</f>
        <v>#N/A</v>
      </c>
      <c r="S603" s="23"/>
      <c r="T603" s="23"/>
      <c r="U603" s="23"/>
      <c r="V603" s="23"/>
      <c r="W603" s="23"/>
      <c r="X603" s="38"/>
      <c r="Y603" s="38"/>
      <c r="Z603" s="38"/>
      <c r="AA603" s="38"/>
    </row>
    <row r="604">
      <c r="A604" s="31"/>
      <c r="B604" s="38"/>
      <c r="C604" s="38"/>
      <c r="D604" s="50"/>
      <c r="E604" s="50"/>
      <c r="F604" s="50"/>
      <c r="G604" s="27" t="str">
        <f>VLOOKUP(E604,DropDown!J:K,2,FALSE)</f>
        <v>#N/A</v>
      </c>
      <c r="H604" s="50"/>
      <c r="I604" s="50"/>
      <c r="J604" s="50"/>
      <c r="K604" s="25" t="s">
        <v>116</v>
      </c>
      <c r="L604" s="23"/>
      <c r="M604" s="23"/>
      <c r="N604" s="25" t="str">
        <f>"("""&amp;B604&amp;""") ("&amp;Vlookup(E604,DropDown!J:N,5,FALSE)&amp;" OR """ &amp;YEAR(D604) &amp; """ OR ""All New"" OR Episode OR Watch OR tv OR Show OR Series OR season OR binge OR Stream OR Film OR Movie OR Premiere OR Screening OR Feature OR Trailer OR Teaser OR theater OR release)"</f>
        <v>#N/A</v>
      </c>
      <c r="O604" s="23" t="str">
        <f t="shared" si="1"/>
        <v>#</v>
      </c>
      <c r="P604" s="23" t="str">
        <f t="shared" si="2"/>
        <v>#</v>
      </c>
      <c r="Q604" s="23"/>
      <c r="R604" s="23" t="str">
        <f>"("""&amp;B604&amp;""") ("&amp;Vlookup(E604,DropDown!R:V,5,FALSE)&amp;IF(ISBLANK(D604)," | "," "&amp;"OR """&amp;YEAR(D604)&amp;""" | ") &amp; """All New"" | Episode | Watch | tv | Show | Series | season | binge | Stream | Film | Movie | Premiere | Screening | Feature | Trailer | Teaser | theater | release)"</f>
        <v>#N/A</v>
      </c>
      <c r="S604" s="23"/>
      <c r="T604" s="23"/>
      <c r="U604" s="23"/>
      <c r="V604" s="23"/>
      <c r="W604" s="23"/>
      <c r="X604" s="38"/>
      <c r="Y604" s="38"/>
      <c r="Z604" s="38"/>
      <c r="AA604" s="38"/>
    </row>
    <row r="605">
      <c r="A605" s="31"/>
      <c r="B605" s="38"/>
      <c r="C605" s="38"/>
      <c r="D605" s="50"/>
      <c r="E605" s="50"/>
      <c r="F605" s="50"/>
      <c r="G605" s="27" t="str">
        <f>VLOOKUP(E605,DropDown!J:K,2,FALSE)</f>
        <v>#N/A</v>
      </c>
      <c r="H605" s="50"/>
      <c r="I605" s="50"/>
      <c r="J605" s="50"/>
      <c r="K605" s="25" t="s">
        <v>116</v>
      </c>
      <c r="L605" s="23"/>
      <c r="M605" s="23"/>
      <c r="N605" s="25" t="str">
        <f>"("""&amp;B605&amp;""") ("&amp;Vlookup(E605,DropDown!J:N,5,FALSE)&amp;" OR """ &amp;YEAR(D605) &amp; """ OR ""All New"" OR Episode OR Watch OR tv OR Show OR Series OR season OR binge OR Stream OR Film OR Movie OR Premiere OR Screening OR Feature OR Trailer OR Teaser OR theater OR release)"</f>
        <v>#N/A</v>
      </c>
      <c r="O605" s="23" t="str">
        <f t="shared" si="1"/>
        <v>#</v>
      </c>
      <c r="P605" s="23" t="str">
        <f t="shared" si="2"/>
        <v>#</v>
      </c>
      <c r="Q605" s="23"/>
      <c r="R605" s="23" t="str">
        <f>"("""&amp;B605&amp;""") ("&amp;Vlookup(E605,DropDown!R:V,5,FALSE)&amp;IF(ISBLANK(D605)," | "," "&amp;"OR """&amp;YEAR(D605)&amp;""" | ") &amp; """All New"" | Episode | Watch | tv | Show | Series | season | binge | Stream | Film | Movie | Premiere | Screening | Feature | Trailer | Teaser | theater | release)"</f>
        <v>#N/A</v>
      </c>
      <c r="S605" s="23"/>
      <c r="T605" s="23"/>
      <c r="U605" s="23"/>
      <c r="V605" s="23"/>
      <c r="W605" s="23"/>
      <c r="X605" s="38"/>
      <c r="Y605" s="38"/>
      <c r="Z605" s="38"/>
      <c r="AA605" s="38"/>
    </row>
    <row r="606">
      <c r="A606" s="31"/>
      <c r="B606" s="38"/>
      <c r="C606" s="38"/>
      <c r="D606" s="50"/>
      <c r="E606" s="50"/>
      <c r="F606" s="50"/>
      <c r="G606" s="27" t="str">
        <f>VLOOKUP(E606,DropDown!J:K,2,FALSE)</f>
        <v>#N/A</v>
      </c>
      <c r="H606" s="50"/>
      <c r="I606" s="50"/>
      <c r="J606" s="50"/>
      <c r="K606" s="25" t="s">
        <v>116</v>
      </c>
      <c r="L606" s="23"/>
      <c r="M606" s="23"/>
      <c r="N606" s="25" t="str">
        <f>"("""&amp;B606&amp;""") ("&amp;Vlookup(E606,DropDown!J:N,5,FALSE)&amp;" OR """ &amp;YEAR(D606) &amp; """ OR ""All New"" OR Episode OR Watch OR tv OR Show OR Series OR season OR binge OR Stream OR Film OR Movie OR Premiere OR Screening OR Feature OR Trailer OR Teaser OR theater OR release)"</f>
        <v>#N/A</v>
      </c>
      <c r="O606" s="23" t="str">
        <f t="shared" si="1"/>
        <v>#</v>
      </c>
      <c r="P606" s="23" t="str">
        <f t="shared" si="2"/>
        <v>#</v>
      </c>
      <c r="Q606" s="23"/>
      <c r="R606" s="23" t="str">
        <f>"("""&amp;B606&amp;""") ("&amp;Vlookup(E606,DropDown!R:V,5,FALSE)&amp;IF(ISBLANK(D606)," | "," "&amp;"OR """&amp;YEAR(D606)&amp;""" | ") &amp; """All New"" | Episode | Watch | tv | Show | Series | season | binge | Stream | Film | Movie | Premiere | Screening | Feature | Trailer | Teaser | theater | release)"</f>
        <v>#N/A</v>
      </c>
      <c r="S606" s="23"/>
      <c r="T606" s="23"/>
      <c r="U606" s="23"/>
      <c r="V606" s="23"/>
      <c r="W606" s="23"/>
      <c r="X606" s="38"/>
      <c r="Y606" s="38"/>
      <c r="Z606" s="38"/>
      <c r="AA606" s="38"/>
    </row>
    <row r="607">
      <c r="A607" s="31"/>
      <c r="B607" s="38"/>
      <c r="C607" s="38"/>
      <c r="D607" s="50"/>
      <c r="E607" s="50"/>
      <c r="F607" s="50"/>
      <c r="G607" s="27" t="str">
        <f>VLOOKUP(E607,DropDown!J:K,2,FALSE)</f>
        <v>#N/A</v>
      </c>
      <c r="H607" s="50"/>
      <c r="I607" s="50"/>
      <c r="J607" s="50"/>
      <c r="K607" s="25" t="s">
        <v>116</v>
      </c>
      <c r="L607" s="23"/>
      <c r="M607" s="23"/>
      <c r="N607" s="25" t="str">
        <f>"("""&amp;B607&amp;""") ("&amp;Vlookup(E607,DropDown!J:N,5,FALSE)&amp;" OR """ &amp;YEAR(D607) &amp; """ OR ""All New"" OR Episode OR Watch OR tv OR Show OR Series OR season OR binge OR Stream OR Film OR Movie OR Premiere OR Screening OR Feature OR Trailer OR Teaser OR theater OR release)"</f>
        <v>#N/A</v>
      </c>
      <c r="O607" s="23" t="str">
        <f t="shared" si="1"/>
        <v>#</v>
      </c>
      <c r="P607" s="23" t="str">
        <f t="shared" si="2"/>
        <v>#</v>
      </c>
      <c r="Q607" s="23"/>
      <c r="R607" s="23" t="str">
        <f>"("""&amp;B607&amp;""") ("&amp;Vlookup(E607,DropDown!R:V,5,FALSE)&amp;IF(ISBLANK(D607)," | "," "&amp;"OR """&amp;YEAR(D607)&amp;""" | ") &amp; """All New"" | Episode | Watch | tv | Show | Series | season | binge | Stream | Film | Movie | Premiere | Screening | Feature | Trailer | Teaser | theater | release)"</f>
        <v>#N/A</v>
      </c>
      <c r="S607" s="23"/>
      <c r="T607" s="23"/>
      <c r="U607" s="23"/>
      <c r="V607" s="23"/>
      <c r="W607" s="23"/>
      <c r="X607" s="38"/>
      <c r="Y607" s="38"/>
      <c r="Z607" s="38"/>
      <c r="AA607" s="38"/>
    </row>
    <row r="608">
      <c r="A608" s="31"/>
      <c r="B608" s="38"/>
      <c r="C608" s="38"/>
      <c r="D608" s="50"/>
      <c r="E608" s="50"/>
      <c r="F608" s="50"/>
      <c r="G608" s="27" t="str">
        <f>VLOOKUP(E608,DropDown!J:K,2,FALSE)</f>
        <v>#N/A</v>
      </c>
      <c r="H608" s="50"/>
      <c r="I608" s="50"/>
      <c r="J608" s="50"/>
      <c r="K608" s="25" t="s">
        <v>116</v>
      </c>
      <c r="L608" s="23"/>
      <c r="M608" s="23"/>
      <c r="N608" s="25" t="str">
        <f>"("""&amp;B608&amp;""") ("&amp;Vlookup(E608,DropDown!J:N,5,FALSE)&amp;" OR """ &amp;YEAR(D608) &amp; """ OR ""All New"" OR Episode OR Watch OR tv OR Show OR Series OR season OR binge OR Stream OR Film OR Movie OR Premiere OR Screening OR Feature OR Trailer OR Teaser OR theater OR release)"</f>
        <v>#N/A</v>
      </c>
      <c r="O608" s="23" t="str">
        <f t="shared" si="1"/>
        <v>#</v>
      </c>
      <c r="P608" s="23" t="str">
        <f t="shared" si="2"/>
        <v>#</v>
      </c>
      <c r="Q608" s="23"/>
      <c r="R608" s="23" t="str">
        <f>"("""&amp;B608&amp;""") ("&amp;Vlookup(E608,DropDown!R:V,5,FALSE)&amp;IF(ISBLANK(D608)," | "," "&amp;"OR """&amp;YEAR(D608)&amp;""" | ") &amp; """All New"" | Episode | Watch | tv | Show | Series | season | binge | Stream | Film | Movie | Premiere | Screening | Feature | Trailer | Teaser | theater | release)"</f>
        <v>#N/A</v>
      </c>
      <c r="S608" s="23"/>
      <c r="T608" s="23"/>
      <c r="U608" s="23"/>
      <c r="V608" s="23"/>
      <c r="W608" s="23"/>
      <c r="X608" s="38"/>
      <c r="Y608" s="38"/>
      <c r="Z608" s="38"/>
      <c r="AA608" s="38"/>
    </row>
    <row r="609">
      <c r="A609" s="31"/>
      <c r="B609" s="38"/>
      <c r="C609" s="38"/>
      <c r="D609" s="50"/>
      <c r="E609" s="50"/>
      <c r="F609" s="50"/>
      <c r="G609" s="27" t="str">
        <f>VLOOKUP(E609,DropDown!J:K,2,FALSE)</f>
        <v>#N/A</v>
      </c>
      <c r="H609" s="50"/>
      <c r="I609" s="50"/>
      <c r="J609" s="50"/>
      <c r="K609" s="25" t="s">
        <v>116</v>
      </c>
      <c r="L609" s="23"/>
      <c r="M609" s="23"/>
      <c r="N609" s="25" t="str">
        <f>"("""&amp;B609&amp;""") ("&amp;Vlookup(E609,DropDown!J:N,5,FALSE)&amp;" OR """ &amp;YEAR(D609) &amp; """ OR ""All New"" OR Episode OR Watch OR tv OR Show OR Series OR season OR binge OR Stream OR Film OR Movie OR Premiere OR Screening OR Feature OR Trailer OR Teaser OR theater OR release)"</f>
        <v>#N/A</v>
      </c>
      <c r="O609" s="23" t="str">
        <f t="shared" si="1"/>
        <v>#</v>
      </c>
      <c r="P609" s="23" t="str">
        <f t="shared" si="2"/>
        <v>#</v>
      </c>
      <c r="Q609" s="23"/>
      <c r="R609" s="23" t="str">
        <f>"("""&amp;B609&amp;""") ("&amp;Vlookup(E609,DropDown!R:V,5,FALSE)&amp;IF(ISBLANK(D609)," | "," "&amp;"OR """&amp;YEAR(D609)&amp;""" | ") &amp; """All New"" | Episode | Watch | tv | Show | Series | season | binge | Stream | Film | Movie | Premiere | Screening | Feature | Trailer | Teaser | theater | release)"</f>
        <v>#N/A</v>
      </c>
      <c r="S609" s="23"/>
      <c r="T609" s="23"/>
      <c r="U609" s="23"/>
      <c r="V609" s="23"/>
      <c r="W609" s="23"/>
      <c r="X609" s="38"/>
      <c r="Y609" s="38"/>
      <c r="Z609" s="38"/>
      <c r="AA609" s="38"/>
    </row>
    <row r="610">
      <c r="A610" s="31"/>
      <c r="B610" s="38"/>
      <c r="C610" s="38"/>
      <c r="D610" s="50"/>
      <c r="E610" s="50"/>
      <c r="F610" s="50"/>
      <c r="G610" s="27" t="str">
        <f>VLOOKUP(E610,DropDown!J:K,2,FALSE)</f>
        <v>#N/A</v>
      </c>
      <c r="H610" s="50"/>
      <c r="I610" s="50"/>
      <c r="J610" s="50"/>
      <c r="K610" s="25" t="s">
        <v>116</v>
      </c>
      <c r="L610" s="23"/>
      <c r="M610" s="23"/>
      <c r="N610" s="25" t="str">
        <f>"("""&amp;B610&amp;""") ("&amp;Vlookup(E610,DropDown!J:N,5,FALSE)&amp;" OR """ &amp;YEAR(D610) &amp; """ OR ""All New"" OR Episode OR Watch OR tv OR Show OR Series OR season OR binge OR Stream OR Film OR Movie OR Premiere OR Screening OR Feature OR Trailer OR Teaser OR theater OR release)"</f>
        <v>#N/A</v>
      </c>
      <c r="O610" s="23" t="str">
        <f t="shared" si="1"/>
        <v>#</v>
      </c>
      <c r="P610" s="23" t="str">
        <f t="shared" si="2"/>
        <v>#</v>
      </c>
      <c r="Q610" s="23"/>
      <c r="R610" s="23" t="str">
        <f>"("""&amp;B610&amp;""") ("&amp;Vlookup(E610,DropDown!R:V,5,FALSE)&amp;IF(ISBLANK(D610)," | "," "&amp;"OR """&amp;YEAR(D610)&amp;""" | ") &amp; """All New"" | Episode | Watch | tv | Show | Series | season | binge | Stream | Film | Movie | Premiere | Screening | Feature | Trailer | Teaser | theater | release)"</f>
        <v>#N/A</v>
      </c>
      <c r="S610" s="23"/>
      <c r="T610" s="23"/>
      <c r="U610" s="23"/>
      <c r="V610" s="23"/>
      <c r="W610" s="23"/>
      <c r="X610" s="38"/>
      <c r="Y610" s="38"/>
      <c r="Z610" s="38"/>
      <c r="AA610" s="38"/>
    </row>
    <row r="611">
      <c r="A611" s="31"/>
      <c r="B611" s="38"/>
      <c r="C611" s="38"/>
      <c r="D611" s="50"/>
      <c r="E611" s="50"/>
      <c r="F611" s="50"/>
      <c r="G611" s="27" t="str">
        <f>VLOOKUP(E611,DropDown!J:K,2,FALSE)</f>
        <v>#N/A</v>
      </c>
      <c r="H611" s="50"/>
      <c r="I611" s="50"/>
      <c r="J611" s="50"/>
      <c r="K611" s="25" t="s">
        <v>116</v>
      </c>
      <c r="L611" s="23"/>
      <c r="M611" s="23"/>
      <c r="N611" s="25" t="str">
        <f>"("""&amp;B611&amp;""") ("&amp;Vlookup(E611,DropDown!J:N,5,FALSE)&amp;" OR """ &amp;YEAR(D611) &amp; """ OR ""All New"" OR Episode OR Watch OR tv OR Show OR Series OR season OR binge OR Stream OR Film OR Movie OR Premiere OR Screening OR Feature OR Trailer OR Teaser OR theater OR release)"</f>
        <v>#N/A</v>
      </c>
      <c r="O611" s="23" t="str">
        <f t="shared" si="1"/>
        <v>#</v>
      </c>
      <c r="P611" s="23" t="str">
        <f t="shared" si="2"/>
        <v>#</v>
      </c>
      <c r="Q611" s="23"/>
      <c r="R611" s="23" t="str">
        <f>"("""&amp;B611&amp;""") ("&amp;Vlookup(E611,DropDown!R:V,5,FALSE)&amp;IF(ISBLANK(D611)," | "," "&amp;"OR """&amp;YEAR(D611)&amp;""" | ") &amp; """All New"" | Episode | Watch | tv | Show | Series | season | binge | Stream | Film | Movie | Premiere | Screening | Feature | Trailer | Teaser | theater | release)"</f>
        <v>#N/A</v>
      </c>
      <c r="S611" s="23"/>
      <c r="T611" s="23"/>
      <c r="U611" s="23"/>
      <c r="V611" s="23"/>
      <c r="W611" s="23"/>
      <c r="X611" s="38"/>
      <c r="Y611" s="38"/>
      <c r="Z611" s="38"/>
      <c r="AA611" s="38"/>
    </row>
    <row r="612">
      <c r="A612" s="31"/>
      <c r="B612" s="38"/>
      <c r="C612" s="38"/>
      <c r="D612" s="50"/>
      <c r="E612" s="50"/>
      <c r="F612" s="50"/>
      <c r="G612" s="27" t="str">
        <f>VLOOKUP(E612,DropDown!J:K,2,FALSE)</f>
        <v>#N/A</v>
      </c>
      <c r="H612" s="50"/>
      <c r="I612" s="50"/>
      <c r="J612" s="50"/>
      <c r="K612" s="25" t="s">
        <v>116</v>
      </c>
      <c r="L612" s="23"/>
      <c r="M612" s="23"/>
      <c r="N612" s="25" t="str">
        <f>"("""&amp;B612&amp;""") ("&amp;Vlookup(E612,DropDown!J:N,5,FALSE)&amp;" OR """ &amp;YEAR(D612) &amp; """ OR ""All New"" OR Episode OR Watch OR tv OR Show OR Series OR season OR binge OR Stream OR Film OR Movie OR Premiere OR Screening OR Feature OR Trailer OR Teaser OR theater OR release)"</f>
        <v>#N/A</v>
      </c>
      <c r="O612" s="23" t="str">
        <f t="shared" si="1"/>
        <v>#</v>
      </c>
      <c r="P612" s="23" t="str">
        <f t="shared" si="2"/>
        <v>#</v>
      </c>
      <c r="Q612" s="23"/>
      <c r="R612" s="23" t="str">
        <f>"("""&amp;B612&amp;""") ("&amp;Vlookup(E612,DropDown!R:V,5,FALSE)&amp;IF(ISBLANK(D612)," | "," "&amp;"OR """&amp;YEAR(D612)&amp;""" | ") &amp; """All New"" | Episode | Watch | tv | Show | Series | season | binge | Stream | Film | Movie | Premiere | Screening | Feature | Trailer | Teaser | theater | release)"</f>
        <v>#N/A</v>
      </c>
      <c r="S612" s="23"/>
      <c r="T612" s="23"/>
      <c r="U612" s="23"/>
      <c r="V612" s="23"/>
      <c r="W612" s="23"/>
      <c r="X612" s="38"/>
      <c r="Y612" s="38"/>
      <c r="Z612" s="38"/>
      <c r="AA612" s="38"/>
    </row>
    <row r="613">
      <c r="A613" s="31"/>
      <c r="B613" s="38"/>
      <c r="C613" s="38"/>
      <c r="D613" s="50"/>
      <c r="E613" s="50"/>
      <c r="F613" s="50"/>
      <c r="G613" s="27" t="str">
        <f>VLOOKUP(E613,DropDown!J:K,2,FALSE)</f>
        <v>#N/A</v>
      </c>
      <c r="H613" s="50"/>
      <c r="I613" s="50"/>
      <c r="J613" s="50"/>
      <c r="K613" s="25" t="s">
        <v>116</v>
      </c>
      <c r="L613" s="23"/>
      <c r="M613" s="23"/>
      <c r="N613" s="25" t="str">
        <f>"("""&amp;B613&amp;""") ("&amp;Vlookup(E613,DropDown!J:N,5,FALSE)&amp;" OR """ &amp;YEAR(D613) &amp; """ OR ""All New"" OR Episode OR Watch OR tv OR Show OR Series OR season OR binge OR Stream OR Film OR Movie OR Premiere OR Screening OR Feature OR Trailer OR Teaser OR theater OR release)"</f>
        <v>#N/A</v>
      </c>
      <c r="O613" s="23" t="str">
        <f t="shared" si="1"/>
        <v>#</v>
      </c>
      <c r="P613" s="23" t="str">
        <f t="shared" si="2"/>
        <v>#</v>
      </c>
      <c r="Q613" s="23"/>
      <c r="R613" s="23" t="str">
        <f>"("""&amp;B613&amp;""") ("&amp;Vlookup(E613,DropDown!R:V,5,FALSE)&amp;IF(ISBLANK(D613)," | "," "&amp;"OR """&amp;YEAR(D613)&amp;""" | ") &amp; """All New"" | Episode | Watch | tv | Show | Series | season | binge | Stream | Film | Movie | Premiere | Screening | Feature | Trailer | Teaser | theater | release)"</f>
        <v>#N/A</v>
      </c>
      <c r="S613" s="23"/>
      <c r="T613" s="23"/>
      <c r="U613" s="23"/>
      <c r="V613" s="23"/>
      <c r="W613" s="23"/>
      <c r="X613" s="38"/>
      <c r="Y613" s="38"/>
      <c r="Z613" s="38"/>
      <c r="AA613" s="38"/>
    </row>
    <row r="614">
      <c r="A614" s="31"/>
      <c r="B614" s="38"/>
      <c r="C614" s="38"/>
      <c r="D614" s="50"/>
      <c r="E614" s="50"/>
      <c r="F614" s="50"/>
      <c r="G614" s="27" t="str">
        <f>VLOOKUP(E614,DropDown!J:K,2,FALSE)</f>
        <v>#N/A</v>
      </c>
      <c r="H614" s="50"/>
      <c r="I614" s="50"/>
      <c r="J614" s="50"/>
      <c r="K614" s="25" t="s">
        <v>116</v>
      </c>
      <c r="L614" s="23"/>
      <c r="M614" s="23"/>
      <c r="N614" s="25" t="str">
        <f>"("""&amp;B614&amp;""") ("&amp;Vlookup(E614,DropDown!J:N,5,FALSE)&amp;" OR """ &amp;YEAR(D614) &amp; """ OR ""All New"" OR Episode OR Watch OR tv OR Show OR Series OR season OR binge OR Stream OR Film OR Movie OR Premiere OR Screening OR Feature OR Trailer OR Teaser OR theater OR release)"</f>
        <v>#N/A</v>
      </c>
      <c r="O614" s="23" t="str">
        <f t="shared" si="1"/>
        <v>#</v>
      </c>
      <c r="P614" s="23" t="str">
        <f t="shared" si="2"/>
        <v>#</v>
      </c>
      <c r="Q614" s="23"/>
      <c r="R614" s="23" t="str">
        <f>"("""&amp;B614&amp;""") ("&amp;Vlookup(E614,DropDown!R:V,5,FALSE)&amp;IF(ISBLANK(D614)," | "," "&amp;"OR """&amp;YEAR(D614)&amp;""" | ") &amp; """All New"" | Episode | Watch | tv | Show | Series | season | binge | Stream | Film | Movie | Premiere | Screening | Feature | Trailer | Teaser | theater | release)"</f>
        <v>#N/A</v>
      </c>
      <c r="S614" s="23"/>
      <c r="T614" s="23"/>
      <c r="U614" s="23"/>
      <c r="V614" s="23"/>
      <c r="W614" s="23"/>
      <c r="X614" s="38"/>
      <c r="Y614" s="38"/>
      <c r="Z614" s="38"/>
      <c r="AA614" s="38"/>
    </row>
    <row r="615">
      <c r="A615" s="31"/>
      <c r="B615" s="38"/>
      <c r="C615" s="38"/>
      <c r="D615" s="50"/>
      <c r="E615" s="50"/>
      <c r="F615" s="50"/>
      <c r="G615" s="27" t="str">
        <f>VLOOKUP(E615,DropDown!J:K,2,FALSE)</f>
        <v>#N/A</v>
      </c>
      <c r="H615" s="50"/>
      <c r="I615" s="50"/>
      <c r="J615" s="50"/>
      <c r="K615" s="25" t="s">
        <v>116</v>
      </c>
      <c r="L615" s="23"/>
      <c r="M615" s="23"/>
      <c r="N615" s="25" t="str">
        <f>"("""&amp;B615&amp;""") ("&amp;Vlookup(E615,DropDown!J:N,5,FALSE)&amp;" OR """ &amp;YEAR(D615) &amp; """ OR ""All New"" OR Episode OR Watch OR tv OR Show OR Series OR season OR binge OR Stream OR Film OR Movie OR Premiere OR Screening OR Feature OR Trailer OR Teaser OR theater OR release)"</f>
        <v>#N/A</v>
      </c>
      <c r="O615" s="23" t="str">
        <f t="shared" si="1"/>
        <v>#</v>
      </c>
      <c r="P615" s="23" t="str">
        <f t="shared" si="2"/>
        <v>#</v>
      </c>
      <c r="Q615" s="23"/>
      <c r="R615" s="23" t="str">
        <f>"("""&amp;B615&amp;""") ("&amp;Vlookup(E615,DropDown!R:V,5,FALSE)&amp;IF(ISBLANK(D615)," | "," "&amp;"OR """&amp;YEAR(D615)&amp;""" | ") &amp; """All New"" | Episode | Watch | tv | Show | Series | season | binge | Stream | Film | Movie | Premiere | Screening | Feature | Trailer | Teaser | theater | release)"</f>
        <v>#N/A</v>
      </c>
      <c r="S615" s="23"/>
      <c r="T615" s="23"/>
      <c r="U615" s="23"/>
      <c r="V615" s="23"/>
      <c r="W615" s="23"/>
      <c r="X615" s="38"/>
      <c r="Y615" s="38"/>
      <c r="Z615" s="38"/>
      <c r="AA615" s="38"/>
    </row>
    <row r="616">
      <c r="A616" s="31"/>
      <c r="B616" s="38"/>
      <c r="C616" s="38"/>
      <c r="D616" s="50"/>
      <c r="E616" s="50"/>
      <c r="F616" s="50"/>
      <c r="G616" s="27" t="str">
        <f>VLOOKUP(E616,DropDown!J:K,2,FALSE)</f>
        <v>#N/A</v>
      </c>
      <c r="H616" s="50"/>
      <c r="I616" s="50"/>
      <c r="J616" s="50"/>
      <c r="K616" s="25" t="s">
        <v>116</v>
      </c>
      <c r="L616" s="23"/>
      <c r="M616" s="23"/>
      <c r="N616" s="25" t="str">
        <f>"("""&amp;B616&amp;""") ("&amp;Vlookup(E616,DropDown!J:N,5,FALSE)&amp;" OR """ &amp;YEAR(D616) &amp; """ OR ""All New"" OR Episode OR Watch OR tv OR Show OR Series OR season OR binge OR Stream OR Film OR Movie OR Premiere OR Screening OR Feature OR Trailer OR Teaser OR theater OR release)"</f>
        <v>#N/A</v>
      </c>
      <c r="O616" s="23" t="str">
        <f t="shared" si="1"/>
        <v>#</v>
      </c>
      <c r="P616" s="23" t="str">
        <f t="shared" si="2"/>
        <v>#</v>
      </c>
      <c r="Q616" s="23"/>
      <c r="R616" s="23" t="str">
        <f>"("""&amp;B616&amp;""") ("&amp;Vlookup(E616,DropDown!R:V,5,FALSE)&amp;IF(ISBLANK(D616)," | "," "&amp;"OR """&amp;YEAR(D616)&amp;""" | ") &amp; """All New"" | Episode | Watch | tv | Show | Series | season | binge | Stream | Film | Movie | Premiere | Screening | Feature | Trailer | Teaser | theater | release)"</f>
        <v>#N/A</v>
      </c>
      <c r="S616" s="23"/>
      <c r="T616" s="23"/>
      <c r="U616" s="23"/>
      <c r="V616" s="23"/>
      <c r="W616" s="23"/>
      <c r="X616" s="38"/>
      <c r="Y616" s="38"/>
      <c r="Z616" s="38"/>
      <c r="AA616" s="38"/>
    </row>
    <row r="617">
      <c r="A617" s="31"/>
      <c r="B617" s="38"/>
      <c r="C617" s="38"/>
      <c r="D617" s="50"/>
      <c r="E617" s="50"/>
      <c r="F617" s="50"/>
      <c r="G617" s="27" t="str">
        <f>VLOOKUP(E617,DropDown!J:K,2,FALSE)</f>
        <v>#N/A</v>
      </c>
      <c r="H617" s="50"/>
      <c r="I617" s="50"/>
      <c r="J617" s="50"/>
      <c r="K617" s="25" t="s">
        <v>116</v>
      </c>
      <c r="L617" s="23"/>
      <c r="M617" s="23"/>
      <c r="N617" s="25" t="str">
        <f>"("""&amp;B617&amp;""") ("&amp;Vlookup(E617,DropDown!J:N,5,FALSE)&amp;" OR """ &amp;YEAR(D617) &amp; """ OR ""All New"" OR Episode OR Watch OR tv OR Show OR Series OR season OR binge OR Stream OR Film OR Movie OR Premiere OR Screening OR Feature OR Trailer OR Teaser OR theater OR release)"</f>
        <v>#N/A</v>
      </c>
      <c r="O617" s="23" t="str">
        <f t="shared" si="1"/>
        <v>#</v>
      </c>
      <c r="P617" s="23" t="str">
        <f t="shared" si="2"/>
        <v>#</v>
      </c>
      <c r="Q617" s="23"/>
      <c r="R617" s="23" t="str">
        <f>"("""&amp;B617&amp;""") ("&amp;Vlookup(E617,DropDown!R:V,5,FALSE)&amp;IF(ISBLANK(D617)," | "," "&amp;"OR """&amp;YEAR(D617)&amp;""" | ") &amp; """All New"" | Episode | Watch | tv | Show | Series | season | binge | Stream | Film | Movie | Premiere | Screening | Feature | Trailer | Teaser | theater | release)"</f>
        <v>#N/A</v>
      </c>
      <c r="S617" s="23"/>
      <c r="T617" s="23"/>
      <c r="U617" s="23"/>
      <c r="V617" s="23"/>
      <c r="W617" s="23"/>
      <c r="X617" s="38"/>
      <c r="Y617" s="38"/>
      <c r="Z617" s="38"/>
      <c r="AA617" s="38"/>
    </row>
    <row r="618">
      <c r="A618" s="31"/>
      <c r="B618" s="38"/>
      <c r="C618" s="38"/>
      <c r="D618" s="50"/>
      <c r="E618" s="50"/>
      <c r="F618" s="50"/>
      <c r="G618" s="27" t="str">
        <f>VLOOKUP(E618,DropDown!J:K,2,FALSE)</f>
        <v>#N/A</v>
      </c>
      <c r="H618" s="50"/>
      <c r="I618" s="50"/>
      <c r="J618" s="50"/>
      <c r="K618" s="25" t="s">
        <v>116</v>
      </c>
      <c r="L618" s="23"/>
      <c r="M618" s="23"/>
      <c r="N618" s="25" t="str">
        <f>"("""&amp;B618&amp;""") ("&amp;Vlookup(E618,DropDown!J:N,5,FALSE)&amp;" OR """ &amp;YEAR(D618) &amp; """ OR ""All New"" OR Episode OR Watch OR tv OR Show OR Series OR season OR binge OR Stream OR Film OR Movie OR Premiere OR Screening OR Feature OR Trailer OR Teaser OR theater OR release)"</f>
        <v>#N/A</v>
      </c>
      <c r="O618" s="23" t="str">
        <f t="shared" si="1"/>
        <v>#</v>
      </c>
      <c r="P618" s="23" t="str">
        <f t="shared" si="2"/>
        <v>#</v>
      </c>
      <c r="Q618" s="23"/>
      <c r="R618" s="23" t="str">
        <f>"("""&amp;B618&amp;""") ("&amp;Vlookup(E618,DropDown!R:V,5,FALSE)&amp;IF(ISBLANK(D618)," | "," "&amp;"OR """&amp;YEAR(D618)&amp;""" | ") &amp; """All New"" | Episode | Watch | tv | Show | Series | season | binge | Stream | Film | Movie | Premiere | Screening | Feature | Trailer | Teaser | theater | release)"</f>
        <v>#N/A</v>
      </c>
      <c r="S618" s="23"/>
      <c r="T618" s="23"/>
      <c r="U618" s="23"/>
      <c r="V618" s="23"/>
      <c r="W618" s="23"/>
      <c r="X618" s="38"/>
      <c r="Y618" s="38"/>
      <c r="Z618" s="38"/>
      <c r="AA618" s="38"/>
    </row>
    <row r="619">
      <c r="A619" s="31"/>
      <c r="B619" s="38"/>
      <c r="C619" s="38"/>
      <c r="D619" s="50"/>
      <c r="E619" s="50"/>
      <c r="F619" s="50"/>
      <c r="G619" s="27" t="str">
        <f>VLOOKUP(E619,DropDown!J:K,2,FALSE)</f>
        <v>#N/A</v>
      </c>
      <c r="H619" s="50"/>
      <c r="I619" s="50"/>
      <c r="J619" s="50"/>
      <c r="K619" s="25" t="s">
        <v>116</v>
      </c>
      <c r="L619" s="23"/>
      <c r="M619" s="23"/>
      <c r="N619" s="25" t="str">
        <f>"("""&amp;B619&amp;""") ("&amp;Vlookup(E619,DropDown!J:N,5,FALSE)&amp;" OR """ &amp;YEAR(D619) &amp; """ OR ""All New"" OR Episode OR Watch OR tv OR Show OR Series OR season OR binge OR Stream OR Film OR Movie OR Premiere OR Screening OR Feature OR Trailer OR Teaser OR theater OR release)"</f>
        <v>#N/A</v>
      </c>
      <c r="O619" s="23" t="str">
        <f t="shared" si="1"/>
        <v>#</v>
      </c>
      <c r="P619" s="23" t="str">
        <f t="shared" si="2"/>
        <v>#</v>
      </c>
      <c r="Q619" s="23"/>
      <c r="R619" s="23" t="str">
        <f>"("""&amp;B619&amp;""") ("&amp;Vlookup(E619,DropDown!R:V,5,FALSE)&amp;IF(ISBLANK(D619)," | "," "&amp;"OR """&amp;YEAR(D619)&amp;""" | ") &amp; """All New"" | Episode | Watch | tv | Show | Series | season | binge | Stream | Film | Movie | Premiere | Screening | Feature | Trailer | Teaser | theater | release)"</f>
        <v>#N/A</v>
      </c>
      <c r="S619" s="23"/>
      <c r="T619" s="23"/>
      <c r="U619" s="23"/>
      <c r="V619" s="23"/>
      <c r="W619" s="23"/>
      <c r="X619" s="38"/>
      <c r="Y619" s="38"/>
      <c r="Z619" s="38"/>
      <c r="AA619" s="38"/>
    </row>
    <row r="620">
      <c r="A620" s="31"/>
      <c r="B620" s="38"/>
      <c r="C620" s="38"/>
      <c r="D620" s="50"/>
      <c r="E620" s="50"/>
      <c r="F620" s="50"/>
      <c r="G620" s="27" t="str">
        <f>VLOOKUP(E620,DropDown!J:K,2,FALSE)</f>
        <v>#N/A</v>
      </c>
      <c r="H620" s="50"/>
      <c r="I620" s="50"/>
      <c r="J620" s="50"/>
      <c r="K620" s="25" t="s">
        <v>116</v>
      </c>
      <c r="L620" s="23"/>
      <c r="M620" s="23"/>
      <c r="N620" s="25" t="str">
        <f>"("""&amp;B620&amp;""") ("&amp;Vlookup(E620,DropDown!J:N,5,FALSE)&amp;" OR """ &amp;YEAR(D620) &amp; """ OR ""All New"" OR Episode OR Watch OR tv OR Show OR Series OR season OR binge OR Stream OR Film OR Movie OR Premiere OR Screening OR Feature OR Trailer OR Teaser OR theater OR release)"</f>
        <v>#N/A</v>
      </c>
      <c r="O620" s="23" t="str">
        <f t="shared" si="1"/>
        <v>#</v>
      </c>
      <c r="P620" s="23" t="str">
        <f t="shared" si="2"/>
        <v>#</v>
      </c>
      <c r="Q620" s="23"/>
      <c r="R620" s="23" t="str">
        <f>"("""&amp;B620&amp;""") ("&amp;Vlookup(E620,DropDown!R:V,5,FALSE)&amp;IF(ISBLANK(D620)," | "," "&amp;"OR """&amp;YEAR(D620)&amp;""" | ") &amp; """All New"" | Episode | Watch | tv | Show | Series | season | binge | Stream | Film | Movie | Premiere | Screening | Feature | Trailer | Teaser | theater | release)"</f>
        <v>#N/A</v>
      </c>
      <c r="S620" s="23"/>
      <c r="T620" s="23"/>
      <c r="U620" s="23"/>
      <c r="V620" s="23"/>
      <c r="W620" s="23"/>
      <c r="X620" s="38"/>
      <c r="Y620" s="38"/>
      <c r="Z620" s="38"/>
      <c r="AA620" s="38"/>
    </row>
    <row r="621">
      <c r="A621" s="31"/>
      <c r="B621" s="38"/>
      <c r="C621" s="38"/>
      <c r="D621" s="50"/>
      <c r="E621" s="50"/>
      <c r="F621" s="50"/>
      <c r="G621" s="27" t="str">
        <f>VLOOKUP(E621,DropDown!J:K,2,FALSE)</f>
        <v>#N/A</v>
      </c>
      <c r="H621" s="50"/>
      <c r="I621" s="50"/>
      <c r="J621" s="50"/>
      <c r="K621" s="25" t="s">
        <v>116</v>
      </c>
      <c r="L621" s="23"/>
      <c r="M621" s="23"/>
      <c r="N621" s="25" t="str">
        <f>"("""&amp;B621&amp;""") ("&amp;Vlookup(E621,DropDown!J:N,5,FALSE)&amp;" OR """ &amp;YEAR(D621) &amp; """ OR ""All New"" OR Episode OR Watch OR tv OR Show OR Series OR season OR binge OR Stream OR Film OR Movie OR Premiere OR Screening OR Feature OR Trailer OR Teaser OR theater OR release)"</f>
        <v>#N/A</v>
      </c>
      <c r="O621" s="23" t="str">
        <f t="shared" si="1"/>
        <v>#</v>
      </c>
      <c r="P621" s="23" t="str">
        <f t="shared" si="2"/>
        <v>#</v>
      </c>
      <c r="Q621" s="23"/>
      <c r="R621" s="23" t="str">
        <f>"("""&amp;B621&amp;""") ("&amp;Vlookup(E621,DropDown!R:V,5,FALSE)&amp;IF(ISBLANK(D621)," | "," "&amp;"OR """&amp;YEAR(D621)&amp;""" | ") &amp; """All New"" | Episode | Watch | tv | Show | Series | season | binge | Stream | Film | Movie | Premiere | Screening | Feature | Trailer | Teaser | theater | release)"</f>
        <v>#N/A</v>
      </c>
      <c r="S621" s="23"/>
      <c r="T621" s="23"/>
      <c r="U621" s="23"/>
      <c r="V621" s="23"/>
      <c r="W621" s="23"/>
      <c r="X621" s="38"/>
      <c r="Y621" s="38"/>
      <c r="Z621" s="38"/>
      <c r="AA621" s="38"/>
    </row>
    <row r="622">
      <c r="A622" s="31"/>
      <c r="B622" s="38"/>
      <c r="C622" s="38"/>
      <c r="D622" s="50"/>
      <c r="E622" s="50"/>
      <c r="F622" s="50"/>
      <c r="G622" s="27" t="str">
        <f>VLOOKUP(E622,DropDown!J:K,2,FALSE)</f>
        <v>#N/A</v>
      </c>
      <c r="H622" s="50"/>
      <c r="I622" s="50"/>
      <c r="J622" s="50"/>
      <c r="K622" s="25" t="s">
        <v>116</v>
      </c>
      <c r="L622" s="23"/>
      <c r="M622" s="23"/>
      <c r="N622" s="25" t="str">
        <f>"("""&amp;B622&amp;""") ("&amp;Vlookup(E622,DropDown!J:N,5,FALSE)&amp;" OR """ &amp;YEAR(D622) &amp; """ OR ""All New"" OR Episode OR Watch OR tv OR Show OR Series OR season OR binge OR Stream OR Film OR Movie OR Premiere OR Screening OR Feature OR Trailer OR Teaser OR theater OR release)"</f>
        <v>#N/A</v>
      </c>
      <c r="O622" s="23" t="str">
        <f t="shared" si="1"/>
        <v>#</v>
      </c>
      <c r="P622" s="23" t="str">
        <f t="shared" si="2"/>
        <v>#</v>
      </c>
      <c r="Q622" s="23"/>
      <c r="R622" s="23" t="str">
        <f>"("""&amp;B622&amp;""") ("&amp;Vlookup(E622,DropDown!R:V,5,FALSE)&amp;IF(ISBLANK(D622)," | "," "&amp;"OR """&amp;YEAR(D622)&amp;""" | ") &amp; """All New"" | Episode | Watch | tv | Show | Series | season | binge | Stream | Film | Movie | Premiere | Screening | Feature | Trailer | Teaser | theater | release)"</f>
        <v>#N/A</v>
      </c>
      <c r="S622" s="23"/>
      <c r="T622" s="23"/>
      <c r="U622" s="23"/>
      <c r="V622" s="23"/>
      <c r="W622" s="23"/>
      <c r="X622" s="38"/>
      <c r="Y622" s="38"/>
      <c r="Z622" s="38"/>
      <c r="AA622" s="38"/>
    </row>
    <row r="623">
      <c r="A623" s="31"/>
      <c r="B623" s="38"/>
      <c r="C623" s="38"/>
      <c r="D623" s="50"/>
      <c r="E623" s="50"/>
      <c r="F623" s="50"/>
      <c r="G623" s="27" t="str">
        <f>VLOOKUP(E623,DropDown!J:K,2,FALSE)</f>
        <v>#N/A</v>
      </c>
      <c r="H623" s="50"/>
      <c r="I623" s="50"/>
      <c r="J623" s="50"/>
      <c r="K623" s="25" t="s">
        <v>116</v>
      </c>
      <c r="L623" s="23"/>
      <c r="M623" s="23"/>
      <c r="N623" s="25" t="str">
        <f>"("""&amp;B623&amp;""") ("&amp;Vlookup(E623,DropDown!J:N,5,FALSE)&amp;" OR """ &amp;YEAR(D623) &amp; """ OR ""All New"" OR Episode OR Watch OR tv OR Show OR Series OR season OR binge OR Stream OR Film OR Movie OR Premiere OR Screening OR Feature OR Trailer OR Teaser OR theater OR release)"</f>
        <v>#N/A</v>
      </c>
      <c r="O623" s="23" t="str">
        <f t="shared" si="1"/>
        <v>#</v>
      </c>
      <c r="P623" s="23" t="str">
        <f t="shared" si="2"/>
        <v>#</v>
      </c>
      <c r="Q623" s="23"/>
      <c r="R623" s="23" t="str">
        <f>"("""&amp;B623&amp;""") ("&amp;Vlookup(E623,DropDown!R:V,5,FALSE)&amp;IF(ISBLANK(D623)," | "," "&amp;"OR """&amp;YEAR(D623)&amp;""" | ") &amp; """All New"" | Episode | Watch | tv | Show | Series | season | binge | Stream | Film | Movie | Premiere | Screening | Feature | Trailer | Teaser | theater | release)"</f>
        <v>#N/A</v>
      </c>
      <c r="S623" s="23"/>
      <c r="T623" s="23"/>
      <c r="U623" s="23"/>
      <c r="V623" s="23"/>
      <c r="W623" s="23"/>
      <c r="X623" s="38"/>
      <c r="Y623" s="38"/>
      <c r="Z623" s="38"/>
      <c r="AA623" s="38"/>
    </row>
    <row r="624">
      <c r="A624" s="31"/>
      <c r="B624" s="38"/>
      <c r="C624" s="38"/>
      <c r="D624" s="50"/>
      <c r="E624" s="50"/>
      <c r="F624" s="50"/>
      <c r="G624" s="27" t="str">
        <f>VLOOKUP(E624,DropDown!J:K,2,FALSE)</f>
        <v>#N/A</v>
      </c>
      <c r="H624" s="50"/>
      <c r="I624" s="50"/>
      <c r="J624" s="50"/>
      <c r="K624" s="25" t="s">
        <v>116</v>
      </c>
      <c r="L624" s="23"/>
      <c r="M624" s="23"/>
      <c r="N624" s="25" t="str">
        <f>"("""&amp;B624&amp;""") ("&amp;Vlookup(E624,DropDown!J:N,5,FALSE)&amp;" OR """ &amp;YEAR(D624) &amp; """ OR ""All New"" OR Episode OR Watch OR tv OR Show OR Series OR season OR binge OR Stream OR Film OR Movie OR Premiere OR Screening OR Feature OR Trailer OR Teaser OR theater OR release)"</f>
        <v>#N/A</v>
      </c>
      <c r="O624" s="23" t="str">
        <f t="shared" si="1"/>
        <v>#</v>
      </c>
      <c r="P624" s="23" t="str">
        <f t="shared" si="2"/>
        <v>#</v>
      </c>
      <c r="Q624" s="23"/>
      <c r="R624" s="23" t="str">
        <f>"("""&amp;B624&amp;""") ("&amp;Vlookup(E624,DropDown!R:V,5,FALSE)&amp;IF(ISBLANK(D624)," | "," "&amp;"OR """&amp;YEAR(D624)&amp;""" | ") &amp; """All New"" | Episode | Watch | tv | Show | Series | season | binge | Stream | Film | Movie | Premiere | Screening | Feature | Trailer | Teaser | theater | release)"</f>
        <v>#N/A</v>
      </c>
      <c r="S624" s="23"/>
      <c r="T624" s="23"/>
      <c r="U624" s="23"/>
      <c r="V624" s="23"/>
      <c r="W624" s="23"/>
      <c r="X624" s="38"/>
      <c r="Y624" s="38"/>
      <c r="Z624" s="38"/>
      <c r="AA624" s="38"/>
    </row>
    <row r="625">
      <c r="A625" s="31"/>
      <c r="B625" s="38"/>
      <c r="C625" s="38"/>
      <c r="D625" s="50"/>
      <c r="E625" s="50"/>
      <c r="F625" s="50"/>
      <c r="G625" s="27" t="str">
        <f>VLOOKUP(E625,DropDown!J:K,2,FALSE)</f>
        <v>#N/A</v>
      </c>
      <c r="H625" s="50"/>
      <c r="I625" s="50"/>
      <c r="J625" s="50"/>
      <c r="K625" s="25" t="s">
        <v>116</v>
      </c>
      <c r="L625" s="23"/>
      <c r="M625" s="23"/>
      <c r="N625" s="25" t="str">
        <f>"("""&amp;B625&amp;""") ("&amp;Vlookup(E625,DropDown!J:N,5,FALSE)&amp;" OR """ &amp;YEAR(D625) &amp; """ OR ""All New"" OR Episode OR Watch OR tv OR Show OR Series OR season OR binge OR Stream OR Film OR Movie OR Premiere OR Screening OR Feature OR Trailer OR Teaser OR theater OR release)"</f>
        <v>#N/A</v>
      </c>
      <c r="O625" s="23" t="str">
        <f t="shared" si="1"/>
        <v>#</v>
      </c>
      <c r="P625" s="23" t="str">
        <f t="shared" si="2"/>
        <v>#</v>
      </c>
      <c r="Q625" s="23"/>
      <c r="R625" s="23" t="str">
        <f>"("""&amp;B625&amp;""") ("&amp;Vlookup(E625,DropDown!R:V,5,FALSE)&amp;IF(ISBLANK(D625)," | "," "&amp;"OR """&amp;YEAR(D625)&amp;""" | ") &amp; """All New"" | Episode | Watch | tv | Show | Series | season | binge | Stream | Film | Movie | Premiere | Screening | Feature | Trailer | Teaser | theater | release)"</f>
        <v>#N/A</v>
      </c>
      <c r="S625" s="23"/>
      <c r="T625" s="23"/>
      <c r="U625" s="23"/>
      <c r="V625" s="23"/>
      <c r="W625" s="23"/>
      <c r="X625" s="38"/>
      <c r="Y625" s="38"/>
      <c r="Z625" s="38"/>
      <c r="AA625" s="38"/>
    </row>
    <row r="626">
      <c r="A626" s="31"/>
      <c r="B626" s="38"/>
      <c r="C626" s="38"/>
      <c r="D626" s="50"/>
      <c r="E626" s="50"/>
      <c r="F626" s="50"/>
      <c r="G626" s="27" t="str">
        <f>VLOOKUP(E626,DropDown!J:K,2,FALSE)</f>
        <v>#N/A</v>
      </c>
      <c r="H626" s="50"/>
      <c r="I626" s="50"/>
      <c r="J626" s="50"/>
      <c r="K626" s="25" t="s">
        <v>116</v>
      </c>
      <c r="L626" s="23"/>
      <c r="M626" s="23"/>
      <c r="N626" s="25" t="str">
        <f>"("""&amp;B626&amp;""") ("&amp;Vlookup(E626,DropDown!J:N,5,FALSE)&amp;" OR """ &amp;YEAR(D626) &amp; """ OR ""All New"" OR Episode OR Watch OR tv OR Show OR Series OR season OR binge OR Stream OR Film OR Movie OR Premiere OR Screening OR Feature OR Trailer OR Teaser OR theater OR release)"</f>
        <v>#N/A</v>
      </c>
      <c r="O626" s="23" t="str">
        <f t="shared" si="1"/>
        <v>#</v>
      </c>
      <c r="P626" s="23" t="str">
        <f t="shared" si="2"/>
        <v>#</v>
      </c>
      <c r="Q626" s="23"/>
      <c r="R626" s="23" t="str">
        <f>"("""&amp;B626&amp;""") ("&amp;Vlookup(E626,DropDown!R:V,5,FALSE)&amp;IF(ISBLANK(D626)," | "," "&amp;"OR """&amp;YEAR(D626)&amp;""" | ") &amp; """All New"" | Episode | Watch | tv | Show | Series | season | binge | Stream | Film | Movie | Premiere | Screening | Feature | Trailer | Teaser | theater | release)"</f>
        <v>#N/A</v>
      </c>
      <c r="S626" s="23"/>
      <c r="T626" s="23"/>
      <c r="U626" s="23"/>
      <c r="V626" s="23"/>
      <c r="W626" s="23"/>
      <c r="X626" s="38"/>
      <c r="Y626" s="38"/>
      <c r="Z626" s="38"/>
      <c r="AA626" s="38"/>
    </row>
    <row r="627">
      <c r="A627" s="31"/>
      <c r="B627" s="38"/>
      <c r="C627" s="38"/>
      <c r="D627" s="50"/>
      <c r="E627" s="50"/>
      <c r="F627" s="50"/>
      <c r="G627" s="27" t="str">
        <f>VLOOKUP(E627,DropDown!J:K,2,FALSE)</f>
        <v>#N/A</v>
      </c>
      <c r="H627" s="50"/>
      <c r="I627" s="50"/>
      <c r="J627" s="50"/>
      <c r="K627" s="25" t="s">
        <v>116</v>
      </c>
      <c r="L627" s="23"/>
      <c r="M627" s="23"/>
      <c r="N627" s="25" t="str">
        <f>"("""&amp;B627&amp;""") ("&amp;Vlookup(E627,DropDown!J:N,5,FALSE)&amp;" OR """ &amp;YEAR(D627) &amp; """ OR ""All New"" OR Episode OR Watch OR tv OR Show OR Series OR season OR binge OR Stream OR Film OR Movie OR Premiere OR Screening OR Feature OR Trailer OR Teaser OR theater OR release)"</f>
        <v>#N/A</v>
      </c>
      <c r="O627" s="23" t="str">
        <f t="shared" si="1"/>
        <v>#</v>
      </c>
      <c r="P627" s="23" t="str">
        <f t="shared" si="2"/>
        <v>#</v>
      </c>
      <c r="Q627" s="23"/>
      <c r="R627" s="23" t="str">
        <f>"("""&amp;B627&amp;""") ("&amp;Vlookup(E627,DropDown!R:V,5,FALSE)&amp;IF(ISBLANK(D627)," | "," "&amp;"OR """&amp;YEAR(D627)&amp;""" | ") &amp; """All New"" | Episode | Watch | tv | Show | Series | season | binge | Stream | Film | Movie | Premiere | Screening | Feature | Trailer | Teaser | theater | release)"</f>
        <v>#N/A</v>
      </c>
      <c r="S627" s="23"/>
      <c r="T627" s="23"/>
      <c r="U627" s="23"/>
      <c r="V627" s="23"/>
      <c r="W627" s="23"/>
      <c r="X627" s="38"/>
      <c r="Y627" s="38"/>
      <c r="Z627" s="38"/>
      <c r="AA627" s="38"/>
    </row>
    <row r="628">
      <c r="A628" s="31"/>
      <c r="B628" s="38"/>
      <c r="C628" s="38"/>
      <c r="D628" s="50"/>
      <c r="E628" s="50"/>
      <c r="F628" s="50"/>
      <c r="G628" s="27" t="str">
        <f>VLOOKUP(E628,DropDown!J:K,2,FALSE)</f>
        <v>#N/A</v>
      </c>
      <c r="H628" s="50"/>
      <c r="I628" s="50"/>
      <c r="J628" s="50"/>
      <c r="K628" s="25" t="s">
        <v>116</v>
      </c>
      <c r="L628" s="23"/>
      <c r="M628" s="23"/>
      <c r="N628" s="25" t="str">
        <f>"("""&amp;B628&amp;""") ("&amp;Vlookup(E628,DropDown!J:N,5,FALSE)&amp;" OR """ &amp;YEAR(D628) &amp; """ OR ""All New"" OR Episode OR Watch OR tv OR Show OR Series OR season OR binge OR Stream OR Film OR Movie OR Premiere OR Screening OR Feature OR Trailer OR Teaser OR theater OR release)"</f>
        <v>#N/A</v>
      </c>
      <c r="O628" s="23" t="str">
        <f t="shared" si="1"/>
        <v>#</v>
      </c>
      <c r="P628" s="23" t="str">
        <f t="shared" si="2"/>
        <v>#</v>
      </c>
      <c r="Q628" s="23"/>
      <c r="R628" s="23" t="str">
        <f>"("""&amp;B628&amp;""") ("&amp;Vlookup(E628,DropDown!R:V,5,FALSE)&amp;IF(ISBLANK(D628)," | "," "&amp;"OR """&amp;YEAR(D628)&amp;""" | ") &amp; """All New"" | Episode | Watch | tv | Show | Series | season | binge | Stream | Film | Movie | Premiere | Screening | Feature | Trailer | Teaser | theater | release)"</f>
        <v>#N/A</v>
      </c>
      <c r="S628" s="23"/>
      <c r="T628" s="23"/>
      <c r="U628" s="23"/>
      <c r="V628" s="23"/>
      <c r="W628" s="23"/>
      <c r="X628" s="38"/>
      <c r="Y628" s="38"/>
      <c r="Z628" s="38"/>
      <c r="AA628" s="38"/>
    </row>
    <row r="629">
      <c r="A629" s="31"/>
      <c r="B629" s="38"/>
      <c r="C629" s="38"/>
      <c r="D629" s="50"/>
      <c r="E629" s="50"/>
      <c r="F629" s="50"/>
      <c r="G629" s="27" t="str">
        <f>VLOOKUP(E629,DropDown!J:K,2,FALSE)</f>
        <v>#N/A</v>
      </c>
      <c r="H629" s="50"/>
      <c r="I629" s="50"/>
      <c r="J629" s="50"/>
      <c r="K629" s="25" t="s">
        <v>116</v>
      </c>
      <c r="L629" s="23"/>
      <c r="M629" s="23"/>
      <c r="N629" s="25" t="str">
        <f>"("""&amp;B629&amp;""") ("&amp;Vlookup(E629,DropDown!J:N,5,FALSE)&amp;" OR """ &amp;YEAR(D629) &amp; """ OR ""All New"" OR Episode OR Watch OR tv OR Show OR Series OR season OR binge OR Stream OR Film OR Movie OR Premiere OR Screening OR Feature OR Trailer OR Teaser OR theater OR release)"</f>
        <v>#N/A</v>
      </c>
      <c r="O629" s="23" t="str">
        <f t="shared" si="1"/>
        <v>#</v>
      </c>
      <c r="P629" s="23" t="str">
        <f t="shared" si="2"/>
        <v>#</v>
      </c>
      <c r="Q629" s="23"/>
      <c r="R629" s="23" t="str">
        <f>"("""&amp;B629&amp;""") ("&amp;Vlookup(E629,DropDown!R:V,5,FALSE)&amp;IF(ISBLANK(D629)," | "," "&amp;"OR """&amp;YEAR(D629)&amp;""" | ") &amp; """All New"" | Episode | Watch | tv | Show | Series | season | binge | Stream | Film | Movie | Premiere | Screening | Feature | Trailer | Teaser | theater | release)"</f>
        <v>#N/A</v>
      </c>
      <c r="S629" s="23"/>
      <c r="T629" s="23"/>
      <c r="U629" s="23"/>
      <c r="V629" s="23"/>
      <c r="W629" s="23"/>
      <c r="X629" s="38"/>
      <c r="Y629" s="38"/>
      <c r="Z629" s="38"/>
      <c r="AA629" s="38"/>
    </row>
    <row r="630">
      <c r="A630" s="31"/>
      <c r="B630" s="38"/>
      <c r="C630" s="38"/>
      <c r="D630" s="50"/>
      <c r="E630" s="50"/>
      <c r="F630" s="50"/>
      <c r="G630" s="27" t="str">
        <f>VLOOKUP(E630,DropDown!J:K,2,FALSE)</f>
        <v>#N/A</v>
      </c>
      <c r="H630" s="50"/>
      <c r="I630" s="50"/>
      <c r="J630" s="50"/>
      <c r="K630" s="25" t="s">
        <v>116</v>
      </c>
      <c r="L630" s="23"/>
      <c r="M630" s="23"/>
      <c r="N630" s="25" t="str">
        <f>"("""&amp;B630&amp;""") ("&amp;Vlookup(E630,DropDown!J:N,5,FALSE)&amp;" OR """ &amp;YEAR(D630) &amp; """ OR ""All New"" OR Episode OR Watch OR tv OR Show OR Series OR season OR binge OR Stream OR Film OR Movie OR Premiere OR Screening OR Feature OR Trailer OR Teaser OR theater OR release)"</f>
        <v>#N/A</v>
      </c>
      <c r="O630" s="23" t="str">
        <f t="shared" si="1"/>
        <v>#</v>
      </c>
      <c r="P630" s="23" t="str">
        <f t="shared" si="2"/>
        <v>#</v>
      </c>
      <c r="Q630" s="23"/>
      <c r="R630" s="23" t="str">
        <f>"("""&amp;B630&amp;""") ("&amp;Vlookup(E630,DropDown!R:V,5,FALSE)&amp;IF(ISBLANK(D630)," | "," "&amp;"OR """&amp;YEAR(D630)&amp;""" | ") &amp; """All New"" | Episode | Watch | tv | Show | Series | season | binge | Stream | Film | Movie | Premiere | Screening | Feature | Trailer | Teaser | theater | release)"</f>
        <v>#N/A</v>
      </c>
      <c r="S630" s="23"/>
      <c r="T630" s="23"/>
      <c r="U630" s="23"/>
      <c r="V630" s="23"/>
      <c r="W630" s="23"/>
      <c r="X630" s="38"/>
      <c r="Y630" s="38"/>
      <c r="Z630" s="38"/>
      <c r="AA630" s="38"/>
    </row>
    <row r="631">
      <c r="A631" s="31"/>
      <c r="B631" s="38"/>
      <c r="C631" s="38"/>
      <c r="D631" s="50"/>
      <c r="E631" s="50"/>
      <c r="F631" s="50"/>
      <c r="G631" s="27" t="str">
        <f>VLOOKUP(E631,DropDown!J:K,2,FALSE)</f>
        <v>#N/A</v>
      </c>
      <c r="H631" s="50"/>
      <c r="I631" s="50"/>
      <c r="J631" s="50"/>
      <c r="K631" s="25" t="s">
        <v>116</v>
      </c>
      <c r="L631" s="23"/>
      <c r="M631" s="23"/>
      <c r="N631" s="25" t="str">
        <f>"("""&amp;B631&amp;""") ("&amp;Vlookup(E631,DropDown!J:N,5,FALSE)&amp;" OR """ &amp;YEAR(D631) &amp; """ OR ""All New"" OR Episode OR Watch OR tv OR Show OR Series OR season OR binge OR Stream OR Film OR Movie OR Premiere OR Screening OR Feature OR Trailer OR Teaser OR theater OR release)"</f>
        <v>#N/A</v>
      </c>
      <c r="O631" s="23" t="str">
        <f t="shared" si="1"/>
        <v>#</v>
      </c>
      <c r="P631" s="23" t="str">
        <f t="shared" si="2"/>
        <v>#</v>
      </c>
      <c r="Q631" s="23"/>
      <c r="R631" s="23" t="str">
        <f>"("""&amp;B631&amp;""") ("&amp;Vlookup(E631,DropDown!R:V,5,FALSE)&amp;IF(ISBLANK(D631)," | "," "&amp;"OR """&amp;YEAR(D631)&amp;""" | ") &amp; """All New"" | Episode | Watch | tv | Show | Series | season | binge | Stream | Film | Movie | Premiere | Screening | Feature | Trailer | Teaser | theater | release)"</f>
        <v>#N/A</v>
      </c>
      <c r="S631" s="23"/>
      <c r="T631" s="23"/>
      <c r="U631" s="23"/>
      <c r="V631" s="23"/>
      <c r="W631" s="23"/>
      <c r="X631" s="38"/>
      <c r="Y631" s="38"/>
      <c r="Z631" s="38"/>
      <c r="AA631" s="38"/>
    </row>
    <row r="632">
      <c r="A632" s="31"/>
      <c r="B632" s="38"/>
      <c r="C632" s="38"/>
      <c r="D632" s="50"/>
      <c r="E632" s="50"/>
      <c r="F632" s="50"/>
      <c r="G632" s="27" t="str">
        <f>VLOOKUP(E632,DropDown!J:K,2,FALSE)</f>
        <v>#N/A</v>
      </c>
      <c r="H632" s="50"/>
      <c r="I632" s="50"/>
      <c r="J632" s="50"/>
      <c r="K632" s="25" t="s">
        <v>116</v>
      </c>
      <c r="L632" s="23"/>
      <c r="M632" s="23"/>
      <c r="N632" s="25" t="str">
        <f>"("""&amp;B632&amp;""") ("&amp;Vlookup(E632,DropDown!J:N,5,FALSE)&amp;" OR """ &amp;YEAR(D632) &amp; """ OR ""All New"" OR Episode OR Watch OR tv OR Show OR Series OR season OR binge OR Stream OR Film OR Movie OR Premiere OR Screening OR Feature OR Trailer OR Teaser OR theater OR release)"</f>
        <v>#N/A</v>
      </c>
      <c r="O632" s="23" t="str">
        <f t="shared" si="1"/>
        <v>#</v>
      </c>
      <c r="P632" s="23" t="str">
        <f t="shared" si="2"/>
        <v>#</v>
      </c>
      <c r="Q632" s="23"/>
      <c r="R632" s="23" t="str">
        <f>"("""&amp;B632&amp;""") ("&amp;Vlookup(E632,DropDown!R:V,5,FALSE)&amp;IF(ISBLANK(D632)," | "," "&amp;"OR """&amp;YEAR(D632)&amp;""" | ") &amp; """All New"" | Episode | Watch | tv | Show | Series | season | binge | Stream | Film | Movie | Premiere | Screening | Feature | Trailer | Teaser | theater | release)"</f>
        <v>#N/A</v>
      </c>
      <c r="S632" s="23"/>
      <c r="T632" s="23"/>
      <c r="U632" s="23"/>
      <c r="V632" s="23"/>
      <c r="W632" s="23"/>
      <c r="X632" s="38"/>
      <c r="Y632" s="38"/>
      <c r="Z632" s="38"/>
      <c r="AA632" s="38"/>
    </row>
    <row r="633">
      <c r="A633" s="31"/>
      <c r="B633" s="38"/>
      <c r="C633" s="38"/>
      <c r="D633" s="50"/>
      <c r="E633" s="50"/>
      <c r="F633" s="50"/>
      <c r="G633" s="27" t="str">
        <f>VLOOKUP(E633,DropDown!J:K,2,FALSE)</f>
        <v>#N/A</v>
      </c>
      <c r="H633" s="50"/>
      <c r="I633" s="50"/>
      <c r="J633" s="50"/>
      <c r="K633" s="25" t="s">
        <v>116</v>
      </c>
      <c r="L633" s="23"/>
      <c r="M633" s="23"/>
      <c r="N633" s="25" t="str">
        <f>"("""&amp;B633&amp;""") ("&amp;Vlookup(E633,DropDown!J:N,5,FALSE)&amp;" OR """ &amp;YEAR(D633) &amp; """ OR ""All New"" OR Episode OR Watch OR tv OR Show OR Series OR season OR binge OR Stream OR Film OR Movie OR Premiere OR Screening OR Feature OR Trailer OR Teaser OR theater OR release)"</f>
        <v>#N/A</v>
      </c>
      <c r="O633" s="23" t="str">
        <f t="shared" si="1"/>
        <v>#</v>
      </c>
      <c r="P633" s="23" t="str">
        <f t="shared" si="2"/>
        <v>#</v>
      </c>
      <c r="Q633" s="23"/>
      <c r="R633" s="23" t="str">
        <f>"("""&amp;B633&amp;""") ("&amp;Vlookup(E633,DropDown!R:V,5,FALSE)&amp;IF(ISBLANK(D633)," | "," "&amp;"OR """&amp;YEAR(D633)&amp;""" | ") &amp; """All New"" | Episode | Watch | tv | Show | Series | season | binge | Stream | Film | Movie | Premiere | Screening | Feature | Trailer | Teaser | theater | release)"</f>
        <v>#N/A</v>
      </c>
      <c r="S633" s="23"/>
      <c r="T633" s="23"/>
      <c r="U633" s="23"/>
      <c r="V633" s="23"/>
      <c r="W633" s="23"/>
      <c r="X633" s="38"/>
      <c r="Y633" s="38"/>
      <c r="Z633" s="38"/>
      <c r="AA633" s="38"/>
    </row>
    <row r="634">
      <c r="A634" s="31"/>
      <c r="B634" s="38"/>
      <c r="C634" s="38"/>
      <c r="D634" s="50"/>
      <c r="E634" s="50"/>
      <c r="F634" s="50"/>
      <c r="G634" s="27" t="str">
        <f>VLOOKUP(E634,DropDown!J:K,2,FALSE)</f>
        <v>#N/A</v>
      </c>
      <c r="H634" s="50"/>
      <c r="I634" s="50"/>
      <c r="J634" s="50"/>
      <c r="K634" s="25" t="s">
        <v>116</v>
      </c>
      <c r="L634" s="23"/>
      <c r="M634" s="23"/>
      <c r="N634" s="25" t="str">
        <f>"("""&amp;B634&amp;""") ("&amp;Vlookup(E634,DropDown!J:N,5,FALSE)&amp;" OR """ &amp;YEAR(D634) &amp; """ OR ""All New"" OR Episode OR Watch OR tv OR Show OR Series OR season OR binge OR Stream OR Film OR Movie OR Premiere OR Screening OR Feature OR Trailer OR Teaser OR theater OR release)"</f>
        <v>#N/A</v>
      </c>
      <c r="O634" s="23" t="str">
        <f t="shared" si="1"/>
        <v>#</v>
      </c>
      <c r="P634" s="23" t="str">
        <f t="shared" si="2"/>
        <v>#</v>
      </c>
      <c r="Q634" s="23"/>
      <c r="R634" s="23" t="str">
        <f>"("""&amp;B634&amp;""") ("&amp;Vlookup(E634,DropDown!R:V,5,FALSE)&amp;IF(ISBLANK(D634)," | "," "&amp;"OR """&amp;YEAR(D634)&amp;""" | ") &amp; """All New"" | Episode | Watch | tv | Show | Series | season | binge | Stream | Film | Movie | Premiere | Screening | Feature | Trailer | Teaser | theater | release)"</f>
        <v>#N/A</v>
      </c>
      <c r="S634" s="23"/>
      <c r="T634" s="23"/>
      <c r="U634" s="23"/>
      <c r="V634" s="23"/>
      <c r="W634" s="23"/>
      <c r="X634" s="38"/>
      <c r="Y634" s="38"/>
      <c r="Z634" s="38"/>
      <c r="AA634" s="38"/>
    </row>
    <row r="635">
      <c r="A635" s="31"/>
      <c r="B635" s="38"/>
      <c r="C635" s="38"/>
      <c r="D635" s="50"/>
      <c r="E635" s="50"/>
      <c r="F635" s="50"/>
      <c r="G635" s="27" t="str">
        <f>VLOOKUP(E635,DropDown!J:K,2,FALSE)</f>
        <v>#N/A</v>
      </c>
      <c r="H635" s="50"/>
      <c r="I635" s="50"/>
      <c r="J635" s="50"/>
      <c r="K635" s="25" t="s">
        <v>116</v>
      </c>
      <c r="L635" s="23"/>
      <c r="M635" s="23"/>
      <c r="N635" s="25" t="str">
        <f>"("""&amp;B635&amp;""") ("&amp;Vlookup(E635,DropDown!J:N,5,FALSE)&amp;" OR """ &amp;YEAR(D635) &amp; """ OR ""All New"" OR Episode OR Watch OR tv OR Show OR Series OR season OR binge OR Stream OR Film OR Movie OR Premiere OR Screening OR Feature OR Trailer OR Teaser OR theater OR release)"</f>
        <v>#N/A</v>
      </c>
      <c r="O635" s="23" t="str">
        <f t="shared" si="1"/>
        <v>#</v>
      </c>
      <c r="P635" s="23" t="str">
        <f t="shared" si="2"/>
        <v>#</v>
      </c>
      <c r="Q635" s="23"/>
      <c r="R635" s="23" t="str">
        <f>"("""&amp;B635&amp;""") ("&amp;Vlookup(E635,DropDown!R:V,5,FALSE)&amp;IF(ISBLANK(D635)," | "," "&amp;"OR """&amp;YEAR(D635)&amp;""" | ") &amp; """All New"" | Episode | Watch | tv | Show | Series | season | binge | Stream | Film | Movie | Premiere | Screening | Feature | Trailer | Teaser | theater | release)"</f>
        <v>#N/A</v>
      </c>
      <c r="S635" s="23"/>
      <c r="T635" s="23"/>
      <c r="U635" s="23"/>
      <c r="V635" s="23"/>
      <c r="W635" s="23"/>
      <c r="X635" s="38"/>
      <c r="Y635" s="38"/>
      <c r="Z635" s="38"/>
      <c r="AA635" s="38"/>
    </row>
    <row r="636">
      <c r="A636" s="31"/>
      <c r="B636" s="38"/>
      <c r="C636" s="38"/>
      <c r="D636" s="50"/>
      <c r="E636" s="50"/>
      <c r="F636" s="50"/>
      <c r="G636" s="27" t="str">
        <f>VLOOKUP(E636,DropDown!J:K,2,FALSE)</f>
        <v>#N/A</v>
      </c>
      <c r="H636" s="50"/>
      <c r="I636" s="50"/>
      <c r="J636" s="50"/>
      <c r="K636" s="25" t="s">
        <v>116</v>
      </c>
      <c r="L636" s="23"/>
      <c r="M636" s="23"/>
      <c r="N636" s="25" t="str">
        <f>"("""&amp;B636&amp;""") ("&amp;Vlookup(E636,DropDown!J:N,5,FALSE)&amp;" OR """ &amp;YEAR(D636) &amp; """ OR ""All New"" OR Episode OR Watch OR tv OR Show OR Series OR season OR binge OR Stream OR Film OR Movie OR Premiere OR Screening OR Feature OR Trailer OR Teaser OR theater OR release)"</f>
        <v>#N/A</v>
      </c>
      <c r="O636" s="23" t="str">
        <f t="shared" si="1"/>
        <v>#</v>
      </c>
      <c r="P636" s="23" t="str">
        <f t="shared" si="2"/>
        <v>#</v>
      </c>
      <c r="Q636" s="23"/>
      <c r="R636" s="23" t="str">
        <f>"("""&amp;B636&amp;""") ("&amp;Vlookup(E636,DropDown!R:V,5,FALSE)&amp;IF(ISBLANK(D636)," | "," "&amp;"OR """&amp;YEAR(D636)&amp;""" | ") &amp; """All New"" | Episode | Watch | tv | Show | Series | season | binge | Stream | Film | Movie | Premiere | Screening | Feature | Trailer | Teaser | theater | release)"</f>
        <v>#N/A</v>
      </c>
      <c r="S636" s="23"/>
      <c r="T636" s="23"/>
      <c r="U636" s="23"/>
      <c r="V636" s="23"/>
      <c r="W636" s="23"/>
      <c r="X636" s="38"/>
      <c r="Y636" s="38"/>
      <c r="Z636" s="38"/>
      <c r="AA636" s="38"/>
    </row>
    <row r="637">
      <c r="A637" s="31"/>
      <c r="B637" s="38"/>
      <c r="C637" s="38"/>
      <c r="D637" s="50"/>
      <c r="E637" s="50"/>
      <c r="F637" s="50"/>
      <c r="G637" s="27" t="str">
        <f>VLOOKUP(E637,DropDown!J:K,2,FALSE)</f>
        <v>#N/A</v>
      </c>
      <c r="H637" s="50"/>
      <c r="I637" s="50"/>
      <c r="J637" s="50"/>
      <c r="K637" s="25" t="s">
        <v>116</v>
      </c>
      <c r="L637" s="23"/>
      <c r="M637" s="23"/>
      <c r="N637" s="25" t="str">
        <f>"("""&amp;B637&amp;""") ("&amp;Vlookup(E637,DropDown!J:N,5,FALSE)&amp;" OR """ &amp;YEAR(D637) &amp; """ OR ""All New"" OR Episode OR Watch OR tv OR Show OR Series OR season OR binge OR Stream OR Film OR Movie OR Premiere OR Screening OR Feature OR Trailer OR Teaser OR theater OR release)"</f>
        <v>#N/A</v>
      </c>
      <c r="O637" s="23" t="str">
        <f t="shared" si="1"/>
        <v>#</v>
      </c>
      <c r="P637" s="23" t="str">
        <f t="shared" si="2"/>
        <v>#</v>
      </c>
      <c r="Q637" s="23"/>
      <c r="R637" s="23" t="str">
        <f>"("""&amp;B637&amp;""") ("&amp;Vlookup(E637,DropDown!R:V,5,FALSE)&amp;IF(ISBLANK(D637)," | "," "&amp;"OR """&amp;YEAR(D637)&amp;""" | ") &amp; """All New"" | Episode | Watch | tv | Show | Series | season | binge | Stream | Film | Movie | Premiere | Screening | Feature | Trailer | Teaser | theater | release)"</f>
        <v>#N/A</v>
      </c>
      <c r="S637" s="23"/>
      <c r="T637" s="23"/>
      <c r="U637" s="23"/>
      <c r="V637" s="23"/>
      <c r="W637" s="23"/>
      <c r="X637" s="38"/>
      <c r="Y637" s="38"/>
      <c r="Z637" s="38"/>
      <c r="AA637" s="38"/>
    </row>
    <row r="638">
      <c r="A638" s="31"/>
      <c r="B638" s="38"/>
      <c r="C638" s="38"/>
      <c r="D638" s="50"/>
      <c r="E638" s="50"/>
      <c r="F638" s="50"/>
      <c r="G638" s="27" t="str">
        <f>VLOOKUP(E638,DropDown!J:K,2,FALSE)</f>
        <v>#N/A</v>
      </c>
      <c r="H638" s="50"/>
      <c r="I638" s="50"/>
      <c r="J638" s="50"/>
      <c r="K638" s="25" t="s">
        <v>116</v>
      </c>
      <c r="L638" s="23"/>
      <c r="M638" s="23"/>
      <c r="N638" s="25" t="str">
        <f>"("""&amp;B638&amp;""") ("&amp;Vlookup(E638,DropDown!J:N,5,FALSE)&amp;" OR """ &amp;YEAR(D638) &amp; """ OR ""All New"" OR Episode OR Watch OR tv OR Show OR Series OR season OR binge OR Stream OR Film OR Movie OR Premiere OR Screening OR Feature OR Trailer OR Teaser OR theater OR release)"</f>
        <v>#N/A</v>
      </c>
      <c r="O638" s="23" t="str">
        <f t="shared" si="1"/>
        <v>#</v>
      </c>
      <c r="P638" s="23" t="str">
        <f t="shared" si="2"/>
        <v>#</v>
      </c>
      <c r="Q638" s="23"/>
      <c r="R638" s="23" t="str">
        <f>"("""&amp;B638&amp;""") ("&amp;Vlookup(E638,DropDown!R:V,5,FALSE)&amp;IF(ISBLANK(D638)," | "," "&amp;"OR """&amp;YEAR(D638)&amp;""" | ") &amp; """All New"" | Episode | Watch | tv | Show | Series | season | binge | Stream | Film | Movie | Premiere | Screening | Feature | Trailer | Teaser | theater | release)"</f>
        <v>#N/A</v>
      </c>
      <c r="S638" s="23"/>
      <c r="T638" s="23"/>
      <c r="U638" s="23"/>
      <c r="V638" s="23"/>
      <c r="W638" s="23"/>
      <c r="X638" s="38"/>
      <c r="Y638" s="38"/>
      <c r="Z638" s="38"/>
      <c r="AA638" s="38"/>
    </row>
    <row r="639">
      <c r="A639" s="31"/>
      <c r="B639" s="38"/>
      <c r="C639" s="38"/>
      <c r="D639" s="50"/>
      <c r="E639" s="50"/>
      <c r="F639" s="50"/>
      <c r="G639" s="27" t="str">
        <f>VLOOKUP(E639,DropDown!J:K,2,FALSE)</f>
        <v>#N/A</v>
      </c>
      <c r="H639" s="50"/>
      <c r="I639" s="50"/>
      <c r="J639" s="50"/>
      <c r="K639" s="25" t="s">
        <v>116</v>
      </c>
      <c r="L639" s="23"/>
      <c r="M639" s="23"/>
      <c r="N639" s="25" t="str">
        <f>"("""&amp;B639&amp;""") ("&amp;Vlookup(E639,DropDown!J:N,5,FALSE)&amp;" OR """ &amp;YEAR(D639) &amp; """ OR ""All New"" OR Episode OR Watch OR tv OR Show OR Series OR season OR binge OR Stream OR Film OR Movie OR Premiere OR Screening OR Feature OR Trailer OR Teaser OR theater OR release)"</f>
        <v>#N/A</v>
      </c>
      <c r="O639" s="23" t="str">
        <f t="shared" si="1"/>
        <v>#</v>
      </c>
      <c r="P639" s="23" t="str">
        <f t="shared" si="2"/>
        <v>#</v>
      </c>
      <c r="Q639" s="23"/>
      <c r="R639" s="23" t="str">
        <f>"("""&amp;B639&amp;""") ("&amp;Vlookup(E639,DropDown!R:V,5,FALSE)&amp;IF(ISBLANK(D639)," | "," "&amp;"OR """&amp;YEAR(D639)&amp;""" | ") &amp; """All New"" | Episode | Watch | tv | Show | Series | season | binge | Stream | Film | Movie | Premiere | Screening | Feature | Trailer | Teaser | theater | release)"</f>
        <v>#N/A</v>
      </c>
      <c r="S639" s="23"/>
      <c r="T639" s="23"/>
      <c r="U639" s="23"/>
      <c r="V639" s="23"/>
      <c r="W639" s="23"/>
      <c r="X639" s="38"/>
      <c r="Y639" s="38"/>
      <c r="Z639" s="38"/>
      <c r="AA639" s="38"/>
    </row>
    <row r="640">
      <c r="A640" s="31"/>
      <c r="B640" s="38"/>
      <c r="C640" s="38"/>
      <c r="D640" s="50"/>
      <c r="E640" s="50"/>
      <c r="F640" s="50"/>
      <c r="G640" s="27" t="str">
        <f>VLOOKUP(E640,DropDown!J:K,2,FALSE)</f>
        <v>#N/A</v>
      </c>
      <c r="H640" s="50"/>
      <c r="I640" s="50"/>
      <c r="J640" s="50"/>
      <c r="K640" s="25" t="s">
        <v>116</v>
      </c>
      <c r="L640" s="23"/>
      <c r="M640" s="23"/>
      <c r="N640" s="25" t="str">
        <f>"("""&amp;B640&amp;""") ("&amp;Vlookup(E640,DropDown!J:N,5,FALSE)&amp;" OR """ &amp;YEAR(D640) &amp; """ OR ""All New"" OR Episode OR Watch OR tv OR Show OR Series OR season OR binge OR Stream OR Film OR Movie OR Premiere OR Screening OR Feature OR Trailer OR Teaser OR theater OR release)"</f>
        <v>#N/A</v>
      </c>
      <c r="O640" s="23" t="str">
        <f t="shared" si="1"/>
        <v>#</v>
      </c>
      <c r="P640" s="23" t="str">
        <f t="shared" si="2"/>
        <v>#</v>
      </c>
      <c r="Q640" s="23"/>
      <c r="R640" s="23" t="str">
        <f>"("""&amp;B640&amp;""") ("&amp;Vlookup(E640,DropDown!R:V,5,FALSE)&amp;IF(ISBLANK(D640)," | "," "&amp;"OR """&amp;YEAR(D640)&amp;""" | ") &amp; """All New"" | Episode | Watch | tv | Show | Series | season | binge | Stream | Film | Movie | Premiere | Screening | Feature | Trailer | Teaser | theater | release)"</f>
        <v>#N/A</v>
      </c>
      <c r="S640" s="23"/>
      <c r="T640" s="23"/>
      <c r="U640" s="23"/>
      <c r="V640" s="23"/>
      <c r="W640" s="23"/>
      <c r="X640" s="38"/>
      <c r="Y640" s="38"/>
      <c r="Z640" s="38"/>
      <c r="AA640" s="38"/>
    </row>
    <row r="641">
      <c r="A641" s="31"/>
      <c r="B641" s="38"/>
      <c r="C641" s="38"/>
      <c r="D641" s="50"/>
      <c r="E641" s="50"/>
      <c r="F641" s="50"/>
      <c r="G641" s="27" t="str">
        <f>VLOOKUP(E641,DropDown!J:K,2,FALSE)</f>
        <v>#N/A</v>
      </c>
      <c r="H641" s="50"/>
      <c r="I641" s="50"/>
      <c r="J641" s="50"/>
      <c r="K641" s="25" t="s">
        <v>116</v>
      </c>
      <c r="L641" s="23"/>
      <c r="M641" s="23"/>
      <c r="N641" s="25" t="str">
        <f>"("""&amp;B641&amp;""") ("&amp;Vlookup(E641,DropDown!J:N,5,FALSE)&amp;" OR """ &amp;YEAR(D641) &amp; """ OR ""All New"" OR Episode OR Watch OR tv OR Show OR Series OR season OR binge OR Stream OR Film OR Movie OR Premiere OR Screening OR Feature OR Trailer OR Teaser OR theater OR release)"</f>
        <v>#N/A</v>
      </c>
      <c r="O641" s="23" t="str">
        <f t="shared" si="1"/>
        <v>#</v>
      </c>
      <c r="P641" s="23" t="str">
        <f t="shared" si="2"/>
        <v>#</v>
      </c>
      <c r="Q641" s="23"/>
      <c r="R641" s="23" t="str">
        <f>"("""&amp;B641&amp;""") ("&amp;Vlookup(E641,DropDown!R:V,5,FALSE)&amp;IF(ISBLANK(D641)," | "," "&amp;"OR """&amp;YEAR(D641)&amp;""" | ") &amp; """All New"" | Episode | Watch | tv | Show | Series | season | binge | Stream | Film | Movie | Premiere | Screening | Feature | Trailer | Teaser | theater | release)"</f>
        <v>#N/A</v>
      </c>
      <c r="S641" s="23"/>
      <c r="T641" s="23"/>
      <c r="U641" s="23"/>
      <c r="V641" s="23"/>
      <c r="W641" s="23"/>
      <c r="X641" s="38"/>
      <c r="Y641" s="38"/>
      <c r="Z641" s="38"/>
      <c r="AA641" s="38"/>
    </row>
    <row r="642">
      <c r="A642" s="31"/>
      <c r="B642" s="38"/>
      <c r="C642" s="38"/>
      <c r="D642" s="50"/>
      <c r="E642" s="50"/>
      <c r="F642" s="50"/>
      <c r="G642" s="27" t="str">
        <f>VLOOKUP(E642,DropDown!J:K,2,FALSE)</f>
        <v>#N/A</v>
      </c>
      <c r="H642" s="50"/>
      <c r="I642" s="50"/>
      <c r="J642" s="50"/>
      <c r="K642" s="25" t="s">
        <v>116</v>
      </c>
      <c r="L642" s="23"/>
      <c r="M642" s="23"/>
      <c r="N642" s="25" t="str">
        <f>"("""&amp;B642&amp;""") ("&amp;Vlookup(E642,DropDown!J:N,5,FALSE)&amp;" OR """ &amp;YEAR(D642) &amp; """ OR ""All New"" OR Episode OR Watch OR tv OR Show OR Series OR season OR binge OR Stream OR Film OR Movie OR Premiere OR Screening OR Feature OR Trailer OR Teaser OR theater OR release)"</f>
        <v>#N/A</v>
      </c>
      <c r="O642" s="23" t="str">
        <f t="shared" si="1"/>
        <v>#</v>
      </c>
      <c r="P642" s="23" t="str">
        <f t="shared" si="2"/>
        <v>#</v>
      </c>
      <c r="Q642" s="23"/>
      <c r="R642" s="23" t="str">
        <f>"("""&amp;B642&amp;""") ("&amp;Vlookup(E642,DropDown!R:V,5,FALSE)&amp;IF(ISBLANK(D642)," | "," "&amp;"OR """&amp;YEAR(D642)&amp;""" | ") &amp; """All New"" | Episode | Watch | tv | Show | Series | season | binge | Stream | Film | Movie | Premiere | Screening | Feature | Trailer | Teaser | theater | release)"</f>
        <v>#N/A</v>
      </c>
      <c r="S642" s="23"/>
      <c r="T642" s="23"/>
      <c r="U642" s="23"/>
      <c r="V642" s="23"/>
      <c r="W642" s="23"/>
      <c r="X642" s="38"/>
      <c r="Y642" s="38"/>
      <c r="Z642" s="38"/>
      <c r="AA642" s="38"/>
    </row>
    <row r="643">
      <c r="A643" s="31"/>
      <c r="B643" s="38"/>
      <c r="C643" s="38"/>
      <c r="D643" s="50"/>
      <c r="E643" s="50"/>
      <c r="F643" s="50"/>
      <c r="G643" s="27" t="str">
        <f>VLOOKUP(E643,DropDown!J:K,2,FALSE)</f>
        <v>#N/A</v>
      </c>
      <c r="H643" s="50"/>
      <c r="I643" s="50"/>
      <c r="J643" s="50"/>
      <c r="K643" s="25" t="s">
        <v>116</v>
      </c>
      <c r="L643" s="23"/>
      <c r="M643" s="23"/>
      <c r="N643" s="25" t="str">
        <f>"("""&amp;B643&amp;""") ("&amp;Vlookup(E643,DropDown!J:N,5,FALSE)&amp;" OR """ &amp;YEAR(D643) &amp; """ OR ""All New"" OR Episode OR Watch OR tv OR Show OR Series OR season OR binge OR Stream OR Film OR Movie OR Premiere OR Screening OR Feature OR Trailer OR Teaser OR theater OR release)"</f>
        <v>#N/A</v>
      </c>
      <c r="O643" s="23" t="str">
        <f t="shared" si="1"/>
        <v>#</v>
      </c>
      <c r="P643" s="23" t="str">
        <f t="shared" si="2"/>
        <v>#</v>
      </c>
      <c r="Q643" s="23"/>
      <c r="R643" s="23" t="str">
        <f>"("""&amp;B643&amp;""") ("&amp;Vlookup(E643,DropDown!R:V,5,FALSE)&amp;IF(ISBLANK(D643)," | "," "&amp;"OR """&amp;YEAR(D643)&amp;""" | ") &amp; """All New"" | Episode | Watch | tv | Show | Series | season | binge | Stream | Film | Movie | Premiere | Screening | Feature | Trailer | Teaser | theater | release)"</f>
        <v>#N/A</v>
      </c>
      <c r="S643" s="23"/>
      <c r="T643" s="23"/>
      <c r="U643" s="23"/>
      <c r="V643" s="23"/>
      <c r="W643" s="23"/>
      <c r="X643" s="38"/>
      <c r="Y643" s="38"/>
      <c r="Z643" s="38"/>
      <c r="AA643" s="38"/>
    </row>
    <row r="644">
      <c r="A644" s="31"/>
      <c r="B644" s="38"/>
      <c r="C644" s="38"/>
      <c r="D644" s="50"/>
      <c r="E644" s="50"/>
      <c r="F644" s="50"/>
      <c r="G644" s="27" t="str">
        <f>VLOOKUP(E644,DropDown!J:K,2,FALSE)</f>
        <v>#N/A</v>
      </c>
      <c r="H644" s="50"/>
      <c r="I644" s="50"/>
      <c r="J644" s="50"/>
      <c r="K644" s="25" t="s">
        <v>116</v>
      </c>
      <c r="L644" s="23"/>
      <c r="M644" s="23"/>
      <c r="N644" s="25" t="str">
        <f>"("""&amp;B644&amp;""") ("&amp;Vlookup(E644,DropDown!J:N,5,FALSE)&amp;" OR """ &amp;YEAR(D644) &amp; """ OR ""All New"" OR Episode OR Watch OR tv OR Show OR Series OR season OR binge OR Stream OR Film OR Movie OR Premiere OR Screening OR Feature OR Trailer OR Teaser OR theater OR release)"</f>
        <v>#N/A</v>
      </c>
      <c r="O644" s="23" t="str">
        <f t="shared" si="1"/>
        <v>#</v>
      </c>
      <c r="P644" s="23" t="str">
        <f t="shared" si="2"/>
        <v>#</v>
      </c>
      <c r="Q644" s="23"/>
      <c r="R644" s="23" t="str">
        <f>"("""&amp;B644&amp;""") ("&amp;Vlookup(E644,DropDown!R:V,5,FALSE)&amp;IF(ISBLANK(D644)," | "," "&amp;"OR """&amp;YEAR(D644)&amp;""" | ") &amp; """All New"" | Episode | Watch | tv | Show | Series | season | binge | Stream | Film | Movie | Premiere | Screening | Feature | Trailer | Teaser | theater | release)"</f>
        <v>#N/A</v>
      </c>
      <c r="S644" s="23"/>
      <c r="T644" s="23"/>
      <c r="U644" s="23"/>
      <c r="V644" s="23"/>
      <c r="W644" s="23"/>
      <c r="X644" s="38"/>
      <c r="Y644" s="38"/>
      <c r="Z644" s="38"/>
      <c r="AA644" s="38"/>
    </row>
    <row r="645">
      <c r="A645" s="31"/>
      <c r="B645" s="38"/>
      <c r="C645" s="38"/>
      <c r="D645" s="50"/>
      <c r="E645" s="50"/>
      <c r="F645" s="50"/>
      <c r="G645" s="27" t="str">
        <f>VLOOKUP(E645,DropDown!J:K,2,FALSE)</f>
        <v>#N/A</v>
      </c>
      <c r="H645" s="50"/>
      <c r="I645" s="50"/>
      <c r="J645" s="50"/>
      <c r="K645" s="25" t="s">
        <v>116</v>
      </c>
      <c r="L645" s="23"/>
      <c r="M645" s="23"/>
      <c r="N645" s="25" t="str">
        <f>"("""&amp;B645&amp;""") ("&amp;Vlookup(E645,DropDown!J:N,5,FALSE)&amp;" OR """ &amp;YEAR(D645) &amp; """ OR ""All New"" OR Episode OR Watch OR tv OR Show OR Series OR season OR binge OR Stream OR Film OR Movie OR Premiere OR Screening OR Feature OR Trailer OR Teaser OR theater OR release)"</f>
        <v>#N/A</v>
      </c>
      <c r="O645" s="23" t="str">
        <f t="shared" si="1"/>
        <v>#</v>
      </c>
      <c r="P645" s="23" t="str">
        <f t="shared" si="2"/>
        <v>#</v>
      </c>
      <c r="Q645" s="23"/>
      <c r="R645" s="23" t="str">
        <f>"("""&amp;B645&amp;""") ("&amp;Vlookup(E645,DropDown!R:V,5,FALSE)&amp;IF(ISBLANK(D645)," | "," "&amp;"OR """&amp;YEAR(D645)&amp;""" | ") &amp; """All New"" | Episode | Watch | tv | Show | Series | season | binge | Stream | Film | Movie | Premiere | Screening | Feature | Trailer | Teaser | theater | release)"</f>
        <v>#N/A</v>
      </c>
      <c r="S645" s="23"/>
      <c r="T645" s="23"/>
      <c r="U645" s="23"/>
      <c r="V645" s="23"/>
      <c r="W645" s="23"/>
      <c r="X645" s="38"/>
      <c r="Y645" s="38"/>
      <c r="Z645" s="38"/>
      <c r="AA645" s="38"/>
    </row>
    <row r="646">
      <c r="A646" s="31"/>
      <c r="B646" s="38"/>
      <c r="C646" s="38"/>
      <c r="D646" s="50"/>
      <c r="E646" s="50"/>
      <c r="F646" s="50"/>
      <c r="G646" s="27" t="str">
        <f>VLOOKUP(E646,DropDown!J:K,2,FALSE)</f>
        <v>#N/A</v>
      </c>
      <c r="H646" s="50"/>
      <c r="I646" s="50"/>
      <c r="J646" s="50"/>
      <c r="K646" s="25" t="s">
        <v>116</v>
      </c>
      <c r="L646" s="23"/>
      <c r="M646" s="23"/>
      <c r="N646" s="25" t="str">
        <f>"("""&amp;B646&amp;""") ("&amp;Vlookup(E646,DropDown!J:N,5,FALSE)&amp;" OR """ &amp;YEAR(D646) &amp; """ OR ""All New"" OR Episode OR Watch OR tv OR Show OR Series OR season OR binge OR Stream OR Film OR Movie OR Premiere OR Screening OR Feature OR Trailer OR Teaser OR theater OR release)"</f>
        <v>#N/A</v>
      </c>
      <c r="O646" s="23" t="str">
        <f t="shared" si="1"/>
        <v>#</v>
      </c>
      <c r="P646" s="23" t="str">
        <f t="shared" si="2"/>
        <v>#</v>
      </c>
      <c r="Q646" s="23"/>
      <c r="R646" s="23" t="str">
        <f>"("""&amp;B646&amp;""") ("&amp;Vlookup(E646,DropDown!R:V,5,FALSE)&amp;IF(ISBLANK(D646)," | "," "&amp;"OR """&amp;YEAR(D646)&amp;""" | ") &amp; """All New"" | Episode | Watch | tv | Show | Series | season | binge | Stream | Film | Movie | Premiere | Screening | Feature | Trailer | Teaser | theater | release)"</f>
        <v>#N/A</v>
      </c>
      <c r="S646" s="23"/>
      <c r="T646" s="23"/>
      <c r="U646" s="23"/>
      <c r="V646" s="23"/>
      <c r="W646" s="23"/>
      <c r="X646" s="38"/>
      <c r="Y646" s="38"/>
      <c r="Z646" s="38"/>
      <c r="AA646" s="38"/>
    </row>
    <row r="647">
      <c r="A647" s="31"/>
      <c r="B647" s="38"/>
      <c r="C647" s="38"/>
      <c r="D647" s="50"/>
      <c r="E647" s="50"/>
      <c r="F647" s="50"/>
      <c r="G647" s="27" t="str">
        <f>VLOOKUP(E647,DropDown!J:K,2,FALSE)</f>
        <v>#N/A</v>
      </c>
      <c r="H647" s="50"/>
      <c r="I647" s="50"/>
      <c r="J647" s="50"/>
      <c r="K647" s="25" t="s">
        <v>116</v>
      </c>
      <c r="L647" s="23"/>
      <c r="M647" s="23"/>
      <c r="N647" s="25" t="str">
        <f>"("""&amp;B647&amp;""") ("&amp;Vlookup(E647,DropDown!J:N,5,FALSE)&amp;" OR """ &amp;YEAR(D647) &amp; """ OR ""All New"" OR Episode OR Watch OR tv OR Show OR Series OR season OR binge OR Stream OR Film OR Movie OR Premiere OR Screening OR Feature OR Trailer OR Teaser OR theater OR release)"</f>
        <v>#N/A</v>
      </c>
      <c r="O647" s="23" t="str">
        <f t="shared" si="1"/>
        <v>#</v>
      </c>
      <c r="P647" s="23" t="str">
        <f t="shared" si="2"/>
        <v>#</v>
      </c>
      <c r="Q647" s="23"/>
      <c r="R647" s="23" t="str">
        <f>"("""&amp;B647&amp;""") ("&amp;Vlookup(E647,DropDown!R:V,5,FALSE)&amp;IF(ISBLANK(D647)," | "," "&amp;"OR """&amp;YEAR(D647)&amp;""" | ") &amp; """All New"" | Episode | Watch | tv | Show | Series | season | binge | Stream | Film | Movie | Premiere | Screening | Feature | Trailer | Teaser | theater | release)"</f>
        <v>#N/A</v>
      </c>
      <c r="S647" s="23"/>
      <c r="T647" s="23"/>
      <c r="U647" s="23"/>
      <c r="V647" s="23"/>
      <c r="W647" s="23"/>
      <c r="X647" s="38"/>
      <c r="Y647" s="38"/>
      <c r="Z647" s="38"/>
      <c r="AA647" s="38"/>
    </row>
    <row r="648">
      <c r="A648" s="31"/>
      <c r="B648" s="38"/>
      <c r="C648" s="38"/>
      <c r="D648" s="50"/>
      <c r="E648" s="50"/>
      <c r="F648" s="50"/>
      <c r="G648" s="27" t="str">
        <f>VLOOKUP(E648,DropDown!J:K,2,FALSE)</f>
        <v>#N/A</v>
      </c>
      <c r="H648" s="50"/>
      <c r="I648" s="50"/>
      <c r="J648" s="50"/>
      <c r="K648" s="25" t="s">
        <v>116</v>
      </c>
      <c r="L648" s="23"/>
      <c r="M648" s="23"/>
      <c r="N648" s="25" t="str">
        <f>"("""&amp;B648&amp;""") ("&amp;Vlookup(E648,DropDown!J:N,5,FALSE)&amp;" OR """ &amp;YEAR(D648) &amp; """ OR ""All New"" OR Episode OR Watch OR tv OR Show OR Series OR season OR binge OR Stream OR Film OR Movie OR Premiere OR Screening OR Feature OR Trailer OR Teaser OR theater OR release)"</f>
        <v>#N/A</v>
      </c>
      <c r="O648" s="23" t="str">
        <f t="shared" si="1"/>
        <v>#</v>
      </c>
      <c r="P648" s="23" t="str">
        <f t="shared" si="2"/>
        <v>#</v>
      </c>
      <c r="Q648" s="23"/>
      <c r="R648" s="23" t="str">
        <f>"("""&amp;B648&amp;""") ("&amp;Vlookup(E648,DropDown!R:V,5,FALSE)&amp;IF(ISBLANK(D648)," | "," "&amp;"OR """&amp;YEAR(D648)&amp;""" | ") &amp; """All New"" | Episode | Watch | tv | Show | Series | season | binge | Stream | Film | Movie | Premiere | Screening | Feature | Trailer | Teaser | theater | release)"</f>
        <v>#N/A</v>
      </c>
      <c r="S648" s="23"/>
      <c r="T648" s="23"/>
      <c r="U648" s="23"/>
      <c r="V648" s="23"/>
      <c r="W648" s="23"/>
      <c r="X648" s="38"/>
      <c r="Y648" s="38"/>
      <c r="Z648" s="38"/>
      <c r="AA648" s="38"/>
    </row>
    <row r="649">
      <c r="A649" s="31"/>
      <c r="B649" s="38"/>
      <c r="C649" s="38"/>
      <c r="D649" s="50"/>
      <c r="E649" s="50"/>
      <c r="F649" s="50"/>
      <c r="G649" s="27" t="str">
        <f>VLOOKUP(E649,DropDown!J:K,2,FALSE)</f>
        <v>#N/A</v>
      </c>
      <c r="H649" s="50"/>
      <c r="I649" s="50"/>
      <c r="J649" s="50"/>
      <c r="K649" s="25" t="s">
        <v>116</v>
      </c>
      <c r="L649" s="23"/>
      <c r="M649" s="23"/>
      <c r="N649" s="25" t="str">
        <f>"("""&amp;B649&amp;""") ("&amp;Vlookup(E649,DropDown!J:N,5,FALSE)&amp;" OR """ &amp;YEAR(D649) &amp; """ OR ""All New"" OR Episode OR Watch OR tv OR Show OR Series OR season OR binge OR Stream OR Film OR Movie OR Premiere OR Screening OR Feature OR Trailer OR Teaser OR theater OR release)"</f>
        <v>#N/A</v>
      </c>
      <c r="O649" s="23" t="str">
        <f t="shared" si="1"/>
        <v>#</v>
      </c>
      <c r="P649" s="23" t="str">
        <f t="shared" si="2"/>
        <v>#</v>
      </c>
      <c r="Q649" s="23"/>
      <c r="R649" s="23" t="str">
        <f>"("""&amp;B649&amp;""") ("&amp;Vlookup(E649,DropDown!R:V,5,FALSE)&amp;IF(ISBLANK(D649)," | "," "&amp;"OR """&amp;YEAR(D649)&amp;""" | ") &amp; """All New"" | Episode | Watch | tv | Show | Series | season | binge | Stream | Film | Movie | Premiere | Screening | Feature | Trailer | Teaser | theater | release)"</f>
        <v>#N/A</v>
      </c>
      <c r="S649" s="23"/>
      <c r="T649" s="23"/>
      <c r="U649" s="23"/>
      <c r="V649" s="23"/>
      <c r="W649" s="23"/>
      <c r="X649" s="38"/>
      <c r="Y649" s="38"/>
      <c r="Z649" s="38"/>
      <c r="AA649" s="38"/>
    </row>
    <row r="650">
      <c r="A650" s="31"/>
      <c r="B650" s="38"/>
      <c r="C650" s="38"/>
      <c r="D650" s="50"/>
      <c r="E650" s="50"/>
      <c r="F650" s="50"/>
      <c r="G650" s="27" t="str">
        <f>VLOOKUP(E650,DropDown!J:K,2,FALSE)</f>
        <v>#N/A</v>
      </c>
      <c r="H650" s="50"/>
      <c r="I650" s="50"/>
      <c r="J650" s="50"/>
      <c r="K650" s="25" t="s">
        <v>116</v>
      </c>
      <c r="L650" s="23"/>
      <c r="M650" s="23"/>
      <c r="N650" s="25" t="str">
        <f>"("""&amp;B650&amp;""") ("&amp;Vlookup(E650,DropDown!J:N,5,FALSE)&amp;" OR """ &amp;YEAR(D650) &amp; """ OR ""All New"" OR Episode OR Watch OR tv OR Show OR Series OR season OR binge OR Stream OR Film OR Movie OR Premiere OR Screening OR Feature OR Trailer OR Teaser OR theater OR release)"</f>
        <v>#N/A</v>
      </c>
      <c r="O650" s="23" t="str">
        <f t="shared" si="1"/>
        <v>#</v>
      </c>
      <c r="P650" s="23" t="str">
        <f t="shared" si="2"/>
        <v>#</v>
      </c>
      <c r="Q650" s="23"/>
      <c r="R650" s="23" t="str">
        <f>"("""&amp;B650&amp;""") ("&amp;Vlookup(E650,DropDown!R:V,5,FALSE)&amp;IF(ISBLANK(D650)," | "," "&amp;"OR """&amp;YEAR(D650)&amp;""" | ") &amp; """All New"" | Episode | Watch | tv | Show | Series | season | binge | Stream | Film | Movie | Premiere | Screening | Feature | Trailer | Teaser | theater | release)"</f>
        <v>#N/A</v>
      </c>
      <c r="S650" s="23"/>
      <c r="T650" s="23"/>
      <c r="U650" s="23"/>
      <c r="V650" s="23"/>
      <c r="W650" s="23"/>
      <c r="X650" s="38"/>
      <c r="Y650" s="38"/>
      <c r="Z650" s="38"/>
      <c r="AA650" s="38"/>
    </row>
    <row r="651">
      <c r="A651" s="31"/>
      <c r="B651" s="38"/>
      <c r="C651" s="38"/>
      <c r="D651" s="50"/>
      <c r="E651" s="50"/>
      <c r="F651" s="50"/>
      <c r="G651" s="27" t="str">
        <f>VLOOKUP(E651,DropDown!J:K,2,FALSE)</f>
        <v>#N/A</v>
      </c>
      <c r="H651" s="50"/>
      <c r="I651" s="50"/>
      <c r="J651" s="50"/>
      <c r="K651" s="25" t="s">
        <v>116</v>
      </c>
      <c r="L651" s="23"/>
      <c r="M651" s="23"/>
      <c r="N651" s="25" t="str">
        <f>"("""&amp;B651&amp;""") ("&amp;Vlookup(E651,DropDown!J:N,5,FALSE)&amp;" OR """ &amp;YEAR(D651) &amp; """ OR ""All New"" OR Episode OR Watch OR tv OR Show OR Series OR season OR binge OR Stream OR Film OR Movie OR Premiere OR Screening OR Feature OR Trailer OR Teaser OR theater OR release)"</f>
        <v>#N/A</v>
      </c>
      <c r="O651" s="23" t="str">
        <f t="shared" si="1"/>
        <v>#</v>
      </c>
      <c r="P651" s="23" t="str">
        <f t="shared" si="2"/>
        <v>#</v>
      </c>
      <c r="Q651" s="23"/>
      <c r="R651" s="23" t="str">
        <f>"("""&amp;B651&amp;""") ("&amp;Vlookup(E651,DropDown!R:V,5,FALSE)&amp;IF(ISBLANK(D651)," | "," "&amp;"OR """&amp;YEAR(D651)&amp;""" | ") &amp; """All New"" | Episode | Watch | tv | Show | Series | season | binge | Stream | Film | Movie | Premiere | Screening | Feature | Trailer | Teaser | theater | release)"</f>
        <v>#N/A</v>
      </c>
      <c r="S651" s="23"/>
      <c r="T651" s="23"/>
      <c r="U651" s="23"/>
      <c r="V651" s="23"/>
      <c r="W651" s="23"/>
      <c r="X651" s="38"/>
      <c r="Y651" s="38"/>
      <c r="Z651" s="38"/>
      <c r="AA651" s="38"/>
    </row>
    <row r="652">
      <c r="A652" s="31"/>
      <c r="B652" s="38"/>
      <c r="C652" s="38"/>
      <c r="D652" s="50"/>
      <c r="E652" s="50"/>
      <c r="F652" s="50"/>
      <c r="G652" s="27" t="str">
        <f>VLOOKUP(E652,DropDown!J:K,2,FALSE)</f>
        <v>#N/A</v>
      </c>
      <c r="H652" s="50"/>
      <c r="I652" s="50"/>
      <c r="J652" s="50"/>
      <c r="K652" s="25" t="s">
        <v>116</v>
      </c>
      <c r="L652" s="23"/>
      <c r="M652" s="23"/>
      <c r="N652" s="25" t="str">
        <f>"("""&amp;B652&amp;""") ("&amp;Vlookup(E652,DropDown!J:N,5,FALSE)&amp;" OR """ &amp;YEAR(D652) &amp; """ OR ""All New"" OR Episode OR Watch OR tv OR Show OR Series OR season OR binge OR Stream OR Film OR Movie OR Premiere OR Screening OR Feature OR Trailer OR Teaser OR theater OR release)"</f>
        <v>#N/A</v>
      </c>
      <c r="O652" s="23" t="str">
        <f t="shared" si="1"/>
        <v>#</v>
      </c>
      <c r="P652" s="23" t="str">
        <f t="shared" si="2"/>
        <v>#</v>
      </c>
      <c r="Q652" s="23"/>
      <c r="R652" s="23" t="str">
        <f>"("""&amp;B652&amp;""") ("&amp;Vlookup(E652,DropDown!R:V,5,FALSE)&amp;IF(ISBLANK(D652)," | "," "&amp;"OR """&amp;YEAR(D652)&amp;""" | ") &amp; """All New"" | Episode | Watch | tv | Show | Series | season | binge | Stream | Film | Movie | Premiere | Screening | Feature | Trailer | Teaser | theater | release)"</f>
        <v>#N/A</v>
      </c>
      <c r="S652" s="23"/>
      <c r="T652" s="23"/>
      <c r="U652" s="23"/>
      <c r="V652" s="23"/>
      <c r="W652" s="23"/>
      <c r="X652" s="38"/>
      <c r="Y652" s="38"/>
      <c r="Z652" s="38"/>
      <c r="AA652" s="38"/>
    </row>
    <row r="653">
      <c r="A653" s="31"/>
      <c r="B653" s="38"/>
      <c r="C653" s="38"/>
      <c r="D653" s="50"/>
      <c r="E653" s="50"/>
      <c r="F653" s="50"/>
      <c r="G653" s="27" t="str">
        <f>VLOOKUP(E653,DropDown!J:K,2,FALSE)</f>
        <v>#N/A</v>
      </c>
      <c r="H653" s="50"/>
      <c r="I653" s="50"/>
      <c r="J653" s="50"/>
      <c r="K653" s="25" t="s">
        <v>116</v>
      </c>
      <c r="L653" s="23"/>
      <c r="M653" s="23"/>
      <c r="N653" s="25" t="str">
        <f>"("""&amp;B653&amp;""") ("&amp;Vlookup(E653,DropDown!J:N,5,FALSE)&amp;" OR """ &amp;YEAR(D653) &amp; """ OR ""All New"" OR Episode OR Watch OR tv OR Show OR Series OR season OR binge OR Stream OR Film OR Movie OR Premiere OR Screening OR Feature OR Trailer OR Teaser OR theater OR release)"</f>
        <v>#N/A</v>
      </c>
      <c r="O653" s="23" t="str">
        <f t="shared" si="1"/>
        <v>#</v>
      </c>
      <c r="P653" s="23" t="str">
        <f t="shared" si="2"/>
        <v>#</v>
      </c>
      <c r="Q653" s="23"/>
      <c r="R653" s="23" t="str">
        <f>"("""&amp;B653&amp;""") ("&amp;Vlookup(E653,DropDown!R:V,5,FALSE)&amp;IF(ISBLANK(D653)," | "," "&amp;"OR """&amp;YEAR(D653)&amp;""" | ") &amp; """All New"" | Episode | Watch | tv | Show | Series | season | binge | Stream | Film | Movie | Premiere | Screening | Feature | Trailer | Teaser | theater | release)"</f>
        <v>#N/A</v>
      </c>
      <c r="S653" s="23"/>
      <c r="T653" s="23"/>
      <c r="U653" s="23"/>
      <c r="V653" s="23"/>
      <c r="W653" s="23"/>
      <c r="X653" s="38"/>
      <c r="Y653" s="38"/>
      <c r="Z653" s="38"/>
      <c r="AA653" s="38"/>
    </row>
    <row r="654">
      <c r="A654" s="31"/>
      <c r="B654" s="38"/>
      <c r="C654" s="38"/>
      <c r="D654" s="50"/>
      <c r="E654" s="50"/>
      <c r="F654" s="50"/>
      <c r="G654" s="27" t="str">
        <f>VLOOKUP(E654,DropDown!J:K,2,FALSE)</f>
        <v>#N/A</v>
      </c>
      <c r="H654" s="50"/>
      <c r="I654" s="50"/>
      <c r="J654" s="50"/>
      <c r="K654" s="25" t="s">
        <v>116</v>
      </c>
      <c r="L654" s="23"/>
      <c r="M654" s="23"/>
      <c r="N654" s="25" t="str">
        <f>"("""&amp;B654&amp;""") ("&amp;Vlookup(E654,DropDown!J:N,5,FALSE)&amp;" OR """ &amp;YEAR(D654) &amp; """ OR ""All New"" OR Episode OR Watch OR tv OR Show OR Series OR season OR binge OR Stream OR Film OR Movie OR Premiere OR Screening OR Feature OR Trailer OR Teaser OR theater OR release)"</f>
        <v>#N/A</v>
      </c>
      <c r="O654" s="23" t="str">
        <f t="shared" si="1"/>
        <v>#</v>
      </c>
      <c r="P654" s="23" t="str">
        <f t="shared" si="2"/>
        <v>#</v>
      </c>
      <c r="Q654" s="23"/>
      <c r="R654" s="23" t="str">
        <f>"("""&amp;B654&amp;""") ("&amp;Vlookup(E654,DropDown!R:V,5,FALSE)&amp;IF(ISBLANK(D654)," | "," "&amp;"OR """&amp;YEAR(D654)&amp;""" | ") &amp; """All New"" | Episode | Watch | tv | Show | Series | season | binge | Stream | Film | Movie | Premiere | Screening | Feature | Trailer | Teaser | theater | release)"</f>
        <v>#N/A</v>
      </c>
      <c r="S654" s="23"/>
      <c r="T654" s="23"/>
      <c r="U654" s="23"/>
      <c r="V654" s="23"/>
      <c r="W654" s="23"/>
      <c r="X654" s="38"/>
      <c r="Y654" s="38"/>
      <c r="Z654" s="38"/>
      <c r="AA654" s="38"/>
    </row>
    <row r="655">
      <c r="A655" s="31"/>
      <c r="B655" s="38"/>
      <c r="C655" s="38"/>
      <c r="D655" s="50"/>
      <c r="E655" s="50"/>
      <c r="F655" s="50"/>
      <c r="G655" s="27" t="str">
        <f>VLOOKUP(E655,DropDown!J:K,2,FALSE)</f>
        <v>#N/A</v>
      </c>
      <c r="H655" s="50"/>
      <c r="I655" s="50"/>
      <c r="J655" s="50"/>
      <c r="K655" s="25" t="s">
        <v>116</v>
      </c>
      <c r="L655" s="23"/>
      <c r="M655" s="23"/>
      <c r="N655" s="25" t="str">
        <f>"("""&amp;B655&amp;""") ("&amp;Vlookup(E655,DropDown!J:N,5,FALSE)&amp;" OR """ &amp;YEAR(D655) &amp; """ OR ""All New"" OR Episode OR Watch OR tv OR Show OR Series OR season OR binge OR Stream OR Film OR Movie OR Premiere OR Screening OR Feature OR Trailer OR Teaser OR theater OR release)"</f>
        <v>#N/A</v>
      </c>
      <c r="O655" s="23" t="str">
        <f t="shared" si="1"/>
        <v>#</v>
      </c>
      <c r="P655" s="23" t="str">
        <f t="shared" si="2"/>
        <v>#</v>
      </c>
      <c r="Q655" s="23"/>
      <c r="R655" s="23" t="str">
        <f>"("""&amp;B655&amp;""") ("&amp;Vlookup(E655,DropDown!R:V,5,FALSE)&amp;IF(ISBLANK(D655)," | "," "&amp;"OR """&amp;YEAR(D655)&amp;""" | ") &amp; """All New"" | Episode | Watch | tv | Show | Series | season | binge | Stream | Film | Movie | Premiere | Screening | Feature | Trailer | Teaser | theater | release)"</f>
        <v>#N/A</v>
      </c>
      <c r="S655" s="23"/>
      <c r="T655" s="23"/>
      <c r="U655" s="23"/>
      <c r="V655" s="23"/>
      <c r="W655" s="23"/>
      <c r="X655" s="38"/>
      <c r="Y655" s="38"/>
      <c r="Z655" s="38"/>
      <c r="AA655" s="38"/>
    </row>
    <row r="656">
      <c r="A656" s="31"/>
      <c r="B656" s="38"/>
      <c r="C656" s="38"/>
      <c r="D656" s="50"/>
      <c r="E656" s="50"/>
      <c r="F656" s="50"/>
      <c r="G656" s="27" t="str">
        <f>VLOOKUP(E656,DropDown!J:K,2,FALSE)</f>
        <v>#N/A</v>
      </c>
      <c r="H656" s="50"/>
      <c r="I656" s="50"/>
      <c r="J656" s="50"/>
      <c r="K656" s="25" t="s">
        <v>116</v>
      </c>
      <c r="L656" s="23"/>
      <c r="M656" s="23"/>
      <c r="N656" s="25" t="str">
        <f>"("""&amp;B656&amp;""") ("&amp;Vlookup(E656,DropDown!J:N,5,FALSE)&amp;" OR """ &amp;YEAR(D656) &amp; """ OR ""All New"" OR Episode OR Watch OR tv OR Show OR Series OR season OR binge OR Stream OR Film OR Movie OR Premiere OR Screening OR Feature OR Trailer OR Teaser OR theater OR release)"</f>
        <v>#N/A</v>
      </c>
      <c r="O656" s="23" t="str">
        <f t="shared" si="1"/>
        <v>#</v>
      </c>
      <c r="P656" s="23" t="str">
        <f t="shared" si="2"/>
        <v>#</v>
      </c>
      <c r="Q656" s="23"/>
      <c r="R656" s="23" t="str">
        <f>"("""&amp;B656&amp;""") ("&amp;Vlookup(E656,DropDown!R:V,5,FALSE)&amp;IF(ISBLANK(D656)," | "," "&amp;"OR """&amp;YEAR(D656)&amp;""" | ") &amp; """All New"" | Episode | Watch | tv | Show | Series | season | binge | Stream | Film | Movie | Premiere | Screening | Feature | Trailer | Teaser | theater | release)"</f>
        <v>#N/A</v>
      </c>
      <c r="S656" s="23"/>
      <c r="T656" s="23"/>
      <c r="U656" s="23"/>
      <c r="V656" s="23"/>
      <c r="W656" s="23"/>
      <c r="X656" s="38"/>
      <c r="Y656" s="38"/>
      <c r="Z656" s="38"/>
      <c r="AA656" s="38"/>
    </row>
    <row r="657">
      <c r="A657" s="31"/>
      <c r="B657" s="38"/>
      <c r="C657" s="38"/>
      <c r="D657" s="50"/>
      <c r="E657" s="50"/>
      <c r="F657" s="50"/>
      <c r="G657" s="27" t="str">
        <f>VLOOKUP(E657,DropDown!J:K,2,FALSE)</f>
        <v>#N/A</v>
      </c>
      <c r="H657" s="50"/>
      <c r="I657" s="50"/>
      <c r="J657" s="50"/>
      <c r="K657" s="25" t="s">
        <v>116</v>
      </c>
      <c r="L657" s="23"/>
      <c r="M657" s="23"/>
      <c r="N657" s="25" t="str">
        <f>"("""&amp;B657&amp;""") ("&amp;Vlookup(E657,DropDown!J:N,5,FALSE)&amp;" OR """ &amp;YEAR(D657) &amp; """ OR ""All New"" OR Episode OR Watch OR tv OR Show OR Series OR season OR binge OR Stream OR Film OR Movie OR Premiere OR Screening OR Feature OR Trailer OR Teaser OR theater OR release)"</f>
        <v>#N/A</v>
      </c>
      <c r="O657" s="23" t="str">
        <f t="shared" si="1"/>
        <v>#</v>
      </c>
      <c r="P657" s="23" t="str">
        <f t="shared" si="2"/>
        <v>#</v>
      </c>
      <c r="Q657" s="23"/>
      <c r="R657" s="23" t="str">
        <f>"("""&amp;B657&amp;""") ("&amp;Vlookup(E657,DropDown!R:V,5,FALSE)&amp;IF(ISBLANK(D657)," | "," "&amp;"OR """&amp;YEAR(D657)&amp;""" | ") &amp; """All New"" | Episode | Watch | tv | Show | Series | season | binge | Stream | Film | Movie | Premiere | Screening | Feature | Trailer | Teaser | theater | release)"</f>
        <v>#N/A</v>
      </c>
      <c r="S657" s="23"/>
      <c r="T657" s="23"/>
      <c r="U657" s="23"/>
      <c r="V657" s="23"/>
      <c r="W657" s="23"/>
      <c r="X657" s="38"/>
      <c r="Y657" s="38"/>
      <c r="Z657" s="38"/>
      <c r="AA657" s="38"/>
    </row>
    <row r="658">
      <c r="A658" s="31"/>
      <c r="B658" s="38"/>
      <c r="C658" s="38"/>
      <c r="D658" s="50"/>
      <c r="E658" s="50"/>
      <c r="F658" s="50"/>
      <c r="G658" s="27" t="str">
        <f>VLOOKUP(E658,DropDown!J:K,2,FALSE)</f>
        <v>#N/A</v>
      </c>
      <c r="H658" s="50"/>
      <c r="I658" s="50"/>
      <c r="J658" s="50"/>
      <c r="K658" s="25" t="s">
        <v>116</v>
      </c>
      <c r="L658" s="23"/>
      <c r="M658" s="23"/>
      <c r="N658" s="25" t="str">
        <f>"("""&amp;B658&amp;""") ("&amp;Vlookup(E658,DropDown!J:N,5,FALSE)&amp;" OR """ &amp;YEAR(D658) &amp; """ OR ""All New"" OR Episode OR Watch OR tv OR Show OR Series OR season OR binge OR Stream OR Film OR Movie OR Premiere OR Screening OR Feature OR Trailer OR Teaser OR theater OR release)"</f>
        <v>#N/A</v>
      </c>
      <c r="O658" s="23" t="str">
        <f t="shared" si="1"/>
        <v>#</v>
      </c>
      <c r="P658" s="23" t="str">
        <f t="shared" si="2"/>
        <v>#</v>
      </c>
      <c r="Q658" s="23"/>
      <c r="R658" s="23" t="str">
        <f>"("""&amp;B658&amp;""") ("&amp;Vlookup(E658,DropDown!R:V,5,FALSE)&amp;IF(ISBLANK(D658)," | "," "&amp;"OR """&amp;YEAR(D658)&amp;""" | ") &amp; """All New"" | Episode | Watch | tv | Show | Series | season | binge | Stream | Film | Movie | Premiere | Screening | Feature | Trailer | Teaser | theater | release)"</f>
        <v>#N/A</v>
      </c>
      <c r="S658" s="23"/>
      <c r="T658" s="23"/>
      <c r="U658" s="23"/>
      <c r="V658" s="23"/>
      <c r="W658" s="23"/>
      <c r="X658" s="38"/>
      <c r="Y658" s="38"/>
      <c r="Z658" s="38"/>
      <c r="AA658" s="38"/>
    </row>
    <row r="659">
      <c r="A659" s="31"/>
      <c r="B659" s="38"/>
      <c r="C659" s="38"/>
      <c r="D659" s="50"/>
      <c r="E659" s="50"/>
      <c r="F659" s="50"/>
      <c r="G659" s="27" t="str">
        <f>VLOOKUP(E659,DropDown!J:K,2,FALSE)</f>
        <v>#N/A</v>
      </c>
      <c r="H659" s="50"/>
      <c r="I659" s="50"/>
      <c r="J659" s="50"/>
      <c r="K659" s="25" t="s">
        <v>116</v>
      </c>
      <c r="L659" s="23"/>
      <c r="M659" s="23"/>
      <c r="N659" s="25" t="str">
        <f>"("""&amp;B659&amp;""") ("&amp;Vlookup(E659,DropDown!J:N,5,FALSE)&amp;" OR """ &amp;YEAR(D659) &amp; """ OR ""All New"" OR Episode OR Watch OR tv OR Show OR Series OR season OR binge OR Stream OR Film OR Movie OR Premiere OR Screening OR Feature OR Trailer OR Teaser OR theater OR release)"</f>
        <v>#N/A</v>
      </c>
      <c r="O659" s="23" t="str">
        <f t="shared" si="1"/>
        <v>#</v>
      </c>
      <c r="P659" s="23" t="str">
        <f t="shared" si="2"/>
        <v>#</v>
      </c>
      <c r="Q659" s="23"/>
      <c r="R659" s="23" t="str">
        <f>"("""&amp;B659&amp;""") ("&amp;Vlookup(E659,DropDown!R:V,5,FALSE)&amp;IF(ISBLANK(D659)," | "," "&amp;"OR """&amp;YEAR(D659)&amp;""" | ") &amp; """All New"" | Episode | Watch | tv | Show | Series | season | binge | Stream | Film | Movie | Premiere | Screening | Feature | Trailer | Teaser | theater | release)"</f>
        <v>#N/A</v>
      </c>
      <c r="S659" s="23"/>
      <c r="T659" s="23"/>
      <c r="U659" s="23"/>
      <c r="V659" s="23"/>
      <c r="W659" s="23"/>
      <c r="X659" s="38"/>
      <c r="Y659" s="38"/>
      <c r="Z659" s="38"/>
      <c r="AA659" s="38"/>
    </row>
    <row r="660">
      <c r="A660" s="31"/>
      <c r="B660" s="38"/>
      <c r="C660" s="38"/>
      <c r="D660" s="50"/>
      <c r="E660" s="50"/>
      <c r="F660" s="50"/>
      <c r="G660" s="27" t="str">
        <f>VLOOKUP(E660,DropDown!J:K,2,FALSE)</f>
        <v>#N/A</v>
      </c>
      <c r="H660" s="50"/>
      <c r="I660" s="50"/>
      <c r="J660" s="50"/>
      <c r="K660" s="25" t="s">
        <v>116</v>
      </c>
      <c r="L660" s="23"/>
      <c r="M660" s="23"/>
      <c r="N660" s="25" t="str">
        <f>"("""&amp;B660&amp;""") ("&amp;Vlookup(E660,DropDown!J:N,5,FALSE)&amp;" OR """ &amp;YEAR(D660) &amp; """ OR ""All New"" OR Episode OR Watch OR tv OR Show OR Series OR season OR binge OR Stream OR Film OR Movie OR Premiere OR Screening OR Feature OR Trailer OR Teaser OR theater OR release)"</f>
        <v>#N/A</v>
      </c>
      <c r="O660" s="23" t="str">
        <f t="shared" si="1"/>
        <v>#</v>
      </c>
      <c r="P660" s="23" t="str">
        <f t="shared" si="2"/>
        <v>#</v>
      </c>
      <c r="Q660" s="23"/>
      <c r="R660" s="23" t="str">
        <f>"("""&amp;B660&amp;""") ("&amp;Vlookup(E660,DropDown!R:V,5,FALSE)&amp;IF(ISBLANK(D660)," | "," "&amp;"OR """&amp;YEAR(D660)&amp;""" | ") &amp; """All New"" | Episode | Watch | tv | Show | Series | season | binge | Stream | Film | Movie | Premiere | Screening | Feature | Trailer | Teaser | theater | release)"</f>
        <v>#N/A</v>
      </c>
      <c r="S660" s="23"/>
      <c r="T660" s="23"/>
      <c r="U660" s="23"/>
      <c r="V660" s="23"/>
      <c r="W660" s="23"/>
      <c r="X660" s="38"/>
      <c r="Y660" s="38"/>
      <c r="Z660" s="38"/>
      <c r="AA660" s="38"/>
    </row>
    <row r="661">
      <c r="A661" s="31"/>
      <c r="B661" s="38"/>
      <c r="C661" s="38"/>
      <c r="D661" s="50"/>
      <c r="E661" s="50"/>
      <c r="F661" s="50"/>
      <c r="G661" s="27" t="str">
        <f>VLOOKUP(E661,DropDown!J:K,2,FALSE)</f>
        <v>#N/A</v>
      </c>
      <c r="H661" s="50"/>
      <c r="I661" s="50"/>
      <c r="J661" s="50"/>
      <c r="K661" s="25" t="s">
        <v>116</v>
      </c>
      <c r="L661" s="23"/>
      <c r="M661" s="23"/>
      <c r="N661" s="25" t="str">
        <f>"("""&amp;B661&amp;""") ("&amp;Vlookup(E661,DropDown!J:N,5,FALSE)&amp;" OR """ &amp;YEAR(D661) &amp; """ OR ""All New"" OR Episode OR Watch OR tv OR Show OR Series OR season OR binge OR Stream OR Film OR Movie OR Premiere OR Screening OR Feature OR Trailer OR Teaser OR theater OR release)"</f>
        <v>#N/A</v>
      </c>
      <c r="O661" s="23" t="str">
        <f t="shared" si="1"/>
        <v>#</v>
      </c>
      <c r="P661" s="23" t="str">
        <f t="shared" si="2"/>
        <v>#</v>
      </c>
      <c r="Q661" s="23"/>
      <c r="R661" s="23" t="str">
        <f>"("""&amp;B661&amp;""") ("&amp;Vlookup(E661,DropDown!R:V,5,FALSE)&amp;IF(ISBLANK(D661)," | "," "&amp;"OR """&amp;YEAR(D661)&amp;""" | ") &amp; """All New"" | Episode | Watch | tv | Show | Series | season | binge | Stream | Film | Movie | Premiere | Screening | Feature | Trailer | Teaser | theater | release)"</f>
        <v>#N/A</v>
      </c>
      <c r="S661" s="23"/>
      <c r="T661" s="23"/>
      <c r="U661" s="23"/>
      <c r="V661" s="23"/>
      <c r="W661" s="23"/>
      <c r="X661" s="38"/>
      <c r="Y661" s="38"/>
      <c r="Z661" s="38"/>
      <c r="AA661" s="38"/>
    </row>
    <row r="662">
      <c r="A662" s="31"/>
      <c r="B662" s="38"/>
      <c r="C662" s="38"/>
      <c r="D662" s="50"/>
      <c r="E662" s="50"/>
      <c r="F662" s="50"/>
      <c r="G662" s="27" t="str">
        <f>VLOOKUP(E662,DropDown!J:K,2,FALSE)</f>
        <v>#N/A</v>
      </c>
      <c r="H662" s="50"/>
      <c r="I662" s="50"/>
      <c r="J662" s="50"/>
      <c r="K662" s="25" t="s">
        <v>116</v>
      </c>
      <c r="L662" s="23"/>
      <c r="M662" s="23"/>
      <c r="N662" s="25" t="str">
        <f>"("""&amp;B662&amp;""") ("&amp;Vlookup(E662,DropDown!J:N,5,FALSE)&amp;" OR """ &amp;YEAR(D662) &amp; """ OR ""All New"" OR Episode OR Watch OR tv OR Show OR Series OR season OR binge OR Stream OR Film OR Movie OR Premiere OR Screening OR Feature OR Trailer OR Teaser OR theater OR release)"</f>
        <v>#N/A</v>
      </c>
      <c r="O662" s="23" t="str">
        <f t="shared" si="1"/>
        <v>#</v>
      </c>
      <c r="P662" s="23" t="str">
        <f t="shared" si="2"/>
        <v>#</v>
      </c>
      <c r="Q662" s="23"/>
      <c r="R662" s="23" t="str">
        <f>"("""&amp;B662&amp;""") ("&amp;Vlookup(E662,DropDown!R:V,5,FALSE)&amp;IF(ISBLANK(D662)," | "," "&amp;"OR """&amp;YEAR(D662)&amp;""" | ") &amp; """All New"" | Episode | Watch | tv | Show | Series | season | binge | Stream | Film | Movie | Premiere | Screening | Feature | Trailer | Teaser | theater | release)"</f>
        <v>#N/A</v>
      </c>
      <c r="S662" s="23"/>
      <c r="T662" s="23"/>
      <c r="U662" s="23"/>
      <c r="V662" s="23"/>
      <c r="W662" s="23"/>
      <c r="X662" s="38"/>
      <c r="Y662" s="38"/>
      <c r="Z662" s="38"/>
      <c r="AA662" s="38"/>
    </row>
    <row r="663">
      <c r="A663" s="31"/>
      <c r="B663" s="38"/>
      <c r="C663" s="38"/>
      <c r="D663" s="50"/>
      <c r="E663" s="50"/>
      <c r="F663" s="50"/>
      <c r="G663" s="27" t="str">
        <f>VLOOKUP(E663,DropDown!J:K,2,FALSE)</f>
        <v>#N/A</v>
      </c>
      <c r="H663" s="50"/>
      <c r="I663" s="50"/>
      <c r="J663" s="50"/>
      <c r="K663" s="25" t="s">
        <v>116</v>
      </c>
      <c r="L663" s="23"/>
      <c r="M663" s="23"/>
      <c r="N663" s="25" t="str">
        <f>"("""&amp;B663&amp;""") ("&amp;Vlookup(E663,DropDown!J:N,5,FALSE)&amp;" OR """ &amp;YEAR(D663) &amp; """ OR ""All New"" OR Episode OR Watch OR tv OR Show OR Series OR season OR binge OR Stream OR Film OR Movie OR Premiere OR Screening OR Feature OR Trailer OR Teaser OR theater OR release)"</f>
        <v>#N/A</v>
      </c>
      <c r="O663" s="23" t="str">
        <f t="shared" si="1"/>
        <v>#</v>
      </c>
      <c r="P663" s="23" t="str">
        <f t="shared" si="2"/>
        <v>#</v>
      </c>
      <c r="Q663" s="23"/>
      <c r="R663" s="23" t="str">
        <f>"("""&amp;B663&amp;""") ("&amp;Vlookup(E663,DropDown!R:V,5,FALSE)&amp;IF(ISBLANK(D663)," | "," "&amp;"OR """&amp;YEAR(D663)&amp;""" | ") &amp; """All New"" | Episode | Watch | tv | Show | Series | season | binge | Stream | Film | Movie | Premiere | Screening | Feature | Trailer | Teaser | theater | release)"</f>
        <v>#N/A</v>
      </c>
      <c r="S663" s="23"/>
      <c r="T663" s="23"/>
      <c r="U663" s="23"/>
      <c r="V663" s="23"/>
      <c r="W663" s="23"/>
      <c r="X663" s="38"/>
      <c r="Y663" s="38"/>
      <c r="Z663" s="38"/>
      <c r="AA663" s="38"/>
    </row>
    <row r="664">
      <c r="A664" s="31"/>
      <c r="B664" s="38"/>
      <c r="C664" s="38"/>
      <c r="D664" s="50"/>
      <c r="E664" s="50"/>
      <c r="F664" s="50"/>
      <c r="G664" s="27" t="str">
        <f>VLOOKUP(E664,DropDown!J:K,2,FALSE)</f>
        <v>#N/A</v>
      </c>
      <c r="H664" s="50"/>
      <c r="I664" s="50"/>
      <c r="J664" s="50"/>
      <c r="K664" s="25" t="s">
        <v>116</v>
      </c>
      <c r="L664" s="23"/>
      <c r="M664" s="23"/>
      <c r="N664" s="25" t="str">
        <f>"("""&amp;B664&amp;""") ("&amp;Vlookup(E664,DropDown!J:N,5,FALSE)&amp;" OR """ &amp;YEAR(D664) &amp; """ OR ""All New"" OR Episode OR Watch OR tv OR Show OR Series OR season OR binge OR Stream OR Film OR Movie OR Premiere OR Screening OR Feature OR Trailer OR Teaser OR theater OR release)"</f>
        <v>#N/A</v>
      </c>
      <c r="O664" s="23" t="str">
        <f t="shared" si="1"/>
        <v>#</v>
      </c>
      <c r="P664" s="23" t="str">
        <f t="shared" si="2"/>
        <v>#</v>
      </c>
      <c r="Q664" s="23"/>
      <c r="R664" s="23" t="str">
        <f>"("""&amp;B664&amp;""") ("&amp;Vlookup(E664,DropDown!R:V,5,FALSE)&amp;IF(ISBLANK(D664)," | "," "&amp;"OR """&amp;YEAR(D664)&amp;""" | ") &amp; """All New"" | Episode | Watch | tv | Show | Series | season | binge | Stream | Film | Movie | Premiere | Screening | Feature | Trailer | Teaser | theater | release)"</f>
        <v>#N/A</v>
      </c>
      <c r="S664" s="23"/>
      <c r="T664" s="23"/>
      <c r="U664" s="23"/>
      <c r="V664" s="23"/>
      <c r="W664" s="23"/>
      <c r="X664" s="38"/>
      <c r="Y664" s="38"/>
      <c r="Z664" s="38"/>
      <c r="AA664" s="38"/>
    </row>
    <row r="665">
      <c r="A665" s="31"/>
      <c r="B665" s="38"/>
      <c r="C665" s="38"/>
      <c r="D665" s="50"/>
      <c r="E665" s="50"/>
      <c r="F665" s="50"/>
      <c r="G665" s="27" t="str">
        <f>VLOOKUP(E665,DropDown!J:K,2,FALSE)</f>
        <v>#N/A</v>
      </c>
      <c r="H665" s="50"/>
      <c r="I665" s="50"/>
      <c r="J665" s="50"/>
      <c r="K665" s="25" t="s">
        <v>116</v>
      </c>
      <c r="L665" s="23"/>
      <c r="M665" s="23"/>
      <c r="N665" s="25" t="str">
        <f>"("""&amp;B665&amp;""") ("&amp;Vlookup(E665,DropDown!J:N,5,FALSE)&amp;" OR """ &amp;YEAR(D665) &amp; """ OR ""All New"" OR Episode OR Watch OR tv OR Show OR Series OR season OR binge OR Stream OR Film OR Movie OR Premiere OR Screening OR Feature OR Trailer OR Teaser OR theater OR release)"</f>
        <v>#N/A</v>
      </c>
      <c r="O665" s="23" t="str">
        <f t="shared" si="1"/>
        <v>#</v>
      </c>
      <c r="P665" s="23" t="str">
        <f t="shared" si="2"/>
        <v>#</v>
      </c>
      <c r="Q665" s="23"/>
      <c r="R665" s="23" t="str">
        <f>"("""&amp;B665&amp;""") ("&amp;Vlookup(E665,DropDown!R:V,5,FALSE)&amp;IF(ISBLANK(D665)," | "," "&amp;"OR """&amp;YEAR(D665)&amp;""" | ") &amp; """All New"" | Episode | Watch | tv | Show | Series | season | binge | Stream | Film | Movie | Premiere | Screening | Feature | Trailer | Teaser | theater | release)"</f>
        <v>#N/A</v>
      </c>
      <c r="S665" s="23"/>
      <c r="T665" s="23"/>
      <c r="U665" s="23"/>
      <c r="V665" s="23"/>
      <c r="W665" s="23"/>
      <c r="X665" s="38"/>
      <c r="Y665" s="38"/>
      <c r="Z665" s="38"/>
      <c r="AA665" s="38"/>
    </row>
    <row r="666">
      <c r="A666" s="31"/>
      <c r="B666" s="38"/>
      <c r="C666" s="38"/>
      <c r="D666" s="50"/>
      <c r="E666" s="50"/>
      <c r="F666" s="50"/>
      <c r="G666" s="27" t="str">
        <f>VLOOKUP(E666,DropDown!J:K,2,FALSE)</f>
        <v>#N/A</v>
      </c>
      <c r="H666" s="50"/>
      <c r="I666" s="50"/>
      <c r="J666" s="50"/>
      <c r="K666" s="25" t="s">
        <v>116</v>
      </c>
      <c r="L666" s="23"/>
      <c r="M666" s="23"/>
      <c r="N666" s="25" t="str">
        <f>"("""&amp;B666&amp;""") ("&amp;Vlookup(E666,DropDown!J:N,5,FALSE)&amp;" OR """ &amp;YEAR(D666) &amp; """ OR ""All New"" OR Episode OR Watch OR tv OR Show OR Series OR season OR binge OR Stream OR Film OR Movie OR Premiere OR Screening OR Feature OR Trailer OR Teaser OR theater OR release)"</f>
        <v>#N/A</v>
      </c>
      <c r="O666" s="23" t="str">
        <f t="shared" si="1"/>
        <v>#</v>
      </c>
      <c r="P666" s="23" t="str">
        <f t="shared" si="2"/>
        <v>#</v>
      </c>
      <c r="Q666" s="23"/>
      <c r="R666" s="23" t="str">
        <f>"("""&amp;B666&amp;""") ("&amp;Vlookup(E666,DropDown!R:V,5,FALSE)&amp;IF(ISBLANK(D666)," | "," "&amp;"OR """&amp;YEAR(D666)&amp;""" | ") &amp; """All New"" | Episode | Watch | tv | Show | Series | season | binge | Stream | Film | Movie | Premiere | Screening | Feature | Trailer | Teaser | theater | release)"</f>
        <v>#N/A</v>
      </c>
      <c r="S666" s="23"/>
      <c r="T666" s="23"/>
      <c r="U666" s="23"/>
      <c r="V666" s="23"/>
      <c r="W666" s="23"/>
      <c r="X666" s="38"/>
      <c r="Y666" s="38"/>
      <c r="Z666" s="38"/>
      <c r="AA666" s="38"/>
    </row>
    <row r="667">
      <c r="A667" s="31"/>
      <c r="B667" s="38"/>
      <c r="C667" s="38"/>
      <c r="D667" s="50"/>
      <c r="E667" s="50"/>
      <c r="F667" s="50"/>
      <c r="G667" s="27" t="str">
        <f>VLOOKUP(E667,DropDown!J:K,2,FALSE)</f>
        <v>#N/A</v>
      </c>
      <c r="H667" s="50"/>
      <c r="I667" s="50"/>
      <c r="J667" s="50"/>
      <c r="K667" s="25" t="s">
        <v>116</v>
      </c>
      <c r="L667" s="23"/>
      <c r="M667" s="23"/>
      <c r="N667" s="25" t="str">
        <f>"("""&amp;B667&amp;""") ("&amp;Vlookup(E667,DropDown!J:N,5,FALSE)&amp;" OR """ &amp;YEAR(D667) &amp; """ OR ""All New"" OR Episode OR Watch OR tv OR Show OR Series OR season OR binge OR Stream OR Film OR Movie OR Premiere OR Screening OR Feature OR Trailer OR Teaser OR theater OR release)"</f>
        <v>#N/A</v>
      </c>
      <c r="O667" s="23" t="str">
        <f t="shared" si="1"/>
        <v>#</v>
      </c>
      <c r="P667" s="23" t="str">
        <f t="shared" si="2"/>
        <v>#</v>
      </c>
      <c r="Q667" s="23"/>
      <c r="R667" s="23" t="str">
        <f>"("""&amp;B667&amp;""") ("&amp;Vlookup(E667,DropDown!R:V,5,FALSE)&amp;IF(ISBLANK(D667)," | "," "&amp;"OR """&amp;YEAR(D667)&amp;""" | ") &amp; """All New"" | Episode | Watch | tv | Show | Series | season | binge | Stream | Film | Movie | Premiere | Screening | Feature | Trailer | Teaser | theater | release)"</f>
        <v>#N/A</v>
      </c>
      <c r="S667" s="23"/>
      <c r="T667" s="23"/>
      <c r="U667" s="23"/>
      <c r="V667" s="23"/>
      <c r="W667" s="23"/>
      <c r="X667" s="38"/>
      <c r="Y667" s="38"/>
      <c r="Z667" s="38"/>
      <c r="AA667" s="38"/>
    </row>
    <row r="668">
      <c r="A668" s="31"/>
      <c r="B668" s="38"/>
      <c r="C668" s="38"/>
      <c r="D668" s="50"/>
      <c r="E668" s="50"/>
      <c r="F668" s="50"/>
      <c r="G668" s="27" t="str">
        <f>VLOOKUP(E668,DropDown!J:K,2,FALSE)</f>
        <v>#N/A</v>
      </c>
      <c r="H668" s="50"/>
      <c r="I668" s="50"/>
      <c r="J668" s="50"/>
      <c r="K668" s="25" t="s">
        <v>116</v>
      </c>
      <c r="L668" s="23"/>
      <c r="M668" s="23"/>
      <c r="N668" s="25" t="str">
        <f>"("""&amp;B668&amp;""") ("&amp;Vlookup(E668,DropDown!J:N,5,FALSE)&amp;" OR """ &amp;YEAR(D668) &amp; """ OR ""All New"" OR Episode OR Watch OR tv OR Show OR Series OR season OR binge OR Stream OR Film OR Movie OR Premiere OR Screening OR Feature OR Trailer OR Teaser OR theater OR release)"</f>
        <v>#N/A</v>
      </c>
      <c r="O668" s="23" t="str">
        <f t="shared" si="1"/>
        <v>#</v>
      </c>
      <c r="P668" s="23" t="str">
        <f t="shared" si="2"/>
        <v>#</v>
      </c>
      <c r="Q668" s="23"/>
      <c r="R668" s="23" t="str">
        <f>"("""&amp;B668&amp;""") ("&amp;Vlookup(E668,DropDown!R:V,5,FALSE)&amp;IF(ISBLANK(D668)," | "," "&amp;"OR """&amp;YEAR(D668)&amp;""" | ") &amp; """All New"" | Episode | Watch | tv | Show | Series | season | binge | Stream | Film | Movie | Premiere | Screening | Feature | Trailer | Teaser | theater | release)"</f>
        <v>#N/A</v>
      </c>
      <c r="S668" s="23"/>
      <c r="T668" s="23"/>
      <c r="U668" s="23"/>
      <c r="V668" s="23"/>
      <c r="W668" s="23"/>
      <c r="X668" s="38"/>
      <c r="Y668" s="38"/>
      <c r="Z668" s="38"/>
      <c r="AA668" s="38"/>
    </row>
    <row r="669">
      <c r="A669" s="31"/>
      <c r="B669" s="38"/>
      <c r="C669" s="38"/>
      <c r="D669" s="50"/>
      <c r="E669" s="50"/>
      <c r="F669" s="50"/>
      <c r="G669" s="27" t="str">
        <f>VLOOKUP(E669,DropDown!J:K,2,FALSE)</f>
        <v>#N/A</v>
      </c>
      <c r="H669" s="50"/>
      <c r="I669" s="50"/>
      <c r="J669" s="50"/>
      <c r="K669" s="25" t="s">
        <v>116</v>
      </c>
      <c r="L669" s="23"/>
      <c r="M669" s="23"/>
      <c r="N669" s="25" t="str">
        <f>"("""&amp;B669&amp;""") ("&amp;Vlookup(E669,DropDown!J:N,5,FALSE)&amp;" OR """ &amp;YEAR(D669) &amp; """ OR ""All New"" OR Episode OR Watch OR tv OR Show OR Series OR season OR binge OR Stream OR Film OR Movie OR Premiere OR Screening OR Feature OR Trailer OR Teaser OR theater OR release)"</f>
        <v>#N/A</v>
      </c>
      <c r="O669" s="23" t="str">
        <f t="shared" si="1"/>
        <v>#</v>
      </c>
      <c r="P669" s="23" t="str">
        <f t="shared" si="2"/>
        <v>#</v>
      </c>
      <c r="Q669" s="23"/>
      <c r="R669" s="23" t="str">
        <f>"("""&amp;B669&amp;""") ("&amp;Vlookup(E669,DropDown!R:V,5,FALSE)&amp;IF(ISBLANK(D669)," | "," "&amp;"OR """&amp;YEAR(D669)&amp;""" | ") &amp; """All New"" | Episode | Watch | tv | Show | Series | season | binge | Stream | Film | Movie | Premiere | Screening | Feature | Trailer | Teaser | theater | release)"</f>
        <v>#N/A</v>
      </c>
      <c r="S669" s="23"/>
      <c r="T669" s="23"/>
      <c r="U669" s="23"/>
      <c r="V669" s="23"/>
      <c r="W669" s="23"/>
      <c r="X669" s="38"/>
      <c r="Y669" s="38"/>
      <c r="Z669" s="38"/>
      <c r="AA669" s="38"/>
    </row>
    <row r="670">
      <c r="A670" s="31"/>
      <c r="B670" s="38"/>
      <c r="C670" s="38"/>
      <c r="D670" s="50"/>
      <c r="E670" s="50"/>
      <c r="F670" s="50"/>
      <c r="G670" s="27" t="str">
        <f>VLOOKUP(E670,DropDown!J:K,2,FALSE)</f>
        <v>#N/A</v>
      </c>
      <c r="H670" s="50"/>
      <c r="I670" s="50"/>
      <c r="J670" s="50"/>
      <c r="K670" s="25" t="s">
        <v>116</v>
      </c>
      <c r="L670" s="23"/>
      <c r="M670" s="23"/>
      <c r="N670" s="25" t="str">
        <f>"("""&amp;B670&amp;""") ("&amp;Vlookup(E670,DropDown!J:N,5,FALSE)&amp;" OR """ &amp;YEAR(D670) &amp; """ OR ""All New"" OR Episode OR Watch OR tv OR Show OR Series OR season OR binge OR Stream OR Film OR Movie OR Premiere OR Screening OR Feature OR Trailer OR Teaser OR theater OR release)"</f>
        <v>#N/A</v>
      </c>
      <c r="O670" s="23" t="str">
        <f t="shared" si="1"/>
        <v>#</v>
      </c>
      <c r="P670" s="23" t="str">
        <f t="shared" si="2"/>
        <v>#</v>
      </c>
      <c r="Q670" s="23"/>
      <c r="R670" s="23" t="str">
        <f>"("""&amp;B670&amp;""") ("&amp;Vlookup(E670,DropDown!R:V,5,FALSE)&amp;IF(ISBLANK(D670)," | "," "&amp;"OR """&amp;YEAR(D670)&amp;""" | ") &amp; """All New"" | Episode | Watch | tv | Show | Series | season | binge | Stream | Film | Movie | Premiere | Screening | Feature | Trailer | Teaser | theater | release)"</f>
        <v>#N/A</v>
      </c>
      <c r="S670" s="23"/>
      <c r="T670" s="23"/>
      <c r="U670" s="23"/>
      <c r="V670" s="23"/>
      <c r="W670" s="23"/>
      <c r="X670" s="38"/>
      <c r="Y670" s="38"/>
      <c r="Z670" s="38"/>
      <c r="AA670" s="38"/>
    </row>
    <row r="671">
      <c r="A671" s="31"/>
      <c r="B671" s="38"/>
      <c r="C671" s="38"/>
      <c r="D671" s="50"/>
      <c r="E671" s="50"/>
      <c r="F671" s="50"/>
      <c r="G671" s="27" t="str">
        <f>VLOOKUP(E671,DropDown!J:K,2,FALSE)</f>
        <v>#N/A</v>
      </c>
      <c r="H671" s="50"/>
      <c r="I671" s="50"/>
      <c r="J671" s="50"/>
      <c r="K671" s="25" t="s">
        <v>116</v>
      </c>
      <c r="L671" s="23"/>
      <c r="M671" s="23"/>
      <c r="N671" s="25" t="str">
        <f>"("""&amp;B671&amp;""") ("&amp;Vlookup(E671,DropDown!J:N,5,FALSE)&amp;" OR """ &amp;YEAR(D671) &amp; """ OR ""All New"" OR Episode OR Watch OR tv OR Show OR Series OR season OR binge OR Stream OR Film OR Movie OR Premiere OR Screening OR Feature OR Trailer OR Teaser OR theater OR release)"</f>
        <v>#N/A</v>
      </c>
      <c r="O671" s="23" t="str">
        <f t="shared" si="1"/>
        <v>#</v>
      </c>
      <c r="P671" s="23" t="str">
        <f t="shared" si="2"/>
        <v>#</v>
      </c>
      <c r="Q671" s="23"/>
      <c r="R671" s="23" t="str">
        <f>"("""&amp;B671&amp;""") ("&amp;Vlookup(E671,DropDown!R:V,5,FALSE)&amp;IF(ISBLANK(D671)," | "," "&amp;"OR """&amp;YEAR(D671)&amp;""" | ") &amp; """All New"" | Episode | Watch | tv | Show | Series | season | binge | Stream | Film | Movie | Premiere | Screening | Feature | Trailer | Teaser | theater | release)"</f>
        <v>#N/A</v>
      </c>
      <c r="S671" s="23"/>
      <c r="T671" s="23"/>
      <c r="U671" s="23"/>
      <c r="V671" s="23"/>
      <c r="W671" s="23"/>
      <c r="X671" s="38"/>
      <c r="Y671" s="38"/>
      <c r="Z671" s="38"/>
      <c r="AA671" s="38"/>
    </row>
    <row r="672">
      <c r="A672" s="31"/>
      <c r="B672" s="38"/>
      <c r="C672" s="38"/>
      <c r="D672" s="50"/>
      <c r="E672" s="50"/>
      <c r="F672" s="50"/>
      <c r="G672" s="27" t="str">
        <f>VLOOKUP(E672,DropDown!J:K,2,FALSE)</f>
        <v>#N/A</v>
      </c>
      <c r="H672" s="50"/>
      <c r="I672" s="50"/>
      <c r="J672" s="50"/>
      <c r="K672" s="25" t="s">
        <v>116</v>
      </c>
      <c r="L672" s="23"/>
      <c r="M672" s="23"/>
      <c r="N672" s="25" t="str">
        <f>"("""&amp;B672&amp;""") ("&amp;Vlookup(E672,DropDown!J:N,5,FALSE)&amp;" OR """ &amp;YEAR(D672) &amp; """ OR ""All New"" OR Episode OR Watch OR tv OR Show OR Series OR season OR binge OR Stream OR Film OR Movie OR Premiere OR Screening OR Feature OR Trailer OR Teaser OR theater OR release)"</f>
        <v>#N/A</v>
      </c>
      <c r="O672" s="23" t="str">
        <f t="shared" si="1"/>
        <v>#</v>
      </c>
      <c r="P672" s="23" t="str">
        <f t="shared" si="2"/>
        <v>#</v>
      </c>
      <c r="Q672" s="23"/>
      <c r="R672" s="23" t="str">
        <f>"("""&amp;B672&amp;""") ("&amp;Vlookup(E672,DropDown!R:V,5,FALSE)&amp;IF(ISBLANK(D672)," | "," "&amp;"OR """&amp;YEAR(D672)&amp;""" | ") &amp; """All New"" | Episode | Watch | tv | Show | Series | season | binge | Stream | Film | Movie | Premiere | Screening | Feature | Trailer | Teaser | theater | release)"</f>
        <v>#N/A</v>
      </c>
      <c r="S672" s="23"/>
      <c r="T672" s="23"/>
      <c r="U672" s="23"/>
      <c r="V672" s="23"/>
      <c r="W672" s="23"/>
      <c r="X672" s="38"/>
      <c r="Y672" s="38"/>
      <c r="Z672" s="38"/>
      <c r="AA672" s="38"/>
    </row>
    <row r="673">
      <c r="A673" s="31"/>
      <c r="B673" s="38"/>
      <c r="C673" s="38"/>
      <c r="D673" s="50"/>
      <c r="E673" s="50"/>
      <c r="F673" s="50"/>
      <c r="G673" s="27" t="str">
        <f>VLOOKUP(E673,DropDown!J:K,2,FALSE)</f>
        <v>#N/A</v>
      </c>
      <c r="H673" s="50"/>
      <c r="I673" s="50"/>
      <c r="J673" s="50"/>
      <c r="K673" s="25" t="s">
        <v>116</v>
      </c>
      <c r="L673" s="23"/>
      <c r="M673" s="23"/>
      <c r="N673" s="25" t="str">
        <f>"("""&amp;B673&amp;""") ("&amp;Vlookup(E673,DropDown!J:N,5,FALSE)&amp;" OR """ &amp;YEAR(D673) &amp; """ OR ""All New"" OR Episode OR Watch OR tv OR Show OR Series OR season OR binge OR Stream OR Film OR Movie OR Premiere OR Screening OR Feature OR Trailer OR Teaser OR theater OR release)"</f>
        <v>#N/A</v>
      </c>
      <c r="O673" s="23" t="str">
        <f t="shared" si="1"/>
        <v>#</v>
      </c>
      <c r="P673" s="23" t="str">
        <f t="shared" si="2"/>
        <v>#</v>
      </c>
      <c r="Q673" s="23"/>
      <c r="R673" s="23" t="str">
        <f>"("""&amp;B673&amp;""") ("&amp;Vlookup(E673,DropDown!R:V,5,FALSE)&amp;IF(ISBLANK(D673)," | "," "&amp;"OR """&amp;YEAR(D673)&amp;""" | ") &amp; """All New"" | Episode | Watch | tv | Show | Series | season | binge | Stream | Film | Movie | Premiere | Screening | Feature | Trailer | Teaser | theater | release)"</f>
        <v>#N/A</v>
      </c>
      <c r="S673" s="23"/>
      <c r="T673" s="23"/>
      <c r="U673" s="23"/>
      <c r="V673" s="23"/>
      <c r="W673" s="23"/>
      <c r="X673" s="38"/>
      <c r="Y673" s="38"/>
      <c r="Z673" s="38"/>
      <c r="AA673" s="38"/>
    </row>
    <row r="674">
      <c r="A674" s="31"/>
      <c r="B674" s="38"/>
      <c r="C674" s="38"/>
      <c r="D674" s="50"/>
      <c r="E674" s="50"/>
      <c r="F674" s="50"/>
      <c r="G674" s="27" t="str">
        <f>VLOOKUP(E674,DropDown!J:K,2,FALSE)</f>
        <v>#N/A</v>
      </c>
      <c r="H674" s="50"/>
      <c r="I674" s="50"/>
      <c r="J674" s="50"/>
      <c r="K674" s="25" t="s">
        <v>116</v>
      </c>
      <c r="L674" s="23"/>
      <c r="M674" s="23"/>
      <c r="N674" s="25" t="str">
        <f>"("""&amp;B674&amp;""") ("&amp;Vlookup(E674,DropDown!J:N,5,FALSE)&amp;" OR """ &amp;YEAR(D674) &amp; """ OR ""All New"" OR Episode OR Watch OR tv OR Show OR Series OR season OR binge OR Stream OR Film OR Movie OR Premiere OR Screening OR Feature OR Trailer OR Teaser OR theater OR release)"</f>
        <v>#N/A</v>
      </c>
      <c r="O674" s="23" t="str">
        <f t="shared" si="1"/>
        <v>#</v>
      </c>
      <c r="P674" s="23" t="str">
        <f t="shared" si="2"/>
        <v>#</v>
      </c>
      <c r="Q674" s="23"/>
      <c r="R674" s="23" t="str">
        <f>"("""&amp;B674&amp;""") ("&amp;Vlookup(E674,DropDown!R:V,5,FALSE)&amp;IF(ISBLANK(D674)," | "," "&amp;"OR """&amp;YEAR(D674)&amp;""" | ") &amp; """All New"" | Episode | Watch | tv | Show | Series | season | binge | Stream | Film | Movie | Premiere | Screening | Feature | Trailer | Teaser | theater | release)"</f>
        <v>#N/A</v>
      </c>
      <c r="S674" s="23"/>
      <c r="T674" s="23"/>
      <c r="U674" s="23"/>
      <c r="V674" s="23"/>
      <c r="W674" s="23"/>
      <c r="X674" s="38"/>
      <c r="Y674" s="38"/>
      <c r="Z674" s="38"/>
      <c r="AA674" s="38"/>
    </row>
    <row r="675">
      <c r="A675" s="31"/>
      <c r="B675" s="38"/>
      <c r="C675" s="38"/>
      <c r="D675" s="50"/>
      <c r="E675" s="50"/>
      <c r="F675" s="50"/>
      <c r="G675" s="27" t="str">
        <f>VLOOKUP(E675,DropDown!J:K,2,FALSE)</f>
        <v>#N/A</v>
      </c>
      <c r="H675" s="50"/>
      <c r="I675" s="50"/>
      <c r="J675" s="50"/>
      <c r="K675" s="25" t="s">
        <v>116</v>
      </c>
      <c r="L675" s="23"/>
      <c r="M675" s="23"/>
      <c r="N675" s="25" t="str">
        <f>"("""&amp;B675&amp;""") ("&amp;Vlookup(E675,DropDown!J:N,5,FALSE)&amp;" OR """ &amp;YEAR(D675) &amp; """ OR ""All New"" OR Episode OR Watch OR tv OR Show OR Series OR season OR binge OR Stream OR Film OR Movie OR Premiere OR Screening OR Feature OR Trailer OR Teaser OR theater OR release)"</f>
        <v>#N/A</v>
      </c>
      <c r="O675" s="23" t="str">
        <f t="shared" si="1"/>
        <v>#</v>
      </c>
      <c r="P675" s="23" t="str">
        <f t="shared" si="2"/>
        <v>#</v>
      </c>
      <c r="Q675" s="23"/>
      <c r="R675" s="23" t="str">
        <f>"("""&amp;B675&amp;""") ("&amp;Vlookup(E675,DropDown!R:V,5,FALSE)&amp;IF(ISBLANK(D675)," | "," "&amp;"OR """&amp;YEAR(D675)&amp;""" | ") &amp; """All New"" | Episode | Watch | tv | Show | Series | season | binge | Stream | Film | Movie | Premiere | Screening | Feature | Trailer | Teaser | theater | release)"</f>
        <v>#N/A</v>
      </c>
      <c r="S675" s="23"/>
      <c r="T675" s="23"/>
      <c r="U675" s="23"/>
      <c r="V675" s="23"/>
      <c r="W675" s="23"/>
      <c r="X675" s="38"/>
      <c r="Y675" s="38"/>
      <c r="Z675" s="38"/>
      <c r="AA675" s="38"/>
    </row>
    <row r="676">
      <c r="A676" s="31"/>
      <c r="B676" s="38"/>
      <c r="C676" s="38"/>
      <c r="D676" s="50"/>
      <c r="E676" s="50"/>
      <c r="F676" s="50"/>
      <c r="G676" s="27" t="str">
        <f>VLOOKUP(E676,DropDown!J:K,2,FALSE)</f>
        <v>#N/A</v>
      </c>
      <c r="H676" s="50"/>
      <c r="I676" s="50"/>
      <c r="J676" s="50"/>
      <c r="K676" s="25" t="s">
        <v>116</v>
      </c>
      <c r="L676" s="23"/>
      <c r="M676" s="23"/>
      <c r="N676" s="25" t="str">
        <f>"("""&amp;B676&amp;""") ("&amp;Vlookup(E676,DropDown!J:N,5,FALSE)&amp;" OR """ &amp;YEAR(D676) &amp; """ OR ""All New"" OR Episode OR Watch OR tv OR Show OR Series OR season OR binge OR Stream OR Film OR Movie OR Premiere OR Screening OR Feature OR Trailer OR Teaser OR theater OR release)"</f>
        <v>#N/A</v>
      </c>
      <c r="O676" s="23" t="str">
        <f t="shared" si="1"/>
        <v>#</v>
      </c>
      <c r="P676" s="23" t="str">
        <f t="shared" si="2"/>
        <v>#</v>
      </c>
      <c r="Q676" s="23"/>
      <c r="R676" s="23" t="str">
        <f>"("""&amp;B676&amp;""") ("&amp;Vlookup(E676,DropDown!R:V,5,FALSE)&amp;IF(ISBLANK(D676)," | "," "&amp;"OR """&amp;YEAR(D676)&amp;""" | ") &amp; """All New"" | Episode | Watch | tv | Show | Series | season | binge | Stream | Film | Movie | Premiere | Screening | Feature | Trailer | Teaser | theater | release)"</f>
        <v>#N/A</v>
      </c>
      <c r="S676" s="23"/>
      <c r="T676" s="23"/>
      <c r="U676" s="23"/>
      <c r="V676" s="23"/>
      <c r="W676" s="23"/>
      <c r="X676" s="38"/>
      <c r="Y676" s="38"/>
      <c r="Z676" s="38"/>
      <c r="AA676" s="38"/>
    </row>
    <row r="677">
      <c r="A677" s="31"/>
      <c r="B677" s="38"/>
      <c r="C677" s="38"/>
      <c r="D677" s="50"/>
      <c r="E677" s="50"/>
      <c r="F677" s="50"/>
      <c r="G677" s="27" t="str">
        <f>VLOOKUP(E677,DropDown!J:K,2,FALSE)</f>
        <v>#N/A</v>
      </c>
      <c r="H677" s="50"/>
      <c r="I677" s="50"/>
      <c r="J677" s="50"/>
      <c r="K677" s="25" t="s">
        <v>116</v>
      </c>
      <c r="L677" s="23"/>
      <c r="M677" s="23"/>
      <c r="N677" s="25" t="str">
        <f>"("""&amp;B677&amp;""") ("&amp;Vlookup(E677,DropDown!J:N,5,FALSE)&amp;" OR """ &amp;YEAR(D677) &amp; """ OR ""All New"" OR Episode OR Watch OR tv OR Show OR Series OR season OR binge OR Stream OR Film OR Movie OR Premiere OR Screening OR Feature OR Trailer OR Teaser OR theater OR release)"</f>
        <v>#N/A</v>
      </c>
      <c r="O677" s="23" t="str">
        <f t="shared" si="1"/>
        <v>#</v>
      </c>
      <c r="P677" s="23" t="str">
        <f t="shared" si="2"/>
        <v>#</v>
      </c>
      <c r="Q677" s="23"/>
      <c r="R677" s="23" t="str">
        <f>"("""&amp;B677&amp;""") ("&amp;Vlookup(E677,DropDown!R:V,5,FALSE)&amp;IF(ISBLANK(D677)," | "," "&amp;"OR """&amp;YEAR(D677)&amp;""" | ") &amp; """All New"" | Episode | Watch | tv | Show | Series | season | binge | Stream | Film | Movie | Premiere | Screening | Feature | Trailer | Teaser | theater | release)"</f>
        <v>#N/A</v>
      </c>
      <c r="S677" s="23"/>
      <c r="T677" s="23"/>
      <c r="U677" s="23"/>
      <c r="V677" s="23"/>
      <c r="W677" s="23"/>
      <c r="X677" s="38"/>
      <c r="Y677" s="38"/>
      <c r="Z677" s="38"/>
      <c r="AA677" s="38"/>
    </row>
    <row r="678">
      <c r="A678" s="31"/>
      <c r="B678" s="38"/>
      <c r="C678" s="38"/>
      <c r="D678" s="50"/>
      <c r="E678" s="50"/>
      <c r="F678" s="50"/>
      <c r="G678" s="27" t="str">
        <f>VLOOKUP(E678,DropDown!J:K,2,FALSE)</f>
        <v>#N/A</v>
      </c>
      <c r="H678" s="50"/>
      <c r="I678" s="50"/>
      <c r="J678" s="50"/>
      <c r="K678" s="25" t="s">
        <v>116</v>
      </c>
      <c r="L678" s="23"/>
      <c r="M678" s="23"/>
      <c r="N678" s="25" t="str">
        <f>"("""&amp;B678&amp;""") ("&amp;Vlookup(E678,DropDown!J:N,5,FALSE)&amp;" OR """ &amp;YEAR(D678) &amp; """ OR ""All New"" OR Episode OR Watch OR tv OR Show OR Series OR season OR binge OR Stream OR Film OR Movie OR Premiere OR Screening OR Feature OR Trailer OR Teaser OR theater OR release)"</f>
        <v>#N/A</v>
      </c>
      <c r="O678" s="23" t="str">
        <f t="shared" si="1"/>
        <v>#</v>
      </c>
      <c r="P678" s="23" t="str">
        <f t="shared" si="2"/>
        <v>#</v>
      </c>
      <c r="Q678" s="23"/>
      <c r="R678" s="23" t="str">
        <f>"("""&amp;B678&amp;""") ("&amp;Vlookup(E678,DropDown!R:V,5,FALSE)&amp;IF(ISBLANK(D678)," | "," "&amp;"OR """&amp;YEAR(D678)&amp;""" | ") &amp; """All New"" | Episode | Watch | tv | Show | Series | season | binge | Stream | Film | Movie | Premiere | Screening | Feature | Trailer | Teaser | theater | release)"</f>
        <v>#N/A</v>
      </c>
      <c r="S678" s="23"/>
      <c r="T678" s="23"/>
      <c r="U678" s="23"/>
      <c r="V678" s="23"/>
      <c r="W678" s="23"/>
      <c r="X678" s="38"/>
      <c r="Y678" s="38"/>
      <c r="Z678" s="38"/>
      <c r="AA678" s="38"/>
    </row>
    <row r="679">
      <c r="A679" s="31"/>
      <c r="B679" s="38"/>
      <c r="C679" s="38"/>
      <c r="D679" s="50"/>
      <c r="E679" s="50"/>
      <c r="F679" s="50"/>
      <c r="G679" s="27" t="str">
        <f>VLOOKUP(E679,DropDown!J:K,2,FALSE)</f>
        <v>#N/A</v>
      </c>
      <c r="H679" s="50"/>
      <c r="I679" s="50"/>
      <c r="J679" s="50"/>
      <c r="K679" s="25" t="s">
        <v>116</v>
      </c>
      <c r="L679" s="23"/>
      <c r="M679" s="23"/>
      <c r="N679" s="25" t="str">
        <f>"("""&amp;B679&amp;""") ("&amp;Vlookup(E679,DropDown!J:N,5,FALSE)&amp;" OR """ &amp;YEAR(D679) &amp; """ OR ""All New"" OR Episode OR Watch OR tv OR Show OR Series OR season OR binge OR Stream OR Film OR Movie OR Premiere OR Screening OR Feature OR Trailer OR Teaser OR theater OR release)"</f>
        <v>#N/A</v>
      </c>
      <c r="O679" s="23" t="str">
        <f t="shared" si="1"/>
        <v>#</v>
      </c>
      <c r="P679" s="23" t="str">
        <f t="shared" si="2"/>
        <v>#</v>
      </c>
      <c r="Q679" s="23"/>
      <c r="R679" s="23" t="str">
        <f>"("""&amp;B679&amp;""") ("&amp;Vlookup(E679,DropDown!R:V,5,FALSE)&amp;IF(ISBLANK(D679)," | "," "&amp;"OR """&amp;YEAR(D679)&amp;""" | ") &amp; """All New"" | Episode | Watch | tv | Show | Series | season | binge | Stream | Film | Movie | Premiere | Screening | Feature | Trailer | Teaser | theater | release)"</f>
        <v>#N/A</v>
      </c>
      <c r="S679" s="23"/>
      <c r="T679" s="23"/>
      <c r="U679" s="23"/>
      <c r="V679" s="23"/>
      <c r="W679" s="23"/>
      <c r="X679" s="38"/>
      <c r="Y679" s="38"/>
      <c r="Z679" s="38"/>
      <c r="AA679" s="38"/>
    </row>
    <row r="680">
      <c r="A680" s="31"/>
      <c r="B680" s="38"/>
      <c r="C680" s="38"/>
      <c r="D680" s="50"/>
      <c r="E680" s="50"/>
      <c r="F680" s="50"/>
      <c r="G680" s="27" t="str">
        <f>VLOOKUP(E680,DropDown!J:K,2,FALSE)</f>
        <v>#N/A</v>
      </c>
      <c r="H680" s="50"/>
      <c r="I680" s="50"/>
      <c r="J680" s="50"/>
      <c r="K680" s="25" t="s">
        <v>116</v>
      </c>
      <c r="L680" s="23"/>
      <c r="M680" s="23"/>
      <c r="N680" s="25" t="str">
        <f>"("""&amp;B680&amp;""") ("&amp;Vlookup(E680,DropDown!J:N,5,FALSE)&amp;" OR """ &amp;YEAR(D680) &amp; """ OR ""All New"" OR Episode OR Watch OR tv OR Show OR Series OR season OR binge OR Stream OR Film OR Movie OR Premiere OR Screening OR Feature OR Trailer OR Teaser OR theater OR release)"</f>
        <v>#N/A</v>
      </c>
      <c r="O680" s="23" t="str">
        <f t="shared" si="1"/>
        <v>#</v>
      </c>
      <c r="P680" s="23" t="str">
        <f t="shared" si="2"/>
        <v>#</v>
      </c>
      <c r="Q680" s="23"/>
      <c r="R680" s="23" t="str">
        <f>"("""&amp;B680&amp;""") ("&amp;Vlookup(E680,DropDown!R:V,5,FALSE)&amp;IF(ISBLANK(D680)," | "," "&amp;"OR """&amp;YEAR(D680)&amp;""" | ") &amp; """All New"" | Episode | Watch | tv | Show | Series | season | binge | Stream | Film | Movie | Premiere | Screening | Feature | Trailer | Teaser | theater | release)"</f>
        <v>#N/A</v>
      </c>
      <c r="S680" s="23"/>
      <c r="T680" s="23"/>
      <c r="U680" s="23"/>
      <c r="V680" s="23"/>
      <c r="W680" s="23"/>
      <c r="X680" s="38"/>
      <c r="Y680" s="38"/>
      <c r="Z680" s="38"/>
      <c r="AA680" s="38"/>
    </row>
    <row r="681">
      <c r="A681" s="31"/>
      <c r="B681" s="38"/>
      <c r="C681" s="38"/>
      <c r="D681" s="50"/>
      <c r="E681" s="50"/>
      <c r="F681" s="50"/>
      <c r="G681" s="27" t="str">
        <f>VLOOKUP(E681,DropDown!J:K,2,FALSE)</f>
        <v>#N/A</v>
      </c>
      <c r="H681" s="50"/>
      <c r="I681" s="50"/>
      <c r="J681" s="50"/>
      <c r="K681" s="25" t="s">
        <v>116</v>
      </c>
      <c r="L681" s="23"/>
      <c r="M681" s="23"/>
      <c r="N681" s="25" t="str">
        <f>"("""&amp;B681&amp;""") ("&amp;Vlookup(E681,DropDown!J:N,5,FALSE)&amp;" OR """ &amp;YEAR(D681) &amp; """ OR ""All New"" OR Episode OR Watch OR tv OR Show OR Series OR season OR binge OR Stream OR Film OR Movie OR Premiere OR Screening OR Feature OR Trailer OR Teaser OR theater OR release)"</f>
        <v>#N/A</v>
      </c>
      <c r="O681" s="23" t="str">
        <f t="shared" si="1"/>
        <v>#</v>
      </c>
      <c r="P681" s="23" t="str">
        <f t="shared" si="2"/>
        <v>#</v>
      </c>
      <c r="Q681" s="23"/>
      <c r="R681" s="23" t="str">
        <f>"("""&amp;B681&amp;""") ("&amp;Vlookup(E681,DropDown!R:V,5,FALSE)&amp;IF(ISBLANK(D681)," | "," "&amp;"OR """&amp;YEAR(D681)&amp;""" | ") &amp; """All New"" | Episode | Watch | tv | Show | Series | season | binge | Stream | Film | Movie | Premiere | Screening | Feature | Trailer | Teaser | theater | release)"</f>
        <v>#N/A</v>
      </c>
      <c r="S681" s="23"/>
      <c r="T681" s="23"/>
      <c r="U681" s="23"/>
      <c r="V681" s="23"/>
      <c r="W681" s="23"/>
      <c r="X681" s="38"/>
      <c r="Y681" s="38"/>
      <c r="Z681" s="38"/>
      <c r="AA681" s="38"/>
    </row>
    <row r="682">
      <c r="A682" s="31"/>
      <c r="B682" s="38"/>
      <c r="C682" s="38"/>
      <c r="D682" s="50"/>
      <c r="E682" s="50"/>
      <c r="F682" s="50"/>
      <c r="G682" s="27" t="str">
        <f>VLOOKUP(E682,DropDown!J:K,2,FALSE)</f>
        <v>#N/A</v>
      </c>
      <c r="H682" s="50"/>
      <c r="I682" s="50"/>
      <c r="J682" s="50"/>
      <c r="K682" s="25" t="s">
        <v>116</v>
      </c>
      <c r="L682" s="23"/>
      <c r="M682" s="23"/>
      <c r="N682" s="25" t="str">
        <f>"("""&amp;B682&amp;""") ("&amp;Vlookup(E682,DropDown!J:N,5,FALSE)&amp;" OR """ &amp;YEAR(D682) &amp; """ OR ""All New"" OR Episode OR Watch OR tv OR Show OR Series OR season OR binge OR Stream OR Film OR Movie OR Premiere OR Screening OR Feature OR Trailer OR Teaser OR theater OR release)"</f>
        <v>#N/A</v>
      </c>
      <c r="O682" s="23" t="str">
        <f t="shared" si="1"/>
        <v>#</v>
      </c>
      <c r="P682" s="23" t="str">
        <f t="shared" si="2"/>
        <v>#</v>
      </c>
      <c r="Q682" s="23"/>
      <c r="R682" s="23" t="str">
        <f>"("""&amp;B682&amp;""") ("&amp;Vlookup(E682,DropDown!R:V,5,FALSE)&amp;IF(ISBLANK(D682)," | "," "&amp;"OR """&amp;YEAR(D682)&amp;""" | ") &amp; """All New"" | Episode | Watch | tv | Show | Series | season | binge | Stream | Film | Movie | Premiere | Screening | Feature | Trailer | Teaser | theater | release)"</f>
        <v>#N/A</v>
      </c>
      <c r="S682" s="23"/>
      <c r="T682" s="23"/>
      <c r="U682" s="23"/>
      <c r="V682" s="23"/>
      <c r="W682" s="23"/>
      <c r="X682" s="38"/>
      <c r="Y682" s="38"/>
      <c r="Z682" s="38"/>
      <c r="AA682" s="38"/>
    </row>
    <row r="683">
      <c r="A683" s="31"/>
      <c r="B683" s="38"/>
      <c r="C683" s="38"/>
      <c r="D683" s="50"/>
      <c r="E683" s="50"/>
      <c r="F683" s="50"/>
      <c r="G683" s="27" t="str">
        <f>VLOOKUP(E683,DropDown!J:K,2,FALSE)</f>
        <v>#N/A</v>
      </c>
      <c r="H683" s="50"/>
      <c r="I683" s="50"/>
      <c r="J683" s="50"/>
      <c r="K683" s="25" t="s">
        <v>116</v>
      </c>
      <c r="L683" s="23"/>
      <c r="M683" s="23"/>
      <c r="N683" s="25" t="str">
        <f>"("""&amp;B683&amp;""") ("&amp;Vlookup(E683,DropDown!J:N,5,FALSE)&amp;" OR """ &amp;YEAR(D683) &amp; """ OR ""All New"" OR Episode OR Watch OR tv OR Show OR Series OR season OR binge OR Stream OR Film OR Movie OR Premiere OR Screening OR Feature OR Trailer OR Teaser OR theater OR release)"</f>
        <v>#N/A</v>
      </c>
      <c r="O683" s="23" t="str">
        <f t="shared" si="1"/>
        <v>#</v>
      </c>
      <c r="P683" s="23" t="str">
        <f t="shared" si="2"/>
        <v>#</v>
      </c>
      <c r="Q683" s="23"/>
      <c r="R683" s="23" t="str">
        <f>"("""&amp;B683&amp;""") ("&amp;Vlookup(E683,DropDown!R:V,5,FALSE)&amp;IF(ISBLANK(D683)," | "," "&amp;"OR """&amp;YEAR(D683)&amp;""" | ") &amp; """All New"" | Episode | Watch | tv | Show | Series | season | binge | Stream | Film | Movie | Premiere | Screening | Feature | Trailer | Teaser | theater | release)"</f>
        <v>#N/A</v>
      </c>
      <c r="S683" s="23"/>
      <c r="T683" s="23"/>
      <c r="U683" s="23"/>
      <c r="V683" s="23"/>
      <c r="W683" s="23"/>
      <c r="X683" s="38"/>
      <c r="Y683" s="38"/>
      <c r="Z683" s="38"/>
      <c r="AA683" s="38"/>
    </row>
    <row r="684">
      <c r="A684" s="31"/>
      <c r="B684" s="38"/>
      <c r="C684" s="38"/>
      <c r="D684" s="50"/>
      <c r="E684" s="50"/>
      <c r="F684" s="50"/>
      <c r="G684" s="27" t="str">
        <f>VLOOKUP(E684,DropDown!J:K,2,FALSE)</f>
        <v>#N/A</v>
      </c>
      <c r="H684" s="50"/>
      <c r="I684" s="50"/>
      <c r="J684" s="50"/>
      <c r="K684" s="25" t="s">
        <v>116</v>
      </c>
      <c r="L684" s="23"/>
      <c r="M684" s="23"/>
      <c r="N684" s="25" t="str">
        <f>"("""&amp;B684&amp;""") ("&amp;Vlookup(E684,DropDown!J:N,5,FALSE)&amp;" OR """ &amp;YEAR(D684) &amp; """ OR ""All New"" OR Episode OR Watch OR tv OR Show OR Series OR season OR binge OR Stream OR Film OR Movie OR Premiere OR Screening OR Feature OR Trailer OR Teaser OR theater OR release)"</f>
        <v>#N/A</v>
      </c>
      <c r="O684" s="23" t="str">
        <f t="shared" si="1"/>
        <v>#</v>
      </c>
      <c r="P684" s="23" t="str">
        <f t="shared" si="2"/>
        <v>#</v>
      </c>
      <c r="Q684" s="23"/>
      <c r="R684" s="23" t="str">
        <f>"("""&amp;B684&amp;""") ("&amp;Vlookup(E684,DropDown!R:V,5,FALSE)&amp;IF(ISBLANK(D684)," | "," "&amp;"OR """&amp;YEAR(D684)&amp;""" | ") &amp; """All New"" | Episode | Watch | tv | Show | Series | season | binge | Stream | Film | Movie | Premiere | Screening | Feature | Trailer | Teaser | theater | release)"</f>
        <v>#N/A</v>
      </c>
      <c r="S684" s="23"/>
      <c r="T684" s="23"/>
      <c r="U684" s="23"/>
      <c r="V684" s="23"/>
      <c r="W684" s="23"/>
      <c r="X684" s="38"/>
      <c r="Y684" s="38"/>
      <c r="Z684" s="38"/>
      <c r="AA684" s="38"/>
    </row>
    <row r="685">
      <c r="A685" s="31"/>
      <c r="B685" s="38"/>
      <c r="C685" s="38"/>
      <c r="D685" s="50"/>
      <c r="E685" s="50"/>
      <c r="F685" s="50"/>
      <c r="G685" s="27" t="str">
        <f>VLOOKUP(E685,DropDown!J:K,2,FALSE)</f>
        <v>#N/A</v>
      </c>
      <c r="H685" s="50"/>
      <c r="I685" s="50"/>
      <c r="J685" s="50"/>
      <c r="K685" s="25" t="s">
        <v>116</v>
      </c>
      <c r="L685" s="23"/>
      <c r="M685" s="23"/>
      <c r="N685" s="25" t="str">
        <f>"("""&amp;B685&amp;""") ("&amp;Vlookup(E685,DropDown!J:N,5,FALSE)&amp;" OR """ &amp;YEAR(D685) &amp; """ OR ""All New"" OR Episode OR Watch OR tv OR Show OR Series OR season OR binge OR Stream OR Film OR Movie OR Premiere OR Screening OR Feature OR Trailer OR Teaser OR theater OR release)"</f>
        <v>#N/A</v>
      </c>
      <c r="O685" s="23" t="str">
        <f t="shared" si="1"/>
        <v>#</v>
      </c>
      <c r="P685" s="23" t="str">
        <f t="shared" si="2"/>
        <v>#</v>
      </c>
      <c r="Q685" s="23"/>
      <c r="R685" s="23" t="str">
        <f>"("""&amp;B685&amp;""") ("&amp;Vlookup(E685,DropDown!R:V,5,FALSE)&amp;IF(ISBLANK(D685)," | "," "&amp;"OR """&amp;YEAR(D685)&amp;""" | ") &amp; """All New"" | Episode | Watch | tv | Show | Series | season | binge | Stream | Film | Movie | Premiere | Screening | Feature | Trailer | Teaser | theater | release)"</f>
        <v>#N/A</v>
      </c>
      <c r="S685" s="23"/>
      <c r="T685" s="23"/>
      <c r="U685" s="23"/>
      <c r="V685" s="23"/>
      <c r="W685" s="23"/>
      <c r="X685" s="38"/>
      <c r="Y685" s="38"/>
      <c r="Z685" s="38"/>
      <c r="AA685" s="38"/>
    </row>
    <row r="686">
      <c r="A686" s="31"/>
      <c r="B686" s="38"/>
      <c r="C686" s="38"/>
      <c r="D686" s="50"/>
      <c r="E686" s="50"/>
      <c r="F686" s="50"/>
      <c r="G686" s="27" t="str">
        <f>VLOOKUP(E686,DropDown!J:K,2,FALSE)</f>
        <v>#N/A</v>
      </c>
      <c r="H686" s="50"/>
      <c r="I686" s="50"/>
      <c r="J686" s="50"/>
      <c r="K686" s="25" t="s">
        <v>116</v>
      </c>
      <c r="L686" s="23"/>
      <c r="M686" s="23"/>
      <c r="N686" s="25" t="str">
        <f>"("""&amp;B686&amp;""") ("&amp;Vlookup(E686,DropDown!J:N,5,FALSE)&amp;" OR """ &amp;YEAR(D686) &amp; """ OR ""All New"" OR Episode OR Watch OR tv OR Show OR Series OR season OR binge OR Stream OR Film OR Movie OR Premiere OR Screening OR Feature OR Trailer OR Teaser OR theater OR release)"</f>
        <v>#N/A</v>
      </c>
      <c r="O686" s="23" t="str">
        <f t="shared" si="1"/>
        <v>#</v>
      </c>
      <c r="P686" s="23" t="str">
        <f t="shared" si="2"/>
        <v>#</v>
      </c>
      <c r="Q686" s="23"/>
      <c r="R686" s="23" t="str">
        <f>"("""&amp;B686&amp;""") ("&amp;Vlookup(E686,DropDown!R:V,5,FALSE)&amp;IF(ISBLANK(D686)," | "," "&amp;"OR """&amp;YEAR(D686)&amp;""" | ") &amp; """All New"" | Episode | Watch | tv | Show | Series | season | binge | Stream | Film | Movie | Premiere | Screening | Feature | Trailer | Teaser | theater | release)"</f>
        <v>#N/A</v>
      </c>
      <c r="S686" s="23"/>
      <c r="T686" s="23"/>
      <c r="U686" s="23"/>
      <c r="V686" s="23"/>
      <c r="W686" s="23"/>
      <c r="X686" s="38"/>
      <c r="Y686" s="38"/>
      <c r="Z686" s="38"/>
      <c r="AA686" s="38"/>
    </row>
    <row r="687">
      <c r="A687" s="31"/>
      <c r="B687" s="38"/>
      <c r="C687" s="38"/>
      <c r="D687" s="50"/>
      <c r="E687" s="50"/>
      <c r="F687" s="50"/>
      <c r="G687" s="27" t="str">
        <f>VLOOKUP(E687,DropDown!J:K,2,FALSE)</f>
        <v>#N/A</v>
      </c>
      <c r="H687" s="50"/>
      <c r="I687" s="50"/>
      <c r="J687" s="50"/>
      <c r="K687" s="25" t="s">
        <v>116</v>
      </c>
      <c r="L687" s="23"/>
      <c r="M687" s="23"/>
      <c r="N687" s="25" t="str">
        <f>"("""&amp;B687&amp;""") ("&amp;Vlookup(E687,DropDown!J:N,5,FALSE)&amp;" OR """ &amp;YEAR(D687) &amp; """ OR ""All New"" OR Episode OR Watch OR tv OR Show OR Series OR season OR binge OR Stream OR Film OR Movie OR Premiere OR Screening OR Feature OR Trailer OR Teaser OR theater OR release)"</f>
        <v>#N/A</v>
      </c>
      <c r="O687" s="23" t="str">
        <f t="shared" si="1"/>
        <v>#</v>
      </c>
      <c r="P687" s="23" t="str">
        <f t="shared" si="2"/>
        <v>#</v>
      </c>
      <c r="Q687" s="23"/>
      <c r="R687" s="23" t="str">
        <f>"("""&amp;B687&amp;""") ("&amp;Vlookup(E687,DropDown!R:V,5,FALSE)&amp;IF(ISBLANK(D687)," | "," "&amp;"OR """&amp;YEAR(D687)&amp;""" | ") &amp; """All New"" | Episode | Watch | tv | Show | Series | season | binge | Stream | Film | Movie | Premiere | Screening | Feature | Trailer | Teaser | theater | release)"</f>
        <v>#N/A</v>
      </c>
      <c r="S687" s="23"/>
      <c r="T687" s="23"/>
      <c r="U687" s="23"/>
      <c r="V687" s="23"/>
      <c r="W687" s="23"/>
      <c r="X687" s="38"/>
      <c r="Y687" s="38"/>
      <c r="Z687" s="38"/>
      <c r="AA687" s="38"/>
    </row>
    <row r="688">
      <c r="A688" s="31"/>
      <c r="B688" s="38"/>
      <c r="C688" s="38"/>
      <c r="D688" s="50"/>
      <c r="E688" s="50"/>
      <c r="F688" s="50"/>
      <c r="G688" s="27" t="str">
        <f>VLOOKUP(E688,DropDown!J:K,2,FALSE)</f>
        <v>#N/A</v>
      </c>
      <c r="H688" s="50"/>
      <c r="I688" s="50"/>
      <c r="J688" s="50"/>
      <c r="K688" s="25" t="s">
        <v>116</v>
      </c>
      <c r="L688" s="23"/>
      <c r="M688" s="23"/>
      <c r="N688" s="25" t="str">
        <f>"("""&amp;B688&amp;""") ("&amp;Vlookup(E688,DropDown!J:N,5,FALSE)&amp;" OR """ &amp;YEAR(D688) &amp; """ OR ""All New"" OR Episode OR Watch OR tv OR Show OR Series OR season OR binge OR Stream OR Film OR Movie OR Premiere OR Screening OR Feature OR Trailer OR Teaser OR theater OR release)"</f>
        <v>#N/A</v>
      </c>
      <c r="O688" s="23" t="str">
        <f t="shared" si="1"/>
        <v>#</v>
      </c>
      <c r="P688" s="23" t="str">
        <f t="shared" si="2"/>
        <v>#</v>
      </c>
      <c r="Q688" s="23"/>
      <c r="R688" s="23" t="str">
        <f>"("""&amp;B688&amp;""") ("&amp;Vlookup(E688,DropDown!R:V,5,FALSE)&amp;IF(ISBLANK(D688)," | "," "&amp;"OR """&amp;YEAR(D688)&amp;""" | ") &amp; """All New"" | Episode | Watch | tv | Show | Series | season | binge | Stream | Film | Movie | Premiere | Screening | Feature | Trailer | Teaser | theater | release)"</f>
        <v>#N/A</v>
      </c>
      <c r="S688" s="23"/>
      <c r="T688" s="23"/>
      <c r="U688" s="23"/>
      <c r="V688" s="23"/>
      <c r="W688" s="23"/>
      <c r="X688" s="38"/>
      <c r="Y688" s="38"/>
      <c r="Z688" s="38"/>
      <c r="AA688" s="38"/>
    </row>
    <row r="689">
      <c r="A689" s="31"/>
      <c r="B689" s="38"/>
      <c r="C689" s="38"/>
      <c r="D689" s="50"/>
      <c r="E689" s="50"/>
      <c r="F689" s="50"/>
      <c r="G689" s="27" t="str">
        <f>VLOOKUP(E689,DropDown!J:K,2,FALSE)</f>
        <v>#N/A</v>
      </c>
      <c r="H689" s="50"/>
      <c r="I689" s="50"/>
      <c r="J689" s="50"/>
      <c r="K689" s="25" t="s">
        <v>116</v>
      </c>
      <c r="L689" s="23"/>
      <c r="M689" s="23"/>
      <c r="N689" s="25" t="str">
        <f>"("""&amp;B689&amp;""") ("&amp;Vlookup(E689,DropDown!J:N,5,FALSE)&amp;" OR """ &amp;YEAR(D689) &amp; """ OR ""All New"" OR Episode OR Watch OR tv OR Show OR Series OR season OR binge OR Stream OR Film OR Movie OR Premiere OR Screening OR Feature OR Trailer OR Teaser OR theater OR release)"</f>
        <v>#N/A</v>
      </c>
      <c r="O689" s="23" t="str">
        <f t="shared" si="1"/>
        <v>#</v>
      </c>
      <c r="P689" s="23" t="str">
        <f t="shared" si="2"/>
        <v>#</v>
      </c>
      <c r="Q689" s="23"/>
      <c r="R689" s="23" t="str">
        <f>"("""&amp;B689&amp;""") ("&amp;Vlookup(E689,DropDown!R:V,5,FALSE)&amp;IF(ISBLANK(D689)," | "," "&amp;"OR """&amp;YEAR(D689)&amp;""" | ") &amp; """All New"" | Episode | Watch | tv | Show | Series | season | binge | Stream | Film | Movie | Premiere | Screening | Feature | Trailer | Teaser | theater | release)"</f>
        <v>#N/A</v>
      </c>
      <c r="S689" s="23"/>
      <c r="T689" s="23"/>
      <c r="U689" s="23"/>
      <c r="V689" s="23"/>
      <c r="W689" s="23"/>
      <c r="X689" s="38"/>
      <c r="Y689" s="38"/>
      <c r="Z689" s="38"/>
      <c r="AA689" s="38"/>
    </row>
    <row r="690">
      <c r="A690" s="31"/>
      <c r="B690" s="38"/>
      <c r="C690" s="38"/>
      <c r="D690" s="50"/>
      <c r="E690" s="50"/>
      <c r="F690" s="50"/>
      <c r="G690" s="27" t="str">
        <f>VLOOKUP(E690,DropDown!J:K,2,FALSE)</f>
        <v>#N/A</v>
      </c>
      <c r="H690" s="50"/>
      <c r="I690" s="50"/>
      <c r="J690" s="50"/>
      <c r="K690" s="25" t="s">
        <v>116</v>
      </c>
      <c r="L690" s="23"/>
      <c r="M690" s="23"/>
      <c r="N690" s="25" t="str">
        <f>"("""&amp;B690&amp;""") ("&amp;Vlookup(E690,DropDown!J:N,5,FALSE)&amp;" OR """ &amp;YEAR(D690) &amp; """ OR ""All New"" OR Episode OR Watch OR tv OR Show OR Series OR season OR binge OR Stream OR Film OR Movie OR Premiere OR Screening OR Feature OR Trailer OR Teaser OR theater OR release)"</f>
        <v>#N/A</v>
      </c>
      <c r="O690" s="23" t="str">
        <f t="shared" si="1"/>
        <v>#</v>
      </c>
      <c r="P690" s="23" t="str">
        <f t="shared" si="2"/>
        <v>#</v>
      </c>
      <c r="Q690" s="23"/>
      <c r="R690" s="23" t="str">
        <f>"("""&amp;B690&amp;""") ("&amp;Vlookup(E690,DropDown!R:V,5,FALSE)&amp;IF(ISBLANK(D690)," | "," "&amp;"OR """&amp;YEAR(D690)&amp;""" | ") &amp; """All New"" | Episode | Watch | tv | Show | Series | season | binge | Stream | Film | Movie | Premiere | Screening | Feature | Trailer | Teaser | theater | release)"</f>
        <v>#N/A</v>
      </c>
      <c r="S690" s="23"/>
      <c r="T690" s="23"/>
      <c r="U690" s="23"/>
      <c r="V690" s="23"/>
      <c r="W690" s="23"/>
      <c r="X690" s="38"/>
      <c r="Y690" s="38"/>
      <c r="Z690" s="38"/>
      <c r="AA690" s="38"/>
    </row>
    <row r="691">
      <c r="A691" s="31"/>
      <c r="B691" s="38"/>
      <c r="C691" s="38"/>
      <c r="D691" s="50"/>
      <c r="E691" s="50"/>
      <c r="F691" s="50"/>
      <c r="G691" s="27" t="str">
        <f>VLOOKUP(E691,DropDown!J:K,2,FALSE)</f>
        <v>#N/A</v>
      </c>
      <c r="H691" s="50"/>
      <c r="I691" s="50"/>
      <c r="J691" s="50"/>
      <c r="K691" s="25" t="s">
        <v>116</v>
      </c>
      <c r="L691" s="23"/>
      <c r="M691" s="23"/>
      <c r="N691" s="25" t="str">
        <f>"("""&amp;B691&amp;""") ("&amp;Vlookup(E691,DropDown!J:N,5,FALSE)&amp;" OR """ &amp;YEAR(D691) &amp; """ OR ""All New"" OR Episode OR Watch OR tv OR Show OR Series OR season OR binge OR Stream OR Film OR Movie OR Premiere OR Screening OR Feature OR Trailer OR Teaser OR theater OR release)"</f>
        <v>#N/A</v>
      </c>
      <c r="O691" s="23" t="str">
        <f t="shared" si="1"/>
        <v>#</v>
      </c>
      <c r="P691" s="23" t="str">
        <f t="shared" si="2"/>
        <v>#</v>
      </c>
      <c r="Q691" s="23"/>
      <c r="R691" s="23" t="str">
        <f>"("""&amp;B691&amp;""") ("&amp;Vlookup(E691,DropDown!R:V,5,FALSE)&amp;IF(ISBLANK(D691)," | "," "&amp;"OR """&amp;YEAR(D691)&amp;""" | ") &amp; """All New"" | Episode | Watch | tv | Show | Series | season | binge | Stream | Film | Movie | Premiere | Screening | Feature | Trailer | Teaser | theater | release)"</f>
        <v>#N/A</v>
      </c>
      <c r="S691" s="23"/>
      <c r="T691" s="23"/>
      <c r="U691" s="23"/>
      <c r="V691" s="23"/>
      <c r="W691" s="23"/>
      <c r="X691" s="38"/>
      <c r="Y691" s="38"/>
      <c r="Z691" s="38"/>
      <c r="AA691" s="38"/>
    </row>
    <row r="692">
      <c r="A692" s="31"/>
      <c r="B692" s="38"/>
      <c r="C692" s="38"/>
      <c r="D692" s="50"/>
      <c r="E692" s="50"/>
      <c r="F692" s="50"/>
      <c r="G692" s="27" t="str">
        <f>VLOOKUP(E692,DropDown!J:K,2,FALSE)</f>
        <v>#N/A</v>
      </c>
      <c r="H692" s="50"/>
      <c r="I692" s="50"/>
      <c r="J692" s="50"/>
      <c r="K692" s="25" t="s">
        <v>116</v>
      </c>
      <c r="L692" s="23"/>
      <c r="M692" s="23"/>
      <c r="N692" s="25" t="str">
        <f>"("""&amp;B692&amp;""") ("&amp;Vlookup(E692,DropDown!J:N,5,FALSE)&amp;" OR """ &amp;YEAR(D692) &amp; """ OR ""All New"" OR Episode OR Watch OR tv OR Show OR Series OR season OR binge OR Stream OR Film OR Movie OR Premiere OR Screening OR Feature OR Trailer OR Teaser OR theater OR release)"</f>
        <v>#N/A</v>
      </c>
      <c r="O692" s="23" t="str">
        <f t="shared" si="1"/>
        <v>#</v>
      </c>
      <c r="P692" s="23" t="str">
        <f t="shared" si="2"/>
        <v>#</v>
      </c>
      <c r="Q692" s="23"/>
      <c r="R692" s="23" t="str">
        <f>"("""&amp;B692&amp;""") ("&amp;Vlookup(E692,DropDown!R:V,5,FALSE)&amp;IF(ISBLANK(D692)," | "," "&amp;"OR """&amp;YEAR(D692)&amp;""" | ") &amp; """All New"" | Episode | Watch | tv | Show | Series | season | binge | Stream | Film | Movie | Premiere | Screening | Feature | Trailer | Teaser | theater | release)"</f>
        <v>#N/A</v>
      </c>
      <c r="S692" s="23"/>
      <c r="T692" s="23"/>
      <c r="U692" s="23"/>
      <c r="V692" s="23"/>
      <c r="W692" s="23"/>
      <c r="X692" s="38"/>
      <c r="Y692" s="38"/>
      <c r="Z692" s="38"/>
      <c r="AA692" s="38"/>
    </row>
    <row r="693">
      <c r="A693" s="31"/>
      <c r="B693" s="38"/>
      <c r="C693" s="38"/>
      <c r="D693" s="50"/>
      <c r="E693" s="50"/>
      <c r="F693" s="50"/>
      <c r="G693" s="27" t="str">
        <f>VLOOKUP(E693,DropDown!J:K,2,FALSE)</f>
        <v>#N/A</v>
      </c>
      <c r="H693" s="50"/>
      <c r="I693" s="50"/>
      <c r="J693" s="50"/>
      <c r="K693" s="25" t="s">
        <v>116</v>
      </c>
      <c r="L693" s="23"/>
      <c r="M693" s="23"/>
      <c r="N693" s="25" t="str">
        <f>"("""&amp;B693&amp;""") ("&amp;Vlookup(E693,DropDown!J:N,5,FALSE)&amp;" OR """ &amp;YEAR(D693) &amp; """ OR ""All New"" OR Episode OR Watch OR tv OR Show OR Series OR season OR binge OR Stream OR Film OR Movie OR Premiere OR Screening OR Feature OR Trailer OR Teaser OR theater OR release)"</f>
        <v>#N/A</v>
      </c>
      <c r="O693" s="23" t="str">
        <f t="shared" si="1"/>
        <v>#</v>
      </c>
      <c r="P693" s="23" t="str">
        <f t="shared" si="2"/>
        <v>#</v>
      </c>
      <c r="Q693" s="23"/>
      <c r="R693" s="23" t="str">
        <f>"("""&amp;B693&amp;""") ("&amp;Vlookup(E693,DropDown!R:V,5,FALSE)&amp;IF(ISBLANK(D693)," | "," "&amp;"OR """&amp;YEAR(D693)&amp;""" | ") &amp; """All New"" | Episode | Watch | tv | Show | Series | season | binge | Stream | Film | Movie | Premiere | Screening | Feature | Trailer | Teaser | theater | release)"</f>
        <v>#N/A</v>
      </c>
      <c r="S693" s="23"/>
      <c r="T693" s="23"/>
      <c r="U693" s="23"/>
      <c r="V693" s="23"/>
      <c r="W693" s="23"/>
      <c r="X693" s="38"/>
      <c r="Y693" s="38"/>
      <c r="Z693" s="38"/>
      <c r="AA693" s="38"/>
    </row>
    <row r="694">
      <c r="A694" s="31"/>
      <c r="B694" s="38"/>
      <c r="C694" s="38"/>
      <c r="D694" s="50"/>
      <c r="E694" s="50"/>
      <c r="F694" s="50"/>
      <c r="G694" s="27" t="str">
        <f>VLOOKUP(E694,DropDown!J:K,2,FALSE)</f>
        <v>#N/A</v>
      </c>
      <c r="H694" s="50"/>
      <c r="I694" s="50"/>
      <c r="J694" s="50"/>
      <c r="K694" s="25" t="s">
        <v>116</v>
      </c>
      <c r="L694" s="23"/>
      <c r="M694" s="23"/>
      <c r="N694" s="25" t="str">
        <f>"("""&amp;B694&amp;""") ("&amp;Vlookup(E694,DropDown!J:N,5,FALSE)&amp;" OR """ &amp;YEAR(D694) &amp; """ OR ""All New"" OR Episode OR Watch OR tv OR Show OR Series OR season OR binge OR Stream OR Film OR Movie OR Premiere OR Screening OR Feature OR Trailer OR Teaser OR theater OR release)"</f>
        <v>#N/A</v>
      </c>
      <c r="O694" s="23" t="str">
        <f t="shared" si="1"/>
        <v>#</v>
      </c>
      <c r="P694" s="23" t="str">
        <f t="shared" si="2"/>
        <v>#</v>
      </c>
      <c r="Q694" s="23"/>
      <c r="R694" s="23" t="str">
        <f>"("""&amp;B694&amp;""") ("&amp;Vlookup(E694,DropDown!R:V,5,FALSE)&amp;IF(ISBLANK(D694)," | "," "&amp;"OR """&amp;YEAR(D694)&amp;""" | ") &amp; """All New"" | Episode | Watch | tv | Show | Series | season | binge | Stream | Film | Movie | Premiere | Screening | Feature | Trailer | Teaser | theater | release)"</f>
        <v>#N/A</v>
      </c>
      <c r="S694" s="23"/>
      <c r="T694" s="23"/>
      <c r="U694" s="23"/>
      <c r="V694" s="23"/>
      <c r="W694" s="23"/>
      <c r="X694" s="38"/>
      <c r="Y694" s="38"/>
      <c r="Z694" s="38"/>
      <c r="AA694" s="38"/>
    </row>
    <row r="695">
      <c r="A695" s="31"/>
      <c r="B695" s="38"/>
      <c r="C695" s="38"/>
      <c r="D695" s="50"/>
      <c r="E695" s="50"/>
      <c r="F695" s="50"/>
      <c r="G695" s="27" t="str">
        <f>VLOOKUP(E695,DropDown!J:K,2,FALSE)</f>
        <v>#N/A</v>
      </c>
      <c r="H695" s="50"/>
      <c r="I695" s="50"/>
      <c r="J695" s="50"/>
      <c r="K695" s="25" t="s">
        <v>116</v>
      </c>
      <c r="L695" s="23"/>
      <c r="M695" s="23"/>
      <c r="N695" s="25" t="str">
        <f>"("""&amp;B695&amp;""") ("&amp;Vlookup(E695,DropDown!J:N,5,FALSE)&amp;" OR """ &amp;YEAR(D695) &amp; """ OR ""All New"" OR Episode OR Watch OR tv OR Show OR Series OR season OR binge OR Stream OR Film OR Movie OR Premiere OR Screening OR Feature OR Trailer OR Teaser OR theater OR release)"</f>
        <v>#N/A</v>
      </c>
      <c r="O695" s="23" t="str">
        <f t="shared" si="1"/>
        <v>#</v>
      </c>
      <c r="P695" s="23" t="str">
        <f t="shared" si="2"/>
        <v>#</v>
      </c>
      <c r="Q695" s="23"/>
      <c r="R695" s="23" t="str">
        <f>"("""&amp;B695&amp;""") ("&amp;Vlookup(E695,DropDown!R:V,5,FALSE)&amp;IF(ISBLANK(D695)," | "," "&amp;"OR """&amp;YEAR(D695)&amp;""" | ") &amp; """All New"" | Episode | Watch | tv | Show | Series | season | binge | Stream | Film | Movie | Premiere | Screening | Feature | Trailer | Teaser | theater | release)"</f>
        <v>#N/A</v>
      </c>
      <c r="S695" s="23"/>
      <c r="T695" s="23"/>
      <c r="U695" s="23"/>
      <c r="V695" s="23"/>
      <c r="W695" s="23"/>
      <c r="X695" s="38"/>
      <c r="Y695" s="38"/>
      <c r="Z695" s="38"/>
      <c r="AA695" s="38"/>
    </row>
    <row r="696">
      <c r="A696" s="31"/>
      <c r="B696" s="38"/>
      <c r="C696" s="38"/>
      <c r="D696" s="50"/>
      <c r="E696" s="50"/>
      <c r="F696" s="50"/>
      <c r="G696" s="27" t="str">
        <f>VLOOKUP(E696,DropDown!J:K,2,FALSE)</f>
        <v>#N/A</v>
      </c>
      <c r="H696" s="50"/>
      <c r="I696" s="50"/>
      <c r="J696" s="50"/>
      <c r="K696" s="25" t="s">
        <v>116</v>
      </c>
      <c r="L696" s="23"/>
      <c r="M696" s="23"/>
      <c r="N696" s="25" t="str">
        <f>"("""&amp;B696&amp;""") ("&amp;Vlookup(E696,DropDown!J:N,5,FALSE)&amp;" OR """ &amp;YEAR(D696) &amp; """ OR ""All New"" OR Episode OR Watch OR tv OR Show OR Series OR season OR binge OR Stream OR Film OR Movie OR Premiere OR Screening OR Feature OR Trailer OR Teaser OR theater OR release)"</f>
        <v>#N/A</v>
      </c>
      <c r="O696" s="23" t="str">
        <f t="shared" si="1"/>
        <v>#</v>
      </c>
      <c r="P696" s="23" t="str">
        <f t="shared" si="2"/>
        <v>#</v>
      </c>
      <c r="Q696" s="23"/>
      <c r="R696" s="23" t="str">
        <f>"("""&amp;B696&amp;""") ("&amp;Vlookup(E696,DropDown!R:V,5,FALSE)&amp;IF(ISBLANK(D696)," | "," "&amp;"OR """&amp;YEAR(D696)&amp;""" | ") &amp; """All New"" | Episode | Watch | tv | Show | Series | season | binge | Stream | Film | Movie | Premiere | Screening | Feature | Trailer | Teaser | theater | release)"</f>
        <v>#N/A</v>
      </c>
      <c r="S696" s="23"/>
      <c r="T696" s="23"/>
      <c r="U696" s="23"/>
      <c r="V696" s="23"/>
      <c r="W696" s="23"/>
      <c r="X696" s="38"/>
      <c r="Y696" s="38"/>
      <c r="Z696" s="38"/>
      <c r="AA696" s="38"/>
    </row>
    <row r="697">
      <c r="A697" s="31"/>
      <c r="B697" s="38"/>
      <c r="C697" s="38"/>
      <c r="D697" s="50"/>
      <c r="E697" s="50"/>
      <c r="F697" s="50"/>
      <c r="G697" s="27" t="str">
        <f>VLOOKUP(E697,DropDown!J:K,2,FALSE)</f>
        <v>#N/A</v>
      </c>
      <c r="H697" s="50"/>
      <c r="I697" s="50"/>
      <c r="J697" s="50"/>
      <c r="K697" s="25" t="s">
        <v>116</v>
      </c>
      <c r="L697" s="23"/>
      <c r="M697" s="23"/>
      <c r="N697" s="25" t="str">
        <f>"("""&amp;B697&amp;""") ("&amp;Vlookup(E697,DropDown!J:N,5,FALSE)&amp;" OR """ &amp;YEAR(D697) &amp; """ OR ""All New"" OR Episode OR Watch OR tv OR Show OR Series OR season OR binge OR Stream OR Film OR Movie OR Premiere OR Screening OR Feature OR Trailer OR Teaser OR theater OR release)"</f>
        <v>#N/A</v>
      </c>
      <c r="O697" s="23" t="str">
        <f t="shared" si="1"/>
        <v>#</v>
      </c>
      <c r="P697" s="23" t="str">
        <f t="shared" si="2"/>
        <v>#</v>
      </c>
      <c r="Q697" s="23"/>
      <c r="R697" s="23" t="str">
        <f>"("""&amp;B697&amp;""") ("&amp;Vlookup(E697,DropDown!R:V,5,FALSE)&amp;IF(ISBLANK(D697)," | "," "&amp;"OR """&amp;YEAR(D697)&amp;""" | ") &amp; """All New"" | Episode | Watch | tv | Show | Series | season | binge | Stream | Film | Movie | Premiere | Screening | Feature | Trailer | Teaser | theater | release)"</f>
        <v>#N/A</v>
      </c>
      <c r="S697" s="23"/>
      <c r="T697" s="23"/>
      <c r="U697" s="23"/>
      <c r="V697" s="23"/>
      <c r="W697" s="23"/>
      <c r="X697" s="38"/>
      <c r="Y697" s="38"/>
      <c r="Z697" s="38"/>
      <c r="AA697" s="38"/>
    </row>
    <row r="698">
      <c r="A698" s="31"/>
      <c r="B698" s="38"/>
      <c r="C698" s="38"/>
      <c r="D698" s="50"/>
      <c r="E698" s="50"/>
      <c r="F698" s="50"/>
      <c r="G698" s="27" t="str">
        <f>VLOOKUP(E698,DropDown!J:K,2,FALSE)</f>
        <v>#N/A</v>
      </c>
      <c r="H698" s="50"/>
      <c r="I698" s="50"/>
      <c r="J698" s="50"/>
      <c r="K698" s="25" t="s">
        <v>116</v>
      </c>
      <c r="L698" s="23"/>
      <c r="M698" s="23"/>
      <c r="N698" s="25" t="str">
        <f>"("""&amp;B698&amp;""") ("&amp;Vlookup(E698,DropDown!J:N,5,FALSE)&amp;" OR """ &amp;YEAR(D698) &amp; """ OR ""All New"" OR Episode OR Watch OR tv OR Show OR Series OR season OR binge OR Stream OR Film OR Movie OR Premiere OR Screening OR Feature OR Trailer OR Teaser OR theater OR release)"</f>
        <v>#N/A</v>
      </c>
      <c r="O698" s="23" t="str">
        <f t="shared" si="1"/>
        <v>#</v>
      </c>
      <c r="P698" s="23" t="str">
        <f t="shared" si="2"/>
        <v>#</v>
      </c>
      <c r="Q698" s="23"/>
      <c r="R698" s="23" t="str">
        <f>"("""&amp;B698&amp;""") ("&amp;Vlookup(E698,DropDown!R:V,5,FALSE)&amp;IF(ISBLANK(D698)," | "," "&amp;"OR """&amp;YEAR(D698)&amp;""" | ") &amp; """All New"" | Episode | Watch | tv | Show | Series | season | binge | Stream | Film | Movie | Premiere | Screening | Feature | Trailer | Teaser | theater | release)"</f>
        <v>#N/A</v>
      </c>
      <c r="S698" s="23"/>
      <c r="T698" s="23"/>
      <c r="U698" s="23"/>
      <c r="V698" s="23"/>
      <c r="W698" s="23"/>
      <c r="X698" s="38"/>
      <c r="Y698" s="38"/>
      <c r="Z698" s="38"/>
      <c r="AA698" s="38"/>
    </row>
    <row r="699">
      <c r="A699" s="31"/>
      <c r="B699" s="38"/>
      <c r="C699" s="38"/>
      <c r="D699" s="50"/>
      <c r="E699" s="50"/>
      <c r="F699" s="50"/>
      <c r="G699" s="27" t="str">
        <f>VLOOKUP(E699,DropDown!J:K,2,FALSE)</f>
        <v>#N/A</v>
      </c>
      <c r="H699" s="50"/>
      <c r="I699" s="50"/>
      <c r="J699" s="50"/>
      <c r="K699" s="25" t="s">
        <v>116</v>
      </c>
      <c r="L699" s="23"/>
      <c r="M699" s="23"/>
      <c r="N699" s="25" t="str">
        <f>"("""&amp;B699&amp;""") ("&amp;Vlookup(E699,DropDown!J:N,5,FALSE)&amp;" OR """ &amp;YEAR(D699) &amp; """ OR ""All New"" OR Episode OR Watch OR tv OR Show OR Series OR season OR binge OR Stream OR Film OR Movie OR Premiere OR Screening OR Feature OR Trailer OR Teaser OR theater OR release)"</f>
        <v>#N/A</v>
      </c>
      <c r="O699" s="23" t="str">
        <f t="shared" si="1"/>
        <v>#</v>
      </c>
      <c r="P699" s="23" t="str">
        <f t="shared" si="2"/>
        <v>#</v>
      </c>
      <c r="Q699" s="23"/>
      <c r="R699" s="23" t="str">
        <f>"("""&amp;B699&amp;""") ("&amp;Vlookup(E699,DropDown!R:V,5,FALSE)&amp;IF(ISBLANK(D699)," | "," "&amp;"OR """&amp;YEAR(D699)&amp;""" | ") &amp; """All New"" | Episode | Watch | tv | Show | Series | season | binge | Stream | Film | Movie | Premiere | Screening | Feature | Trailer | Teaser | theater | release)"</f>
        <v>#N/A</v>
      </c>
      <c r="S699" s="23"/>
      <c r="T699" s="23"/>
      <c r="U699" s="23"/>
      <c r="V699" s="23"/>
      <c r="W699" s="23"/>
      <c r="X699" s="38"/>
      <c r="Y699" s="38"/>
      <c r="Z699" s="38"/>
      <c r="AA699" s="38"/>
    </row>
    <row r="700">
      <c r="A700" s="31"/>
      <c r="B700" s="38"/>
      <c r="C700" s="38"/>
      <c r="D700" s="50"/>
      <c r="E700" s="50"/>
      <c r="F700" s="50"/>
      <c r="G700" s="27" t="str">
        <f>VLOOKUP(E700,DropDown!J:K,2,FALSE)</f>
        <v>#N/A</v>
      </c>
      <c r="H700" s="50"/>
      <c r="I700" s="50"/>
      <c r="J700" s="50"/>
      <c r="K700" s="25" t="s">
        <v>116</v>
      </c>
      <c r="L700" s="23"/>
      <c r="M700" s="23"/>
      <c r="N700" s="25" t="str">
        <f>"("""&amp;B700&amp;""") ("&amp;Vlookup(E700,DropDown!J:N,5,FALSE)&amp;" OR """ &amp;YEAR(D700) &amp; """ OR ""All New"" OR Episode OR Watch OR tv OR Show OR Series OR season OR binge OR Stream OR Film OR Movie OR Premiere OR Screening OR Feature OR Trailer OR Teaser OR theater OR release)"</f>
        <v>#N/A</v>
      </c>
      <c r="O700" s="23" t="str">
        <f t="shared" si="1"/>
        <v>#</v>
      </c>
      <c r="P700" s="23" t="str">
        <f t="shared" si="2"/>
        <v>#</v>
      </c>
      <c r="Q700" s="23"/>
      <c r="R700" s="23" t="str">
        <f>"("""&amp;B700&amp;""") ("&amp;Vlookup(E700,DropDown!R:V,5,FALSE)&amp;IF(ISBLANK(D700)," | "," "&amp;"OR """&amp;YEAR(D700)&amp;""" | ") &amp; """All New"" | Episode | Watch | tv | Show | Series | season | binge | Stream | Film | Movie | Premiere | Screening | Feature | Trailer | Teaser | theater | release)"</f>
        <v>#N/A</v>
      </c>
      <c r="S700" s="23"/>
      <c r="T700" s="23"/>
      <c r="U700" s="23"/>
      <c r="V700" s="23"/>
      <c r="W700" s="23"/>
      <c r="X700" s="38"/>
      <c r="Y700" s="38"/>
      <c r="Z700" s="38"/>
      <c r="AA700" s="38"/>
    </row>
    <row r="701">
      <c r="A701" s="31"/>
      <c r="B701" s="38"/>
      <c r="C701" s="38"/>
      <c r="D701" s="50"/>
      <c r="E701" s="50"/>
      <c r="F701" s="50"/>
      <c r="G701" s="27" t="str">
        <f>VLOOKUP(E701,DropDown!J:K,2,FALSE)</f>
        <v>#N/A</v>
      </c>
      <c r="H701" s="50"/>
      <c r="I701" s="50"/>
      <c r="J701" s="50"/>
      <c r="K701" s="25" t="s">
        <v>116</v>
      </c>
      <c r="L701" s="23"/>
      <c r="M701" s="23"/>
      <c r="N701" s="25" t="str">
        <f>"("""&amp;B701&amp;""") ("&amp;Vlookup(E701,DropDown!J:N,5,FALSE)&amp;" OR """ &amp;YEAR(D701) &amp; """ OR ""All New"" OR Episode OR Watch OR tv OR Show OR Series OR season OR binge OR Stream OR Film OR Movie OR Premiere OR Screening OR Feature OR Trailer OR Teaser OR theater OR release)"</f>
        <v>#N/A</v>
      </c>
      <c r="O701" s="23" t="str">
        <f t="shared" si="1"/>
        <v>#</v>
      </c>
      <c r="P701" s="23" t="str">
        <f t="shared" si="2"/>
        <v>#</v>
      </c>
      <c r="Q701" s="23"/>
      <c r="R701" s="23" t="str">
        <f>"("""&amp;B701&amp;""") ("&amp;Vlookup(E701,DropDown!R:V,5,FALSE)&amp;IF(ISBLANK(D701)," | "," "&amp;"OR """&amp;YEAR(D701)&amp;""" | ") &amp; """All New"" | Episode | Watch | tv | Show | Series | season | binge | Stream | Film | Movie | Premiere | Screening | Feature | Trailer | Teaser | theater | release)"</f>
        <v>#N/A</v>
      </c>
      <c r="S701" s="23"/>
      <c r="T701" s="23"/>
      <c r="U701" s="23"/>
      <c r="V701" s="23"/>
      <c r="W701" s="23"/>
      <c r="X701" s="38"/>
      <c r="Y701" s="38"/>
      <c r="Z701" s="38"/>
      <c r="AA701" s="38"/>
    </row>
    <row r="702">
      <c r="A702" s="31"/>
      <c r="B702" s="38"/>
      <c r="C702" s="38"/>
      <c r="D702" s="50"/>
      <c r="E702" s="50"/>
      <c r="F702" s="50"/>
      <c r="G702" s="27" t="str">
        <f>VLOOKUP(E702,DropDown!J:K,2,FALSE)</f>
        <v>#N/A</v>
      </c>
      <c r="H702" s="50"/>
      <c r="I702" s="50"/>
      <c r="J702" s="50"/>
      <c r="K702" s="25" t="s">
        <v>116</v>
      </c>
      <c r="L702" s="23"/>
      <c r="M702" s="23"/>
      <c r="N702" s="25" t="str">
        <f>"("""&amp;B702&amp;""") ("&amp;Vlookup(E702,DropDown!J:N,5,FALSE)&amp;" OR """ &amp;YEAR(D702) &amp; """ OR ""All New"" OR Episode OR Watch OR tv OR Show OR Series OR season OR binge OR Stream OR Film OR Movie OR Premiere OR Screening OR Feature OR Trailer OR Teaser OR theater OR release)"</f>
        <v>#N/A</v>
      </c>
      <c r="O702" s="23" t="str">
        <f t="shared" si="1"/>
        <v>#</v>
      </c>
      <c r="P702" s="23" t="str">
        <f t="shared" si="2"/>
        <v>#</v>
      </c>
      <c r="Q702" s="23"/>
      <c r="R702" s="23" t="str">
        <f>"("""&amp;B702&amp;""") ("&amp;Vlookup(E702,DropDown!R:V,5,FALSE)&amp;IF(ISBLANK(D702)," | "," "&amp;"OR """&amp;YEAR(D702)&amp;""" | ") &amp; """All New"" | Episode | Watch | tv | Show | Series | season | binge | Stream | Film | Movie | Premiere | Screening | Feature | Trailer | Teaser | theater | release)"</f>
        <v>#N/A</v>
      </c>
      <c r="S702" s="23"/>
      <c r="T702" s="23"/>
      <c r="U702" s="23"/>
      <c r="V702" s="23"/>
      <c r="W702" s="23"/>
      <c r="X702" s="38"/>
      <c r="Y702" s="38"/>
      <c r="Z702" s="38"/>
      <c r="AA702" s="38"/>
    </row>
    <row r="703">
      <c r="A703" s="31"/>
      <c r="B703" s="38"/>
      <c r="C703" s="38"/>
      <c r="D703" s="50"/>
      <c r="E703" s="50"/>
      <c r="F703" s="50"/>
      <c r="G703" s="27" t="str">
        <f>VLOOKUP(E703,DropDown!J:K,2,FALSE)</f>
        <v>#N/A</v>
      </c>
      <c r="H703" s="50"/>
      <c r="I703" s="50"/>
      <c r="J703" s="50"/>
      <c r="K703" s="25" t="s">
        <v>116</v>
      </c>
      <c r="L703" s="23"/>
      <c r="M703" s="23"/>
      <c r="N703" s="25" t="str">
        <f>"("""&amp;B703&amp;""") ("&amp;Vlookup(E703,DropDown!J:N,5,FALSE)&amp;" OR """ &amp;YEAR(D703) &amp; """ OR ""All New"" OR Episode OR Watch OR tv OR Show OR Series OR season OR binge OR Stream OR Film OR Movie OR Premiere OR Screening OR Feature OR Trailer OR Teaser OR theater OR release)"</f>
        <v>#N/A</v>
      </c>
      <c r="O703" s="23" t="str">
        <f t="shared" si="1"/>
        <v>#</v>
      </c>
      <c r="P703" s="23" t="str">
        <f t="shared" si="2"/>
        <v>#</v>
      </c>
      <c r="Q703" s="23"/>
      <c r="R703" s="23" t="str">
        <f>"("""&amp;B703&amp;""") ("&amp;Vlookup(E703,DropDown!R:V,5,FALSE)&amp;IF(ISBLANK(D703)," | "," "&amp;"OR """&amp;YEAR(D703)&amp;""" | ") &amp; """All New"" | Episode | Watch | tv | Show | Series | season | binge | Stream | Film | Movie | Premiere | Screening | Feature | Trailer | Teaser | theater | release)"</f>
        <v>#N/A</v>
      </c>
      <c r="S703" s="23"/>
      <c r="T703" s="23"/>
      <c r="U703" s="23"/>
      <c r="V703" s="23"/>
      <c r="W703" s="23"/>
      <c r="X703" s="38"/>
      <c r="Y703" s="38"/>
      <c r="Z703" s="38"/>
      <c r="AA703" s="38"/>
    </row>
    <row r="704">
      <c r="A704" s="31"/>
      <c r="B704" s="38"/>
      <c r="C704" s="38"/>
      <c r="D704" s="50"/>
      <c r="E704" s="50"/>
      <c r="F704" s="50"/>
      <c r="G704" s="27" t="str">
        <f>VLOOKUP(E704,DropDown!J:K,2,FALSE)</f>
        <v>#N/A</v>
      </c>
      <c r="H704" s="50"/>
      <c r="I704" s="50"/>
      <c r="J704" s="50"/>
      <c r="K704" s="25" t="s">
        <v>116</v>
      </c>
      <c r="L704" s="23"/>
      <c r="M704" s="23"/>
      <c r="N704" s="25" t="str">
        <f>"("""&amp;B704&amp;""") ("&amp;Vlookup(E704,DropDown!J:N,5,FALSE)&amp;" OR """ &amp;YEAR(D704) &amp; """ OR ""All New"" OR Episode OR Watch OR tv OR Show OR Series OR season OR binge OR Stream OR Film OR Movie OR Premiere OR Screening OR Feature OR Trailer OR Teaser OR theater OR release)"</f>
        <v>#N/A</v>
      </c>
      <c r="O704" s="23" t="str">
        <f t="shared" si="1"/>
        <v>#</v>
      </c>
      <c r="P704" s="23" t="str">
        <f t="shared" si="2"/>
        <v>#</v>
      </c>
      <c r="Q704" s="23"/>
      <c r="R704" s="23" t="str">
        <f>"("""&amp;B704&amp;""") ("&amp;Vlookup(E704,DropDown!R:V,5,FALSE)&amp;IF(ISBLANK(D704)," | "," "&amp;"OR """&amp;YEAR(D704)&amp;""" | ") &amp; """All New"" | Episode | Watch | tv | Show | Series | season | binge | Stream | Film | Movie | Premiere | Screening | Feature | Trailer | Teaser | theater | release)"</f>
        <v>#N/A</v>
      </c>
      <c r="S704" s="23"/>
      <c r="T704" s="23"/>
      <c r="U704" s="23"/>
      <c r="V704" s="23"/>
      <c r="W704" s="23"/>
      <c r="X704" s="38"/>
      <c r="Y704" s="38"/>
      <c r="Z704" s="38"/>
      <c r="AA704" s="38"/>
    </row>
    <row r="705">
      <c r="A705" s="31"/>
      <c r="B705" s="38"/>
      <c r="C705" s="38"/>
      <c r="D705" s="50"/>
      <c r="E705" s="50"/>
      <c r="F705" s="50"/>
      <c r="G705" s="27" t="str">
        <f>VLOOKUP(E705,DropDown!J:K,2,FALSE)</f>
        <v>#N/A</v>
      </c>
      <c r="H705" s="50"/>
      <c r="I705" s="50"/>
      <c r="J705" s="50"/>
      <c r="K705" s="25" t="s">
        <v>116</v>
      </c>
      <c r="L705" s="23"/>
      <c r="M705" s="23"/>
      <c r="N705" s="25" t="str">
        <f>"("""&amp;B705&amp;""") ("&amp;Vlookup(E705,DropDown!J:N,5,FALSE)&amp;" OR """ &amp;YEAR(D705) &amp; """ OR ""All New"" OR Episode OR Watch OR tv OR Show OR Series OR season OR binge OR Stream OR Film OR Movie OR Premiere OR Screening OR Feature OR Trailer OR Teaser OR theater OR release)"</f>
        <v>#N/A</v>
      </c>
      <c r="O705" s="23" t="str">
        <f t="shared" si="1"/>
        <v>#</v>
      </c>
      <c r="P705" s="23" t="str">
        <f t="shared" si="2"/>
        <v>#</v>
      </c>
      <c r="Q705" s="23"/>
      <c r="R705" s="23" t="str">
        <f>"("""&amp;B705&amp;""") ("&amp;Vlookup(E705,DropDown!R:V,5,FALSE)&amp;IF(ISBLANK(D705)," | "," "&amp;"OR """&amp;YEAR(D705)&amp;""" | ") &amp; """All New"" | Episode | Watch | tv | Show | Series | season | binge | Stream | Film | Movie | Premiere | Screening | Feature | Trailer | Teaser | theater | release)"</f>
        <v>#N/A</v>
      </c>
      <c r="S705" s="23"/>
      <c r="T705" s="23"/>
      <c r="U705" s="23"/>
      <c r="V705" s="23"/>
      <c r="W705" s="23"/>
      <c r="X705" s="38"/>
      <c r="Y705" s="38"/>
      <c r="Z705" s="38"/>
      <c r="AA705" s="38"/>
    </row>
    <row r="706">
      <c r="A706" s="31"/>
      <c r="B706" s="38"/>
      <c r="C706" s="38"/>
      <c r="D706" s="50"/>
      <c r="E706" s="50"/>
      <c r="F706" s="50"/>
      <c r="G706" s="27" t="str">
        <f>VLOOKUP(E706,DropDown!J:K,2,FALSE)</f>
        <v>#N/A</v>
      </c>
      <c r="H706" s="50"/>
      <c r="I706" s="50"/>
      <c r="J706" s="50"/>
      <c r="K706" s="25" t="s">
        <v>116</v>
      </c>
      <c r="L706" s="23"/>
      <c r="M706" s="23"/>
      <c r="N706" s="25" t="str">
        <f>"("""&amp;B706&amp;""") ("&amp;Vlookup(E706,DropDown!J:N,5,FALSE)&amp;" OR """ &amp;YEAR(D706) &amp; """ OR ""All New"" OR Episode OR Watch OR tv OR Show OR Series OR season OR binge OR Stream OR Film OR Movie OR Premiere OR Screening OR Feature OR Trailer OR Teaser OR theater OR release)"</f>
        <v>#N/A</v>
      </c>
      <c r="O706" s="23" t="str">
        <f t="shared" si="1"/>
        <v>#</v>
      </c>
      <c r="P706" s="23" t="str">
        <f t="shared" si="2"/>
        <v>#</v>
      </c>
      <c r="Q706" s="23"/>
      <c r="R706" s="23" t="str">
        <f>"("""&amp;B706&amp;""") ("&amp;Vlookup(E706,DropDown!R:V,5,FALSE)&amp;IF(ISBLANK(D706)," | "," "&amp;"OR """&amp;YEAR(D706)&amp;""" | ") &amp; """All New"" | Episode | Watch | tv | Show | Series | season | binge | Stream | Film | Movie | Premiere | Screening | Feature | Trailer | Teaser | theater | release)"</f>
        <v>#N/A</v>
      </c>
      <c r="S706" s="23"/>
      <c r="T706" s="23"/>
      <c r="U706" s="23"/>
      <c r="V706" s="23"/>
      <c r="W706" s="23"/>
      <c r="X706" s="38"/>
      <c r="Y706" s="38"/>
      <c r="Z706" s="38"/>
      <c r="AA706" s="38"/>
    </row>
    <row r="707">
      <c r="A707" s="31"/>
      <c r="B707" s="38"/>
      <c r="C707" s="38"/>
      <c r="D707" s="50"/>
      <c r="E707" s="50"/>
      <c r="F707" s="50"/>
      <c r="G707" s="27" t="str">
        <f>VLOOKUP(E707,DropDown!J:K,2,FALSE)</f>
        <v>#N/A</v>
      </c>
      <c r="H707" s="50"/>
      <c r="I707" s="50"/>
      <c r="J707" s="50"/>
      <c r="K707" s="25" t="s">
        <v>116</v>
      </c>
      <c r="L707" s="23"/>
      <c r="M707" s="23"/>
      <c r="N707" s="25" t="str">
        <f>"("""&amp;B707&amp;""") ("&amp;Vlookup(E707,DropDown!J:N,5,FALSE)&amp;" OR """ &amp;YEAR(D707) &amp; """ OR ""All New"" OR Episode OR Watch OR tv OR Show OR Series OR season OR binge OR Stream OR Film OR Movie OR Premiere OR Screening OR Feature OR Trailer OR Teaser OR theater OR release)"</f>
        <v>#N/A</v>
      </c>
      <c r="O707" s="23" t="str">
        <f t="shared" si="1"/>
        <v>#</v>
      </c>
      <c r="P707" s="23" t="str">
        <f t="shared" si="2"/>
        <v>#</v>
      </c>
      <c r="Q707" s="23"/>
      <c r="R707" s="23" t="str">
        <f>"("""&amp;B707&amp;""") ("&amp;Vlookup(E707,DropDown!R:V,5,FALSE)&amp;IF(ISBLANK(D707)," | "," "&amp;"OR """&amp;YEAR(D707)&amp;""" | ") &amp; """All New"" | Episode | Watch | tv | Show | Series | season | binge | Stream | Film | Movie | Premiere | Screening | Feature | Trailer | Teaser | theater | release)"</f>
        <v>#N/A</v>
      </c>
      <c r="S707" s="23"/>
      <c r="T707" s="23"/>
      <c r="U707" s="23"/>
      <c r="V707" s="23"/>
      <c r="W707" s="23"/>
      <c r="X707" s="38"/>
      <c r="Y707" s="38"/>
      <c r="Z707" s="38"/>
      <c r="AA707" s="38"/>
    </row>
    <row r="708">
      <c r="A708" s="31"/>
      <c r="B708" s="38"/>
      <c r="C708" s="38"/>
      <c r="D708" s="50"/>
      <c r="E708" s="50"/>
      <c r="F708" s="50"/>
      <c r="G708" s="27" t="str">
        <f>VLOOKUP(E708,DropDown!J:K,2,FALSE)</f>
        <v>#N/A</v>
      </c>
      <c r="H708" s="50"/>
      <c r="I708" s="50"/>
      <c r="J708" s="50"/>
      <c r="K708" s="25" t="s">
        <v>116</v>
      </c>
      <c r="L708" s="23"/>
      <c r="M708" s="23"/>
      <c r="N708" s="25" t="str">
        <f>"("""&amp;B708&amp;""") ("&amp;Vlookup(E708,DropDown!J:N,5,FALSE)&amp;" OR """ &amp;YEAR(D708) &amp; """ OR ""All New"" OR Episode OR Watch OR tv OR Show OR Series OR season OR binge OR Stream OR Film OR Movie OR Premiere OR Screening OR Feature OR Trailer OR Teaser OR theater OR release)"</f>
        <v>#N/A</v>
      </c>
      <c r="O708" s="23" t="str">
        <f t="shared" si="1"/>
        <v>#</v>
      </c>
      <c r="P708" s="23" t="str">
        <f t="shared" si="2"/>
        <v>#</v>
      </c>
      <c r="Q708" s="23"/>
      <c r="R708" s="23" t="str">
        <f>"("""&amp;B708&amp;""") ("&amp;Vlookup(E708,DropDown!R:V,5,FALSE)&amp;IF(ISBLANK(D708)," | "," "&amp;"OR """&amp;YEAR(D708)&amp;""" | ") &amp; """All New"" | Episode | Watch | tv | Show | Series | season | binge | Stream | Film | Movie | Premiere | Screening | Feature | Trailer | Teaser | theater | release)"</f>
        <v>#N/A</v>
      </c>
      <c r="S708" s="23"/>
      <c r="T708" s="23"/>
      <c r="U708" s="23"/>
      <c r="V708" s="23"/>
      <c r="W708" s="23"/>
      <c r="X708" s="38"/>
      <c r="Y708" s="38"/>
      <c r="Z708" s="38"/>
      <c r="AA708" s="38"/>
    </row>
    <row r="709">
      <c r="A709" s="31"/>
      <c r="B709" s="38"/>
      <c r="C709" s="38"/>
      <c r="D709" s="50"/>
      <c r="E709" s="50"/>
      <c r="F709" s="50"/>
      <c r="G709" s="27" t="str">
        <f>VLOOKUP(E709,DropDown!J:K,2,FALSE)</f>
        <v>#N/A</v>
      </c>
      <c r="H709" s="50"/>
      <c r="I709" s="50"/>
      <c r="J709" s="50"/>
      <c r="K709" s="25" t="s">
        <v>116</v>
      </c>
      <c r="L709" s="23"/>
      <c r="M709" s="23"/>
      <c r="N709" s="25" t="str">
        <f>"("""&amp;B709&amp;""") ("&amp;Vlookup(E709,DropDown!J:N,5,FALSE)&amp;" OR """ &amp;YEAR(D709) &amp; """ OR ""All New"" OR Episode OR Watch OR tv OR Show OR Series OR season OR binge OR Stream OR Film OR Movie OR Premiere OR Screening OR Feature OR Trailer OR Teaser OR theater OR release)"</f>
        <v>#N/A</v>
      </c>
      <c r="O709" s="23" t="str">
        <f t="shared" si="1"/>
        <v>#</v>
      </c>
      <c r="P709" s="23" t="str">
        <f t="shared" si="2"/>
        <v>#</v>
      </c>
      <c r="Q709" s="23"/>
      <c r="R709" s="23" t="str">
        <f>"("""&amp;B709&amp;""") ("&amp;Vlookup(E709,DropDown!R:V,5,FALSE)&amp;IF(ISBLANK(D709)," | "," "&amp;"OR """&amp;YEAR(D709)&amp;""" | ") &amp; """All New"" | Episode | Watch | tv | Show | Series | season | binge | Stream | Film | Movie | Premiere | Screening | Feature | Trailer | Teaser | theater | release)"</f>
        <v>#N/A</v>
      </c>
      <c r="S709" s="23"/>
      <c r="T709" s="23"/>
      <c r="U709" s="23"/>
      <c r="V709" s="23"/>
      <c r="W709" s="23"/>
      <c r="X709" s="38"/>
      <c r="Y709" s="38"/>
      <c r="Z709" s="38"/>
      <c r="AA709" s="38"/>
    </row>
    <row r="710">
      <c r="A710" s="31"/>
      <c r="B710" s="38"/>
      <c r="C710" s="38"/>
      <c r="D710" s="50"/>
      <c r="E710" s="50"/>
      <c r="F710" s="50"/>
      <c r="G710" s="27" t="str">
        <f>VLOOKUP(E710,DropDown!J:K,2,FALSE)</f>
        <v>#N/A</v>
      </c>
      <c r="H710" s="50"/>
      <c r="I710" s="50"/>
      <c r="J710" s="50"/>
      <c r="K710" s="25" t="s">
        <v>116</v>
      </c>
      <c r="L710" s="23"/>
      <c r="M710" s="23"/>
      <c r="N710" s="25" t="str">
        <f>"("""&amp;B710&amp;""") ("&amp;Vlookup(E710,DropDown!J:N,5,FALSE)&amp;" OR """ &amp;YEAR(D710) &amp; """ OR ""All New"" OR Episode OR Watch OR tv OR Show OR Series OR season OR binge OR Stream OR Film OR Movie OR Premiere OR Screening OR Feature OR Trailer OR Teaser OR theater OR release)"</f>
        <v>#N/A</v>
      </c>
      <c r="O710" s="23" t="str">
        <f t="shared" si="1"/>
        <v>#</v>
      </c>
      <c r="P710" s="23" t="str">
        <f t="shared" si="2"/>
        <v>#</v>
      </c>
      <c r="Q710" s="23"/>
      <c r="R710" s="23" t="str">
        <f>"("""&amp;B710&amp;""") ("&amp;Vlookup(E710,DropDown!R:V,5,FALSE)&amp;IF(ISBLANK(D710)," | "," "&amp;"OR """&amp;YEAR(D710)&amp;""" | ") &amp; """All New"" | Episode | Watch | tv | Show | Series | season | binge | Stream | Film | Movie | Premiere | Screening | Feature | Trailer | Teaser | theater | release)"</f>
        <v>#N/A</v>
      </c>
      <c r="S710" s="23"/>
      <c r="T710" s="23"/>
      <c r="U710" s="23"/>
      <c r="V710" s="23"/>
      <c r="W710" s="23"/>
      <c r="X710" s="38"/>
      <c r="Y710" s="38"/>
      <c r="Z710" s="38"/>
      <c r="AA710" s="38"/>
    </row>
    <row r="711">
      <c r="A711" s="31"/>
      <c r="B711" s="38"/>
      <c r="C711" s="38"/>
      <c r="D711" s="50"/>
      <c r="E711" s="50"/>
      <c r="F711" s="50"/>
      <c r="G711" s="27" t="str">
        <f>VLOOKUP(E711,DropDown!J:K,2,FALSE)</f>
        <v>#N/A</v>
      </c>
      <c r="H711" s="50"/>
      <c r="I711" s="50"/>
      <c r="J711" s="50"/>
      <c r="K711" s="25" t="s">
        <v>116</v>
      </c>
      <c r="L711" s="23"/>
      <c r="M711" s="23"/>
      <c r="N711" s="25" t="str">
        <f>"("""&amp;B711&amp;""") ("&amp;Vlookup(E711,DropDown!J:N,5,FALSE)&amp;" OR """ &amp;YEAR(D711) &amp; """ OR ""All New"" OR Episode OR Watch OR tv OR Show OR Series OR season OR binge OR Stream OR Film OR Movie OR Premiere OR Screening OR Feature OR Trailer OR Teaser OR theater OR release)"</f>
        <v>#N/A</v>
      </c>
      <c r="O711" s="23" t="str">
        <f t="shared" si="1"/>
        <v>#</v>
      </c>
      <c r="P711" s="23" t="str">
        <f t="shared" si="2"/>
        <v>#</v>
      </c>
      <c r="Q711" s="23"/>
      <c r="R711" s="23" t="str">
        <f>"("""&amp;B711&amp;""") ("&amp;Vlookup(E711,DropDown!R:V,5,FALSE)&amp;IF(ISBLANK(D711)," | "," "&amp;"OR """&amp;YEAR(D711)&amp;""" | ") &amp; """All New"" | Episode | Watch | tv | Show | Series | season | binge | Stream | Film | Movie | Premiere | Screening | Feature | Trailer | Teaser | theater | release)"</f>
        <v>#N/A</v>
      </c>
      <c r="S711" s="23"/>
      <c r="T711" s="23"/>
      <c r="U711" s="23"/>
      <c r="V711" s="23"/>
      <c r="W711" s="23"/>
      <c r="X711" s="38"/>
      <c r="Y711" s="38"/>
      <c r="Z711" s="38"/>
      <c r="AA711" s="38"/>
    </row>
    <row r="712">
      <c r="A712" s="31"/>
      <c r="B712" s="38"/>
      <c r="C712" s="38"/>
      <c r="D712" s="50"/>
      <c r="E712" s="50"/>
      <c r="F712" s="50"/>
      <c r="G712" s="27" t="str">
        <f>VLOOKUP(E712,DropDown!J:K,2,FALSE)</f>
        <v>#N/A</v>
      </c>
      <c r="H712" s="50"/>
      <c r="I712" s="50"/>
      <c r="J712" s="50"/>
      <c r="K712" s="25" t="s">
        <v>116</v>
      </c>
      <c r="L712" s="23"/>
      <c r="M712" s="23"/>
      <c r="N712" s="25" t="str">
        <f>"("""&amp;B712&amp;""") ("&amp;Vlookup(E712,DropDown!J:N,5,FALSE)&amp;" OR """ &amp;YEAR(D712) &amp; """ OR ""All New"" OR Episode OR Watch OR tv OR Show OR Series OR season OR binge OR Stream OR Film OR Movie OR Premiere OR Screening OR Feature OR Trailer OR Teaser OR theater OR release)"</f>
        <v>#N/A</v>
      </c>
      <c r="O712" s="23" t="str">
        <f t="shared" si="1"/>
        <v>#</v>
      </c>
      <c r="P712" s="23" t="str">
        <f t="shared" si="2"/>
        <v>#</v>
      </c>
      <c r="Q712" s="23"/>
      <c r="R712" s="23" t="str">
        <f>"("""&amp;B712&amp;""") ("&amp;Vlookup(E712,DropDown!R:V,5,FALSE)&amp;IF(ISBLANK(D712)," | "," "&amp;"OR """&amp;YEAR(D712)&amp;""" | ") &amp; """All New"" | Episode | Watch | tv | Show | Series | season | binge | Stream | Film | Movie | Premiere | Screening | Feature | Trailer | Teaser | theater | release)"</f>
        <v>#N/A</v>
      </c>
      <c r="S712" s="23"/>
      <c r="T712" s="23"/>
      <c r="U712" s="23"/>
      <c r="V712" s="23"/>
      <c r="W712" s="23"/>
      <c r="X712" s="38"/>
      <c r="Y712" s="38"/>
      <c r="Z712" s="38"/>
      <c r="AA712" s="38"/>
    </row>
    <row r="713">
      <c r="A713" s="31"/>
      <c r="B713" s="38"/>
      <c r="C713" s="38"/>
      <c r="D713" s="50"/>
      <c r="E713" s="50"/>
      <c r="F713" s="50"/>
      <c r="G713" s="27" t="str">
        <f>VLOOKUP(E713,DropDown!J:K,2,FALSE)</f>
        <v>#N/A</v>
      </c>
      <c r="H713" s="50"/>
      <c r="I713" s="50"/>
      <c r="J713" s="50"/>
      <c r="K713" s="25" t="s">
        <v>116</v>
      </c>
      <c r="L713" s="23"/>
      <c r="M713" s="23"/>
      <c r="N713" s="25" t="str">
        <f>"("""&amp;B713&amp;""") ("&amp;Vlookup(E713,DropDown!J:N,5,FALSE)&amp;" OR """ &amp;YEAR(D713) &amp; """ OR ""All New"" OR Episode OR Watch OR tv OR Show OR Series OR season OR binge OR Stream OR Film OR Movie OR Premiere OR Screening OR Feature OR Trailer OR Teaser OR theater OR release)"</f>
        <v>#N/A</v>
      </c>
      <c r="O713" s="23" t="str">
        <f t="shared" si="1"/>
        <v>#</v>
      </c>
      <c r="P713" s="23" t="str">
        <f t="shared" si="2"/>
        <v>#</v>
      </c>
      <c r="Q713" s="23"/>
      <c r="R713" s="23" t="str">
        <f>"("""&amp;B713&amp;""") ("&amp;Vlookup(E713,DropDown!R:V,5,FALSE)&amp;IF(ISBLANK(D713)," | "," "&amp;"OR """&amp;YEAR(D713)&amp;""" | ") &amp; """All New"" | Episode | Watch | tv | Show | Series | season | binge | Stream | Film | Movie | Premiere | Screening | Feature | Trailer | Teaser | theater | release)"</f>
        <v>#N/A</v>
      </c>
      <c r="S713" s="23"/>
      <c r="T713" s="23"/>
      <c r="U713" s="23"/>
      <c r="V713" s="23"/>
      <c r="W713" s="23"/>
      <c r="X713" s="38"/>
      <c r="Y713" s="38"/>
      <c r="Z713" s="38"/>
      <c r="AA713" s="38"/>
    </row>
    <row r="714">
      <c r="A714" s="31"/>
      <c r="B714" s="38"/>
      <c r="C714" s="38"/>
      <c r="D714" s="50"/>
      <c r="E714" s="50"/>
      <c r="F714" s="50"/>
      <c r="G714" s="27" t="str">
        <f>VLOOKUP(E714,DropDown!J:K,2,FALSE)</f>
        <v>#N/A</v>
      </c>
      <c r="H714" s="50"/>
      <c r="I714" s="50"/>
      <c r="J714" s="50"/>
      <c r="K714" s="25" t="s">
        <v>116</v>
      </c>
      <c r="L714" s="23"/>
      <c r="M714" s="23"/>
      <c r="N714" s="25" t="str">
        <f>"("""&amp;B714&amp;""") ("&amp;Vlookup(E714,DropDown!J:N,5,FALSE)&amp;" OR """ &amp;YEAR(D714) &amp; """ OR ""All New"" OR Episode OR Watch OR tv OR Show OR Series OR season OR binge OR Stream OR Film OR Movie OR Premiere OR Screening OR Feature OR Trailer OR Teaser OR theater OR release)"</f>
        <v>#N/A</v>
      </c>
      <c r="O714" s="23" t="str">
        <f t="shared" si="1"/>
        <v>#</v>
      </c>
      <c r="P714" s="23" t="str">
        <f t="shared" si="2"/>
        <v>#</v>
      </c>
      <c r="Q714" s="23"/>
      <c r="R714" s="23" t="str">
        <f>"("""&amp;B714&amp;""") ("&amp;Vlookup(E714,DropDown!R:V,5,FALSE)&amp;IF(ISBLANK(D714)," | "," "&amp;"OR """&amp;YEAR(D714)&amp;""" | ") &amp; """All New"" | Episode | Watch | tv | Show | Series | season | binge | Stream | Film | Movie | Premiere | Screening | Feature | Trailer | Teaser | theater | release)"</f>
        <v>#N/A</v>
      </c>
      <c r="S714" s="23"/>
      <c r="T714" s="23"/>
      <c r="U714" s="23"/>
      <c r="V714" s="23"/>
      <c r="W714" s="23"/>
      <c r="X714" s="38"/>
      <c r="Y714" s="38"/>
      <c r="Z714" s="38"/>
      <c r="AA714" s="38"/>
    </row>
    <row r="715">
      <c r="A715" s="31"/>
      <c r="B715" s="38"/>
      <c r="C715" s="38"/>
      <c r="D715" s="50"/>
      <c r="E715" s="50"/>
      <c r="F715" s="50"/>
      <c r="G715" s="27" t="str">
        <f>VLOOKUP(E715,DropDown!J:K,2,FALSE)</f>
        <v>#N/A</v>
      </c>
      <c r="H715" s="50"/>
      <c r="I715" s="50"/>
      <c r="J715" s="50"/>
      <c r="K715" s="25" t="s">
        <v>116</v>
      </c>
      <c r="L715" s="23"/>
      <c r="M715" s="23"/>
      <c r="N715" s="25" t="str">
        <f>"("""&amp;B715&amp;""") ("&amp;Vlookup(E715,DropDown!J:N,5,FALSE)&amp;" OR """ &amp;YEAR(D715) &amp; """ OR ""All New"" OR Episode OR Watch OR tv OR Show OR Series OR season OR binge OR Stream OR Film OR Movie OR Premiere OR Screening OR Feature OR Trailer OR Teaser OR theater OR release)"</f>
        <v>#N/A</v>
      </c>
      <c r="O715" s="23" t="str">
        <f t="shared" si="1"/>
        <v>#</v>
      </c>
      <c r="P715" s="23" t="str">
        <f t="shared" si="2"/>
        <v>#</v>
      </c>
      <c r="Q715" s="23"/>
      <c r="R715" s="23" t="str">
        <f>"("""&amp;B715&amp;""") ("&amp;Vlookup(E715,DropDown!R:V,5,FALSE)&amp;IF(ISBLANK(D715)," | "," "&amp;"OR """&amp;YEAR(D715)&amp;""" | ") &amp; """All New"" | Episode | Watch | tv | Show | Series | season | binge | Stream | Film | Movie | Premiere | Screening | Feature | Trailer | Teaser | theater | release)"</f>
        <v>#N/A</v>
      </c>
      <c r="S715" s="23"/>
      <c r="T715" s="23"/>
      <c r="U715" s="23"/>
      <c r="V715" s="23"/>
      <c r="W715" s="23"/>
      <c r="X715" s="38"/>
      <c r="Y715" s="38"/>
      <c r="Z715" s="38"/>
      <c r="AA715" s="38"/>
    </row>
    <row r="716">
      <c r="A716" s="31"/>
      <c r="B716" s="38"/>
      <c r="C716" s="38"/>
      <c r="D716" s="50"/>
      <c r="E716" s="50"/>
      <c r="F716" s="50"/>
      <c r="G716" s="27" t="str">
        <f>VLOOKUP(E716,DropDown!J:K,2,FALSE)</f>
        <v>#N/A</v>
      </c>
      <c r="H716" s="50"/>
      <c r="I716" s="50"/>
      <c r="J716" s="50"/>
      <c r="K716" s="25" t="s">
        <v>116</v>
      </c>
      <c r="L716" s="23"/>
      <c r="M716" s="23"/>
      <c r="N716" s="25" t="str">
        <f>"("""&amp;B716&amp;""") ("&amp;Vlookup(E716,DropDown!J:N,5,FALSE)&amp;" OR """ &amp;YEAR(D716) &amp; """ OR ""All New"" OR Episode OR Watch OR tv OR Show OR Series OR season OR binge OR Stream OR Film OR Movie OR Premiere OR Screening OR Feature OR Trailer OR Teaser OR theater OR release)"</f>
        <v>#N/A</v>
      </c>
      <c r="O716" s="23" t="str">
        <f t="shared" si="1"/>
        <v>#</v>
      </c>
      <c r="P716" s="23" t="str">
        <f t="shared" si="2"/>
        <v>#</v>
      </c>
      <c r="Q716" s="23"/>
      <c r="R716" s="23" t="str">
        <f>"("""&amp;B716&amp;""") ("&amp;Vlookup(E716,DropDown!R:V,5,FALSE)&amp;IF(ISBLANK(D716)," | "," "&amp;"OR """&amp;YEAR(D716)&amp;""" | ") &amp; """All New"" | Episode | Watch | tv | Show | Series | season | binge | Stream | Film | Movie | Premiere | Screening | Feature | Trailer | Teaser | theater | release)"</f>
        <v>#N/A</v>
      </c>
      <c r="S716" s="23"/>
      <c r="T716" s="23"/>
      <c r="U716" s="23"/>
      <c r="V716" s="23"/>
      <c r="W716" s="23"/>
      <c r="X716" s="38"/>
      <c r="Y716" s="38"/>
      <c r="Z716" s="38"/>
      <c r="AA716" s="38"/>
    </row>
    <row r="717">
      <c r="A717" s="31"/>
      <c r="B717" s="38"/>
      <c r="C717" s="38"/>
      <c r="D717" s="50"/>
      <c r="E717" s="50"/>
      <c r="F717" s="50"/>
      <c r="G717" s="27" t="str">
        <f>VLOOKUP(E717,DropDown!J:K,2,FALSE)</f>
        <v>#N/A</v>
      </c>
      <c r="H717" s="50"/>
      <c r="I717" s="50"/>
      <c r="J717" s="50"/>
      <c r="K717" s="25" t="s">
        <v>116</v>
      </c>
      <c r="L717" s="23"/>
      <c r="M717" s="23"/>
      <c r="N717" s="25" t="str">
        <f>"("""&amp;B717&amp;""") ("&amp;Vlookup(E717,DropDown!J:N,5,FALSE)&amp;" OR """ &amp;YEAR(D717) &amp; """ OR ""All New"" OR Episode OR Watch OR tv OR Show OR Series OR season OR binge OR Stream OR Film OR Movie OR Premiere OR Screening OR Feature OR Trailer OR Teaser OR theater OR release)"</f>
        <v>#N/A</v>
      </c>
      <c r="O717" s="23" t="str">
        <f t="shared" si="1"/>
        <v>#</v>
      </c>
      <c r="P717" s="23" t="str">
        <f t="shared" si="2"/>
        <v>#</v>
      </c>
      <c r="Q717" s="23"/>
      <c r="R717" s="23" t="str">
        <f>"("""&amp;B717&amp;""") ("&amp;Vlookup(E717,DropDown!R:V,5,FALSE)&amp;IF(ISBLANK(D717)," | "," "&amp;"OR """&amp;YEAR(D717)&amp;""" | ") &amp; """All New"" | Episode | Watch | tv | Show | Series | season | binge | Stream | Film | Movie | Premiere | Screening | Feature | Trailer | Teaser | theater | release)"</f>
        <v>#N/A</v>
      </c>
      <c r="S717" s="23"/>
      <c r="T717" s="23"/>
      <c r="U717" s="23"/>
      <c r="V717" s="23"/>
      <c r="W717" s="23"/>
      <c r="X717" s="38"/>
      <c r="Y717" s="38"/>
      <c r="Z717" s="38"/>
      <c r="AA717" s="38"/>
    </row>
    <row r="718">
      <c r="A718" s="31"/>
      <c r="B718" s="38"/>
      <c r="C718" s="38"/>
      <c r="D718" s="50"/>
      <c r="E718" s="50"/>
      <c r="F718" s="50"/>
      <c r="G718" s="27" t="str">
        <f>VLOOKUP(E718,DropDown!J:K,2,FALSE)</f>
        <v>#N/A</v>
      </c>
      <c r="H718" s="50"/>
      <c r="I718" s="50"/>
      <c r="J718" s="50"/>
      <c r="K718" s="25" t="s">
        <v>116</v>
      </c>
      <c r="L718" s="23"/>
      <c r="M718" s="23"/>
      <c r="N718" s="25" t="str">
        <f>"("""&amp;B718&amp;""") ("&amp;Vlookup(E718,DropDown!J:N,5,FALSE)&amp;" OR """ &amp;YEAR(D718) &amp; """ OR ""All New"" OR Episode OR Watch OR tv OR Show OR Series OR season OR binge OR Stream OR Film OR Movie OR Premiere OR Screening OR Feature OR Trailer OR Teaser OR theater OR release)"</f>
        <v>#N/A</v>
      </c>
      <c r="O718" s="23" t="str">
        <f t="shared" si="1"/>
        <v>#</v>
      </c>
      <c r="P718" s="23" t="str">
        <f t="shared" si="2"/>
        <v>#</v>
      </c>
      <c r="Q718" s="23"/>
      <c r="R718" s="23" t="str">
        <f>"("""&amp;B718&amp;""") ("&amp;Vlookup(E718,DropDown!R:V,5,FALSE)&amp;IF(ISBLANK(D718)," | "," "&amp;"OR """&amp;YEAR(D718)&amp;""" | ") &amp; """All New"" | Episode | Watch | tv | Show | Series | season | binge | Stream | Film | Movie | Premiere | Screening | Feature | Trailer | Teaser | theater | release)"</f>
        <v>#N/A</v>
      </c>
      <c r="S718" s="23"/>
      <c r="T718" s="23"/>
      <c r="U718" s="23"/>
      <c r="V718" s="23"/>
      <c r="W718" s="23"/>
      <c r="X718" s="38"/>
      <c r="Y718" s="38"/>
      <c r="Z718" s="38"/>
      <c r="AA718" s="38"/>
    </row>
    <row r="719">
      <c r="A719" s="31"/>
      <c r="B719" s="38"/>
      <c r="C719" s="38"/>
      <c r="D719" s="50"/>
      <c r="E719" s="50"/>
      <c r="F719" s="50"/>
      <c r="G719" s="27" t="str">
        <f>VLOOKUP(E719,DropDown!J:K,2,FALSE)</f>
        <v>#N/A</v>
      </c>
      <c r="H719" s="50"/>
      <c r="I719" s="50"/>
      <c r="J719" s="50"/>
      <c r="K719" s="25" t="s">
        <v>116</v>
      </c>
      <c r="L719" s="23"/>
      <c r="M719" s="23"/>
      <c r="N719" s="25" t="str">
        <f>"("""&amp;B719&amp;""") ("&amp;Vlookup(E719,DropDown!J:N,5,FALSE)&amp;" OR """ &amp;YEAR(D719) &amp; """ OR ""All New"" OR Episode OR Watch OR tv OR Show OR Series OR season OR binge OR Stream OR Film OR Movie OR Premiere OR Screening OR Feature OR Trailer OR Teaser OR theater OR release)"</f>
        <v>#N/A</v>
      </c>
      <c r="O719" s="23" t="str">
        <f t="shared" si="1"/>
        <v>#</v>
      </c>
      <c r="P719" s="23" t="str">
        <f t="shared" si="2"/>
        <v>#</v>
      </c>
      <c r="Q719" s="23"/>
      <c r="R719" s="23" t="str">
        <f>"("""&amp;B719&amp;""") ("&amp;Vlookup(E719,DropDown!R:V,5,FALSE)&amp;IF(ISBLANK(D719)," | "," "&amp;"OR """&amp;YEAR(D719)&amp;""" | ") &amp; """All New"" | Episode | Watch | tv | Show | Series | season | binge | Stream | Film | Movie | Premiere | Screening | Feature | Trailer | Teaser | theater | release)"</f>
        <v>#N/A</v>
      </c>
      <c r="S719" s="23"/>
      <c r="T719" s="23"/>
      <c r="U719" s="23"/>
      <c r="V719" s="23"/>
      <c r="W719" s="23"/>
      <c r="X719" s="38"/>
      <c r="Y719" s="38"/>
      <c r="Z719" s="38"/>
      <c r="AA719" s="38"/>
    </row>
    <row r="720">
      <c r="A720" s="31"/>
      <c r="B720" s="38"/>
      <c r="C720" s="38"/>
      <c r="D720" s="50"/>
      <c r="E720" s="50"/>
      <c r="F720" s="50"/>
      <c r="G720" s="27" t="str">
        <f>VLOOKUP(E720,DropDown!J:K,2,FALSE)</f>
        <v>#N/A</v>
      </c>
      <c r="H720" s="50"/>
      <c r="I720" s="50"/>
      <c r="J720" s="50"/>
      <c r="K720" s="25" t="s">
        <v>116</v>
      </c>
      <c r="L720" s="23"/>
      <c r="M720" s="23"/>
      <c r="N720" s="25" t="str">
        <f>"("""&amp;B720&amp;""") ("&amp;Vlookup(E720,DropDown!J:N,5,FALSE)&amp;" OR """ &amp;YEAR(D720) &amp; """ OR ""All New"" OR Episode OR Watch OR tv OR Show OR Series OR season OR binge OR Stream OR Film OR Movie OR Premiere OR Screening OR Feature OR Trailer OR Teaser OR theater OR release)"</f>
        <v>#N/A</v>
      </c>
      <c r="O720" s="23" t="str">
        <f t="shared" si="1"/>
        <v>#</v>
      </c>
      <c r="P720" s="23" t="str">
        <f t="shared" si="2"/>
        <v>#</v>
      </c>
      <c r="Q720" s="23"/>
      <c r="R720" s="23" t="str">
        <f>"("""&amp;B720&amp;""") ("&amp;Vlookup(E720,DropDown!R:V,5,FALSE)&amp;IF(ISBLANK(D720)," | "," "&amp;"OR """&amp;YEAR(D720)&amp;""" | ") &amp; """All New"" | Episode | Watch | tv | Show | Series | season | binge | Stream | Film | Movie | Premiere | Screening | Feature | Trailer | Teaser | theater | release)"</f>
        <v>#N/A</v>
      </c>
      <c r="S720" s="23"/>
      <c r="T720" s="23"/>
      <c r="U720" s="23"/>
      <c r="V720" s="23"/>
      <c r="W720" s="23"/>
      <c r="X720" s="38"/>
      <c r="Y720" s="38"/>
      <c r="Z720" s="38"/>
      <c r="AA720" s="38"/>
    </row>
    <row r="721">
      <c r="A721" s="31"/>
      <c r="B721" s="38"/>
      <c r="C721" s="38"/>
      <c r="D721" s="50"/>
      <c r="E721" s="50"/>
      <c r="F721" s="50"/>
      <c r="G721" s="27" t="str">
        <f>VLOOKUP(E721,DropDown!J:K,2,FALSE)</f>
        <v>#N/A</v>
      </c>
      <c r="H721" s="50"/>
      <c r="I721" s="50"/>
      <c r="J721" s="50"/>
      <c r="K721" s="25" t="s">
        <v>116</v>
      </c>
      <c r="L721" s="23"/>
      <c r="M721" s="23"/>
      <c r="N721" s="25" t="str">
        <f>"("""&amp;B721&amp;""") ("&amp;Vlookup(E721,DropDown!J:N,5,FALSE)&amp;" OR """ &amp;YEAR(D721) &amp; """ OR ""All New"" OR Episode OR Watch OR tv OR Show OR Series OR season OR binge OR Stream OR Film OR Movie OR Premiere OR Screening OR Feature OR Trailer OR Teaser OR theater OR release)"</f>
        <v>#N/A</v>
      </c>
      <c r="O721" s="23" t="str">
        <f t="shared" si="1"/>
        <v>#</v>
      </c>
      <c r="P721" s="23" t="str">
        <f t="shared" si="2"/>
        <v>#</v>
      </c>
      <c r="Q721" s="23"/>
      <c r="R721" s="23" t="str">
        <f>"("""&amp;B721&amp;""") ("&amp;Vlookup(E721,DropDown!R:V,5,FALSE)&amp;IF(ISBLANK(D721)," | "," "&amp;"OR """&amp;YEAR(D721)&amp;""" | ") &amp; """All New"" | Episode | Watch | tv | Show | Series | season | binge | Stream | Film | Movie | Premiere | Screening | Feature | Trailer | Teaser | theater | release)"</f>
        <v>#N/A</v>
      </c>
      <c r="S721" s="23"/>
      <c r="T721" s="23"/>
      <c r="U721" s="23"/>
      <c r="V721" s="23"/>
      <c r="W721" s="23"/>
      <c r="X721" s="38"/>
      <c r="Y721" s="38"/>
      <c r="Z721" s="38"/>
      <c r="AA721" s="38"/>
    </row>
    <row r="722">
      <c r="A722" s="31"/>
      <c r="B722" s="38"/>
      <c r="C722" s="38"/>
      <c r="D722" s="50"/>
      <c r="E722" s="50"/>
      <c r="F722" s="50"/>
      <c r="G722" s="27" t="str">
        <f>VLOOKUP(E722,DropDown!J:K,2,FALSE)</f>
        <v>#N/A</v>
      </c>
      <c r="H722" s="50"/>
      <c r="I722" s="50"/>
      <c r="J722" s="50"/>
      <c r="K722" s="25" t="s">
        <v>116</v>
      </c>
      <c r="L722" s="23"/>
      <c r="M722" s="23"/>
      <c r="N722" s="25" t="str">
        <f>"("""&amp;B722&amp;""") ("&amp;Vlookup(E722,DropDown!J:N,5,FALSE)&amp;" OR """ &amp;YEAR(D722) &amp; """ OR ""All New"" OR Episode OR Watch OR tv OR Show OR Series OR season OR binge OR Stream OR Film OR Movie OR Premiere OR Screening OR Feature OR Trailer OR Teaser OR theater OR release)"</f>
        <v>#N/A</v>
      </c>
      <c r="O722" s="23" t="str">
        <f t="shared" si="1"/>
        <v>#</v>
      </c>
      <c r="P722" s="23" t="str">
        <f t="shared" si="2"/>
        <v>#</v>
      </c>
      <c r="Q722" s="23"/>
      <c r="R722" s="23" t="str">
        <f>"("""&amp;B722&amp;""") ("&amp;Vlookup(E722,DropDown!R:V,5,FALSE)&amp;IF(ISBLANK(D722)," | "," "&amp;"OR """&amp;YEAR(D722)&amp;""" | ") &amp; """All New"" | Episode | Watch | tv | Show | Series | season | binge | Stream | Film | Movie | Premiere | Screening | Feature | Trailer | Teaser | theater | release)"</f>
        <v>#N/A</v>
      </c>
      <c r="S722" s="23"/>
      <c r="T722" s="23"/>
      <c r="U722" s="23"/>
      <c r="V722" s="23"/>
      <c r="W722" s="23"/>
      <c r="X722" s="38"/>
      <c r="Y722" s="38"/>
      <c r="Z722" s="38"/>
      <c r="AA722" s="38"/>
    </row>
    <row r="723">
      <c r="A723" s="31"/>
      <c r="B723" s="38"/>
      <c r="C723" s="38"/>
      <c r="D723" s="50"/>
      <c r="E723" s="50"/>
      <c r="F723" s="50"/>
      <c r="G723" s="27" t="str">
        <f>VLOOKUP(E723,DropDown!J:K,2,FALSE)</f>
        <v>#N/A</v>
      </c>
      <c r="H723" s="50"/>
      <c r="I723" s="50"/>
      <c r="J723" s="50"/>
      <c r="K723" s="25" t="s">
        <v>116</v>
      </c>
      <c r="L723" s="23"/>
      <c r="M723" s="23"/>
      <c r="N723" s="25" t="str">
        <f>"("""&amp;B723&amp;""") ("&amp;Vlookup(E723,DropDown!J:N,5,FALSE)&amp;" OR """ &amp;YEAR(D723) &amp; """ OR ""All New"" OR Episode OR Watch OR tv OR Show OR Series OR season OR binge OR Stream OR Film OR Movie OR Premiere OR Screening OR Feature OR Trailer OR Teaser OR theater OR release)"</f>
        <v>#N/A</v>
      </c>
      <c r="O723" s="23" t="str">
        <f t="shared" si="1"/>
        <v>#</v>
      </c>
      <c r="P723" s="23" t="str">
        <f t="shared" si="2"/>
        <v>#</v>
      </c>
      <c r="Q723" s="23"/>
      <c r="R723" s="23" t="str">
        <f>"("""&amp;B723&amp;""") ("&amp;Vlookup(E723,DropDown!R:V,5,FALSE)&amp;IF(ISBLANK(D723)," | "," "&amp;"OR """&amp;YEAR(D723)&amp;""" | ") &amp; """All New"" | Episode | Watch | tv | Show | Series | season | binge | Stream | Film | Movie | Premiere | Screening | Feature | Trailer | Teaser | theater | release)"</f>
        <v>#N/A</v>
      </c>
      <c r="S723" s="23"/>
      <c r="T723" s="23"/>
      <c r="U723" s="23"/>
      <c r="V723" s="23"/>
      <c r="W723" s="23"/>
      <c r="X723" s="38"/>
      <c r="Y723" s="38"/>
      <c r="Z723" s="38"/>
      <c r="AA723" s="38"/>
    </row>
    <row r="724">
      <c r="A724" s="31"/>
      <c r="B724" s="38"/>
      <c r="C724" s="38"/>
      <c r="D724" s="50"/>
      <c r="E724" s="50"/>
      <c r="F724" s="50"/>
      <c r="G724" s="27" t="str">
        <f>VLOOKUP(E724,DropDown!J:K,2,FALSE)</f>
        <v>#N/A</v>
      </c>
      <c r="H724" s="50"/>
      <c r="I724" s="50"/>
      <c r="J724" s="50"/>
      <c r="K724" s="25" t="s">
        <v>116</v>
      </c>
      <c r="L724" s="23"/>
      <c r="M724" s="23"/>
      <c r="N724" s="25" t="str">
        <f>"("""&amp;B724&amp;""") ("&amp;Vlookup(E724,DropDown!J:N,5,FALSE)&amp;" OR """ &amp;YEAR(D724) &amp; """ OR ""All New"" OR Episode OR Watch OR tv OR Show OR Series OR season OR binge OR Stream OR Film OR Movie OR Premiere OR Screening OR Feature OR Trailer OR Teaser OR theater OR release)"</f>
        <v>#N/A</v>
      </c>
      <c r="O724" s="23" t="str">
        <f t="shared" si="1"/>
        <v>#</v>
      </c>
      <c r="P724" s="23" t="str">
        <f t="shared" si="2"/>
        <v>#</v>
      </c>
      <c r="Q724" s="23"/>
      <c r="R724" s="23" t="str">
        <f>"("""&amp;B724&amp;""") ("&amp;Vlookup(E724,DropDown!R:V,5,FALSE)&amp;IF(ISBLANK(D724)," | "," "&amp;"OR """&amp;YEAR(D724)&amp;""" | ") &amp; """All New"" | Episode | Watch | tv | Show | Series | season | binge | Stream | Film | Movie | Premiere | Screening | Feature | Trailer | Teaser | theater | release)"</f>
        <v>#N/A</v>
      </c>
      <c r="S724" s="23"/>
      <c r="T724" s="23"/>
      <c r="U724" s="23"/>
      <c r="V724" s="23"/>
      <c r="W724" s="23"/>
      <c r="X724" s="38"/>
      <c r="Y724" s="38"/>
      <c r="Z724" s="38"/>
      <c r="AA724" s="38"/>
    </row>
    <row r="725">
      <c r="A725" s="31"/>
      <c r="B725" s="38"/>
      <c r="C725" s="38"/>
      <c r="D725" s="50"/>
      <c r="E725" s="50"/>
      <c r="F725" s="50"/>
      <c r="G725" s="27" t="str">
        <f>VLOOKUP(E725,DropDown!J:K,2,FALSE)</f>
        <v>#N/A</v>
      </c>
      <c r="H725" s="50"/>
      <c r="I725" s="50"/>
      <c r="J725" s="50"/>
      <c r="K725" s="25" t="s">
        <v>116</v>
      </c>
      <c r="L725" s="23"/>
      <c r="M725" s="23"/>
      <c r="N725" s="25" t="str">
        <f>"("""&amp;B725&amp;""") ("&amp;Vlookup(E725,DropDown!J:N,5,FALSE)&amp;" OR """ &amp;YEAR(D725) &amp; """ OR ""All New"" OR Episode OR Watch OR tv OR Show OR Series OR season OR binge OR Stream OR Film OR Movie OR Premiere OR Screening OR Feature OR Trailer OR Teaser OR theater OR release)"</f>
        <v>#N/A</v>
      </c>
      <c r="O725" s="23" t="str">
        <f t="shared" si="1"/>
        <v>#</v>
      </c>
      <c r="P725" s="23" t="str">
        <f t="shared" si="2"/>
        <v>#</v>
      </c>
      <c r="Q725" s="23"/>
      <c r="R725" s="23" t="str">
        <f>"("""&amp;B725&amp;""") ("&amp;Vlookup(E725,DropDown!R:V,5,FALSE)&amp;IF(ISBLANK(D725)," | "," "&amp;"OR """&amp;YEAR(D725)&amp;""" | ") &amp; """All New"" | Episode | Watch | tv | Show | Series | season | binge | Stream | Film | Movie | Premiere | Screening | Feature | Trailer | Teaser | theater | release)"</f>
        <v>#N/A</v>
      </c>
      <c r="S725" s="23"/>
      <c r="T725" s="23"/>
      <c r="U725" s="23"/>
      <c r="V725" s="23"/>
      <c r="W725" s="23"/>
      <c r="X725" s="38"/>
      <c r="Y725" s="38"/>
      <c r="Z725" s="38"/>
      <c r="AA725" s="38"/>
    </row>
    <row r="726">
      <c r="A726" s="31"/>
      <c r="B726" s="38"/>
      <c r="C726" s="38"/>
      <c r="D726" s="50"/>
      <c r="E726" s="50"/>
      <c r="F726" s="50"/>
      <c r="G726" s="27" t="str">
        <f>VLOOKUP(E726,DropDown!J:K,2,FALSE)</f>
        <v>#N/A</v>
      </c>
      <c r="H726" s="50"/>
      <c r="I726" s="50"/>
      <c r="J726" s="50"/>
      <c r="K726" s="25" t="s">
        <v>116</v>
      </c>
      <c r="L726" s="23"/>
      <c r="M726" s="23"/>
      <c r="N726" s="25" t="str">
        <f>"("""&amp;B726&amp;""") ("&amp;Vlookup(E726,DropDown!J:N,5,FALSE)&amp;" OR """ &amp;YEAR(D726) &amp; """ OR ""All New"" OR Episode OR Watch OR tv OR Show OR Series OR season OR binge OR Stream OR Film OR Movie OR Premiere OR Screening OR Feature OR Trailer OR Teaser OR theater OR release)"</f>
        <v>#N/A</v>
      </c>
      <c r="O726" s="23" t="str">
        <f t="shared" si="1"/>
        <v>#</v>
      </c>
      <c r="P726" s="23" t="str">
        <f t="shared" si="2"/>
        <v>#</v>
      </c>
      <c r="Q726" s="23"/>
      <c r="R726" s="23" t="str">
        <f>"("""&amp;B726&amp;""") ("&amp;Vlookup(E726,DropDown!R:V,5,FALSE)&amp;IF(ISBLANK(D726)," | "," "&amp;"OR """&amp;YEAR(D726)&amp;""" | ") &amp; """All New"" | Episode | Watch | tv | Show | Series | season | binge | Stream | Film | Movie | Premiere | Screening | Feature | Trailer | Teaser | theater | release)"</f>
        <v>#N/A</v>
      </c>
      <c r="S726" s="23"/>
      <c r="T726" s="23"/>
      <c r="U726" s="23"/>
      <c r="V726" s="23"/>
      <c r="W726" s="23"/>
      <c r="X726" s="38"/>
      <c r="Y726" s="38"/>
      <c r="Z726" s="38"/>
      <c r="AA726" s="38"/>
    </row>
    <row r="727">
      <c r="A727" s="31"/>
      <c r="B727" s="38"/>
      <c r="C727" s="38"/>
      <c r="D727" s="50"/>
      <c r="E727" s="50"/>
      <c r="F727" s="50"/>
      <c r="G727" s="27" t="str">
        <f>VLOOKUP(E727,DropDown!J:K,2,FALSE)</f>
        <v>#N/A</v>
      </c>
      <c r="H727" s="50"/>
      <c r="I727" s="50"/>
      <c r="J727" s="50"/>
      <c r="K727" s="25" t="s">
        <v>116</v>
      </c>
      <c r="L727" s="23"/>
      <c r="M727" s="23"/>
      <c r="N727" s="25" t="str">
        <f>"("""&amp;B727&amp;""") ("&amp;Vlookup(E727,DropDown!J:N,5,FALSE)&amp;" OR """ &amp;YEAR(D727) &amp; """ OR ""All New"" OR Episode OR Watch OR tv OR Show OR Series OR season OR binge OR Stream OR Film OR Movie OR Premiere OR Screening OR Feature OR Trailer OR Teaser OR theater OR release)"</f>
        <v>#N/A</v>
      </c>
      <c r="O727" s="23" t="str">
        <f t="shared" si="1"/>
        <v>#</v>
      </c>
      <c r="P727" s="23" t="str">
        <f t="shared" si="2"/>
        <v>#</v>
      </c>
      <c r="Q727" s="23"/>
      <c r="R727" s="23" t="str">
        <f>"("""&amp;B727&amp;""") ("&amp;Vlookup(E727,DropDown!R:V,5,FALSE)&amp;IF(ISBLANK(D727)," | "," "&amp;"OR """&amp;YEAR(D727)&amp;""" | ") &amp; """All New"" | Episode | Watch | tv | Show | Series | season | binge | Stream | Film | Movie | Premiere | Screening | Feature | Trailer | Teaser | theater | release)"</f>
        <v>#N/A</v>
      </c>
      <c r="S727" s="23"/>
      <c r="T727" s="23"/>
      <c r="U727" s="23"/>
      <c r="V727" s="23"/>
      <c r="W727" s="23"/>
      <c r="X727" s="38"/>
      <c r="Y727" s="38"/>
      <c r="Z727" s="38"/>
      <c r="AA727" s="38"/>
    </row>
    <row r="728">
      <c r="A728" s="31"/>
      <c r="B728" s="38"/>
      <c r="C728" s="38"/>
      <c r="D728" s="50"/>
      <c r="E728" s="50"/>
      <c r="F728" s="50"/>
      <c r="G728" s="27" t="str">
        <f>VLOOKUP(E728,DropDown!J:K,2,FALSE)</f>
        <v>#N/A</v>
      </c>
      <c r="H728" s="50"/>
      <c r="I728" s="50"/>
      <c r="J728" s="50"/>
      <c r="K728" s="25" t="s">
        <v>116</v>
      </c>
      <c r="L728" s="23"/>
      <c r="M728" s="23"/>
      <c r="N728" s="25" t="str">
        <f>"("""&amp;B728&amp;""") ("&amp;Vlookup(E728,DropDown!J:N,5,FALSE)&amp;" OR """ &amp;YEAR(D728) &amp; """ OR ""All New"" OR Episode OR Watch OR tv OR Show OR Series OR season OR binge OR Stream OR Film OR Movie OR Premiere OR Screening OR Feature OR Trailer OR Teaser OR theater OR release)"</f>
        <v>#N/A</v>
      </c>
      <c r="O728" s="23" t="str">
        <f t="shared" si="1"/>
        <v>#</v>
      </c>
      <c r="P728" s="23" t="str">
        <f t="shared" si="2"/>
        <v>#</v>
      </c>
      <c r="Q728" s="23"/>
      <c r="R728" s="23" t="str">
        <f>"("""&amp;B728&amp;""") ("&amp;Vlookup(E728,DropDown!R:V,5,FALSE)&amp;IF(ISBLANK(D728)," | "," "&amp;"OR """&amp;YEAR(D728)&amp;""" | ") &amp; """All New"" | Episode | Watch | tv | Show | Series | season | binge | Stream | Film | Movie | Premiere | Screening | Feature | Trailer | Teaser | theater | release)"</f>
        <v>#N/A</v>
      </c>
      <c r="S728" s="23"/>
      <c r="T728" s="23"/>
      <c r="U728" s="23"/>
      <c r="V728" s="23"/>
      <c r="W728" s="23"/>
      <c r="X728" s="38"/>
      <c r="Y728" s="38"/>
      <c r="Z728" s="38"/>
      <c r="AA728" s="38"/>
    </row>
    <row r="729">
      <c r="A729" s="31"/>
      <c r="B729" s="38"/>
      <c r="C729" s="38"/>
      <c r="D729" s="50"/>
      <c r="E729" s="50"/>
      <c r="F729" s="50"/>
      <c r="G729" s="27" t="str">
        <f>VLOOKUP(E729,DropDown!J:K,2,FALSE)</f>
        <v>#N/A</v>
      </c>
      <c r="H729" s="50"/>
      <c r="I729" s="50"/>
      <c r="J729" s="50"/>
      <c r="K729" s="25" t="s">
        <v>116</v>
      </c>
      <c r="L729" s="23"/>
      <c r="M729" s="23"/>
      <c r="N729" s="25" t="str">
        <f>"("""&amp;B729&amp;""") ("&amp;Vlookup(E729,DropDown!J:N,5,FALSE)&amp;" OR """ &amp;YEAR(D729) &amp; """ OR ""All New"" OR Episode OR Watch OR tv OR Show OR Series OR season OR binge OR Stream OR Film OR Movie OR Premiere OR Screening OR Feature OR Trailer OR Teaser OR theater OR release)"</f>
        <v>#N/A</v>
      </c>
      <c r="O729" s="23" t="str">
        <f t="shared" si="1"/>
        <v>#</v>
      </c>
      <c r="P729" s="23" t="str">
        <f t="shared" si="2"/>
        <v>#</v>
      </c>
      <c r="Q729" s="23"/>
      <c r="R729" s="23" t="str">
        <f>"("""&amp;B729&amp;""") ("&amp;Vlookup(E729,DropDown!R:V,5,FALSE)&amp;IF(ISBLANK(D729)," | "," "&amp;"OR """&amp;YEAR(D729)&amp;""" | ") &amp; """All New"" | Episode | Watch | tv | Show | Series | season | binge | Stream | Film | Movie | Premiere | Screening | Feature | Trailer | Teaser | theater | release)"</f>
        <v>#N/A</v>
      </c>
      <c r="S729" s="23"/>
      <c r="T729" s="23"/>
      <c r="U729" s="23"/>
      <c r="V729" s="23"/>
      <c r="W729" s="23"/>
      <c r="X729" s="38"/>
      <c r="Y729" s="38"/>
      <c r="Z729" s="38"/>
      <c r="AA729" s="38"/>
    </row>
    <row r="730">
      <c r="A730" s="31"/>
      <c r="B730" s="38"/>
      <c r="C730" s="38"/>
      <c r="D730" s="50"/>
      <c r="E730" s="50"/>
      <c r="F730" s="50"/>
      <c r="G730" s="27" t="str">
        <f>VLOOKUP(E730,DropDown!J:K,2,FALSE)</f>
        <v>#N/A</v>
      </c>
      <c r="H730" s="50"/>
      <c r="I730" s="50"/>
      <c r="J730" s="50"/>
      <c r="K730" s="25" t="s">
        <v>116</v>
      </c>
      <c r="L730" s="23"/>
      <c r="M730" s="23"/>
      <c r="N730" s="25" t="str">
        <f>"("""&amp;B730&amp;""") ("&amp;Vlookup(E730,DropDown!J:N,5,FALSE)&amp;" OR """ &amp;YEAR(D730) &amp; """ OR ""All New"" OR Episode OR Watch OR tv OR Show OR Series OR season OR binge OR Stream OR Film OR Movie OR Premiere OR Screening OR Feature OR Trailer OR Teaser OR theater OR release)"</f>
        <v>#N/A</v>
      </c>
      <c r="O730" s="23" t="str">
        <f t="shared" si="1"/>
        <v>#</v>
      </c>
      <c r="P730" s="23" t="str">
        <f t="shared" si="2"/>
        <v>#</v>
      </c>
      <c r="Q730" s="23"/>
      <c r="R730" s="23" t="str">
        <f>"("""&amp;B730&amp;""") ("&amp;Vlookup(E730,DropDown!R:V,5,FALSE)&amp;IF(ISBLANK(D730)," | "," "&amp;"OR """&amp;YEAR(D730)&amp;""" | ") &amp; """All New"" | Episode | Watch | tv | Show | Series | season | binge | Stream | Film | Movie | Premiere | Screening | Feature | Trailer | Teaser | theater | release)"</f>
        <v>#N/A</v>
      </c>
      <c r="S730" s="23"/>
      <c r="T730" s="23"/>
      <c r="U730" s="23"/>
      <c r="V730" s="23"/>
      <c r="W730" s="23"/>
      <c r="X730" s="38"/>
      <c r="Y730" s="38"/>
      <c r="Z730" s="38"/>
      <c r="AA730" s="38"/>
    </row>
    <row r="731">
      <c r="A731" s="31"/>
      <c r="B731" s="38"/>
      <c r="C731" s="38"/>
      <c r="D731" s="50"/>
      <c r="E731" s="50"/>
      <c r="F731" s="50"/>
      <c r="G731" s="27" t="str">
        <f>VLOOKUP(E731,DropDown!J:K,2,FALSE)</f>
        <v>#N/A</v>
      </c>
      <c r="H731" s="50"/>
      <c r="I731" s="50"/>
      <c r="J731" s="50"/>
      <c r="K731" s="25" t="s">
        <v>116</v>
      </c>
      <c r="L731" s="23"/>
      <c r="M731" s="23"/>
      <c r="N731" s="25" t="str">
        <f>"("""&amp;B731&amp;""") ("&amp;Vlookup(E731,DropDown!J:N,5,FALSE)&amp;" OR """ &amp;YEAR(D731) &amp; """ OR ""All New"" OR Episode OR Watch OR tv OR Show OR Series OR season OR binge OR Stream OR Film OR Movie OR Premiere OR Screening OR Feature OR Trailer OR Teaser OR theater OR release)"</f>
        <v>#N/A</v>
      </c>
      <c r="O731" s="23" t="str">
        <f t="shared" si="1"/>
        <v>#</v>
      </c>
      <c r="P731" s="23" t="str">
        <f t="shared" si="2"/>
        <v>#</v>
      </c>
      <c r="Q731" s="23"/>
      <c r="R731" s="23" t="str">
        <f>"("""&amp;B731&amp;""") ("&amp;Vlookup(E731,DropDown!R:V,5,FALSE)&amp;IF(ISBLANK(D731)," | "," "&amp;"OR """&amp;YEAR(D731)&amp;""" | ") &amp; """All New"" | Episode | Watch | tv | Show | Series | season | binge | Stream | Film | Movie | Premiere | Screening | Feature | Trailer | Teaser | theater | release)"</f>
        <v>#N/A</v>
      </c>
      <c r="S731" s="23"/>
      <c r="T731" s="23"/>
      <c r="U731" s="23"/>
      <c r="V731" s="23"/>
      <c r="W731" s="23"/>
      <c r="X731" s="38"/>
      <c r="Y731" s="38"/>
      <c r="Z731" s="38"/>
      <c r="AA731" s="38"/>
    </row>
    <row r="732">
      <c r="A732" s="31"/>
      <c r="B732" s="38"/>
      <c r="C732" s="38"/>
      <c r="D732" s="50"/>
      <c r="E732" s="50"/>
      <c r="F732" s="50"/>
      <c r="G732" s="27" t="str">
        <f>VLOOKUP(E732,DropDown!J:K,2,FALSE)</f>
        <v>#N/A</v>
      </c>
      <c r="H732" s="50"/>
      <c r="I732" s="50"/>
      <c r="J732" s="50"/>
      <c r="K732" s="25" t="s">
        <v>116</v>
      </c>
      <c r="L732" s="23"/>
      <c r="M732" s="23"/>
      <c r="N732" s="25" t="str">
        <f>"("""&amp;B732&amp;""") ("&amp;Vlookup(E732,DropDown!J:N,5,FALSE)&amp;" OR """ &amp;YEAR(D732) &amp; """ OR ""All New"" OR Episode OR Watch OR tv OR Show OR Series OR season OR binge OR Stream OR Film OR Movie OR Premiere OR Screening OR Feature OR Trailer OR Teaser OR theater OR release)"</f>
        <v>#N/A</v>
      </c>
      <c r="O732" s="23" t="str">
        <f t="shared" si="1"/>
        <v>#</v>
      </c>
      <c r="P732" s="23" t="str">
        <f t="shared" si="2"/>
        <v>#</v>
      </c>
      <c r="Q732" s="23"/>
      <c r="R732" s="23" t="str">
        <f>"("""&amp;B732&amp;""") ("&amp;Vlookup(E732,DropDown!R:V,5,FALSE)&amp;IF(ISBLANK(D732)," | "," "&amp;"OR """&amp;YEAR(D732)&amp;""" | ") &amp; """All New"" | Episode | Watch | tv | Show | Series | season | binge | Stream | Film | Movie | Premiere | Screening | Feature | Trailer | Teaser | theater | release)"</f>
        <v>#N/A</v>
      </c>
      <c r="S732" s="23"/>
      <c r="T732" s="23"/>
      <c r="U732" s="23"/>
      <c r="V732" s="23"/>
      <c r="W732" s="23"/>
      <c r="X732" s="38"/>
      <c r="Y732" s="38"/>
      <c r="Z732" s="38"/>
      <c r="AA732" s="38"/>
    </row>
    <row r="733">
      <c r="A733" s="31"/>
      <c r="B733" s="38"/>
      <c r="C733" s="38"/>
      <c r="D733" s="50"/>
      <c r="E733" s="50"/>
      <c r="F733" s="50"/>
      <c r="G733" s="27" t="str">
        <f>VLOOKUP(E733,DropDown!J:K,2,FALSE)</f>
        <v>#N/A</v>
      </c>
      <c r="H733" s="50"/>
      <c r="I733" s="50"/>
      <c r="J733" s="50"/>
      <c r="K733" s="25" t="s">
        <v>116</v>
      </c>
      <c r="L733" s="23"/>
      <c r="M733" s="23"/>
      <c r="N733" s="25" t="str">
        <f>"("""&amp;B733&amp;""") ("&amp;Vlookup(E733,DropDown!J:N,5,FALSE)&amp;" OR """ &amp;YEAR(D733) &amp; """ OR ""All New"" OR Episode OR Watch OR tv OR Show OR Series OR season OR binge OR Stream OR Film OR Movie OR Premiere OR Screening OR Feature OR Trailer OR Teaser OR theater OR release)"</f>
        <v>#N/A</v>
      </c>
      <c r="O733" s="23" t="str">
        <f t="shared" si="1"/>
        <v>#</v>
      </c>
      <c r="P733" s="23" t="str">
        <f t="shared" si="2"/>
        <v>#</v>
      </c>
      <c r="Q733" s="23"/>
      <c r="R733" s="23" t="str">
        <f>"("""&amp;B733&amp;""") ("&amp;Vlookup(E733,DropDown!R:V,5,FALSE)&amp;IF(ISBLANK(D733)," | "," "&amp;"OR """&amp;YEAR(D733)&amp;""" | ") &amp; """All New"" | Episode | Watch | tv | Show | Series | season | binge | Stream | Film | Movie | Premiere | Screening | Feature | Trailer | Teaser | theater | release)"</f>
        <v>#N/A</v>
      </c>
      <c r="S733" s="23"/>
      <c r="T733" s="23"/>
      <c r="U733" s="23"/>
      <c r="V733" s="23"/>
      <c r="W733" s="23"/>
      <c r="X733" s="38"/>
      <c r="Y733" s="38"/>
      <c r="Z733" s="38"/>
      <c r="AA733" s="38"/>
    </row>
    <row r="734">
      <c r="A734" s="31"/>
      <c r="B734" s="38"/>
      <c r="C734" s="38"/>
      <c r="D734" s="50"/>
      <c r="E734" s="50"/>
      <c r="F734" s="50"/>
      <c r="G734" s="27" t="str">
        <f>VLOOKUP(E734,DropDown!J:K,2,FALSE)</f>
        <v>#N/A</v>
      </c>
      <c r="H734" s="50"/>
      <c r="I734" s="50"/>
      <c r="J734" s="50"/>
      <c r="K734" s="25" t="s">
        <v>116</v>
      </c>
      <c r="L734" s="23"/>
      <c r="M734" s="23"/>
      <c r="N734" s="25" t="str">
        <f>"("""&amp;B734&amp;""") ("&amp;Vlookup(E734,DropDown!J:N,5,FALSE)&amp;" OR """ &amp;YEAR(D734) &amp; """ OR ""All New"" OR Episode OR Watch OR tv OR Show OR Series OR season OR binge OR Stream OR Film OR Movie OR Premiere OR Screening OR Feature OR Trailer OR Teaser OR theater OR release)"</f>
        <v>#N/A</v>
      </c>
      <c r="O734" s="23" t="str">
        <f t="shared" si="1"/>
        <v>#</v>
      </c>
      <c r="P734" s="23" t="str">
        <f t="shared" si="2"/>
        <v>#</v>
      </c>
      <c r="Q734" s="23"/>
      <c r="R734" s="23" t="str">
        <f>"("""&amp;B734&amp;""") ("&amp;Vlookup(E734,DropDown!R:V,5,FALSE)&amp;IF(ISBLANK(D734)," | "," "&amp;"OR """&amp;YEAR(D734)&amp;""" | ") &amp; """All New"" | Episode | Watch | tv | Show | Series | season | binge | Stream | Film | Movie | Premiere | Screening | Feature | Trailer | Teaser | theater | release)"</f>
        <v>#N/A</v>
      </c>
      <c r="S734" s="23"/>
      <c r="T734" s="23"/>
      <c r="U734" s="23"/>
      <c r="V734" s="23"/>
      <c r="W734" s="23"/>
      <c r="X734" s="38"/>
      <c r="Y734" s="38"/>
      <c r="Z734" s="38"/>
      <c r="AA734" s="38"/>
    </row>
    <row r="735">
      <c r="A735" s="31"/>
      <c r="B735" s="38"/>
      <c r="C735" s="38"/>
      <c r="D735" s="50"/>
      <c r="E735" s="50"/>
      <c r="F735" s="50"/>
      <c r="G735" s="27" t="str">
        <f>VLOOKUP(E735,DropDown!J:K,2,FALSE)</f>
        <v>#N/A</v>
      </c>
      <c r="H735" s="50"/>
      <c r="I735" s="50"/>
      <c r="J735" s="50"/>
      <c r="K735" s="25" t="s">
        <v>116</v>
      </c>
      <c r="L735" s="23"/>
      <c r="M735" s="23"/>
      <c r="N735" s="25" t="str">
        <f>"("""&amp;B735&amp;""") ("&amp;Vlookup(E735,DropDown!J:N,5,FALSE)&amp;" OR """ &amp;YEAR(D735) &amp; """ OR ""All New"" OR Episode OR Watch OR tv OR Show OR Series OR season OR binge OR Stream OR Film OR Movie OR Premiere OR Screening OR Feature OR Trailer OR Teaser OR theater OR release)"</f>
        <v>#N/A</v>
      </c>
      <c r="O735" s="23" t="str">
        <f t="shared" si="1"/>
        <v>#</v>
      </c>
      <c r="P735" s="23" t="str">
        <f t="shared" si="2"/>
        <v>#</v>
      </c>
      <c r="Q735" s="23"/>
      <c r="R735" s="23" t="str">
        <f>"("""&amp;B735&amp;""") ("&amp;Vlookup(E735,DropDown!R:V,5,FALSE)&amp;IF(ISBLANK(D735)," | "," "&amp;"OR """&amp;YEAR(D735)&amp;""" | ") &amp; """All New"" | Episode | Watch | tv | Show | Series | season | binge | Stream | Film | Movie | Premiere | Screening | Feature | Trailer | Teaser | theater | release)"</f>
        <v>#N/A</v>
      </c>
      <c r="S735" s="23"/>
      <c r="T735" s="23"/>
      <c r="U735" s="23"/>
      <c r="V735" s="23"/>
      <c r="W735" s="23"/>
      <c r="X735" s="38"/>
      <c r="Y735" s="38"/>
      <c r="Z735" s="38"/>
      <c r="AA735" s="38"/>
    </row>
    <row r="736">
      <c r="A736" s="31"/>
      <c r="B736" s="38"/>
      <c r="C736" s="38"/>
      <c r="D736" s="50"/>
      <c r="E736" s="50"/>
      <c r="F736" s="50"/>
      <c r="G736" s="27" t="str">
        <f>VLOOKUP(E736,DropDown!J:K,2,FALSE)</f>
        <v>#N/A</v>
      </c>
      <c r="H736" s="50"/>
      <c r="I736" s="50"/>
      <c r="J736" s="50"/>
      <c r="K736" s="25" t="s">
        <v>116</v>
      </c>
      <c r="L736" s="23"/>
      <c r="M736" s="23"/>
      <c r="N736" s="25" t="str">
        <f>"("""&amp;B736&amp;""") ("&amp;Vlookup(E736,DropDown!J:N,5,FALSE)&amp;" OR """ &amp;YEAR(D736) &amp; """ OR ""All New"" OR Episode OR Watch OR tv OR Show OR Series OR season OR binge OR Stream OR Film OR Movie OR Premiere OR Screening OR Feature OR Trailer OR Teaser OR theater OR release)"</f>
        <v>#N/A</v>
      </c>
      <c r="O736" s="23" t="str">
        <f t="shared" si="1"/>
        <v>#</v>
      </c>
      <c r="P736" s="23" t="str">
        <f t="shared" si="2"/>
        <v>#</v>
      </c>
      <c r="Q736" s="23"/>
      <c r="R736" s="23" t="str">
        <f>"("""&amp;B736&amp;""") ("&amp;Vlookup(E736,DropDown!R:V,5,FALSE)&amp;IF(ISBLANK(D736)," | "," "&amp;"OR """&amp;YEAR(D736)&amp;""" | ") &amp; """All New"" | Episode | Watch | tv | Show | Series | season | binge | Stream | Film | Movie | Premiere | Screening | Feature | Trailer | Teaser | theater | release)"</f>
        <v>#N/A</v>
      </c>
      <c r="S736" s="23"/>
      <c r="T736" s="23"/>
      <c r="U736" s="23"/>
      <c r="V736" s="23"/>
      <c r="W736" s="23"/>
      <c r="X736" s="38"/>
      <c r="Y736" s="38"/>
      <c r="Z736" s="38"/>
      <c r="AA736" s="38"/>
    </row>
    <row r="737">
      <c r="A737" s="31"/>
      <c r="B737" s="38"/>
      <c r="C737" s="38"/>
      <c r="D737" s="50"/>
      <c r="E737" s="50"/>
      <c r="F737" s="50"/>
      <c r="G737" s="27" t="str">
        <f>VLOOKUP(E737,DropDown!J:K,2,FALSE)</f>
        <v>#N/A</v>
      </c>
      <c r="H737" s="50"/>
      <c r="I737" s="50"/>
      <c r="J737" s="50"/>
      <c r="K737" s="25" t="s">
        <v>116</v>
      </c>
      <c r="L737" s="23"/>
      <c r="M737" s="23"/>
      <c r="N737" s="25" t="str">
        <f>"("""&amp;B737&amp;""") ("&amp;Vlookup(E737,DropDown!J:N,5,FALSE)&amp;" OR """ &amp;YEAR(D737) &amp; """ OR ""All New"" OR Episode OR Watch OR tv OR Show OR Series OR season OR binge OR Stream OR Film OR Movie OR Premiere OR Screening OR Feature OR Trailer OR Teaser OR theater OR release)"</f>
        <v>#N/A</v>
      </c>
      <c r="O737" s="23" t="str">
        <f t="shared" si="1"/>
        <v>#</v>
      </c>
      <c r="P737" s="23" t="str">
        <f t="shared" si="2"/>
        <v>#</v>
      </c>
      <c r="Q737" s="23"/>
      <c r="R737" s="23" t="str">
        <f>"("""&amp;B737&amp;""") ("&amp;Vlookup(E737,DropDown!R:V,5,FALSE)&amp;IF(ISBLANK(D737)," | "," "&amp;"OR """&amp;YEAR(D737)&amp;""" | ") &amp; """All New"" | Episode | Watch | tv | Show | Series | season | binge | Stream | Film | Movie | Premiere | Screening | Feature | Trailer | Teaser | theater | release)"</f>
        <v>#N/A</v>
      </c>
      <c r="S737" s="23"/>
      <c r="T737" s="23"/>
      <c r="U737" s="23"/>
      <c r="V737" s="23"/>
      <c r="W737" s="23"/>
      <c r="X737" s="38"/>
      <c r="Y737" s="38"/>
      <c r="Z737" s="38"/>
      <c r="AA737" s="38"/>
    </row>
    <row r="738">
      <c r="A738" s="31"/>
      <c r="B738" s="38"/>
      <c r="C738" s="38"/>
      <c r="D738" s="50"/>
      <c r="E738" s="50"/>
      <c r="F738" s="50"/>
      <c r="G738" s="27" t="str">
        <f>VLOOKUP(E738,DropDown!J:K,2,FALSE)</f>
        <v>#N/A</v>
      </c>
      <c r="H738" s="50"/>
      <c r="I738" s="50"/>
      <c r="J738" s="50"/>
      <c r="K738" s="25" t="s">
        <v>116</v>
      </c>
      <c r="L738" s="23"/>
      <c r="M738" s="23"/>
      <c r="N738" s="25" t="str">
        <f>"("""&amp;B738&amp;""") ("&amp;Vlookup(E738,DropDown!J:N,5,FALSE)&amp;" OR """ &amp;YEAR(D738) &amp; """ OR ""All New"" OR Episode OR Watch OR tv OR Show OR Series OR season OR binge OR Stream OR Film OR Movie OR Premiere OR Screening OR Feature OR Trailer OR Teaser OR theater OR release)"</f>
        <v>#N/A</v>
      </c>
      <c r="O738" s="23" t="str">
        <f t="shared" si="1"/>
        <v>#</v>
      </c>
      <c r="P738" s="23" t="str">
        <f t="shared" si="2"/>
        <v>#</v>
      </c>
      <c r="Q738" s="23"/>
      <c r="R738" s="23" t="str">
        <f>"("""&amp;B738&amp;""") ("&amp;Vlookup(E738,DropDown!R:V,5,FALSE)&amp;IF(ISBLANK(D738)," | "," "&amp;"OR """&amp;YEAR(D738)&amp;""" | ") &amp; """All New"" | Episode | Watch | tv | Show | Series | season | binge | Stream | Film | Movie | Premiere | Screening | Feature | Trailer | Teaser | theater | release)"</f>
        <v>#N/A</v>
      </c>
      <c r="S738" s="23"/>
      <c r="T738" s="23"/>
      <c r="U738" s="23"/>
      <c r="V738" s="23"/>
      <c r="W738" s="23"/>
      <c r="X738" s="38"/>
      <c r="Y738" s="38"/>
      <c r="Z738" s="38"/>
      <c r="AA738" s="38"/>
    </row>
    <row r="739">
      <c r="A739" s="31"/>
      <c r="B739" s="38"/>
      <c r="C739" s="38"/>
      <c r="D739" s="50"/>
      <c r="E739" s="50"/>
      <c r="F739" s="50"/>
      <c r="G739" s="27" t="str">
        <f>VLOOKUP(E739,DropDown!J:K,2,FALSE)</f>
        <v>#N/A</v>
      </c>
      <c r="H739" s="50"/>
      <c r="I739" s="50"/>
      <c r="J739" s="50"/>
      <c r="K739" s="25" t="s">
        <v>116</v>
      </c>
      <c r="L739" s="23"/>
      <c r="M739" s="23"/>
      <c r="N739" s="25" t="str">
        <f>"("""&amp;B739&amp;""") ("&amp;Vlookup(E739,DropDown!J:N,5,FALSE)&amp;" OR """ &amp;YEAR(D739) &amp; """ OR ""All New"" OR Episode OR Watch OR tv OR Show OR Series OR season OR binge OR Stream OR Film OR Movie OR Premiere OR Screening OR Feature OR Trailer OR Teaser OR theater OR release)"</f>
        <v>#N/A</v>
      </c>
      <c r="O739" s="23" t="str">
        <f t="shared" si="1"/>
        <v>#</v>
      </c>
      <c r="P739" s="23" t="str">
        <f t="shared" si="2"/>
        <v>#</v>
      </c>
      <c r="Q739" s="23"/>
      <c r="R739" s="23" t="str">
        <f>"("""&amp;B739&amp;""") ("&amp;Vlookup(E739,DropDown!R:V,5,FALSE)&amp;IF(ISBLANK(D739)," | "," "&amp;"OR """&amp;YEAR(D739)&amp;""" | ") &amp; """All New"" | Episode | Watch | tv | Show | Series | season | binge | Stream | Film | Movie | Premiere | Screening | Feature | Trailer | Teaser | theater | release)"</f>
        <v>#N/A</v>
      </c>
      <c r="S739" s="23"/>
      <c r="T739" s="23"/>
      <c r="U739" s="23"/>
      <c r="V739" s="23"/>
      <c r="W739" s="23"/>
      <c r="X739" s="38"/>
      <c r="Y739" s="38"/>
      <c r="Z739" s="38"/>
      <c r="AA739" s="38"/>
    </row>
    <row r="740">
      <c r="A740" s="31"/>
      <c r="B740" s="38"/>
      <c r="C740" s="38"/>
      <c r="D740" s="50"/>
      <c r="E740" s="50"/>
      <c r="F740" s="50"/>
      <c r="G740" s="27" t="str">
        <f>VLOOKUP(E740,DropDown!J:K,2,FALSE)</f>
        <v>#N/A</v>
      </c>
      <c r="H740" s="50"/>
      <c r="I740" s="50"/>
      <c r="J740" s="50"/>
      <c r="K740" s="25" t="s">
        <v>116</v>
      </c>
      <c r="L740" s="23"/>
      <c r="M740" s="23"/>
      <c r="N740" s="25" t="str">
        <f>"("""&amp;B740&amp;""") ("&amp;Vlookup(E740,DropDown!J:N,5,FALSE)&amp;" OR """ &amp;YEAR(D740) &amp; """ OR ""All New"" OR Episode OR Watch OR tv OR Show OR Series OR season OR binge OR Stream OR Film OR Movie OR Premiere OR Screening OR Feature OR Trailer OR Teaser OR theater OR release)"</f>
        <v>#N/A</v>
      </c>
      <c r="O740" s="23" t="str">
        <f t="shared" si="1"/>
        <v>#</v>
      </c>
      <c r="P740" s="23" t="str">
        <f t="shared" si="2"/>
        <v>#</v>
      </c>
      <c r="Q740" s="23"/>
      <c r="R740" s="23" t="str">
        <f>"("""&amp;B740&amp;""") ("&amp;Vlookup(E740,DropDown!R:V,5,FALSE)&amp;IF(ISBLANK(D740)," | "," "&amp;"OR """&amp;YEAR(D740)&amp;""" | ") &amp; """All New"" | Episode | Watch | tv | Show | Series | season | binge | Stream | Film | Movie | Premiere | Screening | Feature | Trailer | Teaser | theater | release)"</f>
        <v>#N/A</v>
      </c>
      <c r="S740" s="23"/>
      <c r="T740" s="23"/>
      <c r="U740" s="23"/>
      <c r="V740" s="23"/>
      <c r="W740" s="23"/>
      <c r="X740" s="38"/>
      <c r="Y740" s="38"/>
      <c r="Z740" s="38"/>
      <c r="AA740" s="38"/>
    </row>
    <row r="741">
      <c r="A741" s="31"/>
      <c r="B741" s="38"/>
      <c r="C741" s="38"/>
      <c r="D741" s="50"/>
      <c r="E741" s="50"/>
      <c r="F741" s="50"/>
      <c r="G741" s="27" t="str">
        <f>VLOOKUP(E741,DropDown!J:K,2,FALSE)</f>
        <v>#N/A</v>
      </c>
      <c r="H741" s="50"/>
      <c r="I741" s="50"/>
      <c r="J741" s="50"/>
      <c r="K741" s="25" t="s">
        <v>116</v>
      </c>
      <c r="L741" s="23"/>
      <c r="M741" s="23"/>
      <c r="N741" s="25" t="str">
        <f>"("""&amp;B741&amp;""") ("&amp;Vlookup(E741,DropDown!J:N,5,FALSE)&amp;" OR """ &amp;YEAR(D741) &amp; """ OR ""All New"" OR Episode OR Watch OR tv OR Show OR Series OR season OR binge OR Stream OR Film OR Movie OR Premiere OR Screening OR Feature OR Trailer OR Teaser OR theater OR release)"</f>
        <v>#N/A</v>
      </c>
      <c r="O741" s="23" t="str">
        <f t="shared" si="1"/>
        <v>#</v>
      </c>
      <c r="P741" s="23" t="str">
        <f t="shared" si="2"/>
        <v>#</v>
      </c>
      <c r="Q741" s="23"/>
      <c r="R741" s="23" t="str">
        <f>"("""&amp;B741&amp;""") ("&amp;Vlookup(E741,DropDown!R:V,5,FALSE)&amp;IF(ISBLANK(D741)," | "," "&amp;"OR """&amp;YEAR(D741)&amp;""" | ") &amp; """All New"" | Episode | Watch | tv | Show | Series | season | binge | Stream | Film | Movie | Premiere | Screening | Feature | Trailer | Teaser | theater | release)"</f>
        <v>#N/A</v>
      </c>
      <c r="S741" s="23"/>
      <c r="T741" s="23"/>
      <c r="U741" s="23"/>
      <c r="V741" s="23"/>
      <c r="W741" s="23"/>
      <c r="X741" s="38"/>
      <c r="Y741" s="38"/>
      <c r="Z741" s="38"/>
      <c r="AA741" s="38"/>
    </row>
    <row r="742">
      <c r="A742" s="31"/>
      <c r="B742" s="38"/>
      <c r="C742" s="38"/>
      <c r="D742" s="50"/>
      <c r="E742" s="50"/>
      <c r="F742" s="50"/>
      <c r="G742" s="27" t="str">
        <f>VLOOKUP(E742,DropDown!J:K,2,FALSE)</f>
        <v>#N/A</v>
      </c>
      <c r="H742" s="50"/>
      <c r="I742" s="50"/>
      <c r="J742" s="50"/>
      <c r="K742" s="25" t="s">
        <v>116</v>
      </c>
      <c r="L742" s="23"/>
      <c r="M742" s="23"/>
      <c r="N742" s="25" t="str">
        <f>"("""&amp;B742&amp;""") ("&amp;Vlookup(E742,DropDown!J:N,5,FALSE)&amp;" OR """ &amp;YEAR(D742) &amp; """ OR ""All New"" OR Episode OR Watch OR tv OR Show OR Series OR season OR binge OR Stream OR Film OR Movie OR Premiere OR Screening OR Feature OR Trailer OR Teaser OR theater OR release)"</f>
        <v>#N/A</v>
      </c>
      <c r="O742" s="23" t="str">
        <f t="shared" si="1"/>
        <v>#</v>
      </c>
      <c r="P742" s="23" t="str">
        <f t="shared" si="2"/>
        <v>#</v>
      </c>
      <c r="Q742" s="23"/>
      <c r="R742" s="23" t="str">
        <f>"("""&amp;B742&amp;""") ("&amp;Vlookup(E742,DropDown!R:V,5,FALSE)&amp;IF(ISBLANK(D742)," | "," "&amp;"OR """&amp;YEAR(D742)&amp;""" | ") &amp; """All New"" | Episode | Watch | tv | Show | Series | season | binge | Stream | Film | Movie | Premiere | Screening | Feature | Trailer | Teaser | theater | release)"</f>
        <v>#N/A</v>
      </c>
      <c r="S742" s="23"/>
      <c r="T742" s="23"/>
      <c r="U742" s="23"/>
      <c r="V742" s="23"/>
      <c r="W742" s="23"/>
      <c r="X742" s="38"/>
      <c r="Y742" s="38"/>
      <c r="Z742" s="38"/>
      <c r="AA742" s="38"/>
    </row>
    <row r="743">
      <c r="A743" s="31"/>
      <c r="B743" s="38"/>
      <c r="C743" s="38"/>
      <c r="D743" s="50"/>
      <c r="E743" s="50"/>
      <c r="F743" s="50"/>
      <c r="G743" s="27" t="str">
        <f>VLOOKUP(E743,DropDown!J:K,2,FALSE)</f>
        <v>#N/A</v>
      </c>
      <c r="H743" s="50"/>
      <c r="I743" s="50"/>
      <c r="J743" s="50"/>
      <c r="K743" s="25" t="s">
        <v>116</v>
      </c>
      <c r="L743" s="23"/>
      <c r="M743" s="23"/>
      <c r="N743" s="25" t="str">
        <f>"("""&amp;B743&amp;""") ("&amp;Vlookup(E743,DropDown!J:N,5,FALSE)&amp;" OR """ &amp;YEAR(D743) &amp; """ OR ""All New"" OR Episode OR Watch OR tv OR Show OR Series OR season OR binge OR Stream OR Film OR Movie OR Premiere OR Screening OR Feature OR Trailer OR Teaser OR theater OR release)"</f>
        <v>#N/A</v>
      </c>
      <c r="O743" s="23" t="str">
        <f t="shared" si="1"/>
        <v>#</v>
      </c>
      <c r="P743" s="23" t="str">
        <f t="shared" si="2"/>
        <v>#</v>
      </c>
      <c r="Q743" s="23"/>
      <c r="R743" s="23" t="str">
        <f>"("""&amp;B743&amp;""") ("&amp;Vlookup(E743,DropDown!R:V,5,FALSE)&amp;IF(ISBLANK(D743)," | "," "&amp;"OR """&amp;YEAR(D743)&amp;""" | ") &amp; """All New"" | Episode | Watch | tv | Show | Series | season | binge | Stream | Film | Movie | Premiere | Screening | Feature | Trailer | Teaser | theater | release)"</f>
        <v>#N/A</v>
      </c>
      <c r="S743" s="23"/>
      <c r="T743" s="23"/>
      <c r="U743" s="23"/>
      <c r="V743" s="23"/>
      <c r="W743" s="23"/>
      <c r="X743" s="38"/>
      <c r="Y743" s="38"/>
      <c r="Z743" s="38"/>
      <c r="AA743" s="38"/>
    </row>
    <row r="744">
      <c r="A744" s="31"/>
      <c r="B744" s="38"/>
      <c r="C744" s="38"/>
      <c r="D744" s="50"/>
      <c r="E744" s="50"/>
      <c r="F744" s="50"/>
      <c r="G744" s="27" t="str">
        <f>VLOOKUP(E744,DropDown!J:K,2,FALSE)</f>
        <v>#N/A</v>
      </c>
      <c r="H744" s="50"/>
      <c r="I744" s="50"/>
      <c r="J744" s="50"/>
      <c r="K744" s="25" t="s">
        <v>116</v>
      </c>
      <c r="L744" s="23"/>
      <c r="M744" s="23"/>
      <c r="N744" s="25" t="str">
        <f>"("""&amp;B744&amp;""") ("&amp;Vlookup(E744,DropDown!J:N,5,FALSE)&amp;" OR """ &amp;YEAR(D744) &amp; """ OR ""All New"" OR Episode OR Watch OR tv OR Show OR Series OR season OR binge OR Stream OR Film OR Movie OR Premiere OR Screening OR Feature OR Trailer OR Teaser OR theater OR release)"</f>
        <v>#N/A</v>
      </c>
      <c r="O744" s="23" t="str">
        <f t="shared" si="1"/>
        <v>#</v>
      </c>
      <c r="P744" s="23" t="str">
        <f t="shared" si="2"/>
        <v>#</v>
      </c>
      <c r="Q744" s="23"/>
      <c r="R744" s="23" t="str">
        <f>"("""&amp;B744&amp;""") ("&amp;Vlookup(E744,DropDown!R:V,5,FALSE)&amp;IF(ISBLANK(D744)," | "," "&amp;"OR """&amp;YEAR(D744)&amp;""" | ") &amp; """All New"" | Episode | Watch | tv | Show | Series | season | binge | Stream | Film | Movie | Premiere | Screening | Feature | Trailer | Teaser | theater | release)"</f>
        <v>#N/A</v>
      </c>
      <c r="S744" s="23"/>
      <c r="T744" s="23"/>
      <c r="U744" s="23"/>
      <c r="V744" s="23"/>
      <c r="W744" s="23"/>
      <c r="X744" s="38"/>
      <c r="Y744" s="38"/>
      <c r="Z744" s="38"/>
      <c r="AA744" s="38"/>
    </row>
    <row r="745">
      <c r="A745" s="31"/>
      <c r="B745" s="38"/>
      <c r="C745" s="38"/>
      <c r="D745" s="50"/>
      <c r="E745" s="50"/>
      <c r="F745" s="50"/>
      <c r="G745" s="27" t="str">
        <f>VLOOKUP(E745,DropDown!J:K,2,FALSE)</f>
        <v>#N/A</v>
      </c>
      <c r="H745" s="50"/>
      <c r="I745" s="50"/>
      <c r="J745" s="50"/>
      <c r="K745" s="25" t="s">
        <v>116</v>
      </c>
      <c r="L745" s="23"/>
      <c r="M745" s="23"/>
      <c r="N745" s="25" t="str">
        <f>"("""&amp;B745&amp;""") ("&amp;Vlookup(E745,DropDown!J:N,5,FALSE)&amp;" OR """ &amp;YEAR(D745) &amp; """ OR ""All New"" OR Episode OR Watch OR tv OR Show OR Series OR season OR binge OR Stream OR Film OR Movie OR Premiere OR Screening OR Feature OR Trailer OR Teaser OR theater OR release)"</f>
        <v>#N/A</v>
      </c>
      <c r="O745" s="23" t="str">
        <f t="shared" si="1"/>
        <v>#</v>
      </c>
      <c r="P745" s="23" t="str">
        <f t="shared" si="2"/>
        <v>#</v>
      </c>
      <c r="Q745" s="23"/>
      <c r="R745" s="23" t="str">
        <f>"("""&amp;B745&amp;""") ("&amp;Vlookup(E745,DropDown!R:V,5,FALSE)&amp;IF(ISBLANK(D745)," | "," "&amp;"OR """&amp;YEAR(D745)&amp;""" | ") &amp; """All New"" | Episode | Watch | tv | Show | Series | season | binge | Stream | Film | Movie | Premiere | Screening | Feature | Trailer | Teaser | theater | release)"</f>
        <v>#N/A</v>
      </c>
      <c r="S745" s="23"/>
      <c r="T745" s="23"/>
      <c r="U745" s="23"/>
      <c r="V745" s="23"/>
      <c r="W745" s="23"/>
      <c r="X745" s="38"/>
      <c r="Y745" s="38"/>
      <c r="Z745" s="38"/>
      <c r="AA745" s="38"/>
    </row>
    <row r="746">
      <c r="A746" s="31"/>
      <c r="B746" s="38"/>
      <c r="C746" s="38"/>
      <c r="D746" s="50"/>
      <c r="E746" s="50"/>
      <c r="F746" s="50"/>
      <c r="G746" s="27" t="str">
        <f>VLOOKUP(E746,DropDown!J:K,2,FALSE)</f>
        <v>#N/A</v>
      </c>
      <c r="H746" s="50"/>
      <c r="I746" s="50"/>
      <c r="J746" s="50"/>
      <c r="K746" s="25" t="s">
        <v>116</v>
      </c>
      <c r="L746" s="23"/>
      <c r="M746" s="23"/>
      <c r="N746" s="25" t="str">
        <f>"("""&amp;B746&amp;""") ("&amp;Vlookup(E746,DropDown!J:N,5,FALSE)&amp;" OR """ &amp;YEAR(D746) &amp; """ OR ""All New"" OR Episode OR Watch OR tv OR Show OR Series OR season OR binge OR Stream OR Film OR Movie OR Premiere OR Screening OR Feature OR Trailer OR Teaser OR theater OR release)"</f>
        <v>#N/A</v>
      </c>
      <c r="O746" s="23" t="str">
        <f t="shared" si="1"/>
        <v>#</v>
      </c>
      <c r="P746" s="23" t="str">
        <f t="shared" si="2"/>
        <v>#</v>
      </c>
      <c r="Q746" s="23"/>
      <c r="R746" s="23" t="str">
        <f>"("""&amp;B746&amp;""") ("&amp;Vlookup(E746,DropDown!R:V,5,FALSE)&amp;IF(ISBLANK(D746)," | "," "&amp;"OR """&amp;YEAR(D746)&amp;""" | ") &amp; """All New"" | Episode | Watch | tv | Show | Series | season | binge | Stream | Film | Movie | Premiere | Screening | Feature | Trailer | Teaser | theater | release)"</f>
        <v>#N/A</v>
      </c>
      <c r="S746" s="23"/>
      <c r="T746" s="23"/>
      <c r="U746" s="23"/>
      <c r="V746" s="23"/>
      <c r="W746" s="23"/>
      <c r="X746" s="38"/>
      <c r="Y746" s="38"/>
      <c r="Z746" s="38"/>
      <c r="AA746" s="38"/>
    </row>
    <row r="747">
      <c r="A747" s="31"/>
      <c r="B747" s="38"/>
      <c r="C747" s="38"/>
      <c r="D747" s="50"/>
      <c r="E747" s="50"/>
      <c r="F747" s="50"/>
      <c r="G747" s="27" t="str">
        <f>VLOOKUP(E747,DropDown!J:K,2,FALSE)</f>
        <v>#N/A</v>
      </c>
      <c r="H747" s="50"/>
      <c r="I747" s="50"/>
      <c r="J747" s="50"/>
      <c r="K747" s="25" t="s">
        <v>116</v>
      </c>
      <c r="L747" s="23"/>
      <c r="M747" s="23"/>
      <c r="N747" s="25" t="str">
        <f>"("""&amp;B747&amp;""") ("&amp;Vlookup(E747,DropDown!J:N,5,FALSE)&amp;" OR """ &amp;YEAR(D747) &amp; """ OR ""All New"" OR Episode OR Watch OR tv OR Show OR Series OR season OR binge OR Stream OR Film OR Movie OR Premiere OR Screening OR Feature OR Trailer OR Teaser OR theater OR release)"</f>
        <v>#N/A</v>
      </c>
      <c r="O747" s="23" t="str">
        <f t="shared" si="1"/>
        <v>#</v>
      </c>
      <c r="P747" s="23" t="str">
        <f t="shared" si="2"/>
        <v>#</v>
      </c>
      <c r="Q747" s="23"/>
      <c r="R747" s="23" t="str">
        <f>"("""&amp;B747&amp;""") ("&amp;Vlookup(E747,DropDown!R:V,5,FALSE)&amp;IF(ISBLANK(D747)," | "," "&amp;"OR """&amp;YEAR(D747)&amp;""" | ") &amp; """All New"" | Episode | Watch | tv | Show | Series | season | binge | Stream | Film | Movie | Premiere | Screening | Feature | Trailer | Teaser | theater | release)"</f>
        <v>#N/A</v>
      </c>
      <c r="S747" s="23"/>
      <c r="T747" s="23"/>
      <c r="U747" s="23"/>
      <c r="V747" s="23"/>
      <c r="W747" s="23"/>
      <c r="X747" s="38"/>
      <c r="Y747" s="38"/>
      <c r="Z747" s="38"/>
      <c r="AA747" s="38"/>
    </row>
    <row r="748">
      <c r="A748" s="31"/>
      <c r="B748" s="38"/>
      <c r="C748" s="38"/>
      <c r="D748" s="50"/>
      <c r="E748" s="50"/>
      <c r="F748" s="50"/>
      <c r="G748" s="27" t="str">
        <f>VLOOKUP(E748,DropDown!J:K,2,FALSE)</f>
        <v>#N/A</v>
      </c>
      <c r="H748" s="50"/>
      <c r="I748" s="50"/>
      <c r="J748" s="50"/>
      <c r="K748" s="25" t="s">
        <v>116</v>
      </c>
      <c r="L748" s="23"/>
      <c r="M748" s="23"/>
      <c r="N748" s="25" t="str">
        <f>"("""&amp;B748&amp;""") ("&amp;Vlookup(E748,DropDown!J:N,5,FALSE)&amp;" OR """ &amp;YEAR(D748) &amp; """ OR ""All New"" OR Episode OR Watch OR tv OR Show OR Series OR season OR binge OR Stream OR Film OR Movie OR Premiere OR Screening OR Feature OR Trailer OR Teaser OR theater OR release)"</f>
        <v>#N/A</v>
      </c>
      <c r="O748" s="23" t="str">
        <f t="shared" si="1"/>
        <v>#</v>
      </c>
      <c r="P748" s="23" t="str">
        <f t="shared" si="2"/>
        <v>#</v>
      </c>
      <c r="Q748" s="23"/>
      <c r="R748" s="23" t="str">
        <f>"("""&amp;B748&amp;""") ("&amp;Vlookup(E748,DropDown!R:V,5,FALSE)&amp;IF(ISBLANK(D748)," | "," "&amp;"OR """&amp;YEAR(D748)&amp;""" | ") &amp; """All New"" | Episode | Watch | tv | Show | Series | season | binge | Stream | Film | Movie | Premiere | Screening | Feature | Trailer | Teaser | theater | release)"</f>
        <v>#N/A</v>
      </c>
      <c r="S748" s="23"/>
      <c r="T748" s="23"/>
      <c r="U748" s="23"/>
      <c r="V748" s="23"/>
      <c r="W748" s="23"/>
      <c r="X748" s="38"/>
      <c r="Y748" s="38"/>
      <c r="Z748" s="38"/>
      <c r="AA748" s="38"/>
    </row>
    <row r="749">
      <c r="A749" s="31"/>
      <c r="B749" s="38"/>
      <c r="C749" s="38"/>
      <c r="D749" s="50"/>
      <c r="E749" s="50"/>
      <c r="F749" s="50"/>
      <c r="G749" s="27" t="str">
        <f>VLOOKUP(E749,DropDown!J:K,2,FALSE)</f>
        <v>#N/A</v>
      </c>
      <c r="H749" s="50"/>
      <c r="I749" s="50"/>
      <c r="J749" s="50"/>
      <c r="K749" s="25" t="s">
        <v>116</v>
      </c>
      <c r="L749" s="23"/>
      <c r="M749" s="23"/>
      <c r="N749" s="25" t="str">
        <f>"("""&amp;B749&amp;""") ("&amp;Vlookup(E749,DropDown!J:N,5,FALSE)&amp;" OR """ &amp;YEAR(D749) &amp; """ OR ""All New"" OR Episode OR Watch OR tv OR Show OR Series OR season OR binge OR Stream OR Film OR Movie OR Premiere OR Screening OR Feature OR Trailer OR Teaser OR theater OR release)"</f>
        <v>#N/A</v>
      </c>
      <c r="O749" s="23" t="str">
        <f t="shared" si="1"/>
        <v>#</v>
      </c>
      <c r="P749" s="23" t="str">
        <f t="shared" si="2"/>
        <v>#</v>
      </c>
      <c r="Q749" s="23"/>
      <c r="R749" s="23" t="str">
        <f>"("""&amp;B749&amp;""") ("&amp;Vlookup(E749,DropDown!R:V,5,FALSE)&amp;IF(ISBLANK(D749)," | "," "&amp;"OR """&amp;YEAR(D749)&amp;""" | ") &amp; """All New"" | Episode | Watch | tv | Show | Series | season | binge | Stream | Film | Movie | Premiere | Screening | Feature | Trailer | Teaser | theater | release)"</f>
        <v>#N/A</v>
      </c>
      <c r="S749" s="23"/>
      <c r="T749" s="23"/>
      <c r="U749" s="23"/>
      <c r="V749" s="23"/>
      <c r="W749" s="23"/>
      <c r="X749" s="38"/>
      <c r="Y749" s="38"/>
      <c r="Z749" s="38"/>
      <c r="AA749" s="38"/>
    </row>
    <row r="750">
      <c r="A750" s="31"/>
      <c r="B750" s="38"/>
      <c r="C750" s="38"/>
      <c r="D750" s="50"/>
      <c r="E750" s="50"/>
      <c r="F750" s="50"/>
      <c r="G750" s="27" t="str">
        <f>VLOOKUP(E750,DropDown!J:K,2,FALSE)</f>
        <v>#N/A</v>
      </c>
      <c r="H750" s="50"/>
      <c r="I750" s="50"/>
      <c r="J750" s="50"/>
      <c r="K750" s="25" t="s">
        <v>116</v>
      </c>
      <c r="L750" s="23"/>
      <c r="M750" s="23"/>
      <c r="N750" s="25" t="str">
        <f>"("""&amp;B750&amp;""") ("&amp;Vlookup(E750,DropDown!J:N,5,FALSE)&amp;" OR """ &amp;YEAR(D750) &amp; """ OR ""All New"" OR Episode OR Watch OR tv OR Show OR Series OR season OR binge OR Stream OR Film OR Movie OR Premiere OR Screening OR Feature OR Trailer OR Teaser OR theater OR release)"</f>
        <v>#N/A</v>
      </c>
      <c r="O750" s="23" t="str">
        <f t="shared" si="1"/>
        <v>#</v>
      </c>
      <c r="P750" s="23" t="str">
        <f t="shared" si="2"/>
        <v>#</v>
      </c>
      <c r="Q750" s="23"/>
      <c r="R750" s="23" t="str">
        <f>"("""&amp;B750&amp;""") ("&amp;Vlookup(E750,DropDown!R:V,5,FALSE)&amp;IF(ISBLANK(D750)," | "," "&amp;"OR """&amp;YEAR(D750)&amp;""" | ") &amp; """All New"" | Episode | Watch | tv | Show | Series | season | binge | Stream | Film | Movie | Premiere | Screening | Feature | Trailer | Teaser | theater | release)"</f>
        <v>#N/A</v>
      </c>
      <c r="S750" s="23"/>
      <c r="T750" s="23"/>
      <c r="U750" s="23"/>
      <c r="V750" s="23"/>
      <c r="W750" s="23"/>
      <c r="X750" s="38"/>
      <c r="Y750" s="38"/>
      <c r="Z750" s="38"/>
      <c r="AA750" s="38"/>
    </row>
    <row r="751">
      <c r="A751" s="31"/>
      <c r="B751" s="38"/>
      <c r="C751" s="38"/>
      <c r="D751" s="50"/>
      <c r="E751" s="50"/>
      <c r="F751" s="50"/>
      <c r="G751" s="27" t="str">
        <f>VLOOKUP(E751,DropDown!J:K,2,FALSE)</f>
        <v>#N/A</v>
      </c>
      <c r="H751" s="50"/>
      <c r="I751" s="50"/>
      <c r="J751" s="50"/>
      <c r="K751" s="25" t="s">
        <v>116</v>
      </c>
      <c r="L751" s="23"/>
      <c r="M751" s="23"/>
      <c r="N751" s="25" t="str">
        <f>"("""&amp;B751&amp;""") ("&amp;Vlookup(E751,DropDown!J:N,5,FALSE)&amp;" OR """ &amp;YEAR(D751) &amp; """ OR ""All New"" OR Episode OR Watch OR tv OR Show OR Series OR season OR binge OR Stream OR Film OR Movie OR Premiere OR Screening OR Feature OR Trailer OR Teaser OR theater OR release)"</f>
        <v>#N/A</v>
      </c>
      <c r="O751" s="23" t="str">
        <f t="shared" si="1"/>
        <v>#</v>
      </c>
      <c r="P751" s="23" t="str">
        <f t="shared" si="2"/>
        <v>#</v>
      </c>
      <c r="Q751" s="23"/>
      <c r="R751" s="23" t="str">
        <f>"("""&amp;B751&amp;""") ("&amp;Vlookup(E751,DropDown!R:V,5,FALSE)&amp;IF(ISBLANK(D751)," | "," "&amp;"OR """&amp;YEAR(D751)&amp;""" | ") &amp; """All New"" | Episode | Watch | tv | Show | Series | season | binge | Stream | Film | Movie | Premiere | Screening | Feature | Trailer | Teaser | theater | release)"</f>
        <v>#N/A</v>
      </c>
      <c r="S751" s="23"/>
      <c r="T751" s="23"/>
      <c r="U751" s="23"/>
      <c r="V751" s="23"/>
      <c r="W751" s="23"/>
      <c r="X751" s="38"/>
      <c r="Y751" s="38"/>
      <c r="Z751" s="38"/>
      <c r="AA751" s="38"/>
    </row>
    <row r="752">
      <c r="A752" s="31"/>
      <c r="B752" s="38"/>
      <c r="C752" s="38"/>
      <c r="D752" s="50"/>
      <c r="E752" s="50"/>
      <c r="F752" s="50"/>
      <c r="G752" s="27" t="str">
        <f>VLOOKUP(E752,DropDown!J:K,2,FALSE)</f>
        <v>#N/A</v>
      </c>
      <c r="H752" s="50"/>
      <c r="I752" s="50"/>
      <c r="J752" s="50"/>
      <c r="K752" s="25" t="s">
        <v>116</v>
      </c>
      <c r="L752" s="23"/>
      <c r="M752" s="23"/>
      <c r="N752" s="25" t="str">
        <f>"("""&amp;B752&amp;""") ("&amp;Vlookup(E752,DropDown!J:N,5,FALSE)&amp;" OR """ &amp;YEAR(D752) &amp; """ OR ""All New"" OR Episode OR Watch OR tv OR Show OR Series OR season OR binge OR Stream OR Film OR Movie OR Premiere OR Screening OR Feature OR Trailer OR Teaser OR theater OR release)"</f>
        <v>#N/A</v>
      </c>
      <c r="O752" s="23" t="str">
        <f t="shared" si="1"/>
        <v>#</v>
      </c>
      <c r="P752" s="23" t="str">
        <f t="shared" si="2"/>
        <v>#</v>
      </c>
      <c r="Q752" s="23"/>
      <c r="R752" s="23" t="str">
        <f>"("""&amp;B752&amp;""") ("&amp;Vlookup(E752,DropDown!R:V,5,FALSE)&amp;IF(ISBLANK(D752)," | "," "&amp;"OR """&amp;YEAR(D752)&amp;""" | ") &amp; """All New"" | Episode | Watch | tv | Show | Series | season | binge | Stream | Film | Movie | Premiere | Screening | Feature | Trailer | Teaser | theater | release)"</f>
        <v>#N/A</v>
      </c>
      <c r="S752" s="23"/>
      <c r="T752" s="23"/>
      <c r="U752" s="23"/>
      <c r="V752" s="23"/>
      <c r="W752" s="23"/>
      <c r="X752" s="38"/>
      <c r="Y752" s="38"/>
      <c r="Z752" s="38"/>
      <c r="AA752" s="38"/>
    </row>
    <row r="753">
      <c r="A753" s="31"/>
      <c r="B753" s="38"/>
      <c r="C753" s="38"/>
      <c r="D753" s="50"/>
      <c r="E753" s="50"/>
      <c r="F753" s="50"/>
      <c r="G753" s="27" t="str">
        <f>VLOOKUP(E753,DropDown!J:K,2,FALSE)</f>
        <v>#N/A</v>
      </c>
      <c r="H753" s="50"/>
      <c r="I753" s="50"/>
      <c r="J753" s="50"/>
      <c r="K753" s="25" t="s">
        <v>116</v>
      </c>
      <c r="L753" s="23"/>
      <c r="M753" s="23"/>
      <c r="N753" s="25" t="str">
        <f>"("""&amp;B753&amp;""") ("&amp;Vlookup(E753,DropDown!J:N,5,FALSE)&amp;" OR """ &amp;YEAR(D753) &amp; """ OR ""All New"" OR Episode OR Watch OR tv OR Show OR Series OR season OR binge OR Stream OR Film OR Movie OR Premiere OR Screening OR Feature OR Trailer OR Teaser OR theater OR release)"</f>
        <v>#N/A</v>
      </c>
      <c r="O753" s="23" t="str">
        <f t="shared" si="1"/>
        <v>#</v>
      </c>
      <c r="P753" s="23" t="str">
        <f t="shared" si="2"/>
        <v>#</v>
      </c>
      <c r="Q753" s="23"/>
      <c r="R753" s="23" t="str">
        <f>"("""&amp;B753&amp;""") ("&amp;Vlookup(E753,DropDown!R:V,5,FALSE)&amp;IF(ISBLANK(D753)," | "," "&amp;"OR """&amp;YEAR(D753)&amp;""" | ") &amp; """All New"" | Episode | Watch | tv | Show | Series | season | binge | Stream | Film | Movie | Premiere | Screening | Feature | Trailer | Teaser | theater | release)"</f>
        <v>#N/A</v>
      </c>
      <c r="S753" s="23"/>
      <c r="T753" s="23"/>
      <c r="U753" s="23"/>
      <c r="V753" s="23"/>
      <c r="W753" s="23"/>
      <c r="X753" s="38"/>
      <c r="Y753" s="38"/>
      <c r="Z753" s="38"/>
      <c r="AA753" s="38"/>
    </row>
    <row r="754">
      <c r="A754" s="31"/>
      <c r="B754" s="38"/>
      <c r="C754" s="38"/>
      <c r="D754" s="50"/>
      <c r="E754" s="50"/>
      <c r="F754" s="50"/>
      <c r="G754" s="27" t="str">
        <f>VLOOKUP(E754,DropDown!J:K,2,FALSE)</f>
        <v>#N/A</v>
      </c>
      <c r="H754" s="50"/>
      <c r="I754" s="50"/>
      <c r="J754" s="50"/>
      <c r="K754" s="25" t="s">
        <v>116</v>
      </c>
      <c r="L754" s="23"/>
      <c r="M754" s="23"/>
      <c r="N754" s="25" t="str">
        <f>"("""&amp;B754&amp;""") ("&amp;Vlookup(E754,DropDown!J:N,5,FALSE)&amp;" OR """ &amp;YEAR(D754) &amp; """ OR ""All New"" OR Episode OR Watch OR tv OR Show OR Series OR season OR binge OR Stream OR Film OR Movie OR Premiere OR Screening OR Feature OR Trailer OR Teaser OR theater OR release)"</f>
        <v>#N/A</v>
      </c>
      <c r="O754" s="23" t="str">
        <f t="shared" si="1"/>
        <v>#</v>
      </c>
      <c r="P754" s="23" t="str">
        <f t="shared" si="2"/>
        <v>#</v>
      </c>
      <c r="Q754" s="23"/>
      <c r="R754" s="23" t="str">
        <f>"("""&amp;B754&amp;""") ("&amp;Vlookup(E754,DropDown!R:V,5,FALSE)&amp;IF(ISBLANK(D754)," | "," "&amp;"OR """&amp;YEAR(D754)&amp;""" | ") &amp; """All New"" | Episode | Watch | tv | Show | Series | season | binge | Stream | Film | Movie | Premiere | Screening | Feature | Trailer | Teaser | theater | release)"</f>
        <v>#N/A</v>
      </c>
      <c r="S754" s="23"/>
      <c r="T754" s="23"/>
      <c r="U754" s="23"/>
      <c r="V754" s="23"/>
      <c r="W754" s="23"/>
      <c r="X754" s="38"/>
      <c r="Y754" s="38"/>
      <c r="Z754" s="38"/>
      <c r="AA754" s="38"/>
    </row>
    <row r="755">
      <c r="A755" s="31"/>
      <c r="B755" s="38"/>
      <c r="C755" s="38"/>
      <c r="D755" s="50"/>
      <c r="E755" s="50"/>
      <c r="F755" s="50"/>
      <c r="G755" s="27" t="str">
        <f>VLOOKUP(E755,DropDown!J:K,2,FALSE)</f>
        <v>#N/A</v>
      </c>
      <c r="H755" s="50"/>
      <c r="I755" s="50"/>
      <c r="J755" s="50"/>
      <c r="K755" s="25" t="s">
        <v>116</v>
      </c>
      <c r="L755" s="23"/>
      <c r="M755" s="23"/>
      <c r="N755" s="25" t="str">
        <f>"("""&amp;B755&amp;""") ("&amp;Vlookup(E755,DropDown!J:N,5,FALSE)&amp;" OR """ &amp;YEAR(D755) &amp; """ OR ""All New"" OR Episode OR Watch OR tv OR Show OR Series OR season OR binge OR Stream OR Film OR Movie OR Premiere OR Screening OR Feature OR Trailer OR Teaser OR theater OR release)"</f>
        <v>#N/A</v>
      </c>
      <c r="O755" s="23" t="str">
        <f t="shared" si="1"/>
        <v>#</v>
      </c>
      <c r="P755" s="23" t="str">
        <f t="shared" si="2"/>
        <v>#</v>
      </c>
      <c r="Q755" s="23"/>
      <c r="R755" s="23" t="str">
        <f>"("""&amp;B755&amp;""") ("&amp;Vlookup(E755,DropDown!R:V,5,FALSE)&amp;IF(ISBLANK(D755)," | "," "&amp;"OR """&amp;YEAR(D755)&amp;""" | ") &amp; """All New"" | Episode | Watch | tv | Show | Series | season | binge | Stream | Film | Movie | Premiere | Screening | Feature | Trailer | Teaser | theater | release)"</f>
        <v>#N/A</v>
      </c>
      <c r="S755" s="23"/>
      <c r="T755" s="23"/>
      <c r="U755" s="23"/>
      <c r="V755" s="23"/>
      <c r="W755" s="23"/>
      <c r="X755" s="38"/>
      <c r="Y755" s="38"/>
      <c r="Z755" s="38"/>
      <c r="AA755" s="38"/>
    </row>
    <row r="756">
      <c r="A756" s="31"/>
      <c r="B756" s="38"/>
      <c r="C756" s="38"/>
      <c r="D756" s="50"/>
      <c r="E756" s="50"/>
      <c r="F756" s="50"/>
      <c r="G756" s="27" t="str">
        <f>VLOOKUP(E756,DropDown!J:K,2,FALSE)</f>
        <v>#N/A</v>
      </c>
      <c r="H756" s="50"/>
      <c r="I756" s="50"/>
      <c r="J756" s="50"/>
      <c r="K756" s="25" t="s">
        <v>116</v>
      </c>
      <c r="L756" s="23"/>
      <c r="M756" s="23"/>
      <c r="N756" s="25" t="str">
        <f>"("""&amp;B756&amp;""") ("&amp;Vlookup(E756,DropDown!J:N,5,FALSE)&amp;" OR """ &amp;YEAR(D756) &amp; """ OR ""All New"" OR Episode OR Watch OR tv OR Show OR Series OR season OR binge OR Stream OR Film OR Movie OR Premiere OR Screening OR Feature OR Trailer OR Teaser OR theater OR release)"</f>
        <v>#N/A</v>
      </c>
      <c r="O756" s="23" t="str">
        <f t="shared" si="1"/>
        <v>#</v>
      </c>
      <c r="P756" s="23" t="str">
        <f t="shared" si="2"/>
        <v>#</v>
      </c>
      <c r="Q756" s="23"/>
      <c r="R756" s="23" t="str">
        <f>"("""&amp;B756&amp;""") ("&amp;Vlookup(E756,DropDown!R:V,5,FALSE)&amp;IF(ISBLANK(D756)," | "," "&amp;"OR """&amp;YEAR(D756)&amp;""" | ") &amp; """All New"" | Episode | Watch | tv | Show | Series | season | binge | Stream | Film | Movie | Premiere | Screening | Feature | Trailer | Teaser | theater | release)"</f>
        <v>#N/A</v>
      </c>
      <c r="S756" s="23"/>
      <c r="T756" s="23"/>
      <c r="U756" s="23"/>
      <c r="V756" s="23"/>
      <c r="W756" s="23"/>
      <c r="X756" s="38"/>
      <c r="Y756" s="38"/>
      <c r="Z756" s="38"/>
      <c r="AA756" s="38"/>
    </row>
    <row r="757">
      <c r="A757" s="31"/>
      <c r="B757" s="38"/>
      <c r="C757" s="38"/>
      <c r="D757" s="50"/>
      <c r="E757" s="50"/>
      <c r="F757" s="50"/>
      <c r="G757" s="27" t="str">
        <f>VLOOKUP(E757,DropDown!J:K,2,FALSE)</f>
        <v>#N/A</v>
      </c>
      <c r="H757" s="50"/>
      <c r="I757" s="50"/>
      <c r="J757" s="50"/>
      <c r="K757" s="25" t="s">
        <v>116</v>
      </c>
      <c r="L757" s="23"/>
      <c r="M757" s="23"/>
      <c r="N757" s="25" t="str">
        <f>"("""&amp;B757&amp;""") ("&amp;Vlookup(E757,DropDown!J:N,5,FALSE)&amp;" OR """ &amp;YEAR(D757) &amp; """ OR ""All New"" OR Episode OR Watch OR tv OR Show OR Series OR season OR binge OR Stream OR Film OR Movie OR Premiere OR Screening OR Feature OR Trailer OR Teaser OR theater OR release)"</f>
        <v>#N/A</v>
      </c>
      <c r="O757" s="23" t="str">
        <f t="shared" si="1"/>
        <v>#</v>
      </c>
      <c r="P757" s="23" t="str">
        <f t="shared" si="2"/>
        <v>#</v>
      </c>
      <c r="Q757" s="23"/>
      <c r="R757" s="23" t="str">
        <f>"("""&amp;B757&amp;""") ("&amp;Vlookup(E757,DropDown!R:V,5,FALSE)&amp;IF(ISBLANK(D757)," | "," "&amp;"OR """&amp;YEAR(D757)&amp;""" | ") &amp; """All New"" | Episode | Watch | tv | Show | Series | season | binge | Stream | Film | Movie | Premiere | Screening | Feature | Trailer | Teaser | theater | release)"</f>
        <v>#N/A</v>
      </c>
      <c r="S757" s="23"/>
      <c r="T757" s="23"/>
      <c r="U757" s="23"/>
      <c r="V757" s="23"/>
      <c r="W757" s="23"/>
      <c r="X757" s="38"/>
      <c r="Y757" s="38"/>
      <c r="Z757" s="38"/>
      <c r="AA757" s="38"/>
    </row>
    <row r="758">
      <c r="A758" s="31"/>
      <c r="B758" s="38"/>
      <c r="C758" s="38"/>
      <c r="D758" s="50"/>
      <c r="E758" s="50"/>
      <c r="F758" s="50"/>
      <c r="G758" s="27" t="str">
        <f>VLOOKUP(E758,DropDown!J:K,2,FALSE)</f>
        <v>#N/A</v>
      </c>
      <c r="H758" s="50"/>
      <c r="I758" s="50"/>
      <c r="J758" s="50"/>
      <c r="K758" s="25" t="s">
        <v>116</v>
      </c>
      <c r="L758" s="23"/>
      <c r="M758" s="23"/>
      <c r="N758" s="25" t="str">
        <f>"("""&amp;B758&amp;""") ("&amp;Vlookup(E758,DropDown!J:N,5,FALSE)&amp;" OR """ &amp;YEAR(D758) &amp; """ OR ""All New"" OR Episode OR Watch OR tv OR Show OR Series OR season OR binge OR Stream OR Film OR Movie OR Premiere OR Screening OR Feature OR Trailer OR Teaser OR theater OR release)"</f>
        <v>#N/A</v>
      </c>
      <c r="O758" s="23" t="str">
        <f t="shared" si="1"/>
        <v>#</v>
      </c>
      <c r="P758" s="23" t="str">
        <f t="shared" si="2"/>
        <v>#</v>
      </c>
      <c r="Q758" s="23"/>
      <c r="R758" s="23" t="str">
        <f>"("""&amp;B758&amp;""") ("&amp;Vlookup(E758,DropDown!R:V,5,FALSE)&amp;IF(ISBLANK(D758)," | "," "&amp;"OR """&amp;YEAR(D758)&amp;""" | ") &amp; """All New"" | Episode | Watch | tv | Show | Series | season | binge | Stream | Film | Movie | Premiere | Screening | Feature | Trailer | Teaser | theater | release)"</f>
        <v>#N/A</v>
      </c>
      <c r="S758" s="23"/>
      <c r="T758" s="23"/>
      <c r="U758" s="23"/>
      <c r="V758" s="23"/>
      <c r="W758" s="23"/>
      <c r="X758" s="38"/>
      <c r="Y758" s="38"/>
      <c r="Z758" s="38"/>
      <c r="AA758" s="38"/>
    </row>
    <row r="759">
      <c r="A759" s="31"/>
      <c r="B759" s="38"/>
      <c r="C759" s="38"/>
      <c r="D759" s="50"/>
      <c r="E759" s="50"/>
      <c r="F759" s="50"/>
      <c r="G759" s="27" t="str">
        <f>VLOOKUP(E759,DropDown!J:K,2,FALSE)</f>
        <v>#N/A</v>
      </c>
      <c r="H759" s="50"/>
      <c r="I759" s="50"/>
      <c r="J759" s="50"/>
      <c r="K759" s="25" t="s">
        <v>116</v>
      </c>
      <c r="L759" s="23"/>
      <c r="M759" s="23"/>
      <c r="N759" s="25" t="str">
        <f>"("""&amp;B759&amp;""") ("&amp;Vlookup(E759,DropDown!J:N,5,FALSE)&amp;" OR """ &amp;YEAR(D759) &amp; """ OR ""All New"" OR Episode OR Watch OR tv OR Show OR Series OR season OR binge OR Stream OR Film OR Movie OR Premiere OR Screening OR Feature OR Trailer OR Teaser OR theater OR release)"</f>
        <v>#N/A</v>
      </c>
      <c r="O759" s="23" t="str">
        <f t="shared" si="1"/>
        <v>#</v>
      </c>
      <c r="P759" s="23" t="str">
        <f t="shared" si="2"/>
        <v>#</v>
      </c>
      <c r="Q759" s="23"/>
      <c r="R759" s="23" t="str">
        <f>"("""&amp;B759&amp;""") ("&amp;Vlookup(E759,DropDown!R:V,5,FALSE)&amp;IF(ISBLANK(D759)," | "," "&amp;"OR """&amp;YEAR(D759)&amp;""" | ") &amp; """All New"" | Episode | Watch | tv | Show | Series | season | binge | Stream | Film | Movie | Premiere | Screening | Feature | Trailer | Teaser | theater | release)"</f>
        <v>#N/A</v>
      </c>
      <c r="S759" s="23"/>
      <c r="T759" s="23"/>
      <c r="U759" s="23"/>
      <c r="V759" s="23"/>
      <c r="W759" s="23"/>
      <c r="X759" s="38"/>
      <c r="Y759" s="38"/>
      <c r="Z759" s="38"/>
      <c r="AA759" s="38"/>
    </row>
    <row r="760">
      <c r="A760" s="31"/>
      <c r="B760" s="38"/>
      <c r="C760" s="38"/>
      <c r="D760" s="50"/>
      <c r="E760" s="50"/>
      <c r="F760" s="50"/>
      <c r="G760" s="27" t="str">
        <f>VLOOKUP(E760,DropDown!J:K,2,FALSE)</f>
        <v>#N/A</v>
      </c>
      <c r="H760" s="50"/>
      <c r="I760" s="50"/>
      <c r="J760" s="50"/>
      <c r="K760" s="25" t="s">
        <v>116</v>
      </c>
      <c r="L760" s="23"/>
      <c r="M760" s="23"/>
      <c r="N760" s="25" t="str">
        <f>"("""&amp;B760&amp;""") ("&amp;Vlookup(E760,DropDown!J:N,5,FALSE)&amp;" OR """ &amp;YEAR(D760) &amp; """ OR ""All New"" OR Episode OR Watch OR tv OR Show OR Series OR season OR binge OR Stream OR Film OR Movie OR Premiere OR Screening OR Feature OR Trailer OR Teaser OR theater OR release)"</f>
        <v>#N/A</v>
      </c>
      <c r="O760" s="23" t="str">
        <f t="shared" si="1"/>
        <v>#</v>
      </c>
      <c r="P760" s="23" t="str">
        <f t="shared" si="2"/>
        <v>#</v>
      </c>
      <c r="Q760" s="23"/>
      <c r="R760" s="23" t="str">
        <f>"("""&amp;B760&amp;""") ("&amp;Vlookup(E760,DropDown!R:V,5,FALSE)&amp;IF(ISBLANK(D760)," | "," "&amp;"OR """&amp;YEAR(D760)&amp;""" | ") &amp; """All New"" | Episode | Watch | tv | Show | Series | season | binge | Stream | Film | Movie | Premiere | Screening | Feature | Trailer | Teaser | theater | release)"</f>
        <v>#N/A</v>
      </c>
      <c r="S760" s="23"/>
      <c r="T760" s="23"/>
      <c r="U760" s="23"/>
      <c r="V760" s="23"/>
      <c r="W760" s="23"/>
      <c r="X760" s="38"/>
      <c r="Y760" s="38"/>
      <c r="Z760" s="38"/>
      <c r="AA760" s="38"/>
    </row>
    <row r="761">
      <c r="A761" s="31"/>
      <c r="B761" s="38"/>
      <c r="C761" s="38"/>
      <c r="D761" s="50"/>
      <c r="E761" s="50"/>
      <c r="F761" s="50"/>
      <c r="G761" s="27" t="str">
        <f>VLOOKUP(E761,DropDown!J:K,2,FALSE)</f>
        <v>#N/A</v>
      </c>
      <c r="H761" s="50"/>
      <c r="I761" s="50"/>
      <c r="J761" s="50"/>
      <c r="K761" s="25" t="s">
        <v>116</v>
      </c>
      <c r="L761" s="23"/>
      <c r="M761" s="23"/>
      <c r="N761" s="25" t="str">
        <f>"("""&amp;B761&amp;""") ("&amp;Vlookup(E761,DropDown!J:N,5,FALSE)&amp;" OR """ &amp;YEAR(D761) &amp; """ OR ""All New"" OR Episode OR Watch OR tv OR Show OR Series OR season OR binge OR Stream OR Film OR Movie OR Premiere OR Screening OR Feature OR Trailer OR Teaser OR theater OR release)"</f>
        <v>#N/A</v>
      </c>
      <c r="O761" s="23" t="str">
        <f t="shared" si="1"/>
        <v>#</v>
      </c>
      <c r="P761" s="23" t="str">
        <f t="shared" si="2"/>
        <v>#</v>
      </c>
      <c r="Q761" s="23"/>
      <c r="R761" s="23" t="str">
        <f>"("""&amp;B761&amp;""") ("&amp;Vlookup(E761,DropDown!R:V,5,FALSE)&amp;IF(ISBLANK(D761)," | "," "&amp;"OR """&amp;YEAR(D761)&amp;""" | ") &amp; """All New"" | Episode | Watch | tv | Show | Series | season | binge | Stream | Film | Movie | Premiere | Screening | Feature | Trailer | Teaser | theater | release)"</f>
        <v>#N/A</v>
      </c>
      <c r="S761" s="23"/>
      <c r="T761" s="23"/>
      <c r="U761" s="23"/>
      <c r="V761" s="23"/>
      <c r="W761" s="23"/>
      <c r="X761" s="38"/>
      <c r="Y761" s="38"/>
      <c r="Z761" s="38"/>
      <c r="AA761" s="38"/>
    </row>
    <row r="762">
      <c r="A762" s="31"/>
      <c r="B762" s="38"/>
      <c r="C762" s="38"/>
      <c r="D762" s="50"/>
      <c r="E762" s="50"/>
      <c r="F762" s="50"/>
      <c r="G762" s="27" t="str">
        <f>VLOOKUP(E762,DropDown!J:K,2,FALSE)</f>
        <v>#N/A</v>
      </c>
      <c r="H762" s="50"/>
      <c r="I762" s="50"/>
      <c r="J762" s="50"/>
      <c r="K762" s="25" t="s">
        <v>116</v>
      </c>
      <c r="L762" s="23"/>
      <c r="M762" s="23"/>
      <c r="N762" s="25" t="str">
        <f>"("""&amp;B762&amp;""") ("&amp;Vlookup(E762,DropDown!J:N,5,FALSE)&amp;" OR """ &amp;YEAR(D762) &amp; """ OR ""All New"" OR Episode OR Watch OR tv OR Show OR Series OR season OR binge OR Stream OR Film OR Movie OR Premiere OR Screening OR Feature OR Trailer OR Teaser OR theater OR release)"</f>
        <v>#N/A</v>
      </c>
      <c r="O762" s="23" t="str">
        <f t="shared" si="1"/>
        <v>#</v>
      </c>
      <c r="P762" s="23" t="str">
        <f t="shared" si="2"/>
        <v>#</v>
      </c>
      <c r="Q762" s="23"/>
      <c r="R762" s="23" t="str">
        <f>"("""&amp;B762&amp;""") ("&amp;Vlookup(E762,DropDown!R:V,5,FALSE)&amp;IF(ISBLANK(D762)," | "," "&amp;"OR """&amp;YEAR(D762)&amp;""" | ") &amp; """All New"" | Episode | Watch | tv | Show | Series | season | binge | Stream | Film | Movie | Premiere | Screening | Feature | Trailer | Teaser | theater | release)"</f>
        <v>#N/A</v>
      </c>
      <c r="S762" s="23"/>
      <c r="T762" s="23"/>
      <c r="U762" s="23"/>
      <c r="V762" s="23"/>
      <c r="W762" s="23"/>
      <c r="X762" s="38"/>
      <c r="Y762" s="38"/>
      <c r="Z762" s="38"/>
      <c r="AA762" s="38"/>
    </row>
    <row r="763">
      <c r="A763" s="31"/>
      <c r="B763" s="38"/>
      <c r="C763" s="38"/>
      <c r="D763" s="50"/>
      <c r="E763" s="50"/>
      <c r="F763" s="50"/>
      <c r="G763" s="27" t="str">
        <f>VLOOKUP(E763,DropDown!J:K,2,FALSE)</f>
        <v>#N/A</v>
      </c>
      <c r="H763" s="50"/>
      <c r="I763" s="50"/>
      <c r="J763" s="50"/>
      <c r="K763" s="25" t="s">
        <v>116</v>
      </c>
      <c r="L763" s="23"/>
      <c r="M763" s="23"/>
      <c r="N763" s="25" t="str">
        <f>"("""&amp;B763&amp;""") ("&amp;Vlookup(E763,DropDown!J:N,5,FALSE)&amp;" OR """ &amp;YEAR(D763) &amp; """ OR ""All New"" OR Episode OR Watch OR tv OR Show OR Series OR season OR binge OR Stream OR Film OR Movie OR Premiere OR Screening OR Feature OR Trailer OR Teaser OR theater OR release)"</f>
        <v>#N/A</v>
      </c>
      <c r="O763" s="23" t="str">
        <f t="shared" si="1"/>
        <v>#</v>
      </c>
      <c r="P763" s="23" t="str">
        <f t="shared" si="2"/>
        <v>#</v>
      </c>
      <c r="Q763" s="23"/>
      <c r="R763" s="23" t="str">
        <f>"("""&amp;B763&amp;""") ("&amp;Vlookup(E763,DropDown!R:V,5,FALSE)&amp;IF(ISBLANK(D763)," | "," "&amp;"OR """&amp;YEAR(D763)&amp;""" | ") &amp; """All New"" | Episode | Watch | tv | Show | Series | season | binge | Stream | Film | Movie | Premiere | Screening | Feature | Trailer | Teaser | theater | release)"</f>
        <v>#N/A</v>
      </c>
      <c r="S763" s="23"/>
      <c r="T763" s="23"/>
      <c r="U763" s="23"/>
      <c r="V763" s="23"/>
      <c r="W763" s="23"/>
      <c r="X763" s="38"/>
      <c r="Y763" s="38"/>
      <c r="Z763" s="38"/>
      <c r="AA763" s="38"/>
    </row>
    <row r="764">
      <c r="A764" s="31"/>
      <c r="B764" s="38"/>
      <c r="C764" s="38"/>
      <c r="D764" s="50"/>
      <c r="E764" s="50"/>
      <c r="F764" s="50"/>
      <c r="G764" s="27" t="str">
        <f>VLOOKUP(E764,DropDown!J:K,2,FALSE)</f>
        <v>#N/A</v>
      </c>
      <c r="H764" s="50"/>
      <c r="I764" s="50"/>
      <c r="J764" s="50"/>
      <c r="K764" s="25" t="s">
        <v>116</v>
      </c>
      <c r="L764" s="23"/>
      <c r="M764" s="23"/>
      <c r="N764" s="25" t="str">
        <f>"("""&amp;B764&amp;""") ("&amp;Vlookup(E764,DropDown!J:N,5,FALSE)&amp;" OR """ &amp;YEAR(D764) &amp; """ OR ""All New"" OR Episode OR Watch OR tv OR Show OR Series OR season OR binge OR Stream OR Film OR Movie OR Premiere OR Screening OR Feature OR Trailer OR Teaser OR theater OR release)"</f>
        <v>#N/A</v>
      </c>
      <c r="O764" s="23" t="str">
        <f t="shared" si="1"/>
        <v>#</v>
      </c>
      <c r="P764" s="23" t="str">
        <f t="shared" si="2"/>
        <v>#</v>
      </c>
      <c r="Q764" s="23"/>
      <c r="R764" s="23" t="str">
        <f>"("""&amp;B764&amp;""") ("&amp;Vlookup(E764,DropDown!R:V,5,FALSE)&amp;IF(ISBLANK(D764)," | "," "&amp;"OR """&amp;YEAR(D764)&amp;""" | ") &amp; """All New"" | Episode | Watch | tv | Show | Series | season | binge | Stream | Film | Movie | Premiere | Screening | Feature | Trailer | Teaser | theater | release)"</f>
        <v>#N/A</v>
      </c>
      <c r="S764" s="23"/>
      <c r="T764" s="23"/>
      <c r="U764" s="23"/>
      <c r="V764" s="23"/>
      <c r="W764" s="23"/>
      <c r="X764" s="38"/>
      <c r="Y764" s="38"/>
      <c r="Z764" s="38"/>
      <c r="AA764" s="38"/>
    </row>
    <row r="765">
      <c r="A765" s="31"/>
      <c r="B765" s="38"/>
      <c r="C765" s="38"/>
      <c r="D765" s="50"/>
      <c r="E765" s="50"/>
      <c r="F765" s="50"/>
      <c r="G765" s="27" t="str">
        <f>VLOOKUP(E765,DropDown!J:K,2,FALSE)</f>
        <v>#N/A</v>
      </c>
      <c r="H765" s="50"/>
      <c r="I765" s="50"/>
      <c r="J765" s="50"/>
      <c r="K765" s="25" t="s">
        <v>116</v>
      </c>
      <c r="L765" s="23"/>
      <c r="M765" s="23"/>
      <c r="N765" s="25" t="str">
        <f>"("""&amp;B765&amp;""") ("&amp;Vlookup(E765,DropDown!J:N,5,FALSE)&amp;" OR """ &amp;YEAR(D765) &amp; """ OR ""All New"" OR Episode OR Watch OR tv OR Show OR Series OR season OR binge OR Stream OR Film OR Movie OR Premiere OR Screening OR Feature OR Trailer OR Teaser OR theater OR release)"</f>
        <v>#N/A</v>
      </c>
      <c r="O765" s="23" t="str">
        <f t="shared" si="1"/>
        <v>#</v>
      </c>
      <c r="P765" s="23" t="str">
        <f t="shared" si="2"/>
        <v>#</v>
      </c>
      <c r="Q765" s="23"/>
      <c r="R765" s="23" t="str">
        <f>"("""&amp;B765&amp;""") ("&amp;Vlookup(E765,DropDown!R:V,5,FALSE)&amp;IF(ISBLANK(D765)," | "," "&amp;"OR """&amp;YEAR(D765)&amp;""" | ") &amp; """All New"" | Episode | Watch | tv | Show | Series | season | binge | Stream | Film | Movie | Premiere | Screening | Feature | Trailer | Teaser | theater | release)"</f>
        <v>#N/A</v>
      </c>
      <c r="S765" s="23"/>
      <c r="T765" s="23"/>
      <c r="U765" s="23"/>
      <c r="V765" s="23"/>
      <c r="W765" s="23"/>
      <c r="X765" s="38"/>
      <c r="Y765" s="38"/>
      <c r="Z765" s="38"/>
      <c r="AA765" s="38"/>
    </row>
    <row r="766">
      <c r="A766" s="31"/>
      <c r="B766" s="38"/>
      <c r="C766" s="38"/>
      <c r="D766" s="50"/>
      <c r="E766" s="50"/>
      <c r="F766" s="50"/>
      <c r="G766" s="27" t="str">
        <f>VLOOKUP(E766,DropDown!J:K,2,FALSE)</f>
        <v>#N/A</v>
      </c>
      <c r="H766" s="50"/>
      <c r="I766" s="50"/>
      <c r="J766" s="50"/>
      <c r="K766" s="25" t="s">
        <v>116</v>
      </c>
      <c r="L766" s="23"/>
      <c r="M766" s="23"/>
      <c r="N766" s="25" t="str">
        <f>"("""&amp;B766&amp;""") ("&amp;Vlookup(E766,DropDown!J:N,5,FALSE)&amp;" OR """ &amp;YEAR(D766) &amp; """ OR ""All New"" OR Episode OR Watch OR tv OR Show OR Series OR season OR binge OR Stream OR Film OR Movie OR Premiere OR Screening OR Feature OR Trailer OR Teaser OR theater OR release)"</f>
        <v>#N/A</v>
      </c>
      <c r="O766" s="23" t="str">
        <f t="shared" si="1"/>
        <v>#</v>
      </c>
      <c r="P766" s="23" t="str">
        <f t="shared" si="2"/>
        <v>#</v>
      </c>
      <c r="Q766" s="23"/>
      <c r="R766" s="23" t="str">
        <f>"("""&amp;B766&amp;""") ("&amp;Vlookup(E766,DropDown!R:V,5,FALSE)&amp;IF(ISBLANK(D766)," | "," "&amp;"OR """&amp;YEAR(D766)&amp;""" | ") &amp; """All New"" | Episode | Watch | tv | Show | Series | season | binge | Stream | Film | Movie | Premiere | Screening | Feature | Trailer | Teaser | theater | release)"</f>
        <v>#N/A</v>
      </c>
      <c r="S766" s="23"/>
      <c r="T766" s="23"/>
      <c r="U766" s="23"/>
      <c r="V766" s="23"/>
      <c r="W766" s="23"/>
      <c r="X766" s="38"/>
      <c r="Y766" s="38"/>
      <c r="Z766" s="38"/>
      <c r="AA766" s="38"/>
    </row>
    <row r="767">
      <c r="A767" s="31"/>
      <c r="B767" s="38"/>
      <c r="C767" s="38"/>
      <c r="D767" s="50"/>
      <c r="E767" s="50"/>
      <c r="F767" s="50"/>
      <c r="G767" s="27" t="str">
        <f>VLOOKUP(E767,DropDown!J:K,2,FALSE)</f>
        <v>#N/A</v>
      </c>
      <c r="H767" s="50"/>
      <c r="I767" s="50"/>
      <c r="J767" s="50"/>
      <c r="K767" s="25" t="s">
        <v>116</v>
      </c>
      <c r="L767" s="23"/>
      <c r="M767" s="23"/>
      <c r="N767" s="25" t="str">
        <f>"("""&amp;B767&amp;""") ("&amp;Vlookup(E767,DropDown!J:N,5,FALSE)&amp;" OR """ &amp;YEAR(D767) &amp; """ OR ""All New"" OR Episode OR Watch OR tv OR Show OR Series OR season OR binge OR Stream OR Film OR Movie OR Premiere OR Screening OR Feature OR Trailer OR Teaser OR theater OR release)"</f>
        <v>#N/A</v>
      </c>
      <c r="O767" s="23" t="str">
        <f t="shared" si="1"/>
        <v>#</v>
      </c>
      <c r="P767" s="23" t="str">
        <f t="shared" si="2"/>
        <v>#</v>
      </c>
      <c r="Q767" s="23"/>
      <c r="R767" s="23" t="str">
        <f>"("""&amp;B767&amp;""") ("&amp;Vlookup(E767,DropDown!R:V,5,FALSE)&amp;IF(ISBLANK(D767)," | "," "&amp;"OR """&amp;YEAR(D767)&amp;""" | ") &amp; """All New"" | Episode | Watch | tv | Show | Series | season | binge | Stream | Film | Movie | Premiere | Screening | Feature | Trailer | Teaser | theater | release)"</f>
        <v>#N/A</v>
      </c>
      <c r="S767" s="23"/>
      <c r="T767" s="23"/>
      <c r="U767" s="23"/>
      <c r="V767" s="23"/>
      <c r="W767" s="23"/>
      <c r="X767" s="38"/>
      <c r="Y767" s="38"/>
      <c r="Z767" s="38"/>
      <c r="AA767" s="38"/>
    </row>
    <row r="768">
      <c r="A768" s="31"/>
      <c r="B768" s="38"/>
      <c r="C768" s="38"/>
      <c r="D768" s="50"/>
      <c r="E768" s="50"/>
      <c r="F768" s="50"/>
      <c r="G768" s="27" t="str">
        <f>VLOOKUP(E768,DropDown!J:K,2,FALSE)</f>
        <v>#N/A</v>
      </c>
      <c r="H768" s="50"/>
      <c r="I768" s="50"/>
      <c r="J768" s="50"/>
      <c r="K768" s="25" t="s">
        <v>116</v>
      </c>
      <c r="L768" s="23"/>
      <c r="M768" s="23"/>
      <c r="N768" s="25" t="str">
        <f>"("""&amp;B768&amp;""") ("&amp;Vlookup(E768,DropDown!J:N,5,FALSE)&amp;" OR """ &amp;YEAR(D768) &amp; """ OR ""All New"" OR Episode OR Watch OR tv OR Show OR Series OR season OR binge OR Stream OR Film OR Movie OR Premiere OR Screening OR Feature OR Trailer OR Teaser OR theater OR release)"</f>
        <v>#N/A</v>
      </c>
      <c r="O768" s="23" t="str">
        <f t="shared" si="1"/>
        <v>#</v>
      </c>
      <c r="P768" s="23" t="str">
        <f t="shared" si="2"/>
        <v>#</v>
      </c>
      <c r="Q768" s="23"/>
      <c r="R768" s="23" t="str">
        <f>"("""&amp;B768&amp;""") ("&amp;Vlookup(E768,DropDown!R:V,5,FALSE)&amp;IF(ISBLANK(D768)," | "," "&amp;"OR """&amp;YEAR(D768)&amp;""" | ") &amp; """All New"" | Episode | Watch | tv | Show | Series | season | binge | Stream | Film | Movie | Premiere | Screening | Feature | Trailer | Teaser | theater | release)"</f>
        <v>#N/A</v>
      </c>
      <c r="S768" s="23"/>
      <c r="T768" s="23"/>
      <c r="U768" s="23"/>
      <c r="V768" s="23"/>
      <c r="W768" s="23"/>
      <c r="X768" s="38"/>
      <c r="Y768" s="38"/>
      <c r="Z768" s="38"/>
      <c r="AA768" s="38"/>
    </row>
    <row r="769">
      <c r="A769" s="31"/>
      <c r="B769" s="38"/>
      <c r="C769" s="38"/>
      <c r="D769" s="50"/>
      <c r="E769" s="50"/>
      <c r="F769" s="50"/>
      <c r="G769" s="27" t="str">
        <f>VLOOKUP(E769,DropDown!J:K,2,FALSE)</f>
        <v>#N/A</v>
      </c>
      <c r="H769" s="50"/>
      <c r="I769" s="50"/>
      <c r="J769" s="50"/>
      <c r="K769" s="25" t="s">
        <v>116</v>
      </c>
      <c r="L769" s="23"/>
      <c r="M769" s="23"/>
      <c r="N769" s="25" t="str">
        <f>"("""&amp;B769&amp;""") ("&amp;Vlookup(E769,DropDown!J:N,5,FALSE)&amp;" OR """ &amp;YEAR(D769) &amp; """ OR ""All New"" OR Episode OR Watch OR tv OR Show OR Series OR season OR binge OR Stream OR Film OR Movie OR Premiere OR Screening OR Feature OR Trailer OR Teaser OR theater OR release)"</f>
        <v>#N/A</v>
      </c>
      <c r="O769" s="23" t="str">
        <f t="shared" si="1"/>
        <v>#</v>
      </c>
      <c r="P769" s="23" t="str">
        <f t="shared" si="2"/>
        <v>#</v>
      </c>
      <c r="Q769" s="23"/>
      <c r="R769" s="23" t="str">
        <f>"("""&amp;B769&amp;""") ("&amp;Vlookup(E769,DropDown!R:V,5,FALSE)&amp;IF(ISBLANK(D769)," | "," "&amp;"OR """&amp;YEAR(D769)&amp;""" | ") &amp; """All New"" | Episode | Watch | tv | Show | Series | season | binge | Stream | Film | Movie | Premiere | Screening | Feature | Trailer | Teaser | theater | release)"</f>
        <v>#N/A</v>
      </c>
      <c r="S769" s="23"/>
      <c r="T769" s="23"/>
      <c r="U769" s="23"/>
      <c r="V769" s="23"/>
      <c r="W769" s="23"/>
      <c r="X769" s="38"/>
      <c r="Y769" s="38"/>
      <c r="Z769" s="38"/>
      <c r="AA769" s="38"/>
    </row>
    <row r="770">
      <c r="A770" s="31"/>
      <c r="B770" s="38"/>
      <c r="C770" s="38"/>
      <c r="D770" s="50"/>
      <c r="E770" s="50"/>
      <c r="F770" s="50"/>
      <c r="G770" s="27" t="str">
        <f>VLOOKUP(E770,DropDown!J:K,2,FALSE)</f>
        <v>#N/A</v>
      </c>
      <c r="H770" s="50"/>
      <c r="I770" s="50"/>
      <c r="J770" s="50"/>
      <c r="K770" s="25" t="s">
        <v>116</v>
      </c>
      <c r="L770" s="23"/>
      <c r="M770" s="23"/>
      <c r="N770" s="25" t="str">
        <f>"("""&amp;B770&amp;""") ("&amp;Vlookup(E770,DropDown!J:N,5,FALSE)&amp;" OR """ &amp;YEAR(D770) &amp; """ OR ""All New"" OR Episode OR Watch OR tv OR Show OR Series OR season OR binge OR Stream OR Film OR Movie OR Premiere OR Screening OR Feature OR Trailer OR Teaser OR theater OR release)"</f>
        <v>#N/A</v>
      </c>
      <c r="O770" s="23" t="str">
        <f t="shared" si="1"/>
        <v>#</v>
      </c>
      <c r="P770" s="23" t="str">
        <f t="shared" si="2"/>
        <v>#</v>
      </c>
      <c r="Q770" s="23"/>
      <c r="R770" s="23" t="str">
        <f>"("""&amp;B770&amp;""") ("&amp;Vlookup(E770,DropDown!R:V,5,FALSE)&amp;IF(ISBLANK(D770)," | "," "&amp;"OR """&amp;YEAR(D770)&amp;""" | ") &amp; """All New"" | Episode | Watch | tv | Show | Series | season | binge | Stream | Film | Movie | Premiere | Screening | Feature | Trailer | Teaser | theater | release)"</f>
        <v>#N/A</v>
      </c>
      <c r="S770" s="23"/>
      <c r="T770" s="23"/>
      <c r="U770" s="23"/>
      <c r="V770" s="23"/>
      <c r="W770" s="23"/>
      <c r="X770" s="38"/>
      <c r="Y770" s="38"/>
      <c r="Z770" s="38"/>
      <c r="AA770" s="38"/>
    </row>
    <row r="771">
      <c r="A771" s="31"/>
      <c r="B771" s="38"/>
      <c r="C771" s="38"/>
      <c r="D771" s="50"/>
      <c r="E771" s="50"/>
      <c r="F771" s="50"/>
      <c r="G771" s="27" t="str">
        <f>VLOOKUP(E771,DropDown!J:K,2,FALSE)</f>
        <v>#N/A</v>
      </c>
      <c r="H771" s="50"/>
      <c r="I771" s="50"/>
      <c r="J771" s="50"/>
      <c r="K771" s="25" t="s">
        <v>116</v>
      </c>
      <c r="L771" s="23"/>
      <c r="M771" s="23"/>
      <c r="N771" s="25" t="str">
        <f>"("""&amp;B771&amp;""") ("&amp;Vlookup(E771,DropDown!J:N,5,FALSE)&amp;" OR """ &amp;YEAR(D771) &amp; """ OR ""All New"" OR Episode OR Watch OR tv OR Show OR Series OR season OR binge OR Stream OR Film OR Movie OR Premiere OR Screening OR Feature OR Trailer OR Teaser OR theater OR release)"</f>
        <v>#N/A</v>
      </c>
      <c r="O771" s="23" t="str">
        <f t="shared" si="1"/>
        <v>#</v>
      </c>
      <c r="P771" s="23" t="str">
        <f t="shared" si="2"/>
        <v>#</v>
      </c>
      <c r="Q771" s="23"/>
      <c r="R771" s="23" t="str">
        <f>"("""&amp;B771&amp;""") ("&amp;Vlookup(E771,DropDown!R:V,5,FALSE)&amp;IF(ISBLANK(D771)," | "," "&amp;"OR """&amp;YEAR(D771)&amp;""" | ") &amp; """All New"" | Episode | Watch | tv | Show | Series | season | binge | Stream | Film | Movie | Premiere | Screening | Feature | Trailer | Teaser | theater | release)"</f>
        <v>#N/A</v>
      </c>
      <c r="S771" s="23"/>
      <c r="T771" s="23"/>
      <c r="U771" s="23"/>
      <c r="V771" s="23"/>
      <c r="W771" s="23"/>
      <c r="X771" s="38"/>
      <c r="Y771" s="38"/>
      <c r="Z771" s="38"/>
      <c r="AA771" s="38"/>
    </row>
    <row r="772">
      <c r="A772" s="31"/>
      <c r="B772" s="38"/>
      <c r="C772" s="38"/>
      <c r="D772" s="50"/>
      <c r="E772" s="50"/>
      <c r="F772" s="50"/>
      <c r="G772" s="27" t="str">
        <f>VLOOKUP(E772,DropDown!J:K,2,FALSE)</f>
        <v>#N/A</v>
      </c>
      <c r="H772" s="50"/>
      <c r="I772" s="50"/>
      <c r="J772" s="50"/>
      <c r="K772" s="25" t="s">
        <v>116</v>
      </c>
      <c r="L772" s="23"/>
      <c r="M772" s="23"/>
      <c r="N772" s="25" t="str">
        <f>"("""&amp;B772&amp;""") ("&amp;Vlookup(E772,DropDown!J:N,5,FALSE)&amp;" OR """ &amp;YEAR(D772) &amp; """ OR ""All New"" OR Episode OR Watch OR tv OR Show OR Series OR season OR binge OR Stream OR Film OR Movie OR Premiere OR Screening OR Feature OR Trailer OR Teaser OR theater OR release)"</f>
        <v>#N/A</v>
      </c>
      <c r="O772" s="23" t="str">
        <f t="shared" si="1"/>
        <v>#</v>
      </c>
      <c r="P772" s="23" t="str">
        <f t="shared" si="2"/>
        <v>#</v>
      </c>
      <c r="Q772" s="23"/>
      <c r="R772" s="23" t="str">
        <f>"("""&amp;B772&amp;""") ("&amp;Vlookup(E772,DropDown!R:V,5,FALSE)&amp;IF(ISBLANK(D772)," | "," "&amp;"OR """&amp;YEAR(D772)&amp;""" | ") &amp; """All New"" | Episode | Watch | tv | Show | Series | season | binge | Stream | Film | Movie | Premiere | Screening | Feature | Trailer | Teaser | theater | release)"</f>
        <v>#N/A</v>
      </c>
      <c r="S772" s="23"/>
      <c r="T772" s="23"/>
      <c r="U772" s="23"/>
      <c r="V772" s="23"/>
      <c r="W772" s="23"/>
      <c r="X772" s="38"/>
      <c r="Y772" s="38"/>
      <c r="Z772" s="38"/>
      <c r="AA772" s="38"/>
    </row>
    <row r="773">
      <c r="A773" s="31"/>
      <c r="B773" s="38"/>
      <c r="C773" s="38"/>
      <c r="D773" s="50"/>
      <c r="E773" s="50"/>
      <c r="F773" s="50"/>
      <c r="G773" s="27" t="str">
        <f>VLOOKUP(E773,DropDown!J:K,2,FALSE)</f>
        <v>#N/A</v>
      </c>
      <c r="H773" s="50"/>
      <c r="I773" s="50"/>
      <c r="J773" s="50"/>
      <c r="K773" s="25" t="s">
        <v>116</v>
      </c>
      <c r="L773" s="23"/>
      <c r="M773" s="23"/>
      <c r="N773" s="25" t="str">
        <f>"("""&amp;B773&amp;""") ("&amp;Vlookup(E773,DropDown!J:N,5,FALSE)&amp;" OR """ &amp;YEAR(D773) &amp; """ OR ""All New"" OR Episode OR Watch OR tv OR Show OR Series OR season OR binge OR Stream OR Film OR Movie OR Premiere OR Screening OR Feature OR Trailer OR Teaser OR theater OR release)"</f>
        <v>#N/A</v>
      </c>
      <c r="O773" s="23" t="str">
        <f t="shared" si="1"/>
        <v>#</v>
      </c>
      <c r="P773" s="23" t="str">
        <f t="shared" si="2"/>
        <v>#</v>
      </c>
      <c r="Q773" s="23"/>
      <c r="R773" s="23" t="str">
        <f>"("""&amp;B773&amp;""") ("&amp;Vlookup(E773,DropDown!R:V,5,FALSE)&amp;IF(ISBLANK(D773)," | "," "&amp;"OR """&amp;YEAR(D773)&amp;""" | ") &amp; """All New"" | Episode | Watch | tv | Show | Series | season | binge | Stream | Film | Movie | Premiere | Screening | Feature | Trailer | Teaser | theater | release)"</f>
        <v>#N/A</v>
      </c>
      <c r="S773" s="23"/>
      <c r="T773" s="23"/>
      <c r="U773" s="23"/>
      <c r="V773" s="23"/>
      <c r="W773" s="23"/>
      <c r="X773" s="38"/>
      <c r="Y773" s="38"/>
      <c r="Z773" s="38"/>
      <c r="AA773" s="38"/>
    </row>
    <row r="774">
      <c r="A774" s="31"/>
      <c r="B774" s="38"/>
      <c r="C774" s="38"/>
      <c r="D774" s="50"/>
      <c r="E774" s="50"/>
      <c r="F774" s="50"/>
      <c r="G774" s="27" t="str">
        <f>VLOOKUP(E774,DropDown!J:K,2,FALSE)</f>
        <v>#N/A</v>
      </c>
      <c r="H774" s="50"/>
      <c r="I774" s="50"/>
      <c r="J774" s="50"/>
      <c r="K774" s="25" t="s">
        <v>116</v>
      </c>
      <c r="L774" s="23"/>
      <c r="M774" s="23"/>
      <c r="N774" s="25" t="str">
        <f>"("""&amp;B774&amp;""") ("&amp;Vlookup(E774,DropDown!J:N,5,FALSE)&amp;" OR """ &amp;YEAR(D774) &amp; """ OR ""All New"" OR Episode OR Watch OR tv OR Show OR Series OR season OR binge OR Stream OR Film OR Movie OR Premiere OR Screening OR Feature OR Trailer OR Teaser OR theater OR release)"</f>
        <v>#N/A</v>
      </c>
      <c r="O774" s="23" t="str">
        <f t="shared" si="1"/>
        <v>#</v>
      </c>
      <c r="P774" s="23" t="str">
        <f t="shared" si="2"/>
        <v>#</v>
      </c>
      <c r="Q774" s="23"/>
      <c r="R774" s="23" t="str">
        <f>"("""&amp;B774&amp;""") ("&amp;Vlookup(E774,DropDown!R:V,5,FALSE)&amp;IF(ISBLANK(D774)," | "," "&amp;"OR """&amp;YEAR(D774)&amp;""" | ") &amp; """All New"" | Episode | Watch | tv | Show | Series | season | binge | Stream | Film | Movie | Premiere | Screening | Feature | Trailer | Teaser | theater | release)"</f>
        <v>#N/A</v>
      </c>
      <c r="S774" s="23"/>
      <c r="T774" s="23"/>
      <c r="U774" s="23"/>
      <c r="V774" s="23"/>
      <c r="W774" s="23"/>
      <c r="X774" s="38"/>
      <c r="Y774" s="38"/>
      <c r="Z774" s="38"/>
      <c r="AA774" s="38"/>
    </row>
    <row r="775">
      <c r="A775" s="31"/>
      <c r="B775" s="38"/>
      <c r="C775" s="38"/>
      <c r="D775" s="50"/>
      <c r="E775" s="50"/>
      <c r="F775" s="50"/>
      <c r="G775" s="27" t="str">
        <f>VLOOKUP(E775,DropDown!J:K,2,FALSE)</f>
        <v>#N/A</v>
      </c>
      <c r="H775" s="50"/>
      <c r="I775" s="50"/>
      <c r="J775" s="50"/>
      <c r="K775" s="25" t="s">
        <v>116</v>
      </c>
      <c r="L775" s="23"/>
      <c r="M775" s="23"/>
      <c r="N775" s="25" t="str">
        <f>"("""&amp;B775&amp;""") ("&amp;Vlookup(E775,DropDown!J:N,5,FALSE)&amp;" OR """ &amp;YEAR(D775) &amp; """ OR ""All New"" OR Episode OR Watch OR tv OR Show OR Series OR season OR binge OR Stream OR Film OR Movie OR Premiere OR Screening OR Feature OR Trailer OR Teaser OR theater OR release)"</f>
        <v>#N/A</v>
      </c>
      <c r="O775" s="23" t="str">
        <f t="shared" si="1"/>
        <v>#</v>
      </c>
      <c r="P775" s="23" t="str">
        <f t="shared" si="2"/>
        <v>#</v>
      </c>
      <c r="Q775" s="23"/>
      <c r="R775" s="23" t="str">
        <f>"("""&amp;B775&amp;""") ("&amp;Vlookup(E775,DropDown!R:V,5,FALSE)&amp;IF(ISBLANK(D775)," | "," "&amp;"OR """&amp;YEAR(D775)&amp;""" | ") &amp; """All New"" | Episode | Watch | tv | Show | Series | season | binge | Stream | Film | Movie | Premiere | Screening | Feature | Trailer | Teaser | theater | release)"</f>
        <v>#N/A</v>
      </c>
      <c r="S775" s="23"/>
      <c r="T775" s="23"/>
      <c r="U775" s="23"/>
      <c r="V775" s="23"/>
      <c r="W775" s="23"/>
      <c r="X775" s="38"/>
      <c r="Y775" s="38"/>
      <c r="Z775" s="38"/>
      <c r="AA775" s="38"/>
    </row>
    <row r="776">
      <c r="A776" s="31"/>
      <c r="B776" s="38"/>
      <c r="C776" s="38"/>
      <c r="D776" s="50"/>
      <c r="E776" s="50"/>
      <c r="F776" s="50"/>
      <c r="G776" s="27" t="str">
        <f>VLOOKUP(E776,DropDown!J:K,2,FALSE)</f>
        <v>#N/A</v>
      </c>
      <c r="H776" s="50"/>
      <c r="I776" s="50"/>
      <c r="J776" s="50"/>
      <c r="K776" s="25" t="s">
        <v>116</v>
      </c>
      <c r="L776" s="23"/>
      <c r="M776" s="23"/>
      <c r="N776" s="25" t="str">
        <f>"("""&amp;B776&amp;""") ("&amp;Vlookup(E776,DropDown!J:N,5,FALSE)&amp;" OR """ &amp;YEAR(D776) &amp; """ OR ""All New"" OR Episode OR Watch OR tv OR Show OR Series OR season OR binge OR Stream OR Film OR Movie OR Premiere OR Screening OR Feature OR Trailer OR Teaser OR theater OR release)"</f>
        <v>#N/A</v>
      </c>
      <c r="O776" s="23" t="str">
        <f t="shared" si="1"/>
        <v>#</v>
      </c>
      <c r="P776" s="23" t="str">
        <f t="shared" si="2"/>
        <v>#</v>
      </c>
      <c r="Q776" s="23"/>
      <c r="R776" s="23" t="str">
        <f>"("""&amp;B776&amp;""") ("&amp;Vlookup(E776,DropDown!R:V,5,FALSE)&amp;IF(ISBLANK(D776)," | "," "&amp;"OR """&amp;YEAR(D776)&amp;""" | ") &amp; """All New"" | Episode | Watch | tv | Show | Series | season | binge | Stream | Film | Movie | Premiere | Screening | Feature | Trailer | Teaser | theater | release)"</f>
        <v>#N/A</v>
      </c>
      <c r="S776" s="23"/>
      <c r="T776" s="23"/>
      <c r="U776" s="23"/>
      <c r="V776" s="23"/>
      <c r="W776" s="23"/>
      <c r="X776" s="38"/>
      <c r="Y776" s="38"/>
      <c r="Z776" s="38"/>
      <c r="AA776" s="38"/>
    </row>
    <row r="777">
      <c r="A777" s="31"/>
      <c r="B777" s="38"/>
      <c r="C777" s="38"/>
      <c r="D777" s="50"/>
      <c r="E777" s="50"/>
      <c r="F777" s="50"/>
      <c r="G777" s="27" t="str">
        <f>VLOOKUP(E777,DropDown!J:K,2,FALSE)</f>
        <v>#N/A</v>
      </c>
      <c r="H777" s="50"/>
      <c r="I777" s="50"/>
      <c r="J777" s="50"/>
      <c r="K777" s="25" t="s">
        <v>116</v>
      </c>
      <c r="L777" s="23"/>
      <c r="M777" s="23"/>
      <c r="N777" s="25" t="str">
        <f>"("""&amp;B777&amp;""") ("&amp;Vlookup(E777,DropDown!J:N,5,FALSE)&amp;" OR """ &amp;YEAR(D777) &amp; """ OR ""All New"" OR Episode OR Watch OR tv OR Show OR Series OR season OR binge OR Stream OR Film OR Movie OR Premiere OR Screening OR Feature OR Trailer OR Teaser OR theater OR release)"</f>
        <v>#N/A</v>
      </c>
      <c r="O777" s="23" t="str">
        <f t="shared" si="1"/>
        <v>#</v>
      </c>
      <c r="P777" s="23" t="str">
        <f t="shared" si="2"/>
        <v>#</v>
      </c>
      <c r="Q777" s="23"/>
      <c r="R777" s="23" t="str">
        <f>"("""&amp;B777&amp;""") ("&amp;Vlookup(E777,DropDown!R:V,5,FALSE)&amp;IF(ISBLANK(D777)," | "," "&amp;"OR """&amp;YEAR(D777)&amp;""" | ") &amp; """All New"" | Episode | Watch | tv | Show | Series | season | binge | Stream | Film | Movie | Premiere | Screening | Feature | Trailer | Teaser | theater | release)"</f>
        <v>#N/A</v>
      </c>
      <c r="S777" s="23"/>
      <c r="T777" s="23"/>
      <c r="U777" s="23"/>
      <c r="V777" s="23"/>
      <c r="W777" s="23"/>
      <c r="X777" s="38"/>
      <c r="Y777" s="38"/>
      <c r="Z777" s="38"/>
      <c r="AA777" s="38"/>
    </row>
    <row r="778">
      <c r="A778" s="31"/>
      <c r="B778" s="38"/>
      <c r="C778" s="38"/>
      <c r="D778" s="50"/>
      <c r="E778" s="50"/>
      <c r="F778" s="50"/>
      <c r="G778" s="27" t="str">
        <f>VLOOKUP(E778,DropDown!J:K,2,FALSE)</f>
        <v>#N/A</v>
      </c>
      <c r="H778" s="50"/>
      <c r="I778" s="50"/>
      <c r="J778" s="50"/>
      <c r="K778" s="25" t="s">
        <v>116</v>
      </c>
      <c r="L778" s="23"/>
      <c r="M778" s="23"/>
      <c r="N778" s="25" t="str">
        <f>"("""&amp;B778&amp;""") ("&amp;Vlookup(E778,DropDown!J:N,5,FALSE)&amp;" OR """ &amp;YEAR(D778) &amp; """ OR ""All New"" OR Episode OR Watch OR tv OR Show OR Series OR season OR binge OR Stream OR Film OR Movie OR Premiere OR Screening OR Feature OR Trailer OR Teaser OR theater OR release)"</f>
        <v>#N/A</v>
      </c>
      <c r="O778" s="23" t="str">
        <f t="shared" si="1"/>
        <v>#</v>
      </c>
      <c r="P778" s="23" t="str">
        <f t="shared" si="2"/>
        <v>#</v>
      </c>
      <c r="Q778" s="23"/>
      <c r="R778" s="23" t="str">
        <f>"("""&amp;B778&amp;""") ("&amp;Vlookup(E778,DropDown!R:V,5,FALSE)&amp;IF(ISBLANK(D778)," | "," "&amp;"OR """&amp;YEAR(D778)&amp;""" | ") &amp; """All New"" | Episode | Watch | tv | Show | Series | season | binge | Stream | Film | Movie | Premiere | Screening | Feature | Trailer | Teaser | theater | release)"</f>
        <v>#N/A</v>
      </c>
      <c r="S778" s="23"/>
      <c r="T778" s="23"/>
      <c r="U778" s="23"/>
      <c r="V778" s="23"/>
      <c r="W778" s="23"/>
      <c r="X778" s="38"/>
      <c r="Y778" s="38"/>
      <c r="Z778" s="38"/>
      <c r="AA778" s="38"/>
    </row>
    <row r="779">
      <c r="A779" s="31"/>
      <c r="B779" s="38"/>
      <c r="C779" s="38"/>
      <c r="D779" s="50"/>
      <c r="E779" s="50"/>
      <c r="F779" s="50"/>
      <c r="G779" s="27" t="str">
        <f>VLOOKUP(E779,DropDown!J:K,2,FALSE)</f>
        <v>#N/A</v>
      </c>
      <c r="H779" s="50"/>
      <c r="I779" s="50"/>
      <c r="J779" s="50"/>
      <c r="K779" s="25" t="s">
        <v>116</v>
      </c>
      <c r="L779" s="23"/>
      <c r="M779" s="23"/>
      <c r="N779" s="25" t="str">
        <f>"("""&amp;B779&amp;""") ("&amp;Vlookup(E779,DropDown!J:N,5,FALSE)&amp;" OR """ &amp;YEAR(D779) &amp; """ OR ""All New"" OR Episode OR Watch OR tv OR Show OR Series OR season OR binge OR Stream OR Film OR Movie OR Premiere OR Screening OR Feature OR Trailer OR Teaser OR theater OR release)"</f>
        <v>#N/A</v>
      </c>
      <c r="O779" s="23" t="str">
        <f t="shared" si="1"/>
        <v>#</v>
      </c>
      <c r="P779" s="23" t="str">
        <f t="shared" si="2"/>
        <v>#</v>
      </c>
      <c r="Q779" s="23"/>
      <c r="R779" s="23" t="str">
        <f>"("""&amp;B779&amp;""") ("&amp;Vlookup(E779,DropDown!R:V,5,FALSE)&amp;IF(ISBLANK(D779)," | "," "&amp;"OR """&amp;YEAR(D779)&amp;""" | ") &amp; """All New"" | Episode | Watch | tv | Show | Series | season | binge | Stream | Film | Movie | Premiere | Screening | Feature | Trailer | Teaser | theater | release)"</f>
        <v>#N/A</v>
      </c>
      <c r="S779" s="23"/>
      <c r="T779" s="23"/>
      <c r="U779" s="23"/>
      <c r="V779" s="23"/>
      <c r="W779" s="23"/>
      <c r="X779" s="38"/>
      <c r="Y779" s="38"/>
      <c r="Z779" s="38"/>
      <c r="AA779" s="38"/>
    </row>
    <row r="780">
      <c r="A780" s="31"/>
      <c r="B780" s="38"/>
      <c r="C780" s="38"/>
      <c r="D780" s="50"/>
      <c r="E780" s="50"/>
      <c r="F780" s="50"/>
      <c r="G780" s="27" t="str">
        <f>VLOOKUP(E780,DropDown!J:K,2,FALSE)</f>
        <v>#N/A</v>
      </c>
      <c r="H780" s="50"/>
      <c r="I780" s="50"/>
      <c r="J780" s="50"/>
      <c r="K780" s="25" t="s">
        <v>116</v>
      </c>
      <c r="L780" s="23"/>
      <c r="M780" s="23"/>
      <c r="N780" s="25" t="str">
        <f>"("""&amp;B780&amp;""") ("&amp;Vlookup(E780,DropDown!J:N,5,FALSE)&amp;" OR """ &amp;YEAR(D780) &amp; """ OR ""All New"" OR Episode OR Watch OR tv OR Show OR Series OR season OR binge OR Stream OR Film OR Movie OR Premiere OR Screening OR Feature OR Trailer OR Teaser OR theater OR release)"</f>
        <v>#N/A</v>
      </c>
      <c r="O780" s="23" t="str">
        <f t="shared" si="1"/>
        <v>#</v>
      </c>
      <c r="P780" s="23" t="str">
        <f t="shared" si="2"/>
        <v>#</v>
      </c>
      <c r="Q780" s="23"/>
      <c r="R780" s="23" t="str">
        <f>"("""&amp;B780&amp;""") ("&amp;Vlookup(E780,DropDown!R:V,5,FALSE)&amp;IF(ISBLANK(D780)," | "," "&amp;"OR """&amp;YEAR(D780)&amp;""" | ") &amp; """All New"" | Episode | Watch | tv | Show | Series | season | binge | Stream | Film | Movie | Premiere | Screening | Feature | Trailer | Teaser | theater | release)"</f>
        <v>#N/A</v>
      </c>
      <c r="S780" s="23"/>
      <c r="T780" s="23"/>
      <c r="U780" s="23"/>
      <c r="V780" s="23"/>
      <c r="W780" s="23"/>
      <c r="X780" s="38"/>
      <c r="Y780" s="38"/>
      <c r="Z780" s="38"/>
      <c r="AA780" s="38"/>
    </row>
    <row r="781">
      <c r="A781" s="31"/>
      <c r="B781" s="38"/>
      <c r="C781" s="38"/>
      <c r="D781" s="50"/>
      <c r="E781" s="50"/>
      <c r="F781" s="50"/>
      <c r="G781" s="27" t="str">
        <f>VLOOKUP(E781,DropDown!J:K,2,FALSE)</f>
        <v>#N/A</v>
      </c>
      <c r="H781" s="50"/>
      <c r="I781" s="50"/>
      <c r="J781" s="50"/>
      <c r="K781" s="25" t="s">
        <v>116</v>
      </c>
      <c r="L781" s="23"/>
      <c r="M781" s="23"/>
      <c r="N781" s="25" t="str">
        <f>"("""&amp;B781&amp;""") ("&amp;Vlookup(E781,DropDown!J:N,5,FALSE)&amp;" OR """ &amp;YEAR(D781) &amp; """ OR ""All New"" OR Episode OR Watch OR tv OR Show OR Series OR season OR binge OR Stream OR Film OR Movie OR Premiere OR Screening OR Feature OR Trailer OR Teaser OR theater OR release)"</f>
        <v>#N/A</v>
      </c>
      <c r="O781" s="23" t="str">
        <f t="shared" si="1"/>
        <v>#</v>
      </c>
      <c r="P781" s="23" t="str">
        <f t="shared" si="2"/>
        <v>#</v>
      </c>
      <c r="Q781" s="23"/>
      <c r="R781" s="23" t="str">
        <f>"("""&amp;B781&amp;""") ("&amp;Vlookup(E781,DropDown!R:V,5,FALSE)&amp;IF(ISBLANK(D781)," | "," "&amp;"OR """&amp;YEAR(D781)&amp;""" | ") &amp; """All New"" | Episode | Watch | tv | Show | Series | season | binge | Stream | Film | Movie | Premiere | Screening | Feature | Trailer | Teaser | theater | release)"</f>
        <v>#N/A</v>
      </c>
      <c r="S781" s="23"/>
      <c r="T781" s="23"/>
      <c r="U781" s="23"/>
      <c r="V781" s="23"/>
      <c r="W781" s="23"/>
      <c r="X781" s="38"/>
      <c r="Y781" s="38"/>
      <c r="Z781" s="38"/>
      <c r="AA781" s="38"/>
    </row>
    <row r="782">
      <c r="A782" s="31"/>
      <c r="B782" s="38"/>
      <c r="C782" s="38"/>
      <c r="D782" s="50"/>
      <c r="E782" s="50"/>
      <c r="F782" s="50"/>
      <c r="G782" s="27" t="str">
        <f>VLOOKUP(E782,DropDown!J:K,2,FALSE)</f>
        <v>#N/A</v>
      </c>
      <c r="H782" s="50"/>
      <c r="I782" s="50"/>
      <c r="J782" s="50"/>
      <c r="K782" s="25" t="s">
        <v>116</v>
      </c>
      <c r="L782" s="23"/>
      <c r="M782" s="23"/>
      <c r="N782" s="25" t="str">
        <f>"("""&amp;B782&amp;""") ("&amp;Vlookup(E782,DropDown!J:N,5,FALSE)&amp;" OR """ &amp;YEAR(D782) &amp; """ OR ""All New"" OR Episode OR Watch OR tv OR Show OR Series OR season OR binge OR Stream OR Film OR Movie OR Premiere OR Screening OR Feature OR Trailer OR Teaser OR theater OR release)"</f>
        <v>#N/A</v>
      </c>
      <c r="O782" s="23" t="str">
        <f t="shared" si="1"/>
        <v>#</v>
      </c>
      <c r="P782" s="23" t="str">
        <f t="shared" si="2"/>
        <v>#</v>
      </c>
      <c r="Q782" s="23"/>
      <c r="R782" s="23" t="str">
        <f>"("""&amp;B782&amp;""") ("&amp;Vlookup(E782,DropDown!R:V,5,FALSE)&amp;IF(ISBLANK(D782)," | "," "&amp;"OR """&amp;YEAR(D782)&amp;""" | ") &amp; """All New"" | Episode | Watch | tv | Show | Series | season | binge | Stream | Film | Movie | Premiere | Screening | Feature | Trailer | Teaser | theater | release)"</f>
        <v>#N/A</v>
      </c>
      <c r="S782" s="23"/>
      <c r="T782" s="23"/>
      <c r="U782" s="23"/>
      <c r="V782" s="23"/>
      <c r="W782" s="23"/>
      <c r="X782" s="38"/>
      <c r="Y782" s="38"/>
      <c r="Z782" s="38"/>
      <c r="AA782" s="38"/>
    </row>
    <row r="783">
      <c r="A783" s="31"/>
      <c r="B783" s="38"/>
      <c r="C783" s="38"/>
      <c r="D783" s="50"/>
      <c r="E783" s="50"/>
      <c r="F783" s="50"/>
      <c r="G783" s="27" t="str">
        <f>VLOOKUP(E783,DropDown!J:K,2,FALSE)</f>
        <v>#N/A</v>
      </c>
      <c r="H783" s="50"/>
      <c r="I783" s="50"/>
      <c r="J783" s="50"/>
      <c r="K783" s="25" t="s">
        <v>116</v>
      </c>
      <c r="L783" s="23"/>
      <c r="M783" s="23"/>
      <c r="N783" s="25" t="str">
        <f>"("""&amp;B783&amp;""") ("&amp;Vlookup(E783,DropDown!J:N,5,FALSE)&amp;" OR """ &amp;YEAR(D783) &amp; """ OR ""All New"" OR Episode OR Watch OR tv OR Show OR Series OR season OR binge OR Stream OR Film OR Movie OR Premiere OR Screening OR Feature OR Trailer OR Teaser OR theater OR release)"</f>
        <v>#N/A</v>
      </c>
      <c r="O783" s="23" t="str">
        <f t="shared" si="1"/>
        <v>#</v>
      </c>
      <c r="P783" s="23" t="str">
        <f t="shared" si="2"/>
        <v>#</v>
      </c>
      <c r="Q783" s="23"/>
      <c r="R783" s="23" t="str">
        <f>"("""&amp;B783&amp;""") ("&amp;Vlookup(E783,DropDown!R:V,5,FALSE)&amp;IF(ISBLANK(D783)," | "," "&amp;"OR """&amp;YEAR(D783)&amp;""" | ") &amp; """All New"" | Episode | Watch | tv | Show | Series | season | binge | Stream | Film | Movie | Premiere | Screening | Feature | Trailer | Teaser | theater | release)"</f>
        <v>#N/A</v>
      </c>
      <c r="S783" s="23"/>
      <c r="T783" s="23"/>
      <c r="U783" s="23"/>
      <c r="V783" s="23"/>
      <c r="W783" s="23"/>
      <c r="X783" s="38"/>
      <c r="Y783" s="38"/>
      <c r="Z783" s="38"/>
      <c r="AA783" s="38"/>
    </row>
    <row r="784">
      <c r="A784" s="31"/>
      <c r="B784" s="38"/>
      <c r="C784" s="38"/>
      <c r="D784" s="50"/>
      <c r="E784" s="50"/>
      <c r="F784" s="50"/>
      <c r="G784" s="27" t="str">
        <f>VLOOKUP(E784,DropDown!J:K,2,FALSE)</f>
        <v>#N/A</v>
      </c>
      <c r="H784" s="50"/>
      <c r="I784" s="50"/>
      <c r="J784" s="50"/>
      <c r="K784" s="25" t="s">
        <v>116</v>
      </c>
      <c r="L784" s="23"/>
      <c r="M784" s="23"/>
      <c r="N784" s="25" t="str">
        <f>"("""&amp;B784&amp;""") ("&amp;Vlookup(E784,DropDown!J:N,5,FALSE)&amp;" OR """ &amp;YEAR(D784) &amp; """ OR ""All New"" OR Episode OR Watch OR tv OR Show OR Series OR season OR binge OR Stream OR Film OR Movie OR Premiere OR Screening OR Feature OR Trailer OR Teaser OR theater OR release)"</f>
        <v>#N/A</v>
      </c>
      <c r="O784" s="23" t="str">
        <f t="shared" si="1"/>
        <v>#</v>
      </c>
      <c r="P784" s="23" t="str">
        <f t="shared" si="2"/>
        <v>#</v>
      </c>
      <c r="Q784" s="23"/>
      <c r="R784" s="23" t="str">
        <f>"("""&amp;B784&amp;""") ("&amp;Vlookup(E784,DropDown!R:V,5,FALSE)&amp;IF(ISBLANK(D784)," | "," "&amp;"OR """&amp;YEAR(D784)&amp;""" | ") &amp; """All New"" | Episode | Watch | tv | Show | Series | season | binge | Stream | Film | Movie | Premiere | Screening | Feature | Trailer | Teaser | theater | release)"</f>
        <v>#N/A</v>
      </c>
      <c r="S784" s="23"/>
      <c r="T784" s="23"/>
      <c r="U784" s="23"/>
      <c r="V784" s="23"/>
      <c r="W784" s="23"/>
      <c r="X784" s="38"/>
      <c r="Y784" s="38"/>
      <c r="Z784" s="38"/>
      <c r="AA784" s="38"/>
    </row>
    <row r="785">
      <c r="A785" s="31"/>
      <c r="B785" s="38"/>
      <c r="C785" s="38"/>
      <c r="D785" s="50"/>
      <c r="E785" s="50"/>
      <c r="F785" s="50"/>
      <c r="G785" s="27" t="str">
        <f>VLOOKUP(E785,DropDown!J:K,2,FALSE)</f>
        <v>#N/A</v>
      </c>
      <c r="H785" s="50"/>
      <c r="I785" s="50"/>
      <c r="J785" s="50"/>
      <c r="K785" s="25" t="s">
        <v>116</v>
      </c>
      <c r="L785" s="23"/>
      <c r="M785" s="23"/>
      <c r="N785" s="25" t="str">
        <f>"("""&amp;B785&amp;""") ("&amp;Vlookup(E785,DropDown!J:N,5,FALSE)&amp;" OR """ &amp;YEAR(D785) &amp; """ OR ""All New"" OR Episode OR Watch OR tv OR Show OR Series OR season OR binge OR Stream OR Film OR Movie OR Premiere OR Screening OR Feature OR Trailer OR Teaser OR theater OR release)"</f>
        <v>#N/A</v>
      </c>
      <c r="O785" s="23" t="str">
        <f t="shared" si="1"/>
        <v>#</v>
      </c>
      <c r="P785" s="23" t="str">
        <f t="shared" si="2"/>
        <v>#</v>
      </c>
      <c r="Q785" s="23"/>
      <c r="R785" s="23" t="str">
        <f>"("""&amp;B785&amp;""") ("&amp;Vlookup(E785,DropDown!R:V,5,FALSE)&amp;IF(ISBLANK(D785)," | "," "&amp;"OR """&amp;YEAR(D785)&amp;""" | ") &amp; """All New"" | Episode | Watch | tv | Show | Series | season | binge | Stream | Film | Movie | Premiere | Screening | Feature | Trailer | Teaser | theater | release)"</f>
        <v>#N/A</v>
      </c>
      <c r="S785" s="23"/>
      <c r="T785" s="23"/>
      <c r="U785" s="23"/>
      <c r="V785" s="23"/>
      <c r="W785" s="23"/>
      <c r="X785" s="38"/>
      <c r="Y785" s="38"/>
      <c r="Z785" s="38"/>
      <c r="AA785" s="38"/>
    </row>
    <row r="786">
      <c r="A786" s="31"/>
      <c r="B786" s="38"/>
      <c r="C786" s="38"/>
      <c r="D786" s="50"/>
      <c r="E786" s="50"/>
      <c r="F786" s="50"/>
      <c r="G786" s="27" t="str">
        <f>VLOOKUP(E786,DropDown!J:K,2,FALSE)</f>
        <v>#N/A</v>
      </c>
      <c r="H786" s="50"/>
      <c r="I786" s="50"/>
      <c r="J786" s="50"/>
      <c r="K786" s="25" t="s">
        <v>116</v>
      </c>
      <c r="L786" s="23"/>
      <c r="M786" s="23"/>
      <c r="N786" s="25" t="str">
        <f>"("""&amp;B786&amp;""") ("&amp;Vlookup(E786,DropDown!J:N,5,FALSE)&amp;" OR """ &amp;YEAR(D786) &amp; """ OR ""All New"" OR Episode OR Watch OR tv OR Show OR Series OR season OR binge OR Stream OR Film OR Movie OR Premiere OR Screening OR Feature OR Trailer OR Teaser OR theater OR release)"</f>
        <v>#N/A</v>
      </c>
      <c r="O786" s="23" t="str">
        <f t="shared" si="1"/>
        <v>#</v>
      </c>
      <c r="P786" s="23" t="str">
        <f t="shared" si="2"/>
        <v>#</v>
      </c>
      <c r="Q786" s="23"/>
      <c r="R786" s="23" t="str">
        <f>"("""&amp;B786&amp;""") ("&amp;Vlookup(E786,DropDown!R:V,5,FALSE)&amp;IF(ISBLANK(D786)," | "," "&amp;"OR """&amp;YEAR(D786)&amp;""" | ") &amp; """All New"" | Episode | Watch | tv | Show | Series | season | binge | Stream | Film | Movie | Premiere | Screening | Feature | Trailer | Teaser | theater | release)"</f>
        <v>#N/A</v>
      </c>
      <c r="S786" s="23"/>
      <c r="T786" s="23"/>
      <c r="U786" s="23"/>
      <c r="V786" s="23"/>
      <c r="W786" s="23"/>
      <c r="X786" s="38"/>
      <c r="Y786" s="38"/>
      <c r="Z786" s="38"/>
      <c r="AA786" s="38"/>
    </row>
    <row r="787">
      <c r="A787" s="31"/>
      <c r="B787" s="38"/>
      <c r="C787" s="38"/>
      <c r="D787" s="50"/>
      <c r="E787" s="50"/>
      <c r="F787" s="50"/>
      <c r="G787" s="27" t="str">
        <f>VLOOKUP(E787,DropDown!J:K,2,FALSE)</f>
        <v>#N/A</v>
      </c>
      <c r="H787" s="50"/>
      <c r="I787" s="50"/>
      <c r="J787" s="50"/>
      <c r="K787" s="25" t="s">
        <v>116</v>
      </c>
      <c r="L787" s="23"/>
      <c r="M787" s="23"/>
      <c r="N787" s="25" t="str">
        <f>"("""&amp;B787&amp;""") ("&amp;Vlookup(E787,DropDown!J:N,5,FALSE)&amp;" OR """ &amp;YEAR(D787) &amp; """ OR ""All New"" OR Episode OR Watch OR tv OR Show OR Series OR season OR binge OR Stream OR Film OR Movie OR Premiere OR Screening OR Feature OR Trailer OR Teaser OR theater OR release)"</f>
        <v>#N/A</v>
      </c>
      <c r="O787" s="23" t="str">
        <f t="shared" si="1"/>
        <v>#</v>
      </c>
      <c r="P787" s="23" t="str">
        <f t="shared" si="2"/>
        <v>#</v>
      </c>
      <c r="Q787" s="23"/>
      <c r="R787" s="23" t="str">
        <f>"("""&amp;B787&amp;""") ("&amp;Vlookup(E787,DropDown!R:V,5,FALSE)&amp;IF(ISBLANK(D787)," | "," "&amp;"OR """&amp;YEAR(D787)&amp;""" | ") &amp; """All New"" | Episode | Watch | tv | Show | Series | season | binge | Stream | Film | Movie | Premiere | Screening | Feature | Trailer | Teaser | theater | release)"</f>
        <v>#N/A</v>
      </c>
      <c r="S787" s="23"/>
      <c r="T787" s="23"/>
      <c r="U787" s="23"/>
      <c r="V787" s="23"/>
      <c r="W787" s="23"/>
      <c r="X787" s="38"/>
      <c r="Y787" s="38"/>
      <c r="Z787" s="38"/>
      <c r="AA787" s="38"/>
    </row>
    <row r="788">
      <c r="A788" s="31"/>
      <c r="B788" s="38"/>
      <c r="C788" s="38"/>
      <c r="D788" s="50"/>
      <c r="E788" s="50"/>
      <c r="F788" s="50"/>
      <c r="G788" s="27" t="str">
        <f>VLOOKUP(E788,DropDown!J:K,2,FALSE)</f>
        <v>#N/A</v>
      </c>
      <c r="H788" s="50"/>
      <c r="I788" s="50"/>
      <c r="J788" s="50"/>
      <c r="K788" s="25" t="s">
        <v>116</v>
      </c>
      <c r="L788" s="23"/>
      <c r="M788" s="23"/>
      <c r="N788" s="25" t="str">
        <f>"("""&amp;B788&amp;""") ("&amp;Vlookup(E788,DropDown!J:N,5,FALSE)&amp;" OR """ &amp;YEAR(D788) &amp; """ OR ""All New"" OR Episode OR Watch OR tv OR Show OR Series OR season OR binge OR Stream OR Film OR Movie OR Premiere OR Screening OR Feature OR Trailer OR Teaser OR theater OR release)"</f>
        <v>#N/A</v>
      </c>
      <c r="O788" s="23" t="str">
        <f t="shared" si="1"/>
        <v>#</v>
      </c>
      <c r="P788" s="23" t="str">
        <f t="shared" si="2"/>
        <v>#</v>
      </c>
      <c r="Q788" s="23"/>
      <c r="R788" s="23" t="str">
        <f>"("""&amp;B788&amp;""") ("&amp;Vlookup(E788,DropDown!R:V,5,FALSE)&amp;IF(ISBLANK(D788)," | "," "&amp;"OR """&amp;YEAR(D788)&amp;""" | ") &amp; """All New"" | Episode | Watch | tv | Show | Series | season | binge | Stream | Film | Movie | Premiere | Screening | Feature | Trailer | Teaser | theater | release)"</f>
        <v>#N/A</v>
      </c>
      <c r="S788" s="23"/>
      <c r="T788" s="23"/>
      <c r="U788" s="23"/>
      <c r="V788" s="23"/>
      <c r="W788" s="23"/>
      <c r="X788" s="38"/>
      <c r="Y788" s="38"/>
      <c r="Z788" s="38"/>
      <c r="AA788" s="38"/>
    </row>
    <row r="789">
      <c r="A789" s="31"/>
      <c r="B789" s="38"/>
      <c r="C789" s="38"/>
      <c r="D789" s="50"/>
      <c r="E789" s="50"/>
      <c r="F789" s="50"/>
      <c r="G789" s="27" t="str">
        <f>VLOOKUP(E789,DropDown!J:K,2,FALSE)</f>
        <v>#N/A</v>
      </c>
      <c r="H789" s="50"/>
      <c r="I789" s="50"/>
      <c r="J789" s="50"/>
      <c r="K789" s="25" t="s">
        <v>116</v>
      </c>
      <c r="L789" s="23"/>
      <c r="M789" s="23"/>
      <c r="N789" s="25" t="str">
        <f>"("""&amp;B789&amp;""") ("&amp;Vlookup(E789,DropDown!J:N,5,FALSE)&amp;" OR """ &amp;YEAR(D789) &amp; """ OR ""All New"" OR Episode OR Watch OR tv OR Show OR Series OR season OR binge OR Stream OR Film OR Movie OR Premiere OR Screening OR Feature OR Trailer OR Teaser OR theater OR release)"</f>
        <v>#N/A</v>
      </c>
      <c r="O789" s="23" t="str">
        <f t="shared" si="1"/>
        <v>#</v>
      </c>
      <c r="P789" s="23" t="str">
        <f t="shared" si="2"/>
        <v>#</v>
      </c>
      <c r="Q789" s="23"/>
      <c r="R789" s="23" t="str">
        <f>"("""&amp;B789&amp;""") ("&amp;Vlookup(E789,DropDown!R:V,5,FALSE)&amp;IF(ISBLANK(D789)," | "," "&amp;"OR """&amp;YEAR(D789)&amp;""" | ") &amp; """All New"" | Episode | Watch | tv | Show | Series | season | binge | Stream | Film | Movie | Premiere | Screening | Feature | Trailer | Teaser | theater | release)"</f>
        <v>#N/A</v>
      </c>
      <c r="S789" s="23"/>
      <c r="T789" s="23"/>
      <c r="U789" s="23"/>
      <c r="V789" s="23"/>
      <c r="W789" s="23"/>
      <c r="X789" s="38"/>
      <c r="Y789" s="38"/>
      <c r="Z789" s="38"/>
      <c r="AA789" s="38"/>
    </row>
    <row r="790">
      <c r="A790" s="31"/>
      <c r="B790" s="38"/>
      <c r="C790" s="38"/>
      <c r="D790" s="50"/>
      <c r="E790" s="50"/>
      <c r="F790" s="50"/>
      <c r="G790" s="27" t="str">
        <f>VLOOKUP(E790,DropDown!J:K,2,FALSE)</f>
        <v>#N/A</v>
      </c>
      <c r="H790" s="50"/>
      <c r="I790" s="50"/>
      <c r="J790" s="50"/>
      <c r="K790" s="25" t="s">
        <v>116</v>
      </c>
      <c r="L790" s="23"/>
      <c r="M790" s="23"/>
      <c r="N790" s="25" t="str">
        <f>"("""&amp;B790&amp;""") ("&amp;Vlookup(E790,DropDown!J:N,5,FALSE)&amp;" OR """ &amp;YEAR(D790) &amp; """ OR ""All New"" OR Episode OR Watch OR tv OR Show OR Series OR season OR binge OR Stream OR Film OR Movie OR Premiere OR Screening OR Feature OR Trailer OR Teaser OR theater OR release)"</f>
        <v>#N/A</v>
      </c>
      <c r="O790" s="23" t="str">
        <f t="shared" si="1"/>
        <v>#</v>
      </c>
      <c r="P790" s="23" t="str">
        <f t="shared" si="2"/>
        <v>#</v>
      </c>
      <c r="Q790" s="23"/>
      <c r="R790" s="23" t="str">
        <f>"("""&amp;B790&amp;""") ("&amp;Vlookup(E790,DropDown!R:V,5,FALSE)&amp;IF(ISBLANK(D790)," | "," "&amp;"OR """&amp;YEAR(D790)&amp;""" | ") &amp; """All New"" | Episode | Watch | tv | Show | Series | season | binge | Stream | Film | Movie | Premiere | Screening | Feature | Trailer | Teaser | theater | release)"</f>
        <v>#N/A</v>
      </c>
      <c r="S790" s="23"/>
      <c r="T790" s="23"/>
      <c r="U790" s="23"/>
      <c r="V790" s="23"/>
      <c r="W790" s="23"/>
      <c r="X790" s="38"/>
      <c r="Y790" s="38"/>
      <c r="Z790" s="38"/>
      <c r="AA790" s="38"/>
    </row>
    <row r="791">
      <c r="A791" s="31"/>
      <c r="B791" s="38"/>
      <c r="C791" s="38"/>
      <c r="D791" s="50"/>
      <c r="E791" s="50"/>
      <c r="F791" s="50"/>
      <c r="G791" s="27" t="str">
        <f>VLOOKUP(E791,DropDown!J:K,2,FALSE)</f>
        <v>#N/A</v>
      </c>
      <c r="H791" s="50"/>
      <c r="I791" s="50"/>
      <c r="J791" s="50"/>
      <c r="K791" s="25" t="s">
        <v>116</v>
      </c>
      <c r="L791" s="23"/>
      <c r="M791" s="23"/>
      <c r="N791" s="25" t="str">
        <f>"("""&amp;B791&amp;""") ("&amp;Vlookup(E791,DropDown!J:N,5,FALSE)&amp;" OR """ &amp;YEAR(D791) &amp; """ OR ""All New"" OR Episode OR Watch OR tv OR Show OR Series OR season OR binge OR Stream OR Film OR Movie OR Premiere OR Screening OR Feature OR Trailer OR Teaser OR theater OR release)"</f>
        <v>#N/A</v>
      </c>
      <c r="O791" s="23" t="str">
        <f t="shared" si="1"/>
        <v>#</v>
      </c>
      <c r="P791" s="23" t="str">
        <f t="shared" si="2"/>
        <v>#</v>
      </c>
      <c r="Q791" s="23"/>
      <c r="R791" s="23" t="str">
        <f>"("""&amp;B791&amp;""") ("&amp;Vlookup(E791,DropDown!R:V,5,FALSE)&amp;IF(ISBLANK(D791)," | "," "&amp;"OR """&amp;YEAR(D791)&amp;""" | ") &amp; """All New"" | Episode | Watch | tv | Show | Series | season | binge | Stream | Film | Movie | Premiere | Screening | Feature | Trailer | Teaser | theater | release)"</f>
        <v>#N/A</v>
      </c>
      <c r="S791" s="23"/>
      <c r="T791" s="23"/>
      <c r="U791" s="23"/>
      <c r="V791" s="23"/>
      <c r="W791" s="23"/>
      <c r="X791" s="38"/>
      <c r="Y791" s="38"/>
      <c r="Z791" s="38"/>
      <c r="AA791" s="38"/>
    </row>
    <row r="792">
      <c r="A792" s="31"/>
      <c r="B792" s="38"/>
      <c r="C792" s="38"/>
      <c r="D792" s="50"/>
      <c r="E792" s="50"/>
      <c r="F792" s="50"/>
      <c r="G792" s="27" t="str">
        <f>VLOOKUP(E792,DropDown!J:K,2,FALSE)</f>
        <v>#N/A</v>
      </c>
      <c r="H792" s="50"/>
      <c r="I792" s="50"/>
      <c r="J792" s="50"/>
      <c r="K792" s="25" t="s">
        <v>116</v>
      </c>
      <c r="L792" s="23"/>
      <c r="M792" s="23"/>
      <c r="N792" s="25" t="str">
        <f>"("""&amp;B792&amp;""") ("&amp;Vlookup(E792,DropDown!J:N,5,FALSE)&amp;" OR """ &amp;YEAR(D792) &amp; """ OR ""All New"" OR Episode OR Watch OR tv OR Show OR Series OR season OR binge OR Stream OR Film OR Movie OR Premiere OR Screening OR Feature OR Trailer OR Teaser OR theater OR release)"</f>
        <v>#N/A</v>
      </c>
      <c r="O792" s="23" t="str">
        <f t="shared" si="1"/>
        <v>#</v>
      </c>
      <c r="P792" s="23" t="str">
        <f t="shared" si="2"/>
        <v>#</v>
      </c>
      <c r="Q792" s="23"/>
      <c r="R792" s="23" t="str">
        <f>"("""&amp;B792&amp;""") ("&amp;Vlookup(E792,DropDown!R:V,5,FALSE)&amp;IF(ISBLANK(D792)," | "," "&amp;"OR """&amp;YEAR(D792)&amp;""" | ") &amp; """All New"" | Episode | Watch | tv | Show | Series | season | binge | Stream | Film | Movie | Premiere | Screening | Feature | Trailer | Teaser | theater | release)"</f>
        <v>#N/A</v>
      </c>
      <c r="S792" s="23"/>
      <c r="T792" s="23"/>
      <c r="U792" s="23"/>
      <c r="V792" s="23"/>
      <c r="W792" s="23"/>
      <c r="X792" s="38"/>
      <c r="Y792" s="38"/>
      <c r="Z792" s="38"/>
      <c r="AA792" s="38"/>
    </row>
    <row r="793">
      <c r="A793" s="31"/>
      <c r="B793" s="38"/>
      <c r="C793" s="38"/>
      <c r="D793" s="50"/>
      <c r="E793" s="50"/>
      <c r="F793" s="50"/>
      <c r="G793" s="27" t="str">
        <f>VLOOKUP(E793,DropDown!J:K,2,FALSE)</f>
        <v>#N/A</v>
      </c>
      <c r="H793" s="50"/>
      <c r="I793" s="50"/>
      <c r="J793" s="50"/>
      <c r="K793" s="25" t="s">
        <v>116</v>
      </c>
      <c r="L793" s="23"/>
      <c r="M793" s="23"/>
      <c r="N793" s="25" t="str">
        <f>"("""&amp;B793&amp;""") ("&amp;Vlookup(E793,DropDown!J:N,5,FALSE)&amp;" OR """ &amp;YEAR(D793) &amp; """ OR ""All New"" OR Episode OR Watch OR tv OR Show OR Series OR season OR binge OR Stream OR Film OR Movie OR Premiere OR Screening OR Feature OR Trailer OR Teaser OR theater OR release)"</f>
        <v>#N/A</v>
      </c>
      <c r="O793" s="23" t="str">
        <f t="shared" si="1"/>
        <v>#</v>
      </c>
      <c r="P793" s="23" t="str">
        <f t="shared" si="2"/>
        <v>#</v>
      </c>
      <c r="Q793" s="23"/>
      <c r="R793" s="23" t="str">
        <f>"("""&amp;B793&amp;""") ("&amp;Vlookup(E793,DropDown!R:V,5,FALSE)&amp;IF(ISBLANK(D793)," | "," "&amp;"OR """&amp;YEAR(D793)&amp;""" | ") &amp; """All New"" | Episode | Watch | tv | Show | Series | season | binge | Stream | Film | Movie | Premiere | Screening | Feature | Trailer | Teaser | theater | release)"</f>
        <v>#N/A</v>
      </c>
      <c r="S793" s="23"/>
      <c r="T793" s="23"/>
      <c r="U793" s="23"/>
      <c r="V793" s="23"/>
      <c r="W793" s="23"/>
      <c r="X793" s="38"/>
      <c r="Y793" s="38"/>
      <c r="Z793" s="38"/>
      <c r="AA793" s="38"/>
    </row>
    <row r="794">
      <c r="A794" s="31"/>
      <c r="B794" s="38"/>
      <c r="C794" s="38"/>
      <c r="D794" s="50"/>
      <c r="E794" s="50"/>
      <c r="F794" s="50"/>
      <c r="G794" s="27" t="str">
        <f>VLOOKUP(E794,DropDown!J:K,2,FALSE)</f>
        <v>#N/A</v>
      </c>
      <c r="H794" s="50"/>
      <c r="I794" s="50"/>
      <c r="J794" s="50"/>
      <c r="K794" s="25" t="s">
        <v>116</v>
      </c>
      <c r="L794" s="23"/>
      <c r="M794" s="23"/>
      <c r="N794" s="25" t="str">
        <f>"("""&amp;B794&amp;""") ("&amp;Vlookup(E794,DropDown!J:N,5,FALSE)&amp;" OR """ &amp;YEAR(D794) &amp; """ OR ""All New"" OR Episode OR Watch OR tv OR Show OR Series OR season OR binge OR Stream OR Film OR Movie OR Premiere OR Screening OR Feature OR Trailer OR Teaser OR theater OR release)"</f>
        <v>#N/A</v>
      </c>
      <c r="O794" s="23" t="str">
        <f t="shared" si="1"/>
        <v>#</v>
      </c>
      <c r="P794" s="23" t="str">
        <f t="shared" si="2"/>
        <v>#</v>
      </c>
      <c r="Q794" s="23"/>
      <c r="R794" s="23" t="str">
        <f>"("""&amp;B794&amp;""") ("&amp;Vlookup(E794,DropDown!R:V,5,FALSE)&amp;IF(ISBLANK(D794)," | "," "&amp;"OR """&amp;YEAR(D794)&amp;""" | ") &amp; """All New"" | Episode | Watch | tv | Show | Series | season | binge | Stream | Film | Movie | Premiere | Screening | Feature | Trailer | Teaser | theater | release)"</f>
        <v>#N/A</v>
      </c>
      <c r="S794" s="23"/>
      <c r="T794" s="23"/>
      <c r="U794" s="23"/>
      <c r="V794" s="23"/>
      <c r="W794" s="23"/>
      <c r="X794" s="38"/>
      <c r="Y794" s="38"/>
      <c r="Z794" s="38"/>
      <c r="AA794" s="38"/>
    </row>
    <row r="795">
      <c r="A795" s="31"/>
      <c r="B795" s="38"/>
      <c r="C795" s="38"/>
      <c r="D795" s="50"/>
      <c r="E795" s="50"/>
      <c r="F795" s="50"/>
      <c r="G795" s="27" t="str">
        <f>VLOOKUP(E795,DropDown!J:K,2,FALSE)</f>
        <v>#N/A</v>
      </c>
      <c r="H795" s="50"/>
      <c r="I795" s="50"/>
      <c r="J795" s="50"/>
      <c r="K795" s="25" t="s">
        <v>116</v>
      </c>
      <c r="L795" s="23"/>
      <c r="M795" s="23"/>
      <c r="N795" s="25" t="str">
        <f>"("""&amp;B795&amp;""") ("&amp;Vlookup(E795,DropDown!J:N,5,FALSE)&amp;" OR """ &amp;YEAR(D795) &amp; """ OR ""All New"" OR Episode OR Watch OR tv OR Show OR Series OR season OR binge OR Stream OR Film OR Movie OR Premiere OR Screening OR Feature OR Trailer OR Teaser OR theater OR release)"</f>
        <v>#N/A</v>
      </c>
      <c r="O795" s="23" t="str">
        <f t="shared" si="1"/>
        <v>#</v>
      </c>
      <c r="P795" s="23" t="str">
        <f t="shared" si="2"/>
        <v>#</v>
      </c>
      <c r="Q795" s="23"/>
      <c r="R795" s="23" t="str">
        <f>"("""&amp;B795&amp;""") ("&amp;Vlookup(E795,DropDown!R:V,5,FALSE)&amp;IF(ISBLANK(D795)," | "," "&amp;"OR """&amp;YEAR(D795)&amp;""" | ") &amp; """All New"" | Episode | Watch | tv | Show | Series | season | binge | Stream | Film | Movie | Premiere | Screening | Feature | Trailer | Teaser | theater | release)"</f>
        <v>#N/A</v>
      </c>
      <c r="S795" s="23"/>
      <c r="T795" s="23"/>
      <c r="U795" s="23"/>
      <c r="V795" s="23"/>
      <c r="W795" s="23"/>
      <c r="X795" s="38"/>
      <c r="Y795" s="38"/>
      <c r="Z795" s="38"/>
      <c r="AA795" s="38"/>
    </row>
    <row r="796">
      <c r="A796" s="31"/>
      <c r="B796" s="38"/>
      <c r="C796" s="38"/>
      <c r="D796" s="50"/>
      <c r="E796" s="50"/>
      <c r="F796" s="50"/>
      <c r="G796" s="27" t="str">
        <f>VLOOKUP(E796,DropDown!J:K,2,FALSE)</f>
        <v>#N/A</v>
      </c>
      <c r="H796" s="50"/>
      <c r="I796" s="50"/>
      <c r="J796" s="50"/>
      <c r="K796" s="25" t="s">
        <v>116</v>
      </c>
      <c r="L796" s="23"/>
      <c r="M796" s="23"/>
      <c r="N796" s="25" t="str">
        <f>"("""&amp;B796&amp;""") ("&amp;Vlookup(E796,DropDown!J:N,5,FALSE)&amp;" OR """ &amp;YEAR(D796) &amp; """ OR ""All New"" OR Episode OR Watch OR tv OR Show OR Series OR season OR binge OR Stream OR Film OR Movie OR Premiere OR Screening OR Feature OR Trailer OR Teaser OR theater OR release)"</f>
        <v>#N/A</v>
      </c>
      <c r="O796" s="23" t="str">
        <f t="shared" si="1"/>
        <v>#</v>
      </c>
      <c r="P796" s="23" t="str">
        <f t="shared" si="2"/>
        <v>#</v>
      </c>
      <c r="Q796" s="23"/>
      <c r="R796" s="23" t="str">
        <f>"("""&amp;B796&amp;""") ("&amp;Vlookup(E796,DropDown!R:V,5,FALSE)&amp;IF(ISBLANK(D796)," | "," "&amp;"OR """&amp;YEAR(D796)&amp;""" | ") &amp; """All New"" | Episode | Watch | tv | Show | Series | season | binge | Stream | Film | Movie | Premiere | Screening | Feature | Trailer | Teaser | theater | release)"</f>
        <v>#N/A</v>
      </c>
      <c r="S796" s="23"/>
      <c r="T796" s="23"/>
      <c r="U796" s="23"/>
      <c r="V796" s="23"/>
      <c r="W796" s="23"/>
      <c r="X796" s="38"/>
      <c r="Y796" s="38"/>
      <c r="Z796" s="38"/>
      <c r="AA796" s="38"/>
    </row>
    <row r="797">
      <c r="A797" s="31"/>
      <c r="B797" s="38"/>
      <c r="C797" s="38"/>
      <c r="D797" s="50"/>
      <c r="E797" s="50"/>
      <c r="F797" s="50"/>
      <c r="G797" s="27" t="str">
        <f>VLOOKUP(E797,DropDown!J:K,2,FALSE)</f>
        <v>#N/A</v>
      </c>
      <c r="H797" s="50"/>
      <c r="I797" s="50"/>
      <c r="J797" s="50"/>
      <c r="K797" s="25" t="s">
        <v>116</v>
      </c>
      <c r="L797" s="23"/>
      <c r="M797" s="23"/>
      <c r="N797" s="25" t="str">
        <f>"("""&amp;B797&amp;""") ("&amp;Vlookup(E797,DropDown!J:N,5,FALSE)&amp;" OR """ &amp;YEAR(D797) &amp; """ OR ""All New"" OR Episode OR Watch OR tv OR Show OR Series OR season OR binge OR Stream OR Film OR Movie OR Premiere OR Screening OR Feature OR Trailer OR Teaser OR theater OR release)"</f>
        <v>#N/A</v>
      </c>
      <c r="O797" s="23" t="str">
        <f t="shared" si="1"/>
        <v>#</v>
      </c>
      <c r="P797" s="23" t="str">
        <f t="shared" si="2"/>
        <v>#</v>
      </c>
      <c r="Q797" s="23"/>
      <c r="R797" s="23" t="str">
        <f>"("""&amp;B797&amp;""") ("&amp;Vlookup(E797,DropDown!R:V,5,FALSE)&amp;IF(ISBLANK(D797)," | "," "&amp;"OR """&amp;YEAR(D797)&amp;""" | ") &amp; """All New"" | Episode | Watch | tv | Show | Series | season | binge | Stream | Film | Movie | Premiere | Screening | Feature | Trailer | Teaser | theater | release)"</f>
        <v>#N/A</v>
      </c>
      <c r="S797" s="23"/>
      <c r="T797" s="23"/>
      <c r="U797" s="23"/>
      <c r="V797" s="23"/>
      <c r="W797" s="23"/>
      <c r="X797" s="38"/>
      <c r="Y797" s="38"/>
      <c r="Z797" s="38"/>
      <c r="AA797" s="38"/>
    </row>
    <row r="798">
      <c r="A798" s="31"/>
      <c r="B798" s="38"/>
      <c r="C798" s="38"/>
      <c r="D798" s="50"/>
      <c r="E798" s="50"/>
      <c r="F798" s="50"/>
      <c r="G798" s="27" t="str">
        <f>VLOOKUP(E798,DropDown!J:K,2,FALSE)</f>
        <v>#N/A</v>
      </c>
      <c r="H798" s="50"/>
      <c r="I798" s="50"/>
      <c r="J798" s="50"/>
      <c r="K798" s="25" t="s">
        <v>116</v>
      </c>
      <c r="L798" s="23"/>
      <c r="M798" s="23"/>
      <c r="N798" s="25" t="str">
        <f>"("""&amp;B798&amp;""") ("&amp;Vlookup(E798,DropDown!J:N,5,FALSE)&amp;" OR """ &amp;YEAR(D798) &amp; """ OR ""All New"" OR Episode OR Watch OR tv OR Show OR Series OR season OR binge OR Stream OR Film OR Movie OR Premiere OR Screening OR Feature OR Trailer OR Teaser OR theater OR release)"</f>
        <v>#N/A</v>
      </c>
      <c r="O798" s="23" t="str">
        <f t="shared" si="1"/>
        <v>#</v>
      </c>
      <c r="P798" s="23" t="str">
        <f t="shared" si="2"/>
        <v>#</v>
      </c>
      <c r="Q798" s="23"/>
      <c r="R798" s="23" t="str">
        <f>"("""&amp;B798&amp;""") ("&amp;Vlookup(E798,DropDown!R:V,5,FALSE)&amp;IF(ISBLANK(D798)," | "," "&amp;"OR """&amp;YEAR(D798)&amp;""" | ") &amp; """All New"" | Episode | Watch | tv | Show | Series | season | binge | Stream | Film | Movie | Premiere | Screening | Feature | Trailer | Teaser | theater | release)"</f>
        <v>#N/A</v>
      </c>
      <c r="S798" s="23"/>
      <c r="T798" s="23"/>
      <c r="U798" s="23"/>
      <c r="V798" s="23"/>
      <c r="W798" s="23"/>
      <c r="X798" s="38"/>
      <c r="Y798" s="38"/>
      <c r="Z798" s="38"/>
      <c r="AA798" s="38"/>
    </row>
    <row r="799">
      <c r="A799" s="31"/>
      <c r="B799" s="38"/>
      <c r="C799" s="38"/>
      <c r="D799" s="50"/>
      <c r="E799" s="50"/>
      <c r="F799" s="50"/>
      <c r="G799" s="27" t="str">
        <f>VLOOKUP(E799,DropDown!J:K,2,FALSE)</f>
        <v>#N/A</v>
      </c>
      <c r="H799" s="50"/>
      <c r="I799" s="50"/>
      <c r="J799" s="50"/>
      <c r="K799" s="25" t="s">
        <v>116</v>
      </c>
      <c r="L799" s="23"/>
      <c r="M799" s="23"/>
      <c r="N799" s="25" t="str">
        <f>"("""&amp;B799&amp;""") ("&amp;Vlookup(E799,DropDown!J:N,5,FALSE)&amp;" OR """ &amp;YEAR(D799) &amp; """ OR ""All New"" OR Episode OR Watch OR tv OR Show OR Series OR season OR binge OR Stream OR Film OR Movie OR Premiere OR Screening OR Feature OR Trailer OR Teaser OR theater OR release)"</f>
        <v>#N/A</v>
      </c>
      <c r="O799" s="23" t="str">
        <f t="shared" si="1"/>
        <v>#</v>
      </c>
      <c r="P799" s="23" t="str">
        <f t="shared" si="2"/>
        <v>#</v>
      </c>
      <c r="Q799" s="23"/>
      <c r="R799" s="23" t="str">
        <f>"("""&amp;B799&amp;""") ("&amp;Vlookup(E799,DropDown!R:V,5,FALSE)&amp;IF(ISBLANK(D799)," | "," "&amp;"OR """&amp;YEAR(D799)&amp;""" | ") &amp; """All New"" | Episode | Watch | tv | Show | Series | season | binge | Stream | Film | Movie | Premiere | Screening | Feature | Trailer | Teaser | theater | release)"</f>
        <v>#N/A</v>
      </c>
      <c r="S799" s="23"/>
      <c r="T799" s="23"/>
      <c r="U799" s="23"/>
      <c r="V799" s="23"/>
      <c r="W799" s="23"/>
      <c r="X799" s="38"/>
      <c r="Y799" s="38"/>
      <c r="Z799" s="38"/>
      <c r="AA799" s="38"/>
    </row>
    <row r="800">
      <c r="A800" s="31"/>
      <c r="B800" s="38"/>
      <c r="C800" s="38"/>
      <c r="D800" s="50"/>
      <c r="E800" s="50"/>
      <c r="F800" s="50"/>
      <c r="G800" s="27" t="str">
        <f>VLOOKUP(E800,DropDown!J:K,2,FALSE)</f>
        <v>#N/A</v>
      </c>
      <c r="H800" s="50"/>
      <c r="I800" s="50"/>
      <c r="J800" s="50"/>
      <c r="K800" s="25" t="s">
        <v>116</v>
      </c>
      <c r="L800" s="23"/>
      <c r="M800" s="23"/>
      <c r="N800" s="25" t="str">
        <f>"("""&amp;B800&amp;""") ("&amp;Vlookup(E800,DropDown!J:N,5,FALSE)&amp;" OR """ &amp;YEAR(D800) &amp; """ OR ""All New"" OR Episode OR Watch OR tv OR Show OR Series OR season OR binge OR Stream OR Film OR Movie OR Premiere OR Screening OR Feature OR Trailer OR Teaser OR theater OR release)"</f>
        <v>#N/A</v>
      </c>
      <c r="O800" s="23" t="str">
        <f t="shared" si="1"/>
        <v>#</v>
      </c>
      <c r="P800" s="23" t="str">
        <f t="shared" si="2"/>
        <v>#</v>
      </c>
      <c r="Q800" s="23"/>
      <c r="R800" s="23" t="str">
        <f>"("""&amp;B800&amp;""") ("&amp;Vlookup(E800,DropDown!R:V,5,FALSE)&amp;IF(ISBLANK(D800)," | "," "&amp;"OR """&amp;YEAR(D800)&amp;""" | ") &amp; """All New"" | Episode | Watch | tv | Show | Series | season | binge | Stream | Film | Movie | Premiere | Screening | Feature | Trailer | Teaser | theater | release)"</f>
        <v>#N/A</v>
      </c>
      <c r="S800" s="23"/>
      <c r="T800" s="23"/>
      <c r="U800" s="23"/>
      <c r="V800" s="23"/>
      <c r="W800" s="23"/>
      <c r="X800" s="38"/>
      <c r="Y800" s="38"/>
      <c r="Z800" s="38"/>
      <c r="AA800" s="38"/>
    </row>
    <row r="801">
      <c r="A801" s="31"/>
      <c r="B801" s="38"/>
      <c r="C801" s="38"/>
      <c r="D801" s="50"/>
      <c r="E801" s="50"/>
      <c r="F801" s="50"/>
      <c r="G801" s="27" t="str">
        <f>VLOOKUP(E801,DropDown!J:K,2,FALSE)</f>
        <v>#N/A</v>
      </c>
      <c r="H801" s="50"/>
      <c r="I801" s="50"/>
      <c r="J801" s="50"/>
      <c r="K801" s="25" t="s">
        <v>116</v>
      </c>
      <c r="L801" s="23"/>
      <c r="M801" s="23"/>
      <c r="N801" s="25" t="str">
        <f>"("""&amp;B801&amp;""") ("&amp;Vlookup(E801,DropDown!J:N,5,FALSE)&amp;" OR """ &amp;YEAR(D801) &amp; """ OR ""All New"" OR Episode OR Watch OR tv OR Show OR Series OR season OR binge OR Stream OR Film OR Movie OR Premiere OR Screening OR Feature OR Trailer OR Teaser OR theater OR release)"</f>
        <v>#N/A</v>
      </c>
      <c r="O801" s="23" t="str">
        <f t="shared" si="1"/>
        <v>#</v>
      </c>
      <c r="P801" s="23" t="str">
        <f t="shared" si="2"/>
        <v>#</v>
      </c>
      <c r="Q801" s="23"/>
      <c r="R801" s="23" t="str">
        <f>"("""&amp;B801&amp;""") ("&amp;Vlookup(E801,DropDown!R:V,5,FALSE)&amp;IF(ISBLANK(D801)," | "," "&amp;"OR """&amp;YEAR(D801)&amp;""" | ") &amp; """All New"" | Episode | Watch | tv | Show | Series | season | binge | Stream | Film | Movie | Premiere | Screening | Feature | Trailer | Teaser | theater | release)"</f>
        <v>#N/A</v>
      </c>
      <c r="S801" s="23"/>
      <c r="T801" s="23"/>
      <c r="U801" s="23"/>
      <c r="V801" s="23"/>
      <c r="W801" s="23"/>
      <c r="X801" s="38"/>
      <c r="Y801" s="38"/>
      <c r="Z801" s="38"/>
      <c r="AA801" s="38"/>
    </row>
    <row r="802">
      <c r="A802" s="31"/>
      <c r="B802" s="38"/>
      <c r="C802" s="38"/>
      <c r="D802" s="50"/>
      <c r="E802" s="50"/>
      <c r="F802" s="50"/>
      <c r="G802" s="27" t="str">
        <f>VLOOKUP(E802,DropDown!J:K,2,FALSE)</f>
        <v>#N/A</v>
      </c>
      <c r="H802" s="50"/>
      <c r="I802" s="50"/>
      <c r="J802" s="50"/>
      <c r="K802" s="25" t="s">
        <v>116</v>
      </c>
      <c r="L802" s="23"/>
      <c r="M802" s="23"/>
      <c r="N802" s="25" t="str">
        <f>"("""&amp;B802&amp;""") ("&amp;Vlookup(E802,DropDown!J:N,5,FALSE)&amp;" OR """ &amp;YEAR(D802) &amp; """ OR ""All New"" OR Episode OR Watch OR tv OR Show OR Series OR season OR binge OR Stream OR Film OR Movie OR Premiere OR Screening OR Feature OR Trailer OR Teaser OR theater OR release)"</f>
        <v>#N/A</v>
      </c>
      <c r="O802" s="23" t="str">
        <f t="shared" si="1"/>
        <v>#</v>
      </c>
      <c r="P802" s="23" t="str">
        <f t="shared" si="2"/>
        <v>#</v>
      </c>
      <c r="Q802" s="23"/>
      <c r="R802" s="23" t="str">
        <f>"("""&amp;B802&amp;""") ("&amp;Vlookup(E802,DropDown!R:V,5,FALSE)&amp;IF(ISBLANK(D802)," | "," "&amp;"OR """&amp;YEAR(D802)&amp;""" | ") &amp; """All New"" | Episode | Watch | tv | Show | Series | season | binge | Stream | Film | Movie | Premiere | Screening | Feature | Trailer | Teaser | theater | release)"</f>
        <v>#N/A</v>
      </c>
      <c r="S802" s="23"/>
      <c r="T802" s="23"/>
      <c r="U802" s="23"/>
      <c r="V802" s="23"/>
      <c r="W802" s="23"/>
      <c r="X802" s="38"/>
      <c r="Y802" s="38"/>
      <c r="Z802" s="38"/>
      <c r="AA802" s="38"/>
    </row>
    <row r="803">
      <c r="A803" s="31"/>
      <c r="B803" s="38"/>
      <c r="C803" s="38"/>
      <c r="D803" s="50"/>
      <c r="E803" s="50"/>
      <c r="F803" s="50"/>
      <c r="G803" s="27" t="str">
        <f>VLOOKUP(E803,DropDown!J:K,2,FALSE)</f>
        <v>#N/A</v>
      </c>
      <c r="H803" s="50"/>
      <c r="I803" s="50"/>
      <c r="J803" s="50"/>
      <c r="K803" s="25" t="s">
        <v>116</v>
      </c>
      <c r="L803" s="23"/>
      <c r="M803" s="23"/>
      <c r="N803" s="25" t="str">
        <f>"("""&amp;B803&amp;""") ("&amp;Vlookup(E803,DropDown!J:N,5,FALSE)&amp;" OR """ &amp;YEAR(D803) &amp; """ OR ""All New"" OR Episode OR Watch OR tv OR Show OR Series OR season OR binge OR Stream OR Film OR Movie OR Premiere OR Screening OR Feature OR Trailer OR Teaser OR theater OR release)"</f>
        <v>#N/A</v>
      </c>
      <c r="O803" s="23" t="str">
        <f t="shared" si="1"/>
        <v>#</v>
      </c>
      <c r="P803" s="23" t="str">
        <f t="shared" si="2"/>
        <v>#</v>
      </c>
      <c r="Q803" s="23"/>
      <c r="R803" s="23" t="str">
        <f>"("""&amp;B803&amp;""") ("&amp;Vlookup(E803,DropDown!R:V,5,FALSE)&amp;IF(ISBLANK(D803)," | "," "&amp;"OR """&amp;YEAR(D803)&amp;""" | ") &amp; """All New"" | Episode | Watch | tv | Show | Series | season | binge | Stream | Film | Movie | Premiere | Screening | Feature | Trailer | Teaser | theater | release)"</f>
        <v>#N/A</v>
      </c>
      <c r="S803" s="23"/>
      <c r="T803" s="23"/>
      <c r="U803" s="23"/>
      <c r="V803" s="23"/>
      <c r="W803" s="23"/>
      <c r="X803" s="38"/>
      <c r="Y803" s="38"/>
      <c r="Z803" s="38"/>
      <c r="AA803" s="38"/>
    </row>
    <row r="804">
      <c r="A804" s="31"/>
      <c r="B804" s="38"/>
      <c r="C804" s="38"/>
      <c r="D804" s="50"/>
      <c r="E804" s="50"/>
      <c r="F804" s="50"/>
      <c r="G804" s="27" t="str">
        <f>VLOOKUP(E804,DropDown!J:K,2,FALSE)</f>
        <v>#N/A</v>
      </c>
      <c r="H804" s="50"/>
      <c r="I804" s="50"/>
      <c r="J804" s="50"/>
      <c r="K804" s="25" t="s">
        <v>116</v>
      </c>
      <c r="L804" s="23"/>
      <c r="M804" s="23"/>
      <c r="N804" s="25" t="str">
        <f>"("""&amp;B804&amp;""") ("&amp;Vlookup(E804,DropDown!J:N,5,FALSE)&amp;" OR """ &amp;YEAR(D804) &amp; """ OR ""All New"" OR Episode OR Watch OR tv OR Show OR Series OR season OR binge OR Stream OR Film OR Movie OR Premiere OR Screening OR Feature OR Trailer OR Teaser OR theater OR release)"</f>
        <v>#N/A</v>
      </c>
      <c r="O804" s="23" t="str">
        <f t="shared" si="1"/>
        <v>#</v>
      </c>
      <c r="P804" s="23" t="str">
        <f t="shared" si="2"/>
        <v>#</v>
      </c>
      <c r="Q804" s="23"/>
      <c r="R804" s="23" t="str">
        <f>"("""&amp;B804&amp;""") ("&amp;Vlookup(E804,DropDown!R:V,5,FALSE)&amp;IF(ISBLANK(D804)," | "," "&amp;"OR """&amp;YEAR(D804)&amp;""" | ") &amp; """All New"" | Episode | Watch | tv | Show | Series | season | binge | Stream | Film | Movie | Premiere | Screening | Feature | Trailer | Teaser | theater | release)"</f>
        <v>#N/A</v>
      </c>
      <c r="S804" s="23"/>
      <c r="T804" s="23"/>
      <c r="U804" s="23"/>
      <c r="V804" s="23"/>
      <c r="W804" s="23"/>
      <c r="X804" s="38"/>
      <c r="Y804" s="38"/>
      <c r="Z804" s="38"/>
      <c r="AA804" s="38"/>
    </row>
    <row r="805">
      <c r="A805" s="31"/>
      <c r="B805" s="38"/>
      <c r="C805" s="38"/>
      <c r="D805" s="50"/>
      <c r="E805" s="50"/>
      <c r="F805" s="50"/>
      <c r="G805" s="27" t="str">
        <f>VLOOKUP(E805,DropDown!J:K,2,FALSE)</f>
        <v>#N/A</v>
      </c>
      <c r="H805" s="50"/>
      <c r="I805" s="50"/>
      <c r="J805" s="50"/>
      <c r="K805" s="25" t="s">
        <v>116</v>
      </c>
      <c r="L805" s="23"/>
      <c r="M805" s="23"/>
      <c r="N805" s="25" t="str">
        <f>"("""&amp;B805&amp;""") ("&amp;Vlookup(E805,DropDown!J:N,5,FALSE)&amp;" OR """ &amp;YEAR(D805) &amp; """ OR ""All New"" OR Episode OR Watch OR tv OR Show OR Series OR season OR binge OR Stream OR Film OR Movie OR Premiere OR Screening OR Feature OR Trailer OR Teaser OR theater OR release)"</f>
        <v>#N/A</v>
      </c>
      <c r="O805" s="23" t="str">
        <f t="shared" si="1"/>
        <v>#</v>
      </c>
      <c r="P805" s="23" t="str">
        <f t="shared" si="2"/>
        <v>#</v>
      </c>
      <c r="Q805" s="23"/>
      <c r="R805" s="23" t="str">
        <f>"("""&amp;B805&amp;""") ("&amp;Vlookup(E805,DropDown!R:V,5,FALSE)&amp;IF(ISBLANK(D805)," | "," "&amp;"OR """&amp;YEAR(D805)&amp;""" | ") &amp; """All New"" | Episode | Watch | tv | Show | Series | season | binge | Stream | Film | Movie | Premiere | Screening | Feature | Trailer | Teaser | theater | release)"</f>
        <v>#N/A</v>
      </c>
      <c r="S805" s="23"/>
      <c r="T805" s="23"/>
      <c r="U805" s="23"/>
      <c r="V805" s="23"/>
      <c r="W805" s="23"/>
      <c r="X805" s="38"/>
      <c r="Y805" s="38"/>
      <c r="Z805" s="38"/>
      <c r="AA805" s="38"/>
    </row>
    <row r="806">
      <c r="A806" s="31"/>
      <c r="B806" s="38"/>
      <c r="C806" s="38"/>
      <c r="D806" s="50"/>
      <c r="E806" s="50"/>
      <c r="F806" s="50"/>
      <c r="G806" s="27" t="str">
        <f>VLOOKUP(E806,DropDown!J:K,2,FALSE)</f>
        <v>#N/A</v>
      </c>
      <c r="H806" s="50"/>
      <c r="I806" s="50"/>
      <c r="J806" s="50"/>
      <c r="K806" s="25" t="s">
        <v>116</v>
      </c>
      <c r="L806" s="23"/>
      <c r="M806" s="23"/>
      <c r="N806" s="25" t="str">
        <f>"("""&amp;B806&amp;""") ("&amp;Vlookup(E806,DropDown!J:N,5,FALSE)&amp;" OR """ &amp;YEAR(D806) &amp; """ OR ""All New"" OR Episode OR Watch OR tv OR Show OR Series OR season OR binge OR Stream OR Film OR Movie OR Premiere OR Screening OR Feature OR Trailer OR Teaser OR theater OR release)"</f>
        <v>#N/A</v>
      </c>
      <c r="O806" s="23" t="str">
        <f t="shared" si="1"/>
        <v>#</v>
      </c>
      <c r="P806" s="23" t="str">
        <f t="shared" si="2"/>
        <v>#</v>
      </c>
      <c r="Q806" s="23"/>
      <c r="R806" s="23" t="str">
        <f>"("""&amp;B806&amp;""") ("&amp;Vlookup(E806,DropDown!R:V,5,FALSE)&amp;IF(ISBLANK(D806)," | "," "&amp;"OR """&amp;YEAR(D806)&amp;""" | ") &amp; """All New"" | Episode | Watch | tv | Show | Series | season | binge | Stream | Film | Movie | Premiere | Screening | Feature | Trailer | Teaser | theater | release)"</f>
        <v>#N/A</v>
      </c>
      <c r="S806" s="23"/>
      <c r="T806" s="23"/>
      <c r="U806" s="23"/>
      <c r="V806" s="23"/>
      <c r="W806" s="23"/>
      <c r="X806" s="38"/>
      <c r="Y806" s="38"/>
      <c r="Z806" s="38"/>
      <c r="AA806" s="38"/>
    </row>
    <row r="807">
      <c r="A807" s="31"/>
      <c r="B807" s="38"/>
      <c r="C807" s="38"/>
      <c r="D807" s="50"/>
      <c r="E807" s="50"/>
      <c r="F807" s="50"/>
      <c r="G807" s="27" t="str">
        <f>VLOOKUP(E807,DropDown!J:K,2,FALSE)</f>
        <v>#N/A</v>
      </c>
      <c r="H807" s="50"/>
      <c r="I807" s="50"/>
      <c r="J807" s="50"/>
      <c r="K807" s="25" t="s">
        <v>116</v>
      </c>
      <c r="L807" s="23"/>
      <c r="M807" s="23"/>
      <c r="N807" s="25" t="str">
        <f>"("""&amp;B807&amp;""") ("&amp;Vlookup(E807,DropDown!J:N,5,FALSE)&amp;" OR """ &amp;YEAR(D807) &amp; """ OR ""All New"" OR Episode OR Watch OR tv OR Show OR Series OR season OR binge OR Stream OR Film OR Movie OR Premiere OR Screening OR Feature OR Trailer OR Teaser OR theater OR release)"</f>
        <v>#N/A</v>
      </c>
      <c r="O807" s="23" t="str">
        <f t="shared" si="1"/>
        <v>#</v>
      </c>
      <c r="P807" s="23" t="str">
        <f t="shared" si="2"/>
        <v>#</v>
      </c>
      <c r="Q807" s="23"/>
      <c r="R807" s="23" t="str">
        <f>"("""&amp;B807&amp;""") ("&amp;Vlookup(E807,DropDown!R:V,5,FALSE)&amp;IF(ISBLANK(D807)," | "," "&amp;"OR """&amp;YEAR(D807)&amp;""" | ") &amp; """All New"" | Episode | Watch | tv | Show | Series | season | binge | Stream | Film | Movie | Premiere | Screening | Feature | Trailer | Teaser | theater | release)"</f>
        <v>#N/A</v>
      </c>
      <c r="S807" s="23"/>
      <c r="T807" s="23"/>
      <c r="U807" s="23"/>
      <c r="V807" s="23"/>
      <c r="W807" s="23"/>
      <c r="X807" s="38"/>
      <c r="Y807" s="38"/>
      <c r="Z807" s="38"/>
      <c r="AA807" s="38"/>
    </row>
    <row r="808">
      <c r="A808" s="31"/>
      <c r="B808" s="38"/>
      <c r="C808" s="38"/>
      <c r="D808" s="50"/>
      <c r="E808" s="50"/>
      <c r="F808" s="50"/>
      <c r="G808" s="27" t="str">
        <f>VLOOKUP(E808,DropDown!J:K,2,FALSE)</f>
        <v>#N/A</v>
      </c>
      <c r="H808" s="50"/>
      <c r="I808" s="50"/>
      <c r="J808" s="50"/>
      <c r="K808" s="25" t="s">
        <v>116</v>
      </c>
      <c r="L808" s="23"/>
      <c r="M808" s="23"/>
      <c r="N808" s="25" t="str">
        <f>"("""&amp;B808&amp;""") ("&amp;Vlookup(E808,DropDown!J:N,5,FALSE)&amp;" OR """ &amp;YEAR(D808) &amp; """ OR ""All New"" OR Episode OR Watch OR tv OR Show OR Series OR season OR binge OR Stream OR Film OR Movie OR Premiere OR Screening OR Feature OR Trailer OR Teaser OR theater OR release)"</f>
        <v>#N/A</v>
      </c>
      <c r="O808" s="23" t="str">
        <f t="shared" si="1"/>
        <v>#</v>
      </c>
      <c r="P808" s="23" t="str">
        <f t="shared" si="2"/>
        <v>#</v>
      </c>
      <c r="Q808" s="23"/>
      <c r="R808" s="23" t="str">
        <f>"("""&amp;B808&amp;""") ("&amp;Vlookup(E808,DropDown!R:V,5,FALSE)&amp;IF(ISBLANK(D808)," | "," "&amp;"OR """&amp;YEAR(D808)&amp;""" | ") &amp; """All New"" | Episode | Watch | tv | Show | Series | season | binge | Stream | Film | Movie | Premiere | Screening | Feature | Trailer | Teaser | theater | release)"</f>
        <v>#N/A</v>
      </c>
      <c r="S808" s="23"/>
      <c r="T808" s="23"/>
      <c r="U808" s="23"/>
      <c r="V808" s="23"/>
      <c r="W808" s="23"/>
      <c r="X808" s="38"/>
      <c r="Y808" s="38"/>
      <c r="Z808" s="38"/>
      <c r="AA808" s="38"/>
    </row>
    <row r="809">
      <c r="A809" s="31"/>
      <c r="B809" s="38"/>
      <c r="C809" s="38"/>
      <c r="D809" s="50"/>
      <c r="E809" s="50"/>
      <c r="F809" s="50"/>
      <c r="G809" s="27" t="str">
        <f>VLOOKUP(E809,DropDown!J:K,2,FALSE)</f>
        <v>#N/A</v>
      </c>
      <c r="H809" s="50"/>
      <c r="I809" s="50"/>
      <c r="J809" s="50"/>
      <c r="K809" s="25" t="s">
        <v>116</v>
      </c>
      <c r="L809" s="23"/>
      <c r="M809" s="23"/>
      <c r="N809" s="25" t="str">
        <f>"("""&amp;B809&amp;""") ("&amp;Vlookup(E809,DropDown!J:N,5,FALSE)&amp;" OR """ &amp;YEAR(D809) &amp; """ OR ""All New"" OR Episode OR Watch OR tv OR Show OR Series OR season OR binge OR Stream OR Film OR Movie OR Premiere OR Screening OR Feature OR Trailer OR Teaser OR theater OR release)"</f>
        <v>#N/A</v>
      </c>
      <c r="O809" s="23" t="str">
        <f t="shared" si="1"/>
        <v>#</v>
      </c>
      <c r="P809" s="23" t="str">
        <f t="shared" si="2"/>
        <v>#</v>
      </c>
      <c r="Q809" s="23"/>
      <c r="R809" s="23" t="str">
        <f>"("""&amp;B809&amp;""") ("&amp;Vlookup(E809,DropDown!R:V,5,FALSE)&amp;IF(ISBLANK(D809)," | "," "&amp;"OR """&amp;YEAR(D809)&amp;""" | ") &amp; """All New"" | Episode | Watch | tv | Show | Series | season | binge | Stream | Film | Movie | Premiere | Screening | Feature | Trailer | Teaser | theater | release)"</f>
        <v>#N/A</v>
      </c>
      <c r="S809" s="23"/>
      <c r="T809" s="23"/>
      <c r="U809" s="23"/>
      <c r="V809" s="23"/>
      <c r="W809" s="23"/>
      <c r="X809" s="38"/>
      <c r="Y809" s="38"/>
      <c r="Z809" s="38"/>
      <c r="AA809" s="38"/>
    </row>
    <row r="810">
      <c r="A810" s="31"/>
      <c r="B810" s="38"/>
      <c r="C810" s="38"/>
      <c r="D810" s="50"/>
      <c r="E810" s="50"/>
      <c r="F810" s="50"/>
      <c r="G810" s="27" t="str">
        <f>VLOOKUP(E810,DropDown!J:K,2,FALSE)</f>
        <v>#N/A</v>
      </c>
      <c r="H810" s="50"/>
      <c r="I810" s="50"/>
      <c r="J810" s="50"/>
      <c r="K810" s="25" t="s">
        <v>116</v>
      </c>
      <c r="L810" s="23"/>
      <c r="M810" s="23"/>
      <c r="N810" s="25" t="str">
        <f>"("""&amp;B810&amp;""") ("&amp;Vlookup(E810,DropDown!J:N,5,FALSE)&amp;" OR """ &amp;YEAR(D810) &amp; """ OR ""All New"" OR Episode OR Watch OR tv OR Show OR Series OR season OR binge OR Stream OR Film OR Movie OR Premiere OR Screening OR Feature OR Trailer OR Teaser OR theater OR release)"</f>
        <v>#N/A</v>
      </c>
      <c r="O810" s="23" t="str">
        <f t="shared" si="1"/>
        <v>#</v>
      </c>
      <c r="P810" s="23" t="str">
        <f t="shared" si="2"/>
        <v>#</v>
      </c>
      <c r="Q810" s="23"/>
      <c r="R810" s="23" t="str">
        <f>"("""&amp;B810&amp;""") ("&amp;Vlookup(E810,DropDown!R:V,5,FALSE)&amp;IF(ISBLANK(D810)," | "," "&amp;"OR """&amp;YEAR(D810)&amp;""" | ") &amp; """All New"" | Episode | Watch | tv | Show | Series | season | binge | Stream | Film | Movie | Premiere | Screening | Feature | Trailer | Teaser | theater | release)"</f>
        <v>#N/A</v>
      </c>
      <c r="S810" s="23"/>
      <c r="T810" s="23"/>
      <c r="U810" s="23"/>
      <c r="V810" s="23"/>
      <c r="W810" s="23"/>
      <c r="X810" s="38"/>
      <c r="Y810" s="38"/>
      <c r="Z810" s="38"/>
      <c r="AA810" s="38"/>
    </row>
    <row r="811">
      <c r="A811" s="31"/>
      <c r="B811" s="38"/>
      <c r="C811" s="38"/>
      <c r="D811" s="50"/>
      <c r="E811" s="50"/>
      <c r="F811" s="50"/>
      <c r="G811" s="27" t="str">
        <f>VLOOKUP(E811,DropDown!J:K,2,FALSE)</f>
        <v>#N/A</v>
      </c>
      <c r="H811" s="50"/>
      <c r="I811" s="50"/>
      <c r="J811" s="50"/>
      <c r="K811" s="25" t="s">
        <v>116</v>
      </c>
      <c r="L811" s="23"/>
      <c r="M811" s="23"/>
      <c r="N811" s="25" t="str">
        <f>"("""&amp;B811&amp;""") ("&amp;Vlookup(E811,DropDown!J:N,5,FALSE)&amp;" OR """ &amp;YEAR(D811) &amp; """ OR ""All New"" OR Episode OR Watch OR tv OR Show OR Series OR season OR binge OR Stream OR Film OR Movie OR Premiere OR Screening OR Feature OR Trailer OR Teaser OR theater OR release)"</f>
        <v>#N/A</v>
      </c>
      <c r="O811" s="23" t="str">
        <f t="shared" si="1"/>
        <v>#</v>
      </c>
      <c r="P811" s="23" t="str">
        <f t="shared" si="2"/>
        <v>#</v>
      </c>
      <c r="Q811" s="23"/>
      <c r="R811" s="23" t="str">
        <f>"("""&amp;B811&amp;""") ("&amp;Vlookup(E811,DropDown!R:V,5,FALSE)&amp;IF(ISBLANK(D811)," | "," "&amp;"OR """&amp;YEAR(D811)&amp;""" | ") &amp; """All New"" | Episode | Watch | tv | Show | Series | season | binge | Stream | Film | Movie | Premiere | Screening | Feature | Trailer | Teaser | theater | release)"</f>
        <v>#N/A</v>
      </c>
      <c r="S811" s="23"/>
      <c r="T811" s="23"/>
      <c r="U811" s="23"/>
      <c r="V811" s="23"/>
      <c r="W811" s="23"/>
      <c r="X811" s="38"/>
      <c r="Y811" s="38"/>
      <c r="Z811" s="38"/>
      <c r="AA811" s="38"/>
    </row>
    <row r="812">
      <c r="A812" s="31"/>
      <c r="B812" s="38"/>
      <c r="C812" s="38"/>
      <c r="D812" s="50"/>
      <c r="E812" s="50"/>
      <c r="F812" s="50"/>
      <c r="G812" s="27" t="str">
        <f>VLOOKUP(E812,DropDown!J:K,2,FALSE)</f>
        <v>#N/A</v>
      </c>
      <c r="H812" s="50"/>
      <c r="I812" s="50"/>
      <c r="J812" s="50"/>
      <c r="K812" s="25" t="s">
        <v>116</v>
      </c>
      <c r="L812" s="23"/>
      <c r="M812" s="23"/>
      <c r="N812" s="25" t="str">
        <f>"("""&amp;B812&amp;""") ("&amp;Vlookup(E812,DropDown!J:N,5,FALSE)&amp;" OR """ &amp;YEAR(D812) &amp; """ OR ""All New"" OR Episode OR Watch OR tv OR Show OR Series OR season OR binge OR Stream OR Film OR Movie OR Premiere OR Screening OR Feature OR Trailer OR Teaser OR theater OR release)"</f>
        <v>#N/A</v>
      </c>
      <c r="O812" s="23" t="str">
        <f t="shared" si="1"/>
        <v>#</v>
      </c>
      <c r="P812" s="23" t="str">
        <f t="shared" si="2"/>
        <v>#</v>
      </c>
      <c r="Q812" s="23"/>
      <c r="R812" s="23" t="str">
        <f>"("""&amp;B812&amp;""") ("&amp;Vlookup(E812,DropDown!R:V,5,FALSE)&amp;IF(ISBLANK(D812)," | "," "&amp;"OR """&amp;YEAR(D812)&amp;""" | ") &amp; """All New"" | Episode | Watch | tv | Show | Series | season | binge | Stream | Film | Movie | Premiere | Screening | Feature | Trailer | Teaser | theater | release)"</f>
        <v>#N/A</v>
      </c>
      <c r="S812" s="23"/>
      <c r="T812" s="23"/>
      <c r="U812" s="23"/>
      <c r="V812" s="23"/>
      <c r="W812" s="23"/>
      <c r="X812" s="38"/>
      <c r="Y812" s="38"/>
      <c r="Z812" s="38"/>
      <c r="AA812" s="38"/>
    </row>
    <row r="813">
      <c r="A813" s="31"/>
      <c r="B813" s="38"/>
      <c r="C813" s="38"/>
      <c r="D813" s="50"/>
      <c r="E813" s="50"/>
      <c r="F813" s="50"/>
      <c r="G813" s="27" t="str">
        <f>VLOOKUP(E813,DropDown!J:K,2,FALSE)</f>
        <v>#N/A</v>
      </c>
      <c r="H813" s="50"/>
      <c r="I813" s="50"/>
      <c r="J813" s="50"/>
      <c r="K813" s="25" t="s">
        <v>116</v>
      </c>
      <c r="L813" s="23"/>
      <c r="M813" s="23"/>
      <c r="N813" s="25" t="str">
        <f>"("""&amp;B813&amp;""") ("&amp;Vlookup(E813,DropDown!J:N,5,FALSE)&amp;" OR """ &amp;YEAR(D813) &amp; """ OR ""All New"" OR Episode OR Watch OR tv OR Show OR Series OR season OR binge OR Stream OR Film OR Movie OR Premiere OR Screening OR Feature OR Trailer OR Teaser OR theater OR release)"</f>
        <v>#N/A</v>
      </c>
      <c r="O813" s="23" t="str">
        <f t="shared" si="1"/>
        <v>#</v>
      </c>
      <c r="P813" s="23" t="str">
        <f t="shared" si="2"/>
        <v>#</v>
      </c>
      <c r="Q813" s="23"/>
      <c r="R813" s="23" t="str">
        <f>"("""&amp;B813&amp;""") ("&amp;Vlookup(E813,DropDown!R:V,5,FALSE)&amp;IF(ISBLANK(D813)," | "," "&amp;"OR """&amp;YEAR(D813)&amp;""" | ") &amp; """All New"" | Episode | Watch | tv | Show | Series | season | binge | Stream | Film | Movie | Premiere | Screening | Feature | Trailer | Teaser | theater | release)"</f>
        <v>#N/A</v>
      </c>
      <c r="S813" s="23"/>
      <c r="T813" s="23"/>
      <c r="U813" s="23"/>
      <c r="V813" s="23"/>
      <c r="W813" s="23"/>
      <c r="X813" s="38"/>
      <c r="Y813" s="38"/>
      <c r="Z813" s="38"/>
      <c r="AA813" s="38"/>
    </row>
    <row r="814">
      <c r="A814" s="31"/>
      <c r="B814" s="38"/>
      <c r="C814" s="38"/>
      <c r="D814" s="50"/>
      <c r="E814" s="50"/>
      <c r="F814" s="50"/>
      <c r="G814" s="27" t="str">
        <f>VLOOKUP(E814,DropDown!J:K,2,FALSE)</f>
        <v>#N/A</v>
      </c>
      <c r="H814" s="50"/>
      <c r="I814" s="50"/>
      <c r="J814" s="50"/>
      <c r="K814" s="25" t="s">
        <v>116</v>
      </c>
      <c r="L814" s="23"/>
      <c r="M814" s="23"/>
      <c r="N814" s="25" t="str">
        <f>"("""&amp;B814&amp;""") ("&amp;Vlookup(E814,DropDown!J:N,5,FALSE)&amp;" OR """ &amp;YEAR(D814) &amp; """ OR ""All New"" OR Episode OR Watch OR tv OR Show OR Series OR season OR binge OR Stream OR Film OR Movie OR Premiere OR Screening OR Feature OR Trailer OR Teaser OR theater OR release)"</f>
        <v>#N/A</v>
      </c>
      <c r="O814" s="23" t="str">
        <f t="shared" si="1"/>
        <v>#</v>
      </c>
      <c r="P814" s="23" t="str">
        <f t="shared" si="2"/>
        <v>#</v>
      </c>
      <c r="Q814" s="23"/>
      <c r="R814" s="23" t="str">
        <f>"("""&amp;B814&amp;""") ("&amp;Vlookup(E814,DropDown!R:V,5,FALSE)&amp;IF(ISBLANK(D814)," | "," "&amp;"OR """&amp;YEAR(D814)&amp;""" | ") &amp; """All New"" | Episode | Watch | tv | Show | Series | season | binge | Stream | Film | Movie | Premiere | Screening | Feature | Trailer | Teaser | theater | release)"</f>
        <v>#N/A</v>
      </c>
      <c r="S814" s="23"/>
      <c r="T814" s="23"/>
      <c r="U814" s="23"/>
      <c r="V814" s="23"/>
      <c r="W814" s="23"/>
      <c r="X814" s="38"/>
      <c r="Y814" s="38"/>
      <c r="Z814" s="38"/>
      <c r="AA814" s="38"/>
    </row>
    <row r="815">
      <c r="A815" s="31"/>
      <c r="B815" s="38"/>
      <c r="C815" s="38"/>
      <c r="D815" s="50"/>
      <c r="E815" s="50"/>
      <c r="F815" s="50"/>
      <c r="G815" s="27" t="str">
        <f>VLOOKUP(E815,DropDown!J:K,2,FALSE)</f>
        <v>#N/A</v>
      </c>
      <c r="H815" s="50"/>
      <c r="I815" s="50"/>
      <c r="J815" s="50"/>
      <c r="K815" s="25" t="s">
        <v>116</v>
      </c>
      <c r="L815" s="23"/>
      <c r="M815" s="23"/>
      <c r="N815" s="25" t="str">
        <f>"("""&amp;B815&amp;""") ("&amp;Vlookup(E815,DropDown!J:N,5,FALSE)&amp;" OR """ &amp;YEAR(D815) &amp; """ OR ""All New"" OR Episode OR Watch OR tv OR Show OR Series OR season OR binge OR Stream OR Film OR Movie OR Premiere OR Screening OR Feature OR Trailer OR Teaser OR theater OR release)"</f>
        <v>#N/A</v>
      </c>
      <c r="O815" s="23" t="str">
        <f t="shared" si="1"/>
        <v>#</v>
      </c>
      <c r="P815" s="23" t="str">
        <f t="shared" si="2"/>
        <v>#</v>
      </c>
      <c r="Q815" s="23"/>
      <c r="R815" s="23" t="str">
        <f>"("""&amp;B815&amp;""") ("&amp;Vlookup(E815,DropDown!R:V,5,FALSE)&amp;IF(ISBLANK(D815)," | "," "&amp;"OR """&amp;YEAR(D815)&amp;""" | ") &amp; """All New"" | Episode | Watch | tv | Show | Series | season | binge | Stream | Film | Movie | Premiere | Screening | Feature | Trailer | Teaser | theater | release)"</f>
        <v>#N/A</v>
      </c>
      <c r="S815" s="23"/>
      <c r="T815" s="23"/>
      <c r="U815" s="23"/>
      <c r="V815" s="23"/>
      <c r="W815" s="23"/>
      <c r="X815" s="38"/>
      <c r="Y815" s="38"/>
      <c r="Z815" s="38"/>
      <c r="AA815" s="38"/>
    </row>
    <row r="816">
      <c r="A816" s="31"/>
      <c r="B816" s="38"/>
      <c r="C816" s="38"/>
      <c r="D816" s="50"/>
      <c r="E816" s="50"/>
      <c r="F816" s="50"/>
      <c r="G816" s="27" t="str">
        <f>VLOOKUP(E816,DropDown!J:K,2,FALSE)</f>
        <v>#N/A</v>
      </c>
      <c r="H816" s="50"/>
      <c r="I816" s="50"/>
      <c r="J816" s="50"/>
      <c r="K816" s="25" t="s">
        <v>116</v>
      </c>
      <c r="L816" s="23"/>
      <c r="M816" s="23"/>
      <c r="N816" s="25" t="str">
        <f>"("""&amp;B816&amp;""") ("&amp;Vlookup(E816,DropDown!J:N,5,FALSE)&amp;" OR """ &amp;YEAR(D816) &amp; """ OR ""All New"" OR Episode OR Watch OR tv OR Show OR Series OR season OR binge OR Stream OR Film OR Movie OR Premiere OR Screening OR Feature OR Trailer OR Teaser OR theater OR release)"</f>
        <v>#N/A</v>
      </c>
      <c r="O816" s="23" t="str">
        <f t="shared" si="1"/>
        <v>#</v>
      </c>
      <c r="P816" s="23" t="str">
        <f t="shared" si="2"/>
        <v>#</v>
      </c>
      <c r="Q816" s="23"/>
      <c r="R816" s="23" t="str">
        <f>"("""&amp;B816&amp;""") ("&amp;Vlookup(E816,DropDown!R:V,5,FALSE)&amp;IF(ISBLANK(D816)," | "," "&amp;"OR """&amp;YEAR(D816)&amp;""" | ") &amp; """All New"" | Episode | Watch | tv | Show | Series | season | binge | Stream | Film | Movie | Premiere | Screening | Feature | Trailer | Teaser | theater | release)"</f>
        <v>#N/A</v>
      </c>
      <c r="S816" s="23"/>
      <c r="T816" s="23"/>
      <c r="U816" s="23"/>
      <c r="V816" s="23"/>
      <c r="W816" s="23"/>
      <c r="X816" s="38"/>
      <c r="Y816" s="38"/>
      <c r="Z816" s="38"/>
      <c r="AA816" s="38"/>
    </row>
    <row r="817">
      <c r="A817" s="31"/>
      <c r="B817" s="38"/>
      <c r="C817" s="38"/>
      <c r="D817" s="50"/>
      <c r="E817" s="50"/>
      <c r="F817" s="50"/>
      <c r="G817" s="27" t="str">
        <f>VLOOKUP(E817,DropDown!J:K,2,FALSE)</f>
        <v>#N/A</v>
      </c>
      <c r="H817" s="50"/>
      <c r="I817" s="50"/>
      <c r="J817" s="50"/>
      <c r="K817" s="25" t="s">
        <v>116</v>
      </c>
      <c r="L817" s="23"/>
      <c r="M817" s="23"/>
      <c r="N817" s="25" t="str">
        <f>"("""&amp;B817&amp;""") ("&amp;Vlookup(E817,DropDown!J:N,5,FALSE)&amp;" OR """ &amp;YEAR(D817) &amp; """ OR ""All New"" OR Episode OR Watch OR tv OR Show OR Series OR season OR binge OR Stream OR Film OR Movie OR Premiere OR Screening OR Feature OR Trailer OR Teaser OR theater OR release)"</f>
        <v>#N/A</v>
      </c>
      <c r="O817" s="23" t="str">
        <f t="shared" si="1"/>
        <v>#</v>
      </c>
      <c r="P817" s="23" t="str">
        <f t="shared" si="2"/>
        <v>#</v>
      </c>
      <c r="Q817" s="23"/>
      <c r="R817" s="23" t="str">
        <f>"("""&amp;B817&amp;""") ("&amp;Vlookup(E817,DropDown!R:V,5,FALSE)&amp;IF(ISBLANK(D817)," | "," "&amp;"OR """&amp;YEAR(D817)&amp;""" | ") &amp; """All New"" | Episode | Watch | tv | Show | Series | season | binge | Stream | Film | Movie | Premiere | Screening | Feature | Trailer | Teaser | theater | release)"</f>
        <v>#N/A</v>
      </c>
      <c r="S817" s="23"/>
      <c r="T817" s="23"/>
      <c r="U817" s="23"/>
      <c r="V817" s="23"/>
      <c r="W817" s="23"/>
      <c r="X817" s="38"/>
      <c r="Y817" s="38"/>
      <c r="Z817" s="38"/>
      <c r="AA817" s="38"/>
    </row>
    <row r="818">
      <c r="A818" s="31"/>
      <c r="B818" s="38"/>
      <c r="C818" s="38"/>
      <c r="D818" s="50"/>
      <c r="E818" s="50"/>
      <c r="F818" s="50"/>
      <c r="G818" s="27" t="str">
        <f>VLOOKUP(E818,DropDown!J:K,2,FALSE)</f>
        <v>#N/A</v>
      </c>
      <c r="H818" s="50"/>
      <c r="I818" s="50"/>
      <c r="J818" s="50"/>
      <c r="K818" s="25" t="s">
        <v>116</v>
      </c>
      <c r="L818" s="23"/>
      <c r="M818" s="23"/>
      <c r="N818" s="25" t="str">
        <f>"("""&amp;B818&amp;""") ("&amp;Vlookup(E818,DropDown!J:N,5,FALSE)&amp;" OR """ &amp;YEAR(D818) &amp; """ OR ""All New"" OR Episode OR Watch OR tv OR Show OR Series OR season OR binge OR Stream OR Film OR Movie OR Premiere OR Screening OR Feature OR Trailer OR Teaser OR theater OR release)"</f>
        <v>#N/A</v>
      </c>
      <c r="O818" s="23" t="str">
        <f t="shared" si="1"/>
        <v>#</v>
      </c>
      <c r="P818" s="23" t="str">
        <f t="shared" si="2"/>
        <v>#</v>
      </c>
      <c r="Q818" s="23"/>
      <c r="R818" s="23" t="str">
        <f>"("""&amp;B818&amp;""") ("&amp;Vlookup(E818,DropDown!R:V,5,FALSE)&amp;IF(ISBLANK(D818)," | "," "&amp;"OR """&amp;YEAR(D818)&amp;""" | ") &amp; """All New"" | Episode | Watch | tv | Show | Series | season | binge | Stream | Film | Movie | Premiere | Screening | Feature | Trailer | Teaser | theater | release)"</f>
        <v>#N/A</v>
      </c>
      <c r="S818" s="23"/>
      <c r="T818" s="23"/>
      <c r="U818" s="23"/>
      <c r="V818" s="23"/>
      <c r="W818" s="23"/>
      <c r="X818" s="38"/>
      <c r="Y818" s="38"/>
      <c r="Z818" s="38"/>
      <c r="AA818" s="38"/>
    </row>
    <row r="819">
      <c r="A819" s="31"/>
      <c r="B819" s="38"/>
      <c r="C819" s="38"/>
      <c r="D819" s="50"/>
      <c r="E819" s="50"/>
      <c r="F819" s="50"/>
      <c r="G819" s="27" t="str">
        <f>VLOOKUP(E819,DropDown!J:K,2,FALSE)</f>
        <v>#N/A</v>
      </c>
      <c r="H819" s="50"/>
      <c r="I819" s="50"/>
      <c r="J819" s="50"/>
      <c r="K819" s="25" t="s">
        <v>116</v>
      </c>
      <c r="L819" s="23"/>
      <c r="M819" s="23"/>
      <c r="N819" s="25" t="str">
        <f>"("""&amp;B819&amp;""") ("&amp;Vlookup(E819,DropDown!J:N,5,FALSE)&amp;" OR """ &amp;YEAR(D819) &amp; """ OR ""All New"" OR Episode OR Watch OR tv OR Show OR Series OR season OR binge OR Stream OR Film OR Movie OR Premiere OR Screening OR Feature OR Trailer OR Teaser OR theater OR release)"</f>
        <v>#N/A</v>
      </c>
      <c r="O819" s="23" t="str">
        <f t="shared" si="1"/>
        <v>#</v>
      </c>
      <c r="P819" s="23" t="str">
        <f t="shared" si="2"/>
        <v>#</v>
      </c>
      <c r="Q819" s="23"/>
      <c r="R819" s="23" t="str">
        <f>"("""&amp;B819&amp;""") ("&amp;Vlookup(E819,DropDown!R:V,5,FALSE)&amp;IF(ISBLANK(D819)," | "," "&amp;"OR """&amp;YEAR(D819)&amp;""" | ") &amp; """All New"" | Episode | Watch | tv | Show | Series | season | binge | Stream | Film | Movie | Premiere | Screening | Feature | Trailer | Teaser | theater | release)"</f>
        <v>#N/A</v>
      </c>
      <c r="S819" s="23"/>
      <c r="T819" s="23"/>
      <c r="U819" s="23"/>
      <c r="V819" s="23"/>
      <c r="W819" s="23"/>
      <c r="X819" s="38"/>
      <c r="Y819" s="38"/>
      <c r="Z819" s="38"/>
      <c r="AA819" s="38"/>
    </row>
    <row r="820">
      <c r="A820" s="31"/>
      <c r="B820" s="38"/>
      <c r="C820" s="38"/>
      <c r="D820" s="50"/>
      <c r="E820" s="50"/>
      <c r="F820" s="50"/>
      <c r="G820" s="27" t="str">
        <f>VLOOKUP(E820,DropDown!J:K,2,FALSE)</f>
        <v>#N/A</v>
      </c>
      <c r="H820" s="50"/>
      <c r="I820" s="50"/>
      <c r="J820" s="50"/>
      <c r="K820" s="25" t="s">
        <v>116</v>
      </c>
      <c r="L820" s="23"/>
      <c r="M820" s="23"/>
      <c r="N820" s="25" t="str">
        <f>"("""&amp;B820&amp;""") ("&amp;Vlookup(E820,DropDown!J:N,5,FALSE)&amp;" OR """ &amp;YEAR(D820) &amp; """ OR ""All New"" OR Episode OR Watch OR tv OR Show OR Series OR season OR binge OR Stream OR Film OR Movie OR Premiere OR Screening OR Feature OR Trailer OR Teaser OR theater OR release)"</f>
        <v>#N/A</v>
      </c>
      <c r="O820" s="23" t="str">
        <f t="shared" si="1"/>
        <v>#</v>
      </c>
      <c r="P820" s="23" t="str">
        <f t="shared" si="2"/>
        <v>#</v>
      </c>
      <c r="Q820" s="23"/>
      <c r="R820" s="23" t="str">
        <f>"("""&amp;B820&amp;""") ("&amp;Vlookup(E820,DropDown!R:V,5,FALSE)&amp;IF(ISBLANK(D820)," | "," "&amp;"OR """&amp;YEAR(D820)&amp;""" | ") &amp; """All New"" | Episode | Watch | tv | Show | Series | season | binge | Stream | Film | Movie | Premiere | Screening | Feature | Trailer | Teaser | theater | release)"</f>
        <v>#N/A</v>
      </c>
      <c r="S820" s="23"/>
      <c r="T820" s="23"/>
      <c r="U820" s="23"/>
      <c r="V820" s="23"/>
      <c r="W820" s="23"/>
      <c r="X820" s="38"/>
      <c r="Y820" s="38"/>
      <c r="Z820" s="38"/>
      <c r="AA820" s="38"/>
    </row>
    <row r="821">
      <c r="A821" s="31"/>
      <c r="B821" s="38"/>
      <c r="C821" s="38"/>
      <c r="D821" s="50"/>
      <c r="E821" s="50"/>
      <c r="F821" s="50"/>
      <c r="G821" s="27" t="str">
        <f>VLOOKUP(E821,DropDown!J:K,2,FALSE)</f>
        <v>#N/A</v>
      </c>
      <c r="H821" s="50"/>
      <c r="I821" s="50"/>
      <c r="J821" s="50"/>
      <c r="K821" s="25" t="s">
        <v>116</v>
      </c>
      <c r="L821" s="23"/>
      <c r="M821" s="23"/>
      <c r="N821" s="25" t="str">
        <f>"("""&amp;B821&amp;""") ("&amp;Vlookup(E821,DropDown!J:N,5,FALSE)&amp;" OR """ &amp;YEAR(D821) &amp; """ OR ""All New"" OR Episode OR Watch OR tv OR Show OR Series OR season OR binge OR Stream OR Film OR Movie OR Premiere OR Screening OR Feature OR Trailer OR Teaser OR theater OR release)"</f>
        <v>#N/A</v>
      </c>
      <c r="O821" s="23" t="str">
        <f t="shared" si="1"/>
        <v>#</v>
      </c>
      <c r="P821" s="23" t="str">
        <f t="shared" si="2"/>
        <v>#</v>
      </c>
      <c r="Q821" s="23"/>
      <c r="R821" s="23" t="str">
        <f>"("""&amp;B821&amp;""") ("&amp;Vlookup(E821,DropDown!R:V,5,FALSE)&amp;IF(ISBLANK(D821)," | "," "&amp;"OR """&amp;YEAR(D821)&amp;""" | ") &amp; """All New"" | Episode | Watch | tv | Show | Series | season | binge | Stream | Film | Movie | Premiere | Screening | Feature | Trailer | Teaser | theater | release)"</f>
        <v>#N/A</v>
      </c>
      <c r="S821" s="23"/>
      <c r="T821" s="23"/>
      <c r="U821" s="23"/>
      <c r="V821" s="23"/>
      <c r="W821" s="23"/>
      <c r="X821" s="38"/>
      <c r="Y821" s="38"/>
      <c r="Z821" s="38"/>
      <c r="AA821" s="38"/>
    </row>
    <row r="822">
      <c r="A822" s="31"/>
      <c r="B822" s="38"/>
      <c r="C822" s="38"/>
      <c r="D822" s="50"/>
      <c r="E822" s="50"/>
      <c r="F822" s="50"/>
      <c r="G822" s="27" t="str">
        <f>VLOOKUP(E822,DropDown!J:K,2,FALSE)</f>
        <v>#N/A</v>
      </c>
      <c r="H822" s="50"/>
      <c r="I822" s="50"/>
      <c r="J822" s="50"/>
      <c r="K822" s="25" t="s">
        <v>116</v>
      </c>
      <c r="L822" s="23"/>
      <c r="M822" s="23"/>
      <c r="N822" s="25" t="str">
        <f>"("""&amp;B822&amp;""") ("&amp;Vlookup(E822,DropDown!J:N,5,FALSE)&amp;" OR """ &amp;YEAR(D822) &amp; """ OR ""All New"" OR Episode OR Watch OR tv OR Show OR Series OR season OR binge OR Stream OR Film OR Movie OR Premiere OR Screening OR Feature OR Trailer OR Teaser OR theater OR release)"</f>
        <v>#N/A</v>
      </c>
      <c r="O822" s="23" t="str">
        <f t="shared" si="1"/>
        <v>#</v>
      </c>
      <c r="P822" s="23" t="str">
        <f t="shared" si="2"/>
        <v>#</v>
      </c>
      <c r="Q822" s="23"/>
      <c r="R822" s="23" t="str">
        <f>"("""&amp;B822&amp;""") ("&amp;Vlookup(E822,DropDown!R:V,5,FALSE)&amp;IF(ISBLANK(D822)," | "," "&amp;"OR """&amp;YEAR(D822)&amp;""" | ") &amp; """All New"" | Episode | Watch | tv | Show | Series | season | binge | Stream | Film | Movie | Premiere | Screening | Feature | Trailer | Teaser | theater | release)"</f>
        <v>#N/A</v>
      </c>
      <c r="S822" s="23"/>
      <c r="T822" s="23"/>
      <c r="U822" s="23"/>
      <c r="V822" s="23"/>
      <c r="W822" s="23"/>
      <c r="X822" s="38"/>
      <c r="Y822" s="38"/>
      <c r="Z822" s="38"/>
      <c r="AA822" s="38"/>
    </row>
    <row r="823">
      <c r="A823" s="31"/>
      <c r="B823" s="38"/>
      <c r="C823" s="38"/>
      <c r="D823" s="50"/>
      <c r="E823" s="50"/>
      <c r="F823" s="50"/>
      <c r="G823" s="27" t="str">
        <f>VLOOKUP(E823,DropDown!J:K,2,FALSE)</f>
        <v>#N/A</v>
      </c>
      <c r="H823" s="50"/>
      <c r="I823" s="50"/>
      <c r="J823" s="50"/>
      <c r="K823" s="25" t="s">
        <v>116</v>
      </c>
      <c r="L823" s="23"/>
      <c r="M823" s="23"/>
      <c r="N823" s="25" t="str">
        <f>"("""&amp;B823&amp;""") ("&amp;Vlookup(E823,DropDown!J:N,5,FALSE)&amp;" OR """ &amp;YEAR(D823) &amp; """ OR ""All New"" OR Episode OR Watch OR tv OR Show OR Series OR season OR binge OR Stream OR Film OR Movie OR Premiere OR Screening OR Feature OR Trailer OR Teaser OR theater OR release)"</f>
        <v>#N/A</v>
      </c>
      <c r="O823" s="23" t="str">
        <f t="shared" si="1"/>
        <v>#</v>
      </c>
      <c r="P823" s="23" t="str">
        <f t="shared" si="2"/>
        <v>#</v>
      </c>
      <c r="Q823" s="23"/>
      <c r="R823" s="23" t="str">
        <f>"("""&amp;B823&amp;""") ("&amp;Vlookup(E823,DropDown!R:V,5,FALSE)&amp;IF(ISBLANK(D823)," | "," "&amp;"OR """&amp;YEAR(D823)&amp;""" | ") &amp; """All New"" | Episode | Watch | tv | Show | Series | season | binge | Stream | Film | Movie | Premiere | Screening | Feature | Trailer | Teaser | theater | release)"</f>
        <v>#N/A</v>
      </c>
      <c r="S823" s="23"/>
      <c r="T823" s="23"/>
      <c r="U823" s="23"/>
      <c r="V823" s="23"/>
      <c r="W823" s="23"/>
      <c r="X823" s="38"/>
      <c r="Y823" s="38"/>
      <c r="Z823" s="38"/>
      <c r="AA823" s="38"/>
    </row>
    <row r="824">
      <c r="A824" s="31"/>
      <c r="B824" s="38"/>
      <c r="C824" s="38"/>
      <c r="D824" s="50"/>
      <c r="E824" s="50"/>
      <c r="F824" s="50"/>
      <c r="G824" s="27" t="str">
        <f>VLOOKUP(E824,DropDown!J:K,2,FALSE)</f>
        <v>#N/A</v>
      </c>
      <c r="H824" s="50"/>
      <c r="I824" s="50"/>
      <c r="J824" s="50"/>
      <c r="K824" s="25" t="s">
        <v>116</v>
      </c>
      <c r="L824" s="23"/>
      <c r="M824" s="23"/>
      <c r="N824" s="25" t="str">
        <f>"("""&amp;B824&amp;""") ("&amp;Vlookup(E824,DropDown!J:N,5,FALSE)&amp;" OR """ &amp;YEAR(D824) &amp; """ OR ""All New"" OR Episode OR Watch OR tv OR Show OR Series OR season OR binge OR Stream OR Film OR Movie OR Premiere OR Screening OR Feature OR Trailer OR Teaser OR theater OR release)"</f>
        <v>#N/A</v>
      </c>
      <c r="O824" s="23" t="str">
        <f t="shared" si="1"/>
        <v>#</v>
      </c>
      <c r="P824" s="23" t="str">
        <f t="shared" si="2"/>
        <v>#</v>
      </c>
      <c r="Q824" s="23"/>
      <c r="R824" s="23" t="str">
        <f>"("""&amp;B824&amp;""") ("&amp;Vlookup(E824,DropDown!R:V,5,FALSE)&amp;IF(ISBLANK(D824)," | "," "&amp;"OR """&amp;YEAR(D824)&amp;""" | ") &amp; """All New"" | Episode | Watch | tv | Show | Series | season | binge | Stream | Film | Movie | Premiere | Screening | Feature | Trailer | Teaser | theater | release)"</f>
        <v>#N/A</v>
      </c>
      <c r="S824" s="23"/>
      <c r="T824" s="23"/>
      <c r="U824" s="23"/>
      <c r="V824" s="23"/>
      <c r="W824" s="23"/>
      <c r="X824" s="38"/>
      <c r="Y824" s="38"/>
      <c r="Z824" s="38"/>
      <c r="AA824" s="38"/>
    </row>
    <row r="825">
      <c r="A825" s="31"/>
      <c r="B825" s="38"/>
      <c r="C825" s="38"/>
      <c r="D825" s="50"/>
      <c r="E825" s="50"/>
      <c r="F825" s="50"/>
      <c r="G825" s="27" t="str">
        <f>VLOOKUP(E825,DropDown!J:K,2,FALSE)</f>
        <v>#N/A</v>
      </c>
      <c r="H825" s="50"/>
      <c r="I825" s="50"/>
      <c r="J825" s="50"/>
      <c r="K825" s="25" t="s">
        <v>116</v>
      </c>
      <c r="L825" s="23"/>
      <c r="M825" s="23"/>
      <c r="N825" s="25" t="str">
        <f>"("""&amp;B825&amp;""") ("&amp;Vlookup(E825,DropDown!J:N,5,FALSE)&amp;" OR """ &amp;YEAR(D825) &amp; """ OR ""All New"" OR Episode OR Watch OR tv OR Show OR Series OR season OR binge OR Stream OR Film OR Movie OR Premiere OR Screening OR Feature OR Trailer OR Teaser OR theater OR release)"</f>
        <v>#N/A</v>
      </c>
      <c r="O825" s="23" t="str">
        <f t="shared" si="1"/>
        <v>#</v>
      </c>
      <c r="P825" s="23" t="str">
        <f t="shared" si="2"/>
        <v>#</v>
      </c>
      <c r="Q825" s="23"/>
      <c r="R825" s="23" t="str">
        <f>"("""&amp;B825&amp;""") ("&amp;Vlookup(E825,DropDown!R:V,5,FALSE)&amp;IF(ISBLANK(D825)," | "," "&amp;"OR """&amp;YEAR(D825)&amp;""" | ") &amp; """All New"" | Episode | Watch | tv | Show | Series | season | binge | Stream | Film | Movie | Premiere | Screening | Feature | Trailer | Teaser | theater | release)"</f>
        <v>#N/A</v>
      </c>
      <c r="S825" s="23"/>
      <c r="T825" s="23"/>
      <c r="U825" s="23"/>
      <c r="V825" s="23"/>
      <c r="W825" s="23"/>
      <c r="X825" s="38"/>
      <c r="Y825" s="38"/>
      <c r="Z825" s="38"/>
      <c r="AA825" s="38"/>
    </row>
    <row r="826">
      <c r="A826" s="31"/>
      <c r="B826" s="38"/>
      <c r="C826" s="38"/>
      <c r="D826" s="50"/>
      <c r="E826" s="50"/>
      <c r="F826" s="50"/>
      <c r="G826" s="27" t="str">
        <f>VLOOKUP(E826,DropDown!J:K,2,FALSE)</f>
        <v>#N/A</v>
      </c>
      <c r="H826" s="50"/>
      <c r="I826" s="50"/>
      <c r="J826" s="50"/>
      <c r="K826" s="25" t="s">
        <v>116</v>
      </c>
      <c r="L826" s="23"/>
      <c r="M826" s="23"/>
      <c r="N826" s="25" t="str">
        <f>"("""&amp;B826&amp;""") ("&amp;Vlookup(E826,DropDown!J:N,5,FALSE)&amp;" OR """ &amp;YEAR(D826) &amp; """ OR ""All New"" OR Episode OR Watch OR tv OR Show OR Series OR season OR binge OR Stream OR Film OR Movie OR Premiere OR Screening OR Feature OR Trailer OR Teaser OR theater OR release)"</f>
        <v>#N/A</v>
      </c>
      <c r="O826" s="23" t="str">
        <f t="shared" si="1"/>
        <v>#</v>
      </c>
      <c r="P826" s="23" t="str">
        <f t="shared" si="2"/>
        <v>#</v>
      </c>
      <c r="Q826" s="23"/>
      <c r="R826" s="23" t="str">
        <f>"("""&amp;B826&amp;""") ("&amp;Vlookup(E826,DropDown!R:V,5,FALSE)&amp;IF(ISBLANK(D826)," | "," "&amp;"OR """&amp;YEAR(D826)&amp;""" | ") &amp; """All New"" | Episode | Watch | tv | Show | Series | season | binge | Stream | Film | Movie | Premiere | Screening | Feature | Trailer | Teaser | theater | release)"</f>
        <v>#N/A</v>
      </c>
      <c r="S826" s="23"/>
      <c r="T826" s="23"/>
      <c r="U826" s="23"/>
      <c r="V826" s="23"/>
      <c r="W826" s="23"/>
      <c r="X826" s="38"/>
      <c r="Y826" s="38"/>
      <c r="Z826" s="38"/>
      <c r="AA826" s="38"/>
    </row>
    <row r="827">
      <c r="A827" s="31"/>
      <c r="B827" s="38"/>
      <c r="C827" s="38"/>
      <c r="D827" s="50"/>
      <c r="E827" s="50"/>
      <c r="F827" s="50"/>
      <c r="G827" s="27" t="str">
        <f>VLOOKUP(E827,DropDown!J:K,2,FALSE)</f>
        <v>#N/A</v>
      </c>
      <c r="H827" s="50"/>
      <c r="I827" s="50"/>
      <c r="J827" s="50"/>
      <c r="K827" s="25" t="s">
        <v>116</v>
      </c>
      <c r="L827" s="23"/>
      <c r="M827" s="23"/>
      <c r="N827" s="25" t="str">
        <f>"("""&amp;B827&amp;""") ("&amp;Vlookup(E827,DropDown!J:N,5,FALSE)&amp;" OR """ &amp;YEAR(D827) &amp; """ OR ""All New"" OR Episode OR Watch OR tv OR Show OR Series OR season OR binge OR Stream OR Film OR Movie OR Premiere OR Screening OR Feature OR Trailer OR Teaser OR theater OR release)"</f>
        <v>#N/A</v>
      </c>
      <c r="O827" s="23" t="str">
        <f t="shared" si="1"/>
        <v>#</v>
      </c>
      <c r="P827" s="23" t="str">
        <f t="shared" si="2"/>
        <v>#</v>
      </c>
      <c r="Q827" s="23"/>
      <c r="R827" s="23" t="str">
        <f>"("""&amp;B827&amp;""") ("&amp;Vlookup(E827,DropDown!R:V,5,FALSE)&amp;IF(ISBLANK(D827)," | "," "&amp;"OR """&amp;YEAR(D827)&amp;""" | ") &amp; """All New"" | Episode | Watch | tv | Show | Series | season | binge | Stream | Film | Movie | Premiere | Screening | Feature | Trailer | Teaser | theater | release)"</f>
        <v>#N/A</v>
      </c>
      <c r="S827" s="23"/>
      <c r="T827" s="23"/>
      <c r="U827" s="23"/>
      <c r="V827" s="23"/>
      <c r="W827" s="23"/>
      <c r="X827" s="38"/>
      <c r="Y827" s="38"/>
      <c r="Z827" s="38"/>
      <c r="AA827" s="38"/>
    </row>
    <row r="828">
      <c r="A828" s="31"/>
      <c r="B828" s="38"/>
      <c r="C828" s="38"/>
      <c r="D828" s="50"/>
      <c r="E828" s="50"/>
      <c r="F828" s="50"/>
      <c r="G828" s="27" t="str">
        <f>VLOOKUP(E828,DropDown!J:K,2,FALSE)</f>
        <v>#N/A</v>
      </c>
      <c r="H828" s="50"/>
      <c r="I828" s="50"/>
      <c r="J828" s="50"/>
      <c r="K828" s="25" t="s">
        <v>116</v>
      </c>
      <c r="L828" s="23"/>
      <c r="M828" s="23"/>
      <c r="N828" s="25" t="str">
        <f>"("""&amp;B828&amp;""") ("&amp;Vlookup(E828,DropDown!J:N,5,FALSE)&amp;" OR """ &amp;YEAR(D828) &amp; """ OR ""All New"" OR Episode OR Watch OR tv OR Show OR Series OR season OR binge OR Stream OR Film OR Movie OR Premiere OR Screening OR Feature OR Trailer OR Teaser OR theater OR release)"</f>
        <v>#N/A</v>
      </c>
      <c r="O828" s="23" t="str">
        <f t="shared" si="1"/>
        <v>#</v>
      </c>
      <c r="P828" s="23" t="str">
        <f t="shared" si="2"/>
        <v>#</v>
      </c>
      <c r="Q828" s="23"/>
      <c r="R828" s="23" t="str">
        <f>"("""&amp;B828&amp;""") ("&amp;Vlookup(E828,DropDown!R:V,5,FALSE)&amp;IF(ISBLANK(D828)," | "," "&amp;"OR """&amp;YEAR(D828)&amp;""" | ") &amp; """All New"" | Episode | Watch | tv | Show | Series | season | binge | Stream | Film | Movie | Premiere | Screening | Feature | Trailer | Teaser | theater | release)"</f>
        <v>#N/A</v>
      </c>
      <c r="S828" s="23"/>
      <c r="T828" s="23"/>
      <c r="U828" s="23"/>
      <c r="V828" s="23"/>
      <c r="W828" s="23"/>
      <c r="X828" s="38"/>
      <c r="Y828" s="38"/>
      <c r="Z828" s="38"/>
      <c r="AA828" s="38"/>
    </row>
    <row r="829">
      <c r="A829" s="31"/>
      <c r="B829" s="38"/>
      <c r="C829" s="38"/>
      <c r="D829" s="50"/>
      <c r="E829" s="50"/>
      <c r="F829" s="50"/>
      <c r="G829" s="27" t="str">
        <f>VLOOKUP(E829,DropDown!J:K,2,FALSE)</f>
        <v>#N/A</v>
      </c>
      <c r="H829" s="50"/>
      <c r="I829" s="50"/>
      <c r="J829" s="50"/>
      <c r="K829" s="25" t="s">
        <v>116</v>
      </c>
      <c r="L829" s="23"/>
      <c r="M829" s="23"/>
      <c r="N829" s="25" t="str">
        <f>"("""&amp;B829&amp;""") ("&amp;Vlookup(E829,DropDown!J:N,5,FALSE)&amp;" OR """ &amp;YEAR(D829) &amp; """ OR ""All New"" OR Episode OR Watch OR tv OR Show OR Series OR season OR binge OR Stream OR Film OR Movie OR Premiere OR Screening OR Feature OR Trailer OR Teaser OR theater OR release)"</f>
        <v>#N/A</v>
      </c>
      <c r="O829" s="23" t="str">
        <f t="shared" si="1"/>
        <v>#</v>
      </c>
      <c r="P829" s="23" t="str">
        <f t="shared" si="2"/>
        <v>#</v>
      </c>
      <c r="Q829" s="23"/>
      <c r="R829" s="23" t="str">
        <f>"("""&amp;B829&amp;""") ("&amp;Vlookup(E829,DropDown!R:V,5,FALSE)&amp;IF(ISBLANK(D829)," | "," "&amp;"OR """&amp;YEAR(D829)&amp;""" | ") &amp; """All New"" | Episode | Watch | tv | Show | Series | season | binge | Stream | Film | Movie | Premiere | Screening | Feature | Trailer | Teaser | theater | release)"</f>
        <v>#N/A</v>
      </c>
      <c r="S829" s="23"/>
      <c r="T829" s="23"/>
      <c r="U829" s="23"/>
      <c r="V829" s="23"/>
      <c r="W829" s="23"/>
      <c r="X829" s="38"/>
      <c r="Y829" s="38"/>
      <c r="Z829" s="38"/>
      <c r="AA829" s="38"/>
    </row>
    <row r="830">
      <c r="A830" s="31"/>
      <c r="B830" s="38"/>
      <c r="C830" s="38"/>
      <c r="D830" s="50"/>
      <c r="E830" s="50"/>
      <c r="F830" s="50"/>
      <c r="G830" s="27" t="str">
        <f>VLOOKUP(E830,DropDown!J:K,2,FALSE)</f>
        <v>#N/A</v>
      </c>
      <c r="H830" s="50"/>
      <c r="I830" s="50"/>
      <c r="J830" s="50"/>
      <c r="K830" s="25" t="s">
        <v>116</v>
      </c>
      <c r="L830" s="23"/>
      <c r="M830" s="23"/>
      <c r="N830" s="25" t="str">
        <f>"("""&amp;B830&amp;""") ("&amp;Vlookup(E830,DropDown!J:N,5,FALSE)&amp;" OR """ &amp;YEAR(D830) &amp; """ OR ""All New"" OR Episode OR Watch OR tv OR Show OR Series OR season OR binge OR Stream OR Film OR Movie OR Premiere OR Screening OR Feature OR Trailer OR Teaser OR theater OR release)"</f>
        <v>#N/A</v>
      </c>
      <c r="O830" s="23" t="str">
        <f t="shared" si="1"/>
        <v>#</v>
      </c>
      <c r="P830" s="23" t="str">
        <f t="shared" si="2"/>
        <v>#</v>
      </c>
      <c r="Q830" s="23"/>
      <c r="R830" s="23" t="str">
        <f>"("""&amp;B830&amp;""") ("&amp;Vlookup(E830,DropDown!R:V,5,FALSE)&amp;IF(ISBLANK(D830)," | "," "&amp;"OR """&amp;YEAR(D830)&amp;""" | ") &amp; """All New"" | Episode | Watch | tv | Show | Series | season | binge | Stream | Film | Movie | Premiere | Screening | Feature | Trailer | Teaser | theater | release)"</f>
        <v>#N/A</v>
      </c>
      <c r="S830" s="23"/>
      <c r="T830" s="23"/>
      <c r="U830" s="23"/>
      <c r="V830" s="23"/>
      <c r="W830" s="23"/>
      <c r="X830" s="38"/>
      <c r="Y830" s="38"/>
      <c r="Z830" s="38"/>
      <c r="AA830" s="38"/>
    </row>
    <row r="831">
      <c r="A831" s="31"/>
      <c r="B831" s="38"/>
      <c r="C831" s="38"/>
      <c r="D831" s="50"/>
      <c r="E831" s="50"/>
      <c r="F831" s="50"/>
      <c r="G831" s="27" t="str">
        <f>VLOOKUP(E831,DropDown!J:K,2,FALSE)</f>
        <v>#N/A</v>
      </c>
      <c r="H831" s="50"/>
      <c r="I831" s="50"/>
      <c r="J831" s="50"/>
      <c r="K831" s="25" t="s">
        <v>116</v>
      </c>
      <c r="L831" s="23"/>
      <c r="M831" s="23"/>
      <c r="N831" s="25" t="str">
        <f>"("""&amp;B831&amp;""") ("&amp;Vlookup(E831,DropDown!J:N,5,FALSE)&amp;" OR """ &amp;YEAR(D831) &amp; """ OR ""All New"" OR Episode OR Watch OR tv OR Show OR Series OR season OR binge OR Stream OR Film OR Movie OR Premiere OR Screening OR Feature OR Trailer OR Teaser OR theater OR release)"</f>
        <v>#N/A</v>
      </c>
      <c r="O831" s="23" t="str">
        <f t="shared" si="1"/>
        <v>#</v>
      </c>
      <c r="P831" s="23" t="str">
        <f t="shared" si="2"/>
        <v>#</v>
      </c>
      <c r="Q831" s="23"/>
      <c r="R831" s="23" t="str">
        <f>"("""&amp;B831&amp;""") ("&amp;Vlookup(E831,DropDown!R:V,5,FALSE)&amp;IF(ISBLANK(D831)," | "," "&amp;"OR """&amp;YEAR(D831)&amp;""" | ") &amp; """All New"" | Episode | Watch | tv | Show | Series | season | binge | Stream | Film | Movie | Premiere | Screening | Feature | Trailer | Teaser | theater | release)"</f>
        <v>#N/A</v>
      </c>
      <c r="S831" s="23"/>
      <c r="T831" s="23"/>
      <c r="U831" s="23"/>
      <c r="V831" s="23"/>
      <c r="W831" s="23"/>
      <c r="X831" s="38"/>
      <c r="Y831" s="38"/>
      <c r="Z831" s="38"/>
      <c r="AA831" s="38"/>
    </row>
    <row r="832">
      <c r="A832" s="31"/>
      <c r="B832" s="38"/>
      <c r="C832" s="38"/>
      <c r="D832" s="50"/>
      <c r="E832" s="50"/>
      <c r="F832" s="50"/>
      <c r="G832" s="27" t="str">
        <f>VLOOKUP(E832,DropDown!J:K,2,FALSE)</f>
        <v>#N/A</v>
      </c>
      <c r="H832" s="50"/>
      <c r="I832" s="50"/>
      <c r="J832" s="50"/>
      <c r="K832" s="25" t="s">
        <v>116</v>
      </c>
      <c r="L832" s="23"/>
      <c r="M832" s="23"/>
      <c r="N832" s="25" t="str">
        <f>"("""&amp;B832&amp;""") ("&amp;Vlookup(E832,DropDown!J:N,5,FALSE)&amp;" OR """ &amp;YEAR(D832) &amp; """ OR ""All New"" OR Episode OR Watch OR tv OR Show OR Series OR season OR binge OR Stream OR Film OR Movie OR Premiere OR Screening OR Feature OR Trailer OR Teaser OR theater OR release)"</f>
        <v>#N/A</v>
      </c>
      <c r="O832" s="23" t="str">
        <f t="shared" si="1"/>
        <v>#</v>
      </c>
      <c r="P832" s="23" t="str">
        <f t="shared" si="2"/>
        <v>#</v>
      </c>
      <c r="Q832" s="23"/>
      <c r="R832" s="23" t="str">
        <f>"("""&amp;B832&amp;""") ("&amp;Vlookup(E832,DropDown!R:V,5,FALSE)&amp;IF(ISBLANK(D832)," | "," "&amp;"OR """&amp;YEAR(D832)&amp;""" | ") &amp; """All New"" | Episode | Watch | tv | Show | Series | season | binge | Stream | Film | Movie | Premiere | Screening | Feature | Trailer | Teaser | theater | release)"</f>
        <v>#N/A</v>
      </c>
      <c r="S832" s="23"/>
      <c r="T832" s="23"/>
      <c r="U832" s="23"/>
      <c r="V832" s="23"/>
      <c r="W832" s="23"/>
      <c r="X832" s="38"/>
      <c r="Y832" s="38"/>
      <c r="Z832" s="38"/>
      <c r="AA832" s="38"/>
    </row>
    <row r="833">
      <c r="A833" s="31"/>
      <c r="B833" s="38"/>
      <c r="C833" s="38"/>
      <c r="D833" s="50"/>
      <c r="E833" s="50"/>
      <c r="F833" s="50"/>
      <c r="G833" s="27" t="str">
        <f>VLOOKUP(E833,DropDown!J:K,2,FALSE)</f>
        <v>#N/A</v>
      </c>
      <c r="H833" s="50"/>
      <c r="I833" s="50"/>
      <c r="J833" s="50"/>
      <c r="K833" s="25" t="s">
        <v>116</v>
      </c>
      <c r="L833" s="23"/>
      <c r="M833" s="23"/>
      <c r="N833" s="25" t="str">
        <f>"("""&amp;B833&amp;""") ("&amp;Vlookup(E833,DropDown!J:N,5,FALSE)&amp;" OR """ &amp;YEAR(D833) &amp; """ OR ""All New"" OR Episode OR Watch OR tv OR Show OR Series OR season OR binge OR Stream OR Film OR Movie OR Premiere OR Screening OR Feature OR Trailer OR Teaser OR theater OR release)"</f>
        <v>#N/A</v>
      </c>
      <c r="O833" s="23" t="str">
        <f t="shared" si="1"/>
        <v>#</v>
      </c>
      <c r="P833" s="23" t="str">
        <f t="shared" si="2"/>
        <v>#</v>
      </c>
      <c r="Q833" s="23"/>
      <c r="R833" s="23" t="str">
        <f>"("""&amp;B833&amp;""") ("&amp;Vlookup(E833,DropDown!R:V,5,FALSE)&amp;IF(ISBLANK(D833)," | "," "&amp;"OR """&amp;YEAR(D833)&amp;""" | ") &amp; """All New"" | Episode | Watch | tv | Show | Series | season | binge | Stream | Film | Movie | Premiere | Screening | Feature | Trailer | Teaser | theater | release)"</f>
        <v>#N/A</v>
      </c>
      <c r="S833" s="23"/>
      <c r="T833" s="23"/>
      <c r="U833" s="23"/>
      <c r="V833" s="23"/>
      <c r="W833" s="23"/>
      <c r="X833" s="38"/>
      <c r="Y833" s="38"/>
      <c r="Z833" s="38"/>
      <c r="AA833" s="38"/>
    </row>
    <row r="834">
      <c r="A834" s="31"/>
      <c r="B834" s="38"/>
      <c r="C834" s="38"/>
      <c r="D834" s="50"/>
      <c r="E834" s="50"/>
      <c r="F834" s="50"/>
      <c r="G834" s="27" t="str">
        <f>VLOOKUP(E834,DropDown!J:K,2,FALSE)</f>
        <v>#N/A</v>
      </c>
      <c r="H834" s="50"/>
      <c r="I834" s="50"/>
      <c r="J834" s="50"/>
      <c r="K834" s="25" t="s">
        <v>116</v>
      </c>
      <c r="L834" s="23"/>
      <c r="M834" s="23"/>
      <c r="N834" s="25" t="str">
        <f>"("""&amp;B834&amp;""") ("&amp;Vlookup(E834,DropDown!J:N,5,FALSE)&amp;" OR """ &amp;YEAR(D834) &amp; """ OR ""All New"" OR Episode OR Watch OR tv OR Show OR Series OR season OR binge OR Stream OR Film OR Movie OR Premiere OR Screening OR Feature OR Trailer OR Teaser OR theater OR release)"</f>
        <v>#N/A</v>
      </c>
      <c r="O834" s="23" t="str">
        <f t="shared" si="1"/>
        <v>#</v>
      </c>
      <c r="P834" s="23" t="str">
        <f t="shared" si="2"/>
        <v>#</v>
      </c>
      <c r="Q834" s="23"/>
      <c r="R834" s="23" t="str">
        <f>"("""&amp;B834&amp;""") ("&amp;Vlookup(E834,DropDown!R:V,5,FALSE)&amp;IF(ISBLANK(D834)," | "," "&amp;"OR """&amp;YEAR(D834)&amp;""" | ") &amp; """All New"" | Episode | Watch | tv | Show | Series | season | binge | Stream | Film | Movie | Premiere | Screening | Feature | Trailer | Teaser | theater | release)"</f>
        <v>#N/A</v>
      </c>
      <c r="S834" s="23"/>
      <c r="T834" s="23"/>
      <c r="U834" s="23"/>
      <c r="V834" s="23"/>
      <c r="W834" s="23"/>
      <c r="X834" s="38"/>
      <c r="Y834" s="38"/>
      <c r="Z834" s="38"/>
      <c r="AA834" s="38"/>
    </row>
    <row r="835">
      <c r="A835" s="31"/>
      <c r="B835" s="38"/>
      <c r="C835" s="38"/>
      <c r="D835" s="50"/>
      <c r="E835" s="50"/>
      <c r="F835" s="50"/>
      <c r="G835" s="27" t="str">
        <f>VLOOKUP(E835,DropDown!J:K,2,FALSE)</f>
        <v>#N/A</v>
      </c>
      <c r="H835" s="50"/>
      <c r="I835" s="50"/>
      <c r="J835" s="50"/>
      <c r="K835" s="25" t="s">
        <v>116</v>
      </c>
      <c r="L835" s="23"/>
      <c r="M835" s="23"/>
      <c r="N835" s="25" t="str">
        <f>"("""&amp;B835&amp;""") ("&amp;Vlookup(E835,DropDown!J:N,5,FALSE)&amp;" OR """ &amp;YEAR(D835) &amp; """ OR ""All New"" OR Episode OR Watch OR tv OR Show OR Series OR season OR binge OR Stream OR Film OR Movie OR Premiere OR Screening OR Feature OR Trailer OR Teaser OR theater OR release)"</f>
        <v>#N/A</v>
      </c>
      <c r="O835" s="23" t="str">
        <f t="shared" si="1"/>
        <v>#</v>
      </c>
      <c r="P835" s="23" t="str">
        <f t="shared" si="2"/>
        <v>#</v>
      </c>
      <c r="Q835" s="23"/>
      <c r="R835" s="23" t="str">
        <f>"("""&amp;B835&amp;""") ("&amp;Vlookup(E835,DropDown!R:V,5,FALSE)&amp;IF(ISBLANK(D835)," | "," "&amp;"OR """&amp;YEAR(D835)&amp;""" | ") &amp; """All New"" | Episode | Watch | tv | Show | Series | season | binge | Stream | Film | Movie | Premiere | Screening | Feature | Trailer | Teaser | theater | release)"</f>
        <v>#N/A</v>
      </c>
      <c r="S835" s="23"/>
      <c r="T835" s="23"/>
      <c r="U835" s="23"/>
      <c r="V835" s="23"/>
      <c r="W835" s="23"/>
      <c r="X835" s="38"/>
      <c r="Y835" s="38"/>
      <c r="Z835" s="38"/>
      <c r="AA835" s="38"/>
    </row>
    <row r="836">
      <c r="A836" s="31"/>
      <c r="B836" s="38"/>
      <c r="C836" s="38"/>
      <c r="D836" s="50"/>
      <c r="E836" s="50"/>
      <c r="F836" s="50"/>
      <c r="G836" s="27" t="str">
        <f>VLOOKUP(E836,DropDown!J:K,2,FALSE)</f>
        <v>#N/A</v>
      </c>
      <c r="H836" s="50"/>
      <c r="I836" s="50"/>
      <c r="J836" s="50"/>
      <c r="K836" s="25" t="s">
        <v>116</v>
      </c>
      <c r="L836" s="23"/>
      <c r="M836" s="23"/>
      <c r="N836" s="25" t="str">
        <f>"("""&amp;B836&amp;""") ("&amp;Vlookup(E836,DropDown!J:N,5,FALSE)&amp;" OR """ &amp;YEAR(D836) &amp; """ OR ""All New"" OR Episode OR Watch OR tv OR Show OR Series OR season OR binge OR Stream OR Film OR Movie OR Premiere OR Screening OR Feature OR Trailer OR Teaser OR theater OR release)"</f>
        <v>#N/A</v>
      </c>
      <c r="O836" s="23" t="str">
        <f t="shared" si="1"/>
        <v>#</v>
      </c>
      <c r="P836" s="23" t="str">
        <f t="shared" si="2"/>
        <v>#</v>
      </c>
      <c r="Q836" s="23"/>
      <c r="R836" s="23" t="str">
        <f>"("""&amp;B836&amp;""") ("&amp;Vlookup(E836,DropDown!R:V,5,FALSE)&amp;IF(ISBLANK(D836)," | "," "&amp;"OR """&amp;YEAR(D836)&amp;""" | ") &amp; """All New"" | Episode | Watch | tv | Show | Series | season | binge | Stream | Film | Movie | Premiere | Screening | Feature | Trailer | Teaser | theater | release)"</f>
        <v>#N/A</v>
      </c>
      <c r="S836" s="23"/>
      <c r="T836" s="23"/>
      <c r="U836" s="23"/>
      <c r="V836" s="23"/>
      <c r="W836" s="23"/>
      <c r="X836" s="38"/>
      <c r="Y836" s="38"/>
      <c r="Z836" s="38"/>
      <c r="AA836" s="38"/>
    </row>
    <row r="837">
      <c r="A837" s="31"/>
      <c r="B837" s="38"/>
      <c r="C837" s="38"/>
      <c r="D837" s="50"/>
      <c r="E837" s="50"/>
      <c r="F837" s="50"/>
      <c r="G837" s="27" t="str">
        <f>VLOOKUP(E837,DropDown!J:K,2,FALSE)</f>
        <v>#N/A</v>
      </c>
      <c r="H837" s="50"/>
      <c r="I837" s="50"/>
      <c r="J837" s="50"/>
      <c r="K837" s="25" t="s">
        <v>116</v>
      </c>
      <c r="L837" s="23"/>
      <c r="M837" s="23"/>
      <c r="N837" s="25" t="str">
        <f>"("""&amp;B837&amp;""") ("&amp;Vlookup(E837,DropDown!J:N,5,FALSE)&amp;" OR """ &amp;YEAR(D837) &amp; """ OR ""All New"" OR Episode OR Watch OR tv OR Show OR Series OR season OR binge OR Stream OR Film OR Movie OR Premiere OR Screening OR Feature OR Trailer OR Teaser OR theater OR release)"</f>
        <v>#N/A</v>
      </c>
      <c r="O837" s="23" t="str">
        <f t="shared" si="1"/>
        <v>#</v>
      </c>
      <c r="P837" s="23" t="str">
        <f t="shared" si="2"/>
        <v>#</v>
      </c>
      <c r="Q837" s="23"/>
      <c r="R837" s="23" t="str">
        <f>"("""&amp;B837&amp;""") ("&amp;Vlookup(E837,DropDown!R:V,5,FALSE)&amp;IF(ISBLANK(D837)," | "," "&amp;"OR """&amp;YEAR(D837)&amp;""" | ") &amp; """All New"" | Episode | Watch | tv | Show | Series | season | binge | Stream | Film | Movie | Premiere | Screening | Feature | Trailer | Teaser | theater | release)"</f>
        <v>#N/A</v>
      </c>
      <c r="S837" s="23"/>
      <c r="T837" s="23"/>
      <c r="U837" s="23"/>
      <c r="V837" s="23"/>
      <c r="W837" s="23"/>
      <c r="X837" s="38"/>
      <c r="Y837" s="38"/>
      <c r="Z837" s="38"/>
      <c r="AA837" s="38"/>
    </row>
    <row r="838">
      <c r="A838" s="31"/>
      <c r="B838" s="38"/>
      <c r="C838" s="38"/>
      <c r="D838" s="50"/>
      <c r="E838" s="50"/>
      <c r="F838" s="50"/>
      <c r="G838" s="27" t="str">
        <f>VLOOKUP(E838,DropDown!J:K,2,FALSE)</f>
        <v>#N/A</v>
      </c>
      <c r="H838" s="50"/>
      <c r="I838" s="50"/>
      <c r="J838" s="50"/>
      <c r="K838" s="25" t="s">
        <v>116</v>
      </c>
      <c r="L838" s="23"/>
      <c r="M838" s="23"/>
      <c r="N838" s="25" t="str">
        <f>"("""&amp;B838&amp;""") ("&amp;Vlookup(E838,DropDown!J:N,5,FALSE)&amp;" OR """ &amp;YEAR(D838) &amp; """ OR ""All New"" OR Episode OR Watch OR tv OR Show OR Series OR season OR binge OR Stream OR Film OR Movie OR Premiere OR Screening OR Feature OR Trailer OR Teaser OR theater OR release)"</f>
        <v>#N/A</v>
      </c>
      <c r="O838" s="23" t="str">
        <f t="shared" si="1"/>
        <v>#</v>
      </c>
      <c r="P838" s="23" t="str">
        <f t="shared" si="2"/>
        <v>#</v>
      </c>
      <c r="Q838" s="23"/>
      <c r="R838" s="23" t="str">
        <f>"("""&amp;B838&amp;""") ("&amp;Vlookup(E838,DropDown!R:V,5,FALSE)&amp;IF(ISBLANK(D838)," | "," "&amp;"OR """&amp;YEAR(D838)&amp;""" | ") &amp; """All New"" | Episode | Watch | tv | Show | Series | season | binge | Stream | Film | Movie | Premiere | Screening | Feature | Trailer | Teaser | theater | release)"</f>
        <v>#N/A</v>
      </c>
      <c r="S838" s="23"/>
      <c r="T838" s="23"/>
      <c r="U838" s="23"/>
      <c r="V838" s="23"/>
      <c r="W838" s="23"/>
      <c r="X838" s="38"/>
      <c r="Y838" s="38"/>
      <c r="Z838" s="38"/>
      <c r="AA838" s="38"/>
    </row>
    <row r="839">
      <c r="A839" s="31"/>
      <c r="B839" s="38"/>
      <c r="C839" s="38"/>
      <c r="D839" s="50"/>
      <c r="E839" s="50"/>
      <c r="F839" s="50"/>
      <c r="G839" s="27" t="str">
        <f>VLOOKUP(E839,DropDown!J:K,2,FALSE)</f>
        <v>#N/A</v>
      </c>
      <c r="H839" s="50"/>
      <c r="I839" s="50"/>
      <c r="J839" s="50"/>
      <c r="K839" s="25" t="s">
        <v>116</v>
      </c>
      <c r="L839" s="23"/>
      <c r="M839" s="23"/>
      <c r="N839" s="25" t="str">
        <f>"("""&amp;B839&amp;""") ("&amp;Vlookup(E839,DropDown!J:N,5,FALSE)&amp;" OR """ &amp;YEAR(D839) &amp; """ OR ""All New"" OR Episode OR Watch OR tv OR Show OR Series OR season OR binge OR Stream OR Film OR Movie OR Premiere OR Screening OR Feature OR Trailer OR Teaser OR theater OR release)"</f>
        <v>#N/A</v>
      </c>
      <c r="O839" s="23" t="str">
        <f t="shared" si="1"/>
        <v>#</v>
      </c>
      <c r="P839" s="23" t="str">
        <f t="shared" si="2"/>
        <v>#</v>
      </c>
      <c r="Q839" s="23"/>
      <c r="R839" s="23" t="str">
        <f>"("""&amp;B839&amp;""") ("&amp;Vlookup(E839,DropDown!R:V,5,FALSE)&amp;IF(ISBLANK(D839)," | "," "&amp;"OR """&amp;YEAR(D839)&amp;""" | ") &amp; """All New"" | Episode | Watch | tv | Show | Series | season | binge | Stream | Film | Movie | Premiere | Screening | Feature | Trailer | Teaser | theater | release)"</f>
        <v>#N/A</v>
      </c>
      <c r="S839" s="23"/>
      <c r="T839" s="23"/>
      <c r="U839" s="23"/>
      <c r="V839" s="23"/>
      <c r="W839" s="23"/>
      <c r="X839" s="38"/>
      <c r="Y839" s="38"/>
      <c r="Z839" s="38"/>
      <c r="AA839" s="38"/>
    </row>
    <row r="840">
      <c r="A840" s="31"/>
      <c r="B840" s="38"/>
      <c r="C840" s="38"/>
      <c r="D840" s="50"/>
      <c r="E840" s="50"/>
      <c r="F840" s="50"/>
      <c r="G840" s="27" t="str">
        <f>VLOOKUP(E840,DropDown!J:K,2,FALSE)</f>
        <v>#N/A</v>
      </c>
      <c r="H840" s="50"/>
      <c r="I840" s="50"/>
      <c r="J840" s="50"/>
      <c r="K840" s="25" t="s">
        <v>116</v>
      </c>
      <c r="L840" s="23"/>
      <c r="M840" s="23"/>
      <c r="N840" s="25" t="str">
        <f>"("""&amp;B840&amp;""") ("&amp;Vlookup(E840,DropDown!J:N,5,FALSE)&amp;" OR """ &amp;YEAR(D840) &amp; """ OR ""All New"" OR Episode OR Watch OR tv OR Show OR Series OR season OR binge OR Stream OR Film OR Movie OR Premiere OR Screening OR Feature OR Trailer OR Teaser OR theater OR release)"</f>
        <v>#N/A</v>
      </c>
      <c r="O840" s="23" t="str">
        <f t="shared" si="1"/>
        <v>#</v>
      </c>
      <c r="P840" s="23" t="str">
        <f t="shared" si="2"/>
        <v>#</v>
      </c>
      <c r="Q840" s="23"/>
      <c r="R840" s="23" t="str">
        <f>"("""&amp;B840&amp;""") ("&amp;Vlookup(E840,DropDown!R:V,5,FALSE)&amp;IF(ISBLANK(D840)," | "," "&amp;"OR """&amp;YEAR(D840)&amp;""" | ") &amp; """All New"" | Episode | Watch | tv | Show | Series | season | binge | Stream | Film | Movie | Premiere | Screening | Feature | Trailer | Teaser | theater | release)"</f>
        <v>#N/A</v>
      </c>
      <c r="S840" s="23"/>
      <c r="T840" s="23"/>
      <c r="U840" s="23"/>
      <c r="V840" s="23"/>
      <c r="W840" s="23"/>
      <c r="X840" s="38"/>
      <c r="Y840" s="38"/>
      <c r="Z840" s="38"/>
      <c r="AA840" s="38"/>
    </row>
    <row r="841">
      <c r="A841" s="31"/>
      <c r="B841" s="38"/>
      <c r="C841" s="38"/>
      <c r="D841" s="50"/>
      <c r="E841" s="50"/>
      <c r="F841" s="50"/>
      <c r="G841" s="27" t="str">
        <f>VLOOKUP(E841,DropDown!J:K,2,FALSE)</f>
        <v>#N/A</v>
      </c>
      <c r="H841" s="50"/>
      <c r="I841" s="50"/>
      <c r="J841" s="50"/>
      <c r="K841" s="25" t="s">
        <v>116</v>
      </c>
      <c r="L841" s="23"/>
      <c r="M841" s="23"/>
      <c r="N841" s="25" t="str">
        <f>"("""&amp;B841&amp;""") ("&amp;Vlookup(E841,DropDown!J:N,5,FALSE)&amp;" OR """ &amp;YEAR(D841) &amp; """ OR ""All New"" OR Episode OR Watch OR tv OR Show OR Series OR season OR binge OR Stream OR Film OR Movie OR Premiere OR Screening OR Feature OR Trailer OR Teaser OR theater OR release)"</f>
        <v>#N/A</v>
      </c>
      <c r="O841" s="23" t="str">
        <f t="shared" si="1"/>
        <v>#</v>
      </c>
      <c r="P841" s="23" t="str">
        <f t="shared" si="2"/>
        <v>#</v>
      </c>
      <c r="Q841" s="23"/>
      <c r="R841" s="23" t="str">
        <f>"("""&amp;B841&amp;""") ("&amp;Vlookup(E841,DropDown!R:V,5,FALSE)&amp;IF(ISBLANK(D841)," | "," "&amp;"OR """&amp;YEAR(D841)&amp;""" | ") &amp; """All New"" | Episode | Watch | tv | Show | Series | season | binge | Stream | Film | Movie | Premiere | Screening | Feature | Trailer | Teaser | theater | release)"</f>
        <v>#N/A</v>
      </c>
      <c r="S841" s="23"/>
      <c r="T841" s="23"/>
      <c r="U841" s="23"/>
      <c r="V841" s="23"/>
      <c r="W841" s="23"/>
      <c r="X841" s="38"/>
      <c r="Y841" s="38"/>
      <c r="Z841" s="38"/>
      <c r="AA841" s="38"/>
    </row>
    <row r="842">
      <c r="A842" s="31"/>
      <c r="B842" s="38"/>
      <c r="C842" s="38"/>
      <c r="D842" s="50"/>
      <c r="E842" s="50"/>
      <c r="F842" s="50"/>
      <c r="G842" s="27" t="str">
        <f>VLOOKUP(E842,DropDown!J:K,2,FALSE)</f>
        <v>#N/A</v>
      </c>
      <c r="H842" s="50"/>
      <c r="I842" s="50"/>
      <c r="J842" s="50"/>
      <c r="K842" s="25" t="s">
        <v>116</v>
      </c>
      <c r="L842" s="23"/>
      <c r="M842" s="23"/>
      <c r="N842" s="25" t="str">
        <f>"("""&amp;B842&amp;""") ("&amp;Vlookup(E842,DropDown!J:N,5,FALSE)&amp;" OR """ &amp;YEAR(D842) &amp; """ OR ""All New"" OR Episode OR Watch OR tv OR Show OR Series OR season OR binge OR Stream OR Film OR Movie OR Premiere OR Screening OR Feature OR Trailer OR Teaser OR theater OR release)"</f>
        <v>#N/A</v>
      </c>
      <c r="O842" s="23" t="str">
        <f t="shared" si="1"/>
        <v>#</v>
      </c>
      <c r="P842" s="23" t="str">
        <f t="shared" si="2"/>
        <v>#</v>
      </c>
      <c r="Q842" s="23"/>
      <c r="R842" s="23" t="str">
        <f>"("""&amp;B842&amp;""") ("&amp;Vlookup(E842,DropDown!R:V,5,FALSE)&amp;IF(ISBLANK(D842)," | "," "&amp;"OR """&amp;YEAR(D842)&amp;""" | ") &amp; """All New"" | Episode | Watch | tv | Show | Series | season | binge | Stream | Film | Movie | Premiere | Screening | Feature | Trailer | Teaser | theater | release)"</f>
        <v>#N/A</v>
      </c>
      <c r="S842" s="23"/>
      <c r="T842" s="23"/>
      <c r="U842" s="23"/>
      <c r="V842" s="23"/>
      <c r="W842" s="23"/>
      <c r="X842" s="38"/>
      <c r="Y842" s="38"/>
      <c r="Z842" s="38"/>
      <c r="AA842" s="38"/>
    </row>
    <row r="843">
      <c r="A843" s="31"/>
      <c r="B843" s="38"/>
      <c r="C843" s="38"/>
      <c r="D843" s="50"/>
      <c r="E843" s="50"/>
      <c r="F843" s="50"/>
      <c r="G843" s="27" t="str">
        <f>VLOOKUP(E843,DropDown!J:K,2,FALSE)</f>
        <v>#N/A</v>
      </c>
      <c r="H843" s="50"/>
      <c r="I843" s="50"/>
      <c r="J843" s="50"/>
      <c r="K843" s="25" t="s">
        <v>116</v>
      </c>
      <c r="L843" s="23"/>
      <c r="M843" s="23"/>
      <c r="N843" s="25" t="str">
        <f>"("""&amp;B843&amp;""") ("&amp;Vlookup(E843,DropDown!J:N,5,FALSE)&amp;" OR """ &amp;YEAR(D843) &amp; """ OR ""All New"" OR Episode OR Watch OR tv OR Show OR Series OR season OR binge OR Stream OR Film OR Movie OR Premiere OR Screening OR Feature OR Trailer OR Teaser OR theater OR release)"</f>
        <v>#N/A</v>
      </c>
      <c r="O843" s="23" t="str">
        <f t="shared" si="1"/>
        <v>#</v>
      </c>
      <c r="P843" s="23" t="str">
        <f t="shared" si="2"/>
        <v>#</v>
      </c>
      <c r="Q843" s="23"/>
      <c r="R843" s="23" t="str">
        <f>"("""&amp;B843&amp;""") ("&amp;Vlookup(E843,DropDown!R:V,5,FALSE)&amp;IF(ISBLANK(D843)," | "," "&amp;"OR """&amp;YEAR(D843)&amp;""" | ") &amp; """All New"" | Episode | Watch | tv | Show | Series | season | binge | Stream | Film | Movie | Premiere | Screening | Feature | Trailer | Teaser | theater | release)"</f>
        <v>#N/A</v>
      </c>
      <c r="S843" s="23"/>
      <c r="T843" s="23"/>
      <c r="U843" s="23"/>
      <c r="V843" s="23"/>
      <c r="W843" s="23"/>
      <c r="X843" s="38"/>
      <c r="Y843" s="38"/>
      <c r="Z843" s="38"/>
      <c r="AA843" s="38"/>
    </row>
    <row r="844">
      <c r="A844" s="31"/>
      <c r="B844" s="38"/>
      <c r="C844" s="38"/>
      <c r="D844" s="50"/>
      <c r="E844" s="50"/>
      <c r="F844" s="50"/>
      <c r="G844" s="27" t="str">
        <f>VLOOKUP(E844,DropDown!J:K,2,FALSE)</f>
        <v>#N/A</v>
      </c>
      <c r="H844" s="50"/>
      <c r="I844" s="50"/>
      <c r="J844" s="50"/>
      <c r="K844" s="25" t="s">
        <v>116</v>
      </c>
      <c r="L844" s="23"/>
      <c r="M844" s="23"/>
      <c r="N844" s="25" t="str">
        <f>"("""&amp;B844&amp;""") ("&amp;Vlookup(E844,DropDown!J:N,5,FALSE)&amp;" OR """ &amp;YEAR(D844) &amp; """ OR ""All New"" OR Episode OR Watch OR tv OR Show OR Series OR season OR binge OR Stream OR Film OR Movie OR Premiere OR Screening OR Feature OR Trailer OR Teaser OR theater OR release)"</f>
        <v>#N/A</v>
      </c>
      <c r="O844" s="23" t="str">
        <f t="shared" si="1"/>
        <v>#</v>
      </c>
      <c r="P844" s="23" t="str">
        <f t="shared" si="2"/>
        <v>#</v>
      </c>
      <c r="Q844" s="23"/>
      <c r="R844" s="23" t="str">
        <f>"("""&amp;B844&amp;""") ("&amp;Vlookup(E844,DropDown!R:V,5,FALSE)&amp;IF(ISBLANK(D844)," | "," "&amp;"OR """&amp;YEAR(D844)&amp;""" | ") &amp; """All New"" | Episode | Watch | tv | Show | Series | season | binge | Stream | Film | Movie | Premiere | Screening | Feature | Trailer | Teaser | theater | release)"</f>
        <v>#N/A</v>
      </c>
      <c r="S844" s="23"/>
      <c r="T844" s="23"/>
      <c r="U844" s="23"/>
      <c r="V844" s="23"/>
      <c r="W844" s="23"/>
      <c r="X844" s="38"/>
      <c r="Y844" s="38"/>
      <c r="Z844" s="38"/>
      <c r="AA844" s="38"/>
    </row>
    <row r="845">
      <c r="A845" s="31"/>
      <c r="B845" s="38"/>
      <c r="C845" s="38"/>
      <c r="D845" s="50"/>
      <c r="E845" s="50"/>
      <c r="F845" s="50"/>
      <c r="G845" s="27" t="str">
        <f>VLOOKUP(E845,DropDown!J:K,2,FALSE)</f>
        <v>#N/A</v>
      </c>
      <c r="H845" s="50"/>
      <c r="I845" s="50"/>
      <c r="J845" s="50"/>
      <c r="K845" s="25" t="s">
        <v>116</v>
      </c>
      <c r="L845" s="23"/>
      <c r="M845" s="23"/>
      <c r="N845" s="25" t="str">
        <f>"("""&amp;B845&amp;""") ("&amp;Vlookup(E845,DropDown!J:N,5,FALSE)&amp;" OR """ &amp;YEAR(D845) &amp; """ OR ""All New"" OR Episode OR Watch OR tv OR Show OR Series OR season OR binge OR Stream OR Film OR Movie OR Premiere OR Screening OR Feature OR Trailer OR Teaser OR theater OR release)"</f>
        <v>#N/A</v>
      </c>
      <c r="O845" s="23" t="str">
        <f t="shared" si="1"/>
        <v>#</v>
      </c>
      <c r="P845" s="23" t="str">
        <f t="shared" si="2"/>
        <v>#</v>
      </c>
      <c r="Q845" s="23"/>
      <c r="R845" s="23" t="str">
        <f>"("""&amp;B845&amp;""") ("&amp;Vlookup(E845,DropDown!R:V,5,FALSE)&amp;IF(ISBLANK(D845)," | "," "&amp;"OR """&amp;YEAR(D845)&amp;""" | ") &amp; """All New"" | Episode | Watch | tv | Show | Series | season | binge | Stream | Film | Movie | Premiere | Screening | Feature | Trailer | Teaser | theater | release)"</f>
        <v>#N/A</v>
      </c>
      <c r="S845" s="23"/>
      <c r="T845" s="23"/>
      <c r="U845" s="23"/>
      <c r="V845" s="23"/>
      <c r="W845" s="23"/>
      <c r="X845" s="38"/>
      <c r="Y845" s="38"/>
      <c r="Z845" s="38"/>
      <c r="AA845" s="38"/>
    </row>
    <row r="846">
      <c r="A846" s="31"/>
      <c r="B846" s="38"/>
      <c r="C846" s="38"/>
      <c r="D846" s="50"/>
      <c r="E846" s="50"/>
      <c r="F846" s="50"/>
      <c r="G846" s="27" t="str">
        <f>VLOOKUP(E846,DropDown!J:K,2,FALSE)</f>
        <v>#N/A</v>
      </c>
      <c r="H846" s="50"/>
      <c r="I846" s="50"/>
      <c r="J846" s="50"/>
      <c r="K846" s="25" t="s">
        <v>116</v>
      </c>
      <c r="L846" s="23"/>
      <c r="M846" s="23"/>
      <c r="N846" s="25" t="str">
        <f>"("""&amp;B846&amp;""") ("&amp;Vlookup(E846,DropDown!J:N,5,FALSE)&amp;" OR """ &amp;YEAR(D846) &amp; """ OR ""All New"" OR Episode OR Watch OR tv OR Show OR Series OR season OR binge OR Stream OR Film OR Movie OR Premiere OR Screening OR Feature OR Trailer OR Teaser OR theater OR release)"</f>
        <v>#N/A</v>
      </c>
      <c r="O846" s="23" t="str">
        <f t="shared" si="1"/>
        <v>#</v>
      </c>
      <c r="P846" s="23" t="str">
        <f t="shared" si="2"/>
        <v>#</v>
      </c>
      <c r="Q846" s="23"/>
      <c r="R846" s="23" t="str">
        <f>"("""&amp;B846&amp;""") ("&amp;Vlookup(E846,DropDown!R:V,5,FALSE)&amp;IF(ISBLANK(D846)," | "," "&amp;"OR """&amp;YEAR(D846)&amp;""" | ") &amp; """All New"" | Episode | Watch | tv | Show | Series | season | binge | Stream | Film | Movie | Premiere | Screening | Feature | Trailer | Teaser | theater | release)"</f>
        <v>#N/A</v>
      </c>
      <c r="S846" s="23"/>
      <c r="T846" s="23"/>
      <c r="U846" s="23"/>
      <c r="V846" s="23"/>
      <c r="W846" s="23"/>
      <c r="X846" s="38"/>
      <c r="Y846" s="38"/>
      <c r="Z846" s="38"/>
      <c r="AA846" s="38"/>
    </row>
    <row r="847">
      <c r="A847" s="31"/>
      <c r="B847" s="38"/>
      <c r="C847" s="38"/>
      <c r="D847" s="50"/>
      <c r="E847" s="50"/>
      <c r="F847" s="50"/>
      <c r="G847" s="27" t="str">
        <f>VLOOKUP(E847,DropDown!J:K,2,FALSE)</f>
        <v>#N/A</v>
      </c>
      <c r="H847" s="50"/>
      <c r="I847" s="50"/>
      <c r="J847" s="50"/>
      <c r="K847" s="25" t="s">
        <v>116</v>
      </c>
      <c r="L847" s="23"/>
      <c r="M847" s="23"/>
      <c r="N847" s="25" t="str">
        <f>"("""&amp;B847&amp;""") ("&amp;Vlookup(E847,DropDown!J:N,5,FALSE)&amp;" OR """ &amp;YEAR(D847) &amp; """ OR ""All New"" OR Episode OR Watch OR tv OR Show OR Series OR season OR binge OR Stream OR Film OR Movie OR Premiere OR Screening OR Feature OR Trailer OR Teaser OR theater OR release)"</f>
        <v>#N/A</v>
      </c>
      <c r="O847" s="23" t="str">
        <f t="shared" si="1"/>
        <v>#</v>
      </c>
      <c r="P847" s="23" t="str">
        <f t="shared" si="2"/>
        <v>#</v>
      </c>
      <c r="Q847" s="23"/>
      <c r="R847" s="23" t="str">
        <f>"("""&amp;B847&amp;""") ("&amp;Vlookup(E847,DropDown!R:V,5,FALSE)&amp;IF(ISBLANK(D847)," | "," "&amp;"OR """&amp;YEAR(D847)&amp;""" | ") &amp; """All New"" | Episode | Watch | tv | Show | Series | season | binge | Stream | Film | Movie | Premiere | Screening | Feature | Trailer | Teaser | theater | release)"</f>
        <v>#N/A</v>
      </c>
      <c r="S847" s="23"/>
      <c r="T847" s="23"/>
      <c r="U847" s="23"/>
      <c r="V847" s="23"/>
      <c r="W847" s="23"/>
      <c r="X847" s="38"/>
      <c r="Y847" s="38"/>
      <c r="Z847" s="38"/>
      <c r="AA847" s="38"/>
    </row>
    <row r="848">
      <c r="A848" s="31"/>
      <c r="B848" s="38"/>
      <c r="C848" s="38"/>
      <c r="D848" s="50"/>
      <c r="E848" s="50"/>
      <c r="F848" s="50"/>
      <c r="G848" s="27" t="str">
        <f>VLOOKUP(E848,DropDown!J:K,2,FALSE)</f>
        <v>#N/A</v>
      </c>
      <c r="H848" s="50"/>
      <c r="I848" s="50"/>
      <c r="J848" s="50"/>
      <c r="K848" s="25" t="s">
        <v>116</v>
      </c>
      <c r="L848" s="23"/>
      <c r="M848" s="23"/>
      <c r="N848" s="25" t="str">
        <f>"("""&amp;B848&amp;""") ("&amp;Vlookup(E848,DropDown!J:N,5,FALSE)&amp;" OR """ &amp;YEAR(D848) &amp; """ OR ""All New"" OR Episode OR Watch OR tv OR Show OR Series OR season OR binge OR Stream OR Film OR Movie OR Premiere OR Screening OR Feature OR Trailer OR Teaser OR theater OR release)"</f>
        <v>#N/A</v>
      </c>
      <c r="O848" s="23" t="str">
        <f t="shared" si="1"/>
        <v>#</v>
      </c>
      <c r="P848" s="23" t="str">
        <f t="shared" si="2"/>
        <v>#</v>
      </c>
      <c r="Q848" s="23"/>
      <c r="R848" s="23" t="str">
        <f>"("""&amp;B848&amp;""") ("&amp;Vlookup(E848,DropDown!R:V,5,FALSE)&amp;IF(ISBLANK(D848)," | "," "&amp;"OR """&amp;YEAR(D848)&amp;""" | ") &amp; """All New"" | Episode | Watch | tv | Show | Series | season | binge | Stream | Film | Movie | Premiere | Screening | Feature | Trailer | Teaser | theater | release)"</f>
        <v>#N/A</v>
      </c>
      <c r="S848" s="23"/>
      <c r="T848" s="23"/>
      <c r="U848" s="23"/>
      <c r="V848" s="23"/>
      <c r="W848" s="23"/>
      <c r="X848" s="38"/>
      <c r="Y848" s="38"/>
      <c r="Z848" s="38"/>
      <c r="AA848" s="38"/>
    </row>
    <row r="849">
      <c r="A849" s="31"/>
      <c r="B849" s="38"/>
      <c r="C849" s="38"/>
      <c r="D849" s="50"/>
      <c r="E849" s="50"/>
      <c r="F849" s="50"/>
      <c r="G849" s="27" t="str">
        <f>VLOOKUP(E849,DropDown!J:K,2,FALSE)</f>
        <v>#N/A</v>
      </c>
      <c r="H849" s="50"/>
      <c r="I849" s="50"/>
      <c r="J849" s="50"/>
      <c r="K849" s="25" t="s">
        <v>116</v>
      </c>
      <c r="L849" s="23"/>
      <c r="M849" s="23"/>
      <c r="N849" s="25" t="str">
        <f>"("""&amp;B849&amp;""") ("&amp;Vlookup(E849,DropDown!J:N,5,FALSE)&amp;" OR """ &amp;YEAR(D849) &amp; """ OR ""All New"" OR Episode OR Watch OR tv OR Show OR Series OR season OR binge OR Stream OR Film OR Movie OR Premiere OR Screening OR Feature OR Trailer OR Teaser OR theater OR release)"</f>
        <v>#N/A</v>
      </c>
      <c r="O849" s="23" t="str">
        <f t="shared" si="1"/>
        <v>#</v>
      </c>
      <c r="P849" s="23" t="str">
        <f t="shared" si="2"/>
        <v>#</v>
      </c>
      <c r="Q849" s="23"/>
      <c r="R849" s="23" t="str">
        <f>"("""&amp;B849&amp;""") ("&amp;Vlookup(E849,DropDown!R:V,5,FALSE)&amp;IF(ISBLANK(D849)," | "," "&amp;"OR """&amp;YEAR(D849)&amp;""" | ") &amp; """All New"" | Episode | Watch | tv | Show | Series | season | binge | Stream | Film | Movie | Premiere | Screening | Feature | Trailer | Teaser | theater | release)"</f>
        <v>#N/A</v>
      </c>
      <c r="S849" s="23"/>
      <c r="T849" s="23"/>
      <c r="U849" s="23"/>
      <c r="V849" s="23"/>
      <c r="W849" s="23"/>
      <c r="X849" s="38"/>
      <c r="Y849" s="38"/>
      <c r="Z849" s="38"/>
      <c r="AA849" s="38"/>
    </row>
    <row r="850">
      <c r="A850" s="31"/>
      <c r="B850" s="38"/>
      <c r="C850" s="38"/>
      <c r="D850" s="50"/>
      <c r="E850" s="50"/>
      <c r="F850" s="50"/>
      <c r="G850" s="27" t="str">
        <f>VLOOKUP(E850,DropDown!J:K,2,FALSE)</f>
        <v>#N/A</v>
      </c>
      <c r="H850" s="50"/>
      <c r="I850" s="50"/>
      <c r="J850" s="50"/>
      <c r="K850" s="25" t="s">
        <v>116</v>
      </c>
      <c r="L850" s="23"/>
      <c r="M850" s="23"/>
      <c r="N850" s="25" t="str">
        <f>"("""&amp;B850&amp;""") ("&amp;Vlookup(E850,DropDown!J:N,5,FALSE)&amp;" OR """ &amp;YEAR(D850) &amp; """ OR ""All New"" OR Episode OR Watch OR tv OR Show OR Series OR season OR binge OR Stream OR Film OR Movie OR Premiere OR Screening OR Feature OR Trailer OR Teaser OR theater OR release)"</f>
        <v>#N/A</v>
      </c>
      <c r="O850" s="23" t="str">
        <f t="shared" si="1"/>
        <v>#</v>
      </c>
      <c r="P850" s="23" t="str">
        <f t="shared" si="2"/>
        <v>#</v>
      </c>
      <c r="Q850" s="23"/>
      <c r="R850" s="23" t="str">
        <f>"("""&amp;B850&amp;""") ("&amp;Vlookup(E850,DropDown!R:V,5,FALSE)&amp;IF(ISBLANK(D850)," | "," "&amp;"OR """&amp;YEAR(D850)&amp;""" | ") &amp; """All New"" | Episode | Watch | tv | Show | Series | season | binge | Stream | Film | Movie | Premiere | Screening | Feature | Trailer | Teaser | theater | release)"</f>
        <v>#N/A</v>
      </c>
      <c r="S850" s="23"/>
      <c r="T850" s="23"/>
      <c r="U850" s="23"/>
      <c r="V850" s="23"/>
      <c r="W850" s="23"/>
      <c r="X850" s="38"/>
      <c r="Y850" s="38"/>
      <c r="Z850" s="38"/>
      <c r="AA850" s="38"/>
    </row>
    <row r="851">
      <c r="A851" s="31"/>
      <c r="B851" s="38"/>
      <c r="C851" s="38"/>
      <c r="D851" s="50"/>
      <c r="E851" s="50"/>
      <c r="F851" s="50"/>
      <c r="G851" s="27" t="str">
        <f>VLOOKUP(E851,DropDown!J:K,2,FALSE)</f>
        <v>#N/A</v>
      </c>
      <c r="H851" s="50"/>
      <c r="I851" s="50"/>
      <c r="J851" s="50"/>
      <c r="K851" s="25" t="s">
        <v>116</v>
      </c>
      <c r="L851" s="23"/>
      <c r="M851" s="23"/>
      <c r="N851" s="25" t="str">
        <f>"("""&amp;B851&amp;""") ("&amp;Vlookup(E851,DropDown!J:N,5,FALSE)&amp;" OR """ &amp;YEAR(D851) &amp; """ OR ""All New"" OR Episode OR Watch OR tv OR Show OR Series OR season OR binge OR Stream OR Film OR Movie OR Premiere OR Screening OR Feature OR Trailer OR Teaser OR theater OR release)"</f>
        <v>#N/A</v>
      </c>
      <c r="O851" s="23" t="str">
        <f t="shared" si="1"/>
        <v>#</v>
      </c>
      <c r="P851" s="23" t="str">
        <f t="shared" si="2"/>
        <v>#</v>
      </c>
      <c r="Q851" s="23"/>
      <c r="R851" s="23" t="str">
        <f>"("""&amp;B851&amp;""") ("&amp;Vlookup(E851,DropDown!R:V,5,FALSE)&amp;IF(ISBLANK(D851)," | "," "&amp;"OR """&amp;YEAR(D851)&amp;""" | ") &amp; """All New"" | Episode | Watch | tv | Show | Series | season | binge | Stream | Film | Movie | Premiere | Screening | Feature | Trailer | Teaser | theater | release)"</f>
        <v>#N/A</v>
      </c>
      <c r="S851" s="23"/>
      <c r="T851" s="23"/>
      <c r="U851" s="23"/>
      <c r="V851" s="23"/>
      <c r="W851" s="23"/>
      <c r="X851" s="38"/>
      <c r="Y851" s="38"/>
      <c r="Z851" s="38"/>
      <c r="AA851" s="38"/>
    </row>
    <row r="852">
      <c r="A852" s="31"/>
      <c r="B852" s="38"/>
      <c r="C852" s="38"/>
      <c r="D852" s="50"/>
      <c r="E852" s="50"/>
      <c r="F852" s="50"/>
      <c r="G852" s="27" t="str">
        <f>VLOOKUP(E852,DropDown!J:K,2,FALSE)</f>
        <v>#N/A</v>
      </c>
      <c r="H852" s="50"/>
      <c r="I852" s="50"/>
      <c r="J852" s="50"/>
      <c r="K852" s="25" t="s">
        <v>116</v>
      </c>
      <c r="L852" s="23"/>
      <c r="M852" s="23"/>
      <c r="N852" s="25" t="str">
        <f>"("""&amp;B852&amp;""") ("&amp;Vlookup(E852,DropDown!J:N,5,FALSE)&amp;" OR """ &amp;YEAR(D852) &amp; """ OR ""All New"" OR Episode OR Watch OR tv OR Show OR Series OR season OR binge OR Stream OR Film OR Movie OR Premiere OR Screening OR Feature OR Trailer OR Teaser OR theater OR release)"</f>
        <v>#N/A</v>
      </c>
      <c r="O852" s="23" t="str">
        <f t="shared" si="1"/>
        <v>#</v>
      </c>
      <c r="P852" s="23" t="str">
        <f t="shared" si="2"/>
        <v>#</v>
      </c>
      <c r="Q852" s="23"/>
      <c r="R852" s="23" t="str">
        <f>"("""&amp;B852&amp;""") ("&amp;Vlookup(E852,DropDown!R:V,5,FALSE)&amp;IF(ISBLANK(D852)," | "," "&amp;"OR """&amp;YEAR(D852)&amp;""" | ") &amp; """All New"" | Episode | Watch | tv | Show | Series | season | binge | Stream | Film | Movie | Premiere | Screening | Feature | Trailer | Teaser | theater | release)"</f>
        <v>#N/A</v>
      </c>
      <c r="S852" s="23"/>
      <c r="T852" s="23"/>
      <c r="U852" s="23"/>
      <c r="V852" s="23"/>
      <c r="W852" s="23"/>
      <c r="X852" s="38"/>
      <c r="Y852" s="38"/>
      <c r="Z852" s="38"/>
      <c r="AA852" s="38"/>
    </row>
    <row r="853">
      <c r="A853" s="31"/>
      <c r="B853" s="38"/>
      <c r="C853" s="38"/>
      <c r="D853" s="50"/>
      <c r="E853" s="50"/>
      <c r="F853" s="50"/>
      <c r="G853" s="27" t="str">
        <f>VLOOKUP(E853,DropDown!J:K,2,FALSE)</f>
        <v>#N/A</v>
      </c>
      <c r="H853" s="50"/>
      <c r="I853" s="50"/>
      <c r="J853" s="50"/>
      <c r="K853" s="25" t="s">
        <v>116</v>
      </c>
      <c r="L853" s="23"/>
      <c r="M853" s="23"/>
      <c r="N853" s="25" t="str">
        <f>"("""&amp;B853&amp;""") ("&amp;Vlookup(E853,DropDown!J:N,5,FALSE)&amp;" OR """ &amp;YEAR(D853) &amp; """ OR ""All New"" OR Episode OR Watch OR tv OR Show OR Series OR season OR binge OR Stream OR Film OR Movie OR Premiere OR Screening OR Feature OR Trailer OR Teaser OR theater OR release)"</f>
        <v>#N/A</v>
      </c>
      <c r="O853" s="23" t="str">
        <f t="shared" si="1"/>
        <v>#</v>
      </c>
      <c r="P853" s="23" t="str">
        <f t="shared" si="2"/>
        <v>#</v>
      </c>
      <c r="Q853" s="23"/>
      <c r="R853" s="23" t="str">
        <f>"("""&amp;B853&amp;""") ("&amp;Vlookup(E853,DropDown!R:V,5,FALSE)&amp;IF(ISBLANK(D853)," | "," "&amp;"OR """&amp;YEAR(D853)&amp;""" | ") &amp; """All New"" | Episode | Watch | tv | Show | Series | season | binge | Stream | Film | Movie | Premiere | Screening | Feature | Trailer | Teaser | theater | release)"</f>
        <v>#N/A</v>
      </c>
      <c r="S853" s="23"/>
      <c r="T853" s="23"/>
      <c r="U853" s="23"/>
      <c r="V853" s="23"/>
      <c r="W853" s="23"/>
      <c r="X853" s="38"/>
      <c r="Y853" s="38"/>
      <c r="Z853" s="38"/>
      <c r="AA853" s="38"/>
    </row>
    <row r="854">
      <c r="A854" s="31"/>
      <c r="B854" s="38"/>
      <c r="C854" s="38"/>
      <c r="D854" s="50"/>
      <c r="E854" s="50"/>
      <c r="F854" s="50"/>
      <c r="G854" s="27" t="str">
        <f>VLOOKUP(E854,DropDown!J:K,2,FALSE)</f>
        <v>#N/A</v>
      </c>
      <c r="H854" s="50"/>
      <c r="I854" s="50"/>
      <c r="J854" s="50"/>
      <c r="K854" s="25" t="s">
        <v>116</v>
      </c>
      <c r="L854" s="23"/>
      <c r="M854" s="23"/>
      <c r="N854" s="25" t="str">
        <f>"("""&amp;B854&amp;""") ("&amp;Vlookup(E854,DropDown!J:N,5,FALSE)&amp;" OR """ &amp;YEAR(D854) &amp; """ OR ""All New"" OR Episode OR Watch OR tv OR Show OR Series OR season OR binge OR Stream OR Film OR Movie OR Premiere OR Screening OR Feature OR Trailer OR Teaser OR theater OR release)"</f>
        <v>#N/A</v>
      </c>
      <c r="O854" s="23" t="str">
        <f t="shared" si="1"/>
        <v>#</v>
      </c>
      <c r="P854" s="23" t="str">
        <f t="shared" si="2"/>
        <v>#</v>
      </c>
      <c r="Q854" s="23"/>
      <c r="R854" s="23" t="str">
        <f>"("""&amp;B854&amp;""") ("&amp;Vlookup(E854,DropDown!R:V,5,FALSE)&amp;IF(ISBLANK(D854)," | "," "&amp;"OR """&amp;YEAR(D854)&amp;""" | ") &amp; """All New"" | Episode | Watch | tv | Show | Series | season | binge | Stream | Film | Movie | Premiere | Screening | Feature | Trailer | Teaser | theater | release)"</f>
        <v>#N/A</v>
      </c>
      <c r="S854" s="23"/>
      <c r="T854" s="23"/>
      <c r="U854" s="23"/>
      <c r="V854" s="23"/>
      <c r="W854" s="23"/>
      <c r="X854" s="38"/>
      <c r="Y854" s="38"/>
      <c r="Z854" s="38"/>
      <c r="AA854" s="38"/>
    </row>
    <row r="855">
      <c r="A855" s="31"/>
      <c r="B855" s="38"/>
      <c r="C855" s="38"/>
      <c r="D855" s="50"/>
      <c r="E855" s="50"/>
      <c r="F855" s="50"/>
      <c r="G855" s="27" t="str">
        <f>VLOOKUP(E855,DropDown!J:K,2,FALSE)</f>
        <v>#N/A</v>
      </c>
      <c r="H855" s="50"/>
      <c r="I855" s="50"/>
      <c r="J855" s="50"/>
      <c r="K855" s="25" t="s">
        <v>116</v>
      </c>
      <c r="L855" s="23"/>
      <c r="M855" s="23"/>
      <c r="N855" s="25" t="str">
        <f>"("""&amp;B855&amp;""") ("&amp;Vlookup(E855,DropDown!J:N,5,FALSE)&amp;" OR """ &amp;YEAR(D855) &amp; """ OR ""All New"" OR Episode OR Watch OR tv OR Show OR Series OR season OR binge OR Stream OR Film OR Movie OR Premiere OR Screening OR Feature OR Trailer OR Teaser OR theater OR release)"</f>
        <v>#N/A</v>
      </c>
      <c r="O855" s="23" t="str">
        <f t="shared" si="1"/>
        <v>#</v>
      </c>
      <c r="P855" s="23" t="str">
        <f t="shared" si="2"/>
        <v>#</v>
      </c>
      <c r="Q855" s="23"/>
      <c r="R855" s="23" t="str">
        <f>"("""&amp;B855&amp;""") ("&amp;Vlookup(E855,DropDown!R:V,5,FALSE)&amp;IF(ISBLANK(D855)," | "," "&amp;"OR """&amp;YEAR(D855)&amp;""" | ") &amp; """All New"" | Episode | Watch | tv | Show | Series | season | binge | Stream | Film | Movie | Premiere | Screening | Feature | Trailer | Teaser | theater | release)"</f>
        <v>#N/A</v>
      </c>
      <c r="S855" s="23"/>
      <c r="T855" s="23"/>
      <c r="U855" s="23"/>
      <c r="V855" s="23"/>
      <c r="W855" s="23"/>
      <c r="X855" s="38"/>
      <c r="Y855" s="38"/>
      <c r="Z855" s="38"/>
      <c r="AA855" s="38"/>
    </row>
    <row r="856">
      <c r="A856" s="31"/>
      <c r="B856" s="38"/>
      <c r="C856" s="38"/>
      <c r="D856" s="50"/>
      <c r="E856" s="50"/>
      <c r="F856" s="50"/>
      <c r="G856" s="27" t="str">
        <f>VLOOKUP(E856,DropDown!J:K,2,FALSE)</f>
        <v>#N/A</v>
      </c>
      <c r="H856" s="50"/>
      <c r="I856" s="50"/>
      <c r="J856" s="50"/>
      <c r="K856" s="25" t="s">
        <v>116</v>
      </c>
      <c r="L856" s="23"/>
      <c r="M856" s="23"/>
      <c r="N856" s="25" t="str">
        <f>"("""&amp;B856&amp;""") ("&amp;Vlookup(E856,DropDown!J:N,5,FALSE)&amp;" OR """ &amp;YEAR(D856) &amp; """ OR ""All New"" OR Episode OR Watch OR tv OR Show OR Series OR season OR binge OR Stream OR Film OR Movie OR Premiere OR Screening OR Feature OR Trailer OR Teaser OR theater OR release)"</f>
        <v>#N/A</v>
      </c>
      <c r="O856" s="23" t="str">
        <f t="shared" si="1"/>
        <v>#</v>
      </c>
      <c r="P856" s="23" t="str">
        <f t="shared" si="2"/>
        <v>#</v>
      </c>
      <c r="Q856" s="23"/>
      <c r="R856" s="23" t="str">
        <f>"("""&amp;B856&amp;""") ("&amp;Vlookup(E856,DropDown!R:V,5,FALSE)&amp;IF(ISBLANK(D856)," | "," "&amp;"OR """&amp;YEAR(D856)&amp;""" | ") &amp; """All New"" | Episode | Watch | tv | Show | Series | season | binge | Stream | Film | Movie | Premiere | Screening | Feature | Trailer | Teaser | theater | release)"</f>
        <v>#N/A</v>
      </c>
      <c r="S856" s="23"/>
      <c r="T856" s="23"/>
      <c r="U856" s="23"/>
      <c r="V856" s="23"/>
      <c r="W856" s="23"/>
      <c r="X856" s="38"/>
      <c r="Y856" s="38"/>
      <c r="Z856" s="38"/>
      <c r="AA856" s="38"/>
    </row>
    <row r="857">
      <c r="A857" s="31"/>
      <c r="B857" s="38"/>
      <c r="C857" s="38"/>
      <c r="D857" s="50"/>
      <c r="E857" s="50"/>
      <c r="F857" s="50"/>
      <c r="G857" s="27" t="str">
        <f>VLOOKUP(E857,DropDown!J:K,2,FALSE)</f>
        <v>#N/A</v>
      </c>
      <c r="H857" s="50"/>
      <c r="I857" s="50"/>
      <c r="J857" s="50"/>
      <c r="K857" s="25" t="s">
        <v>116</v>
      </c>
      <c r="L857" s="23"/>
      <c r="M857" s="23"/>
      <c r="N857" s="25" t="str">
        <f>"("""&amp;B857&amp;""") ("&amp;Vlookup(E857,DropDown!J:N,5,FALSE)&amp;" OR """ &amp;YEAR(D857) &amp; """ OR ""All New"" OR Episode OR Watch OR tv OR Show OR Series OR season OR binge OR Stream OR Film OR Movie OR Premiere OR Screening OR Feature OR Trailer OR Teaser OR theater OR release)"</f>
        <v>#N/A</v>
      </c>
      <c r="O857" s="23" t="str">
        <f t="shared" si="1"/>
        <v>#</v>
      </c>
      <c r="P857" s="23" t="str">
        <f t="shared" si="2"/>
        <v>#</v>
      </c>
      <c r="Q857" s="23"/>
      <c r="R857" s="23" t="str">
        <f>"("""&amp;B857&amp;""") ("&amp;Vlookup(E857,DropDown!R:V,5,FALSE)&amp;IF(ISBLANK(D857)," | "," "&amp;"OR """&amp;YEAR(D857)&amp;""" | ") &amp; """All New"" | Episode | Watch | tv | Show | Series | season | binge | Stream | Film | Movie | Premiere | Screening | Feature | Trailer | Teaser | theater | release)"</f>
        <v>#N/A</v>
      </c>
      <c r="S857" s="23"/>
      <c r="T857" s="23"/>
      <c r="U857" s="23"/>
      <c r="V857" s="23"/>
      <c r="W857" s="23"/>
      <c r="X857" s="38"/>
      <c r="Y857" s="38"/>
      <c r="Z857" s="38"/>
      <c r="AA857" s="38"/>
    </row>
    <row r="858">
      <c r="A858" s="31"/>
      <c r="B858" s="38"/>
      <c r="C858" s="38"/>
      <c r="D858" s="50"/>
      <c r="E858" s="50"/>
      <c r="F858" s="50"/>
      <c r="G858" s="27" t="str">
        <f>VLOOKUP(E858,DropDown!J:K,2,FALSE)</f>
        <v>#N/A</v>
      </c>
      <c r="H858" s="50"/>
      <c r="I858" s="50"/>
      <c r="J858" s="50"/>
      <c r="K858" s="25" t="s">
        <v>116</v>
      </c>
      <c r="L858" s="23"/>
      <c r="M858" s="23"/>
      <c r="N858" s="25" t="str">
        <f>"("""&amp;B858&amp;""") ("&amp;Vlookup(E858,DropDown!J:N,5,FALSE)&amp;" OR """ &amp;YEAR(D858) &amp; """ OR ""All New"" OR Episode OR Watch OR tv OR Show OR Series OR season OR binge OR Stream OR Film OR Movie OR Premiere OR Screening OR Feature OR Trailer OR Teaser OR theater OR release)"</f>
        <v>#N/A</v>
      </c>
      <c r="O858" s="23" t="str">
        <f t="shared" si="1"/>
        <v>#</v>
      </c>
      <c r="P858" s="23" t="str">
        <f t="shared" si="2"/>
        <v>#</v>
      </c>
      <c r="Q858" s="23"/>
      <c r="R858" s="23" t="str">
        <f>"("""&amp;B858&amp;""") ("&amp;Vlookup(E858,DropDown!R:V,5,FALSE)&amp;IF(ISBLANK(D858)," | "," "&amp;"OR """&amp;YEAR(D858)&amp;""" | ") &amp; """All New"" | Episode | Watch | tv | Show | Series | season | binge | Stream | Film | Movie | Premiere | Screening | Feature | Trailer | Teaser | theater | release)"</f>
        <v>#N/A</v>
      </c>
      <c r="S858" s="23"/>
      <c r="T858" s="23"/>
      <c r="U858" s="23"/>
      <c r="V858" s="23"/>
      <c r="W858" s="23"/>
      <c r="X858" s="38"/>
      <c r="Y858" s="38"/>
      <c r="Z858" s="38"/>
      <c r="AA858" s="38"/>
    </row>
    <row r="859">
      <c r="A859" s="31"/>
      <c r="B859" s="38"/>
      <c r="C859" s="38"/>
      <c r="D859" s="50"/>
      <c r="E859" s="50"/>
      <c r="F859" s="50"/>
      <c r="G859" s="27" t="str">
        <f>VLOOKUP(E859,DropDown!J:K,2,FALSE)</f>
        <v>#N/A</v>
      </c>
      <c r="H859" s="50"/>
      <c r="I859" s="50"/>
      <c r="J859" s="50"/>
      <c r="K859" s="25" t="s">
        <v>116</v>
      </c>
      <c r="L859" s="23"/>
      <c r="M859" s="23"/>
      <c r="N859" s="25" t="str">
        <f>"("""&amp;B859&amp;""") ("&amp;Vlookup(E859,DropDown!J:N,5,FALSE)&amp;" OR """ &amp;YEAR(D859) &amp; """ OR ""All New"" OR Episode OR Watch OR tv OR Show OR Series OR season OR binge OR Stream OR Film OR Movie OR Premiere OR Screening OR Feature OR Trailer OR Teaser OR theater OR release)"</f>
        <v>#N/A</v>
      </c>
      <c r="O859" s="23" t="str">
        <f t="shared" si="1"/>
        <v>#</v>
      </c>
      <c r="P859" s="23" t="str">
        <f t="shared" si="2"/>
        <v>#</v>
      </c>
      <c r="Q859" s="23"/>
      <c r="R859" s="23" t="str">
        <f>"("""&amp;B859&amp;""") ("&amp;Vlookup(E859,DropDown!R:V,5,FALSE)&amp;IF(ISBLANK(D859)," | "," "&amp;"OR """&amp;YEAR(D859)&amp;""" | ") &amp; """All New"" | Episode | Watch | tv | Show | Series | season | binge | Stream | Film | Movie | Premiere | Screening | Feature | Trailer | Teaser | theater | release)"</f>
        <v>#N/A</v>
      </c>
      <c r="S859" s="23"/>
      <c r="T859" s="23"/>
      <c r="U859" s="23"/>
      <c r="V859" s="23"/>
      <c r="W859" s="23"/>
      <c r="X859" s="38"/>
      <c r="Y859" s="38"/>
      <c r="Z859" s="38"/>
      <c r="AA859" s="38"/>
    </row>
    <row r="860">
      <c r="A860" s="31"/>
      <c r="B860" s="38"/>
      <c r="C860" s="38"/>
      <c r="D860" s="50"/>
      <c r="E860" s="50"/>
      <c r="F860" s="50"/>
      <c r="G860" s="27" t="str">
        <f>VLOOKUP(E860,DropDown!J:K,2,FALSE)</f>
        <v>#N/A</v>
      </c>
      <c r="H860" s="50"/>
      <c r="I860" s="50"/>
      <c r="J860" s="50"/>
      <c r="K860" s="25" t="s">
        <v>116</v>
      </c>
      <c r="L860" s="23"/>
      <c r="M860" s="23"/>
      <c r="N860" s="25" t="str">
        <f>"("""&amp;B860&amp;""") ("&amp;Vlookup(E860,DropDown!J:N,5,FALSE)&amp;" OR """ &amp;YEAR(D860) &amp; """ OR ""All New"" OR Episode OR Watch OR tv OR Show OR Series OR season OR binge OR Stream OR Film OR Movie OR Premiere OR Screening OR Feature OR Trailer OR Teaser OR theater OR release)"</f>
        <v>#N/A</v>
      </c>
      <c r="O860" s="23" t="str">
        <f t="shared" si="1"/>
        <v>#</v>
      </c>
      <c r="P860" s="23" t="str">
        <f t="shared" si="2"/>
        <v>#</v>
      </c>
      <c r="Q860" s="23"/>
      <c r="R860" s="23" t="str">
        <f>"("""&amp;B860&amp;""") ("&amp;Vlookup(E860,DropDown!R:V,5,FALSE)&amp;IF(ISBLANK(D860)," | "," "&amp;"OR """&amp;YEAR(D860)&amp;""" | ") &amp; """All New"" | Episode | Watch | tv | Show | Series | season | binge | Stream | Film | Movie | Premiere | Screening | Feature | Trailer | Teaser | theater | release)"</f>
        <v>#N/A</v>
      </c>
      <c r="S860" s="23"/>
      <c r="T860" s="23"/>
      <c r="U860" s="23"/>
      <c r="V860" s="23"/>
      <c r="W860" s="23"/>
      <c r="X860" s="38"/>
      <c r="Y860" s="38"/>
      <c r="Z860" s="38"/>
      <c r="AA860" s="38"/>
    </row>
    <row r="861">
      <c r="A861" s="31"/>
      <c r="B861" s="38"/>
      <c r="C861" s="38"/>
      <c r="D861" s="50"/>
      <c r="E861" s="50"/>
      <c r="F861" s="50"/>
      <c r="G861" s="27" t="str">
        <f>VLOOKUP(E861,DropDown!J:K,2,FALSE)</f>
        <v>#N/A</v>
      </c>
      <c r="H861" s="50"/>
      <c r="I861" s="50"/>
      <c r="J861" s="50"/>
      <c r="K861" s="25" t="s">
        <v>116</v>
      </c>
      <c r="L861" s="23"/>
      <c r="M861" s="23"/>
      <c r="N861" s="25" t="str">
        <f>"("""&amp;B861&amp;""") ("&amp;Vlookup(E861,DropDown!J:N,5,FALSE)&amp;" OR """ &amp;YEAR(D861) &amp; """ OR ""All New"" OR Episode OR Watch OR tv OR Show OR Series OR season OR binge OR Stream OR Film OR Movie OR Premiere OR Screening OR Feature OR Trailer OR Teaser OR theater OR release)"</f>
        <v>#N/A</v>
      </c>
      <c r="O861" s="23" t="str">
        <f t="shared" si="1"/>
        <v>#</v>
      </c>
      <c r="P861" s="23" t="str">
        <f t="shared" si="2"/>
        <v>#</v>
      </c>
      <c r="Q861" s="23"/>
      <c r="R861" s="23" t="str">
        <f>"("""&amp;B861&amp;""") ("&amp;Vlookup(E861,DropDown!R:V,5,FALSE)&amp;IF(ISBLANK(D861)," | "," "&amp;"OR """&amp;YEAR(D861)&amp;""" | ") &amp; """All New"" | Episode | Watch | tv | Show | Series | season | binge | Stream | Film | Movie | Premiere | Screening | Feature | Trailer | Teaser | theater | release)"</f>
        <v>#N/A</v>
      </c>
      <c r="S861" s="23"/>
      <c r="T861" s="23"/>
      <c r="U861" s="23"/>
      <c r="V861" s="23"/>
      <c r="W861" s="23"/>
      <c r="X861" s="38"/>
      <c r="Y861" s="38"/>
      <c r="Z861" s="38"/>
      <c r="AA861" s="38"/>
    </row>
    <row r="862">
      <c r="A862" s="31"/>
      <c r="B862" s="38"/>
      <c r="C862" s="38"/>
      <c r="D862" s="50"/>
      <c r="E862" s="50"/>
      <c r="F862" s="50"/>
      <c r="G862" s="27" t="str">
        <f>VLOOKUP(E862,DropDown!J:K,2,FALSE)</f>
        <v>#N/A</v>
      </c>
      <c r="H862" s="50"/>
      <c r="I862" s="50"/>
      <c r="J862" s="50"/>
      <c r="K862" s="25" t="s">
        <v>116</v>
      </c>
      <c r="L862" s="23"/>
      <c r="M862" s="23"/>
      <c r="N862" s="25" t="str">
        <f>"("""&amp;B862&amp;""") ("&amp;Vlookup(E862,DropDown!J:N,5,FALSE)&amp;" OR """ &amp;YEAR(D862) &amp; """ OR ""All New"" OR Episode OR Watch OR tv OR Show OR Series OR season OR binge OR Stream OR Film OR Movie OR Premiere OR Screening OR Feature OR Trailer OR Teaser OR theater OR release)"</f>
        <v>#N/A</v>
      </c>
      <c r="O862" s="23" t="str">
        <f t="shared" si="1"/>
        <v>#</v>
      </c>
      <c r="P862" s="23" t="str">
        <f t="shared" si="2"/>
        <v>#</v>
      </c>
      <c r="Q862" s="23"/>
      <c r="R862" s="23" t="str">
        <f>"("""&amp;B862&amp;""") ("&amp;Vlookup(E862,DropDown!R:V,5,FALSE)&amp;IF(ISBLANK(D862)," | "," "&amp;"OR """&amp;YEAR(D862)&amp;""" | ") &amp; """All New"" | Episode | Watch | tv | Show | Series | season | binge | Stream | Film | Movie | Premiere | Screening | Feature | Trailer | Teaser | theater | release)"</f>
        <v>#N/A</v>
      </c>
      <c r="S862" s="23"/>
      <c r="T862" s="23"/>
      <c r="U862" s="23"/>
      <c r="V862" s="23"/>
      <c r="W862" s="23"/>
      <c r="X862" s="38"/>
      <c r="Y862" s="38"/>
      <c r="Z862" s="38"/>
      <c r="AA862" s="38"/>
    </row>
    <row r="863">
      <c r="A863" s="31"/>
      <c r="B863" s="38"/>
      <c r="C863" s="38"/>
      <c r="D863" s="50"/>
      <c r="E863" s="50"/>
      <c r="F863" s="50"/>
      <c r="G863" s="27" t="str">
        <f>VLOOKUP(E863,DropDown!J:K,2,FALSE)</f>
        <v>#N/A</v>
      </c>
      <c r="H863" s="50"/>
      <c r="I863" s="50"/>
      <c r="J863" s="50"/>
      <c r="K863" s="25" t="s">
        <v>116</v>
      </c>
      <c r="L863" s="23"/>
      <c r="M863" s="23"/>
      <c r="N863" s="25" t="str">
        <f>"("""&amp;B863&amp;""") ("&amp;Vlookup(E863,DropDown!J:N,5,FALSE)&amp;" OR """ &amp;YEAR(D863) &amp; """ OR ""All New"" OR Episode OR Watch OR tv OR Show OR Series OR season OR binge OR Stream OR Film OR Movie OR Premiere OR Screening OR Feature OR Trailer OR Teaser OR theater OR release)"</f>
        <v>#N/A</v>
      </c>
      <c r="O863" s="23" t="str">
        <f t="shared" si="1"/>
        <v>#</v>
      </c>
      <c r="P863" s="23" t="str">
        <f t="shared" si="2"/>
        <v>#</v>
      </c>
      <c r="Q863" s="23"/>
      <c r="R863" s="23" t="str">
        <f>"("""&amp;B863&amp;""") ("&amp;Vlookup(E863,DropDown!R:V,5,FALSE)&amp;IF(ISBLANK(D863)," | "," "&amp;"OR """&amp;YEAR(D863)&amp;""" | ") &amp; """All New"" | Episode | Watch | tv | Show | Series | season | binge | Stream | Film | Movie | Premiere | Screening | Feature | Trailer | Teaser | theater | release)"</f>
        <v>#N/A</v>
      </c>
      <c r="S863" s="23"/>
      <c r="T863" s="23"/>
      <c r="U863" s="23"/>
      <c r="V863" s="23"/>
      <c r="W863" s="23"/>
      <c r="X863" s="38"/>
      <c r="Y863" s="38"/>
      <c r="Z863" s="38"/>
      <c r="AA863" s="38"/>
    </row>
    <row r="864">
      <c r="A864" s="31"/>
      <c r="B864" s="38"/>
      <c r="C864" s="38"/>
      <c r="D864" s="50"/>
      <c r="E864" s="50"/>
      <c r="F864" s="50"/>
      <c r="G864" s="27" t="str">
        <f>VLOOKUP(E864,DropDown!J:K,2,FALSE)</f>
        <v>#N/A</v>
      </c>
      <c r="H864" s="50"/>
      <c r="I864" s="50"/>
      <c r="J864" s="50"/>
      <c r="K864" s="25" t="s">
        <v>116</v>
      </c>
      <c r="L864" s="23"/>
      <c r="M864" s="23"/>
      <c r="N864" s="25" t="str">
        <f>"("""&amp;B864&amp;""") ("&amp;Vlookup(E864,DropDown!J:N,5,FALSE)&amp;" OR """ &amp;YEAR(D864) &amp; """ OR ""All New"" OR Episode OR Watch OR tv OR Show OR Series OR season OR binge OR Stream OR Film OR Movie OR Premiere OR Screening OR Feature OR Trailer OR Teaser OR theater OR release)"</f>
        <v>#N/A</v>
      </c>
      <c r="O864" s="23" t="str">
        <f t="shared" si="1"/>
        <v>#</v>
      </c>
      <c r="P864" s="23" t="str">
        <f t="shared" si="2"/>
        <v>#</v>
      </c>
      <c r="Q864" s="23"/>
      <c r="R864" s="23" t="str">
        <f>"("""&amp;B864&amp;""") ("&amp;Vlookup(E864,DropDown!R:V,5,FALSE)&amp;IF(ISBLANK(D864)," | "," "&amp;"OR """&amp;YEAR(D864)&amp;""" | ") &amp; """All New"" | Episode | Watch | tv | Show | Series | season | binge | Stream | Film | Movie | Premiere | Screening | Feature | Trailer | Teaser | theater | release)"</f>
        <v>#N/A</v>
      </c>
      <c r="S864" s="23"/>
      <c r="T864" s="23"/>
      <c r="U864" s="23"/>
      <c r="V864" s="23"/>
      <c r="W864" s="23"/>
      <c r="X864" s="38"/>
      <c r="Y864" s="38"/>
      <c r="Z864" s="38"/>
      <c r="AA864" s="38"/>
    </row>
    <row r="865">
      <c r="A865" s="31"/>
      <c r="B865" s="38"/>
      <c r="C865" s="38"/>
      <c r="D865" s="50"/>
      <c r="E865" s="50"/>
      <c r="F865" s="50"/>
      <c r="G865" s="27" t="str">
        <f>VLOOKUP(E865,DropDown!J:K,2,FALSE)</f>
        <v>#N/A</v>
      </c>
      <c r="H865" s="50"/>
      <c r="I865" s="50"/>
      <c r="J865" s="50"/>
      <c r="K865" s="25" t="s">
        <v>116</v>
      </c>
      <c r="L865" s="23"/>
      <c r="M865" s="23"/>
      <c r="N865" s="25" t="str">
        <f>"("""&amp;B865&amp;""") ("&amp;Vlookup(E865,DropDown!J:N,5,FALSE)&amp;" OR """ &amp;YEAR(D865) &amp; """ OR ""All New"" OR Episode OR Watch OR tv OR Show OR Series OR season OR binge OR Stream OR Film OR Movie OR Premiere OR Screening OR Feature OR Trailer OR Teaser OR theater OR release)"</f>
        <v>#N/A</v>
      </c>
      <c r="O865" s="23" t="str">
        <f t="shared" si="1"/>
        <v>#</v>
      </c>
      <c r="P865" s="23" t="str">
        <f t="shared" si="2"/>
        <v>#</v>
      </c>
      <c r="Q865" s="23"/>
      <c r="R865" s="23" t="str">
        <f>"("""&amp;B865&amp;""") ("&amp;Vlookup(E865,DropDown!R:V,5,FALSE)&amp;IF(ISBLANK(D865)," | "," "&amp;"OR """&amp;YEAR(D865)&amp;""" | ") &amp; """All New"" | Episode | Watch | tv | Show | Series | season | binge | Stream | Film | Movie | Premiere | Screening | Feature | Trailer | Teaser | theater | release)"</f>
        <v>#N/A</v>
      </c>
      <c r="S865" s="23"/>
      <c r="T865" s="23"/>
      <c r="U865" s="23"/>
      <c r="V865" s="23"/>
      <c r="W865" s="23"/>
      <c r="X865" s="38"/>
      <c r="Y865" s="38"/>
      <c r="Z865" s="38"/>
      <c r="AA865" s="38"/>
    </row>
    <row r="866">
      <c r="A866" s="31"/>
      <c r="B866" s="38"/>
      <c r="C866" s="38"/>
      <c r="D866" s="50"/>
      <c r="E866" s="50"/>
      <c r="F866" s="50"/>
      <c r="G866" s="27" t="str">
        <f>VLOOKUP(E866,DropDown!J:K,2,FALSE)</f>
        <v>#N/A</v>
      </c>
      <c r="H866" s="50"/>
      <c r="I866" s="50"/>
      <c r="J866" s="50"/>
      <c r="K866" s="25" t="s">
        <v>116</v>
      </c>
      <c r="L866" s="23"/>
      <c r="M866" s="23"/>
      <c r="N866" s="25" t="str">
        <f>"("""&amp;B866&amp;""") ("&amp;Vlookup(E866,DropDown!J:N,5,FALSE)&amp;" OR """ &amp;YEAR(D866) &amp; """ OR ""All New"" OR Episode OR Watch OR tv OR Show OR Series OR season OR binge OR Stream OR Film OR Movie OR Premiere OR Screening OR Feature OR Trailer OR Teaser OR theater OR release)"</f>
        <v>#N/A</v>
      </c>
      <c r="O866" s="23" t="str">
        <f t="shared" si="1"/>
        <v>#</v>
      </c>
      <c r="P866" s="23" t="str">
        <f t="shared" si="2"/>
        <v>#</v>
      </c>
      <c r="Q866" s="23"/>
      <c r="R866" s="23" t="str">
        <f>"("""&amp;B866&amp;""") ("&amp;Vlookup(E866,DropDown!R:V,5,FALSE)&amp;IF(ISBLANK(D866)," | "," "&amp;"OR """&amp;YEAR(D866)&amp;""" | ") &amp; """All New"" | Episode | Watch | tv | Show | Series | season | binge | Stream | Film | Movie | Premiere | Screening | Feature | Trailer | Teaser | theater | release)"</f>
        <v>#N/A</v>
      </c>
      <c r="S866" s="23"/>
      <c r="T866" s="23"/>
      <c r="U866" s="23"/>
      <c r="V866" s="23"/>
      <c r="W866" s="23"/>
      <c r="X866" s="38"/>
      <c r="Y866" s="38"/>
      <c r="Z866" s="38"/>
      <c r="AA866" s="38"/>
    </row>
    <row r="867">
      <c r="A867" s="31"/>
      <c r="B867" s="38"/>
      <c r="C867" s="38"/>
      <c r="D867" s="50"/>
      <c r="E867" s="50"/>
      <c r="F867" s="50"/>
      <c r="G867" s="27" t="str">
        <f>VLOOKUP(E867,DropDown!J:K,2,FALSE)</f>
        <v>#N/A</v>
      </c>
      <c r="H867" s="50"/>
      <c r="I867" s="50"/>
      <c r="J867" s="50"/>
      <c r="K867" s="25" t="s">
        <v>116</v>
      </c>
      <c r="L867" s="23"/>
      <c r="M867" s="23"/>
      <c r="N867" s="25" t="str">
        <f>"("""&amp;B867&amp;""") ("&amp;Vlookup(E867,DropDown!J:N,5,FALSE)&amp;" OR """ &amp;YEAR(D867) &amp; """ OR ""All New"" OR Episode OR Watch OR tv OR Show OR Series OR season OR binge OR Stream OR Film OR Movie OR Premiere OR Screening OR Feature OR Trailer OR Teaser OR theater OR release)"</f>
        <v>#N/A</v>
      </c>
      <c r="O867" s="23" t="str">
        <f t="shared" si="1"/>
        <v>#</v>
      </c>
      <c r="P867" s="23" t="str">
        <f t="shared" si="2"/>
        <v>#</v>
      </c>
      <c r="Q867" s="23"/>
      <c r="R867" s="23" t="str">
        <f>"("""&amp;B867&amp;""") ("&amp;Vlookup(E867,DropDown!R:V,5,FALSE)&amp;IF(ISBLANK(D867)," | "," "&amp;"OR """&amp;YEAR(D867)&amp;""" | ") &amp; """All New"" | Episode | Watch | tv | Show | Series | season | binge | Stream | Film | Movie | Premiere | Screening | Feature | Trailer | Teaser | theater | release)"</f>
        <v>#N/A</v>
      </c>
      <c r="S867" s="23"/>
      <c r="T867" s="23"/>
      <c r="U867" s="23"/>
      <c r="V867" s="23"/>
      <c r="W867" s="23"/>
      <c r="X867" s="38"/>
      <c r="Y867" s="38"/>
      <c r="Z867" s="38"/>
      <c r="AA867" s="38"/>
    </row>
    <row r="868">
      <c r="A868" s="31"/>
      <c r="B868" s="38"/>
      <c r="C868" s="38"/>
      <c r="D868" s="50"/>
      <c r="E868" s="50"/>
      <c r="F868" s="50"/>
      <c r="G868" s="27" t="str">
        <f>VLOOKUP(E868,DropDown!J:K,2,FALSE)</f>
        <v>#N/A</v>
      </c>
      <c r="H868" s="50"/>
      <c r="I868" s="50"/>
      <c r="J868" s="50"/>
      <c r="K868" s="25" t="s">
        <v>116</v>
      </c>
      <c r="L868" s="23"/>
      <c r="M868" s="23"/>
      <c r="N868" s="25" t="str">
        <f>"("""&amp;B868&amp;""") ("&amp;Vlookup(E868,DropDown!J:N,5,FALSE)&amp;" OR """ &amp;YEAR(D868) &amp; """ OR ""All New"" OR Episode OR Watch OR tv OR Show OR Series OR season OR binge OR Stream OR Film OR Movie OR Premiere OR Screening OR Feature OR Trailer OR Teaser OR theater OR release)"</f>
        <v>#N/A</v>
      </c>
      <c r="O868" s="23" t="str">
        <f t="shared" si="1"/>
        <v>#</v>
      </c>
      <c r="P868" s="23" t="str">
        <f t="shared" si="2"/>
        <v>#</v>
      </c>
      <c r="Q868" s="23"/>
      <c r="R868" s="23" t="str">
        <f>"("""&amp;B868&amp;""") ("&amp;Vlookup(E868,DropDown!R:V,5,FALSE)&amp;IF(ISBLANK(D868)," | "," "&amp;"OR """&amp;YEAR(D868)&amp;""" | ") &amp; """All New"" | Episode | Watch | tv | Show | Series | season | binge | Stream | Film | Movie | Premiere | Screening | Feature | Trailer | Teaser | theater | release)"</f>
        <v>#N/A</v>
      </c>
      <c r="S868" s="23"/>
      <c r="T868" s="23"/>
      <c r="U868" s="23"/>
      <c r="V868" s="23"/>
      <c r="W868" s="23"/>
      <c r="X868" s="38"/>
      <c r="Y868" s="38"/>
      <c r="Z868" s="38"/>
      <c r="AA868" s="38"/>
    </row>
    <row r="869">
      <c r="A869" s="31"/>
      <c r="B869" s="38"/>
      <c r="C869" s="38"/>
      <c r="D869" s="50"/>
      <c r="E869" s="50"/>
      <c r="F869" s="50"/>
      <c r="G869" s="27" t="str">
        <f>VLOOKUP(E869,DropDown!J:K,2,FALSE)</f>
        <v>#N/A</v>
      </c>
      <c r="H869" s="50"/>
      <c r="I869" s="50"/>
      <c r="J869" s="50"/>
      <c r="K869" s="25" t="s">
        <v>116</v>
      </c>
      <c r="L869" s="23"/>
      <c r="M869" s="23"/>
      <c r="N869" s="25" t="str">
        <f>"("""&amp;B869&amp;""") ("&amp;Vlookup(E869,DropDown!J:N,5,FALSE)&amp;" OR """ &amp;YEAR(D869) &amp; """ OR ""All New"" OR Episode OR Watch OR tv OR Show OR Series OR season OR binge OR Stream OR Film OR Movie OR Premiere OR Screening OR Feature OR Trailer OR Teaser OR theater OR release)"</f>
        <v>#N/A</v>
      </c>
      <c r="O869" s="23" t="str">
        <f t="shared" si="1"/>
        <v>#</v>
      </c>
      <c r="P869" s="23" t="str">
        <f t="shared" si="2"/>
        <v>#</v>
      </c>
      <c r="Q869" s="23"/>
      <c r="R869" s="23" t="str">
        <f>"("""&amp;B869&amp;""") ("&amp;Vlookup(E869,DropDown!R:V,5,FALSE)&amp;IF(ISBLANK(D869)," | "," "&amp;"OR """&amp;YEAR(D869)&amp;""" | ") &amp; """All New"" | Episode | Watch | tv | Show | Series | season | binge | Stream | Film | Movie | Premiere | Screening | Feature | Trailer | Teaser | theater | release)"</f>
        <v>#N/A</v>
      </c>
      <c r="S869" s="23"/>
      <c r="T869" s="23"/>
      <c r="U869" s="23"/>
      <c r="V869" s="23"/>
      <c r="W869" s="23"/>
      <c r="X869" s="38"/>
      <c r="Y869" s="38"/>
      <c r="Z869" s="38"/>
      <c r="AA869" s="38"/>
    </row>
    <row r="870">
      <c r="A870" s="31"/>
      <c r="B870" s="38"/>
      <c r="C870" s="38"/>
      <c r="D870" s="50"/>
      <c r="E870" s="50"/>
      <c r="F870" s="50"/>
      <c r="G870" s="27" t="str">
        <f>VLOOKUP(E870,DropDown!J:K,2,FALSE)</f>
        <v>#N/A</v>
      </c>
      <c r="H870" s="50"/>
      <c r="I870" s="50"/>
      <c r="J870" s="50"/>
      <c r="K870" s="25" t="s">
        <v>116</v>
      </c>
      <c r="L870" s="23"/>
      <c r="M870" s="23"/>
      <c r="N870" s="25" t="str">
        <f>"("""&amp;B870&amp;""") ("&amp;Vlookup(E870,DropDown!J:N,5,FALSE)&amp;" OR """ &amp;YEAR(D870) &amp; """ OR ""All New"" OR Episode OR Watch OR tv OR Show OR Series OR season OR binge OR Stream OR Film OR Movie OR Premiere OR Screening OR Feature OR Trailer OR Teaser OR theater OR release)"</f>
        <v>#N/A</v>
      </c>
      <c r="O870" s="23" t="str">
        <f t="shared" si="1"/>
        <v>#</v>
      </c>
      <c r="P870" s="23" t="str">
        <f t="shared" si="2"/>
        <v>#</v>
      </c>
      <c r="Q870" s="23"/>
      <c r="R870" s="23" t="str">
        <f>"("""&amp;B870&amp;""") ("&amp;Vlookup(E870,DropDown!R:V,5,FALSE)&amp;IF(ISBLANK(D870)," | "," "&amp;"OR """&amp;YEAR(D870)&amp;""" | ") &amp; """All New"" | Episode | Watch | tv | Show | Series | season | binge | Stream | Film | Movie | Premiere | Screening | Feature | Trailer | Teaser | theater | release)"</f>
        <v>#N/A</v>
      </c>
      <c r="S870" s="23"/>
      <c r="T870" s="23"/>
      <c r="U870" s="23"/>
      <c r="V870" s="23"/>
      <c r="W870" s="23"/>
      <c r="X870" s="38"/>
      <c r="Y870" s="38"/>
      <c r="Z870" s="38"/>
      <c r="AA870" s="38"/>
    </row>
    <row r="871">
      <c r="A871" s="31"/>
      <c r="B871" s="38"/>
      <c r="C871" s="38"/>
      <c r="D871" s="50"/>
      <c r="E871" s="50"/>
      <c r="F871" s="50"/>
      <c r="G871" s="27" t="str">
        <f>VLOOKUP(E871,DropDown!J:K,2,FALSE)</f>
        <v>#N/A</v>
      </c>
      <c r="H871" s="50"/>
      <c r="I871" s="50"/>
      <c r="J871" s="50"/>
      <c r="K871" s="25" t="s">
        <v>116</v>
      </c>
      <c r="L871" s="23"/>
      <c r="M871" s="23"/>
      <c r="N871" s="25" t="str">
        <f>"("""&amp;B871&amp;""") ("&amp;Vlookup(E871,DropDown!J:N,5,FALSE)&amp;" OR """ &amp;YEAR(D871) &amp; """ OR ""All New"" OR Episode OR Watch OR tv OR Show OR Series OR season OR binge OR Stream OR Film OR Movie OR Premiere OR Screening OR Feature OR Trailer OR Teaser OR theater OR release)"</f>
        <v>#N/A</v>
      </c>
      <c r="O871" s="23" t="str">
        <f t="shared" si="1"/>
        <v>#</v>
      </c>
      <c r="P871" s="23" t="str">
        <f t="shared" si="2"/>
        <v>#</v>
      </c>
      <c r="Q871" s="23"/>
      <c r="R871" s="23" t="str">
        <f>"("""&amp;B871&amp;""") ("&amp;Vlookup(E871,DropDown!R:V,5,FALSE)&amp;IF(ISBLANK(D871)," | "," "&amp;"OR """&amp;YEAR(D871)&amp;""" | ") &amp; """All New"" | Episode | Watch | tv | Show | Series | season | binge | Stream | Film | Movie | Premiere | Screening | Feature | Trailer | Teaser | theater | release)"</f>
        <v>#N/A</v>
      </c>
      <c r="S871" s="23"/>
      <c r="T871" s="23"/>
      <c r="U871" s="23"/>
      <c r="V871" s="23"/>
      <c r="W871" s="23"/>
      <c r="X871" s="38"/>
      <c r="Y871" s="38"/>
      <c r="Z871" s="38"/>
      <c r="AA871" s="38"/>
    </row>
    <row r="872">
      <c r="A872" s="31"/>
      <c r="B872" s="38"/>
      <c r="C872" s="38"/>
      <c r="D872" s="50"/>
      <c r="E872" s="50"/>
      <c r="F872" s="50"/>
      <c r="G872" s="27" t="str">
        <f>VLOOKUP(E872,DropDown!J:K,2,FALSE)</f>
        <v>#N/A</v>
      </c>
      <c r="H872" s="50"/>
      <c r="I872" s="50"/>
      <c r="J872" s="50"/>
      <c r="K872" s="25" t="s">
        <v>116</v>
      </c>
      <c r="L872" s="23"/>
      <c r="M872" s="23"/>
      <c r="N872" s="25" t="str">
        <f>"("""&amp;B872&amp;""") ("&amp;Vlookup(E872,DropDown!J:N,5,FALSE)&amp;" OR """ &amp;YEAR(D872) &amp; """ OR ""All New"" OR Episode OR Watch OR tv OR Show OR Series OR season OR binge OR Stream OR Film OR Movie OR Premiere OR Screening OR Feature OR Trailer OR Teaser OR theater OR release)"</f>
        <v>#N/A</v>
      </c>
      <c r="O872" s="23" t="str">
        <f t="shared" si="1"/>
        <v>#</v>
      </c>
      <c r="P872" s="23" t="str">
        <f t="shared" si="2"/>
        <v>#</v>
      </c>
      <c r="Q872" s="23"/>
      <c r="R872" s="23" t="str">
        <f>"("""&amp;B872&amp;""") ("&amp;Vlookup(E872,DropDown!R:V,5,FALSE)&amp;IF(ISBLANK(D872)," | "," "&amp;"OR """&amp;YEAR(D872)&amp;""" | ") &amp; """All New"" | Episode | Watch | tv | Show | Series | season | binge | Stream | Film | Movie | Premiere | Screening | Feature | Trailer | Teaser | theater | release)"</f>
        <v>#N/A</v>
      </c>
      <c r="S872" s="23"/>
      <c r="T872" s="23"/>
      <c r="U872" s="23"/>
      <c r="V872" s="23"/>
      <c r="W872" s="23"/>
      <c r="X872" s="38"/>
      <c r="Y872" s="38"/>
      <c r="Z872" s="38"/>
      <c r="AA872" s="38"/>
    </row>
    <row r="873">
      <c r="A873" s="31"/>
      <c r="B873" s="38"/>
      <c r="C873" s="38"/>
      <c r="D873" s="50"/>
      <c r="E873" s="50"/>
      <c r="F873" s="50"/>
      <c r="G873" s="27" t="str">
        <f>VLOOKUP(E873,DropDown!J:K,2,FALSE)</f>
        <v>#N/A</v>
      </c>
      <c r="H873" s="50"/>
      <c r="I873" s="50"/>
      <c r="J873" s="50"/>
      <c r="K873" s="25" t="s">
        <v>116</v>
      </c>
      <c r="L873" s="23"/>
      <c r="M873" s="23"/>
      <c r="N873" s="25" t="str">
        <f>"("""&amp;B873&amp;""") ("&amp;Vlookup(E873,DropDown!J:N,5,FALSE)&amp;" OR """ &amp;YEAR(D873) &amp; """ OR ""All New"" OR Episode OR Watch OR tv OR Show OR Series OR season OR binge OR Stream OR Film OR Movie OR Premiere OR Screening OR Feature OR Trailer OR Teaser OR theater OR release)"</f>
        <v>#N/A</v>
      </c>
      <c r="O873" s="23" t="str">
        <f t="shared" si="1"/>
        <v>#</v>
      </c>
      <c r="P873" s="23" t="str">
        <f t="shared" si="2"/>
        <v>#</v>
      </c>
      <c r="Q873" s="23"/>
      <c r="R873" s="23" t="str">
        <f>"("""&amp;B873&amp;""") ("&amp;Vlookup(E873,DropDown!R:V,5,FALSE)&amp;IF(ISBLANK(D873)," | "," "&amp;"OR """&amp;YEAR(D873)&amp;""" | ") &amp; """All New"" | Episode | Watch | tv | Show | Series | season | binge | Stream | Film | Movie | Premiere | Screening | Feature | Trailer | Teaser | theater | release)"</f>
        <v>#N/A</v>
      </c>
      <c r="S873" s="23"/>
      <c r="T873" s="23"/>
      <c r="U873" s="23"/>
      <c r="V873" s="23"/>
      <c r="W873" s="23"/>
      <c r="X873" s="38"/>
      <c r="Y873" s="38"/>
      <c r="Z873" s="38"/>
      <c r="AA873" s="38"/>
    </row>
    <row r="874">
      <c r="A874" s="31"/>
      <c r="B874" s="38"/>
      <c r="C874" s="38"/>
      <c r="D874" s="50"/>
      <c r="E874" s="50"/>
      <c r="F874" s="50"/>
      <c r="G874" s="27" t="str">
        <f>VLOOKUP(E874,DropDown!J:K,2,FALSE)</f>
        <v>#N/A</v>
      </c>
      <c r="H874" s="50"/>
      <c r="I874" s="50"/>
      <c r="J874" s="50"/>
      <c r="K874" s="25" t="s">
        <v>116</v>
      </c>
      <c r="L874" s="23"/>
      <c r="M874" s="23"/>
      <c r="N874" s="25" t="str">
        <f>"("""&amp;B874&amp;""") ("&amp;Vlookup(E874,DropDown!J:N,5,FALSE)&amp;" OR """ &amp;YEAR(D874) &amp; """ OR ""All New"" OR Episode OR Watch OR tv OR Show OR Series OR season OR binge OR Stream OR Film OR Movie OR Premiere OR Screening OR Feature OR Trailer OR Teaser OR theater OR release)"</f>
        <v>#N/A</v>
      </c>
      <c r="O874" s="23" t="str">
        <f t="shared" si="1"/>
        <v>#</v>
      </c>
      <c r="P874" s="23" t="str">
        <f t="shared" si="2"/>
        <v>#</v>
      </c>
      <c r="Q874" s="23"/>
      <c r="R874" s="23" t="str">
        <f>"("""&amp;B874&amp;""") ("&amp;Vlookup(E874,DropDown!R:V,5,FALSE)&amp;IF(ISBLANK(D874)," | "," "&amp;"OR """&amp;YEAR(D874)&amp;""" | ") &amp; """All New"" | Episode | Watch | tv | Show | Series | season | binge | Stream | Film | Movie | Premiere | Screening | Feature | Trailer | Teaser | theater | release)"</f>
        <v>#N/A</v>
      </c>
      <c r="S874" s="23"/>
      <c r="T874" s="23"/>
      <c r="U874" s="23"/>
      <c r="V874" s="23"/>
      <c r="W874" s="23"/>
      <c r="X874" s="38"/>
      <c r="Y874" s="38"/>
      <c r="Z874" s="38"/>
      <c r="AA874" s="38"/>
    </row>
    <row r="875">
      <c r="A875" s="31"/>
      <c r="B875" s="38"/>
      <c r="C875" s="38"/>
      <c r="D875" s="50"/>
      <c r="E875" s="50"/>
      <c r="F875" s="50"/>
      <c r="G875" s="27" t="str">
        <f>VLOOKUP(E875,DropDown!J:K,2,FALSE)</f>
        <v>#N/A</v>
      </c>
      <c r="H875" s="50"/>
      <c r="I875" s="50"/>
      <c r="J875" s="50"/>
      <c r="K875" s="25" t="s">
        <v>116</v>
      </c>
      <c r="L875" s="23"/>
      <c r="M875" s="23"/>
      <c r="N875" s="25" t="str">
        <f>"("""&amp;B875&amp;""") ("&amp;Vlookup(E875,DropDown!J:N,5,FALSE)&amp;" OR """ &amp;YEAR(D875) &amp; """ OR ""All New"" OR Episode OR Watch OR tv OR Show OR Series OR season OR binge OR Stream OR Film OR Movie OR Premiere OR Screening OR Feature OR Trailer OR Teaser OR theater OR release)"</f>
        <v>#N/A</v>
      </c>
      <c r="O875" s="23" t="str">
        <f t="shared" si="1"/>
        <v>#</v>
      </c>
      <c r="P875" s="23" t="str">
        <f t="shared" si="2"/>
        <v>#</v>
      </c>
      <c r="Q875" s="23"/>
      <c r="R875" s="23" t="str">
        <f>"("""&amp;B875&amp;""") ("&amp;Vlookup(E875,DropDown!R:V,5,FALSE)&amp;IF(ISBLANK(D875)," | "," "&amp;"OR """&amp;YEAR(D875)&amp;""" | ") &amp; """All New"" | Episode | Watch | tv | Show | Series | season | binge | Stream | Film | Movie | Premiere | Screening | Feature | Trailer | Teaser | theater | release)"</f>
        <v>#N/A</v>
      </c>
      <c r="S875" s="23"/>
      <c r="T875" s="23"/>
      <c r="U875" s="23"/>
      <c r="V875" s="23"/>
      <c r="W875" s="23"/>
      <c r="X875" s="38"/>
      <c r="Y875" s="38"/>
      <c r="Z875" s="38"/>
      <c r="AA875" s="38"/>
    </row>
    <row r="876">
      <c r="A876" s="31"/>
      <c r="B876" s="38"/>
      <c r="C876" s="38"/>
      <c r="D876" s="50"/>
      <c r="E876" s="50"/>
      <c r="F876" s="50"/>
      <c r="G876" s="27" t="str">
        <f>VLOOKUP(E876,DropDown!J:K,2,FALSE)</f>
        <v>#N/A</v>
      </c>
      <c r="H876" s="50"/>
      <c r="I876" s="50"/>
      <c r="J876" s="50"/>
      <c r="K876" s="25" t="s">
        <v>116</v>
      </c>
      <c r="L876" s="23"/>
      <c r="M876" s="23"/>
      <c r="N876" s="25" t="str">
        <f>"("""&amp;B876&amp;""") ("&amp;Vlookup(E876,DropDown!J:N,5,FALSE)&amp;" OR """ &amp;YEAR(D876) &amp; """ OR ""All New"" OR Episode OR Watch OR tv OR Show OR Series OR season OR binge OR Stream OR Film OR Movie OR Premiere OR Screening OR Feature OR Trailer OR Teaser OR theater OR release)"</f>
        <v>#N/A</v>
      </c>
      <c r="O876" s="23" t="str">
        <f t="shared" si="1"/>
        <v>#</v>
      </c>
      <c r="P876" s="23" t="str">
        <f t="shared" si="2"/>
        <v>#</v>
      </c>
      <c r="Q876" s="23"/>
      <c r="R876" s="23" t="str">
        <f>"("""&amp;B876&amp;""") ("&amp;Vlookup(E876,DropDown!R:V,5,FALSE)&amp;IF(ISBLANK(D876)," | "," "&amp;"OR """&amp;YEAR(D876)&amp;""" | ") &amp; """All New"" | Episode | Watch | tv | Show | Series | season | binge | Stream | Film | Movie | Premiere | Screening | Feature | Trailer | Teaser | theater | release)"</f>
        <v>#N/A</v>
      </c>
      <c r="S876" s="23"/>
      <c r="T876" s="23"/>
      <c r="U876" s="23"/>
      <c r="V876" s="23"/>
      <c r="W876" s="23"/>
      <c r="X876" s="38"/>
      <c r="Y876" s="38"/>
      <c r="Z876" s="38"/>
      <c r="AA876" s="38"/>
    </row>
    <row r="877">
      <c r="A877" s="31"/>
      <c r="B877" s="38"/>
      <c r="C877" s="38"/>
      <c r="D877" s="50"/>
      <c r="E877" s="50"/>
      <c r="F877" s="50"/>
      <c r="G877" s="27" t="str">
        <f>VLOOKUP(E877,DropDown!J:K,2,FALSE)</f>
        <v>#N/A</v>
      </c>
      <c r="H877" s="50"/>
      <c r="I877" s="50"/>
      <c r="J877" s="50"/>
      <c r="K877" s="25" t="s">
        <v>116</v>
      </c>
      <c r="L877" s="23"/>
      <c r="M877" s="23"/>
      <c r="N877" s="25" t="str">
        <f>"("""&amp;B877&amp;""") ("&amp;Vlookup(E877,DropDown!J:N,5,FALSE)&amp;" OR """ &amp;YEAR(D877) &amp; """ OR ""All New"" OR Episode OR Watch OR tv OR Show OR Series OR season OR binge OR Stream OR Film OR Movie OR Premiere OR Screening OR Feature OR Trailer OR Teaser OR theater OR release)"</f>
        <v>#N/A</v>
      </c>
      <c r="O877" s="23" t="str">
        <f t="shared" si="1"/>
        <v>#</v>
      </c>
      <c r="P877" s="23" t="str">
        <f t="shared" si="2"/>
        <v>#</v>
      </c>
      <c r="Q877" s="23"/>
      <c r="R877" s="23" t="str">
        <f>"("""&amp;B877&amp;""") ("&amp;Vlookup(E877,DropDown!R:V,5,FALSE)&amp;IF(ISBLANK(D877)," | "," "&amp;"OR """&amp;YEAR(D877)&amp;""" | ") &amp; """All New"" | Episode | Watch | tv | Show | Series | season | binge | Stream | Film | Movie | Premiere | Screening | Feature | Trailer | Teaser | theater | release)"</f>
        <v>#N/A</v>
      </c>
      <c r="S877" s="23"/>
      <c r="T877" s="23"/>
      <c r="U877" s="23"/>
      <c r="V877" s="23"/>
      <c r="W877" s="23"/>
      <c r="X877" s="38"/>
      <c r="Y877" s="38"/>
      <c r="Z877" s="38"/>
      <c r="AA877" s="38"/>
    </row>
    <row r="878">
      <c r="A878" s="31"/>
      <c r="B878" s="38"/>
      <c r="C878" s="38"/>
      <c r="D878" s="50"/>
      <c r="E878" s="50"/>
      <c r="F878" s="50"/>
      <c r="G878" s="27" t="str">
        <f>VLOOKUP(E878,DropDown!J:K,2,FALSE)</f>
        <v>#N/A</v>
      </c>
      <c r="H878" s="50"/>
      <c r="I878" s="50"/>
      <c r="J878" s="50"/>
      <c r="K878" s="25" t="s">
        <v>116</v>
      </c>
      <c r="L878" s="23"/>
      <c r="M878" s="23"/>
      <c r="N878" s="25" t="str">
        <f>"("""&amp;B878&amp;""") ("&amp;Vlookup(E878,DropDown!J:N,5,FALSE)&amp;" OR """ &amp;YEAR(D878) &amp; """ OR ""All New"" OR Episode OR Watch OR tv OR Show OR Series OR season OR binge OR Stream OR Film OR Movie OR Premiere OR Screening OR Feature OR Trailer OR Teaser OR theater OR release)"</f>
        <v>#N/A</v>
      </c>
      <c r="O878" s="23" t="str">
        <f t="shared" si="1"/>
        <v>#</v>
      </c>
      <c r="P878" s="23" t="str">
        <f t="shared" si="2"/>
        <v>#</v>
      </c>
      <c r="Q878" s="23"/>
      <c r="R878" s="23" t="str">
        <f>"("""&amp;B878&amp;""") ("&amp;Vlookup(E878,DropDown!R:V,5,FALSE)&amp;IF(ISBLANK(D878)," | "," "&amp;"OR """&amp;YEAR(D878)&amp;""" | ") &amp; """All New"" | Episode | Watch | tv | Show | Series | season | binge | Stream | Film | Movie | Premiere | Screening | Feature | Trailer | Teaser | theater | release)"</f>
        <v>#N/A</v>
      </c>
      <c r="S878" s="23"/>
      <c r="T878" s="23"/>
      <c r="U878" s="23"/>
      <c r="V878" s="23"/>
      <c r="W878" s="23"/>
      <c r="X878" s="38"/>
      <c r="Y878" s="38"/>
      <c r="Z878" s="38"/>
      <c r="AA878" s="38"/>
    </row>
    <row r="879">
      <c r="A879" s="31"/>
      <c r="B879" s="38"/>
      <c r="C879" s="38"/>
      <c r="D879" s="50"/>
      <c r="E879" s="50"/>
      <c r="F879" s="50"/>
      <c r="G879" s="27" t="str">
        <f>VLOOKUP(E879,DropDown!J:K,2,FALSE)</f>
        <v>#N/A</v>
      </c>
      <c r="H879" s="50"/>
      <c r="I879" s="50"/>
      <c r="J879" s="50"/>
      <c r="K879" s="25" t="s">
        <v>116</v>
      </c>
      <c r="L879" s="23"/>
      <c r="M879" s="23"/>
      <c r="N879" s="25" t="str">
        <f>"("""&amp;B879&amp;""") ("&amp;Vlookup(E879,DropDown!J:N,5,FALSE)&amp;" OR """ &amp;YEAR(D879) &amp; """ OR ""All New"" OR Episode OR Watch OR tv OR Show OR Series OR season OR binge OR Stream OR Film OR Movie OR Premiere OR Screening OR Feature OR Trailer OR Teaser OR theater OR release)"</f>
        <v>#N/A</v>
      </c>
      <c r="O879" s="23" t="str">
        <f t="shared" si="1"/>
        <v>#</v>
      </c>
      <c r="P879" s="23" t="str">
        <f t="shared" si="2"/>
        <v>#</v>
      </c>
      <c r="Q879" s="23"/>
      <c r="R879" s="23" t="str">
        <f>"("""&amp;B879&amp;""") ("&amp;Vlookup(E879,DropDown!R:V,5,FALSE)&amp;IF(ISBLANK(D879)," | "," "&amp;"OR """&amp;YEAR(D879)&amp;""" | ") &amp; """All New"" | Episode | Watch | tv | Show | Series | season | binge | Stream | Film | Movie | Premiere | Screening | Feature | Trailer | Teaser | theater | release)"</f>
        <v>#N/A</v>
      </c>
      <c r="S879" s="23"/>
      <c r="T879" s="23"/>
      <c r="U879" s="23"/>
      <c r="V879" s="23"/>
      <c r="W879" s="23"/>
      <c r="X879" s="38"/>
      <c r="Y879" s="38"/>
      <c r="Z879" s="38"/>
      <c r="AA879" s="38"/>
    </row>
    <row r="880">
      <c r="A880" s="31"/>
      <c r="B880" s="38"/>
      <c r="C880" s="38"/>
      <c r="D880" s="50"/>
      <c r="E880" s="50"/>
      <c r="F880" s="50"/>
      <c r="G880" s="27" t="str">
        <f>VLOOKUP(E880,DropDown!J:K,2,FALSE)</f>
        <v>#N/A</v>
      </c>
      <c r="H880" s="50"/>
      <c r="I880" s="50"/>
      <c r="J880" s="50"/>
      <c r="K880" s="25" t="s">
        <v>116</v>
      </c>
      <c r="L880" s="23"/>
      <c r="M880" s="23"/>
      <c r="N880" s="25" t="str">
        <f>"("""&amp;B880&amp;""") ("&amp;Vlookup(E880,DropDown!J:N,5,FALSE)&amp;" OR """ &amp;YEAR(D880) &amp; """ OR ""All New"" OR Episode OR Watch OR tv OR Show OR Series OR season OR binge OR Stream OR Film OR Movie OR Premiere OR Screening OR Feature OR Trailer OR Teaser OR theater OR release)"</f>
        <v>#N/A</v>
      </c>
      <c r="O880" s="23" t="str">
        <f t="shared" si="1"/>
        <v>#</v>
      </c>
      <c r="P880" s="23" t="str">
        <f t="shared" si="2"/>
        <v>#</v>
      </c>
      <c r="Q880" s="23"/>
      <c r="R880" s="23" t="str">
        <f>"("""&amp;B880&amp;""") ("&amp;Vlookup(E880,DropDown!R:V,5,FALSE)&amp;IF(ISBLANK(D880)," | "," "&amp;"OR """&amp;YEAR(D880)&amp;""" | ") &amp; """All New"" | Episode | Watch | tv | Show | Series | season | binge | Stream | Film | Movie | Premiere | Screening | Feature | Trailer | Teaser | theater | release)"</f>
        <v>#N/A</v>
      </c>
      <c r="S880" s="23"/>
      <c r="T880" s="23"/>
      <c r="U880" s="23"/>
      <c r="V880" s="23"/>
      <c r="W880" s="23"/>
      <c r="X880" s="38"/>
      <c r="Y880" s="38"/>
      <c r="Z880" s="38"/>
      <c r="AA880" s="38"/>
    </row>
    <row r="881">
      <c r="A881" s="31"/>
      <c r="B881" s="38"/>
      <c r="C881" s="38"/>
      <c r="D881" s="50"/>
      <c r="E881" s="50"/>
      <c r="F881" s="50"/>
      <c r="G881" s="27" t="str">
        <f>VLOOKUP(E881,DropDown!J:K,2,FALSE)</f>
        <v>#N/A</v>
      </c>
      <c r="H881" s="50"/>
      <c r="I881" s="50"/>
      <c r="J881" s="50"/>
      <c r="K881" s="25" t="s">
        <v>116</v>
      </c>
      <c r="L881" s="23"/>
      <c r="M881" s="23"/>
      <c r="N881" s="25" t="str">
        <f>"("""&amp;B881&amp;""") ("&amp;Vlookup(E881,DropDown!J:N,5,FALSE)&amp;" OR """ &amp;YEAR(D881) &amp; """ OR ""All New"" OR Episode OR Watch OR tv OR Show OR Series OR season OR binge OR Stream OR Film OR Movie OR Premiere OR Screening OR Feature OR Trailer OR Teaser OR theater OR release)"</f>
        <v>#N/A</v>
      </c>
      <c r="O881" s="23" t="str">
        <f t="shared" si="1"/>
        <v>#</v>
      </c>
      <c r="P881" s="23" t="str">
        <f t="shared" si="2"/>
        <v>#</v>
      </c>
      <c r="Q881" s="23"/>
      <c r="R881" s="23" t="str">
        <f>"("""&amp;B881&amp;""") ("&amp;Vlookup(E881,DropDown!R:V,5,FALSE)&amp;IF(ISBLANK(D881)," | "," "&amp;"OR """&amp;YEAR(D881)&amp;""" | ") &amp; """All New"" | Episode | Watch | tv | Show | Series | season | binge | Stream | Film | Movie | Premiere | Screening | Feature | Trailer | Teaser | theater | release)"</f>
        <v>#N/A</v>
      </c>
      <c r="S881" s="23"/>
      <c r="T881" s="23"/>
      <c r="U881" s="23"/>
      <c r="V881" s="23"/>
      <c r="W881" s="23"/>
      <c r="X881" s="38"/>
      <c r="Y881" s="38"/>
      <c r="Z881" s="38"/>
      <c r="AA881" s="38"/>
    </row>
    <row r="882">
      <c r="A882" s="31"/>
      <c r="B882" s="38"/>
      <c r="C882" s="38"/>
      <c r="D882" s="50"/>
      <c r="E882" s="50"/>
      <c r="F882" s="50"/>
      <c r="G882" s="27" t="str">
        <f>VLOOKUP(E882,DropDown!J:K,2,FALSE)</f>
        <v>#N/A</v>
      </c>
      <c r="H882" s="50"/>
      <c r="I882" s="50"/>
      <c r="J882" s="50"/>
      <c r="K882" s="25" t="s">
        <v>116</v>
      </c>
      <c r="L882" s="23"/>
      <c r="M882" s="23"/>
      <c r="N882" s="25" t="str">
        <f>"("""&amp;B882&amp;""") ("&amp;Vlookup(E882,DropDown!J:N,5,FALSE)&amp;" OR """ &amp;YEAR(D882) &amp; """ OR ""All New"" OR Episode OR Watch OR tv OR Show OR Series OR season OR binge OR Stream OR Film OR Movie OR Premiere OR Screening OR Feature OR Trailer OR Teaser OR theater OR release)"</f>
        <v>#N/A</v>
      </c>
      <c r="O882" s="23" t="str">
        <f t="shared" si="1"/>
        <v>#</v>
      </c>
      <c r="P882" s="23" t="str">
        <f t="shared" si="2"/>
        <v>#</v>
      </c>
      <c r="Q882" s="23"/>
      <c r="R882" s="23" t="str">
        <f>"("""&amp;B882&amp;""") ("&amp;Vlookup(E882,DropDown!R:V,5,FALSE)&amp;IF(ISBLANK(D882)," | "," "&amp;"OR """&amp;YEAR(D882)&amp;""" | ") &amp; """All New"" | Episode | Watch | tv | Show | Series | season | binge | Stream | Film | Movie | Premiere | Screening | Feature | Trailer | Teaser | theater | release)"</f>
        <v>#N/A</v>
      </c>
      <c r="S882" s="23"/>
      <c r="T882" s="23"/>
      <c r="U882" s="23"/>
      <c r="V882" s="23"/>
      <c r="W882" s="23"/>
      <c r="X882" s="38"/>
      <c r="Y882" s="38"/>
      <c r="Z882" s="38"/>
      <c r="AA882" s="38"/>
    </row>
    <row r="883">
      <c r="A883" s="31"/>
      <c r="B883" s="38"/>
      <c r="C883" s="38"/>
      <c r="D883" s="50"/>
      <c r="E883" s="50"/>
      <c r="F883" s="50"/>
      <c r="G883" s="27" t="str">
        <f>VLOOKUP(E883,DropDown!J:K,2,FALSE)</f>
        <v>#N/A</v>
      </c>
      <c r="H883" s="50"/>
      <c r="I883" s="50"/>
      <c r="J883" s="50"/>
      <c r="K883" s="25" t="s">
        <v>116</v>
      </c>
      <c r="L883" s="23"/>
      <c r="M883" s="23"/>
      <c r="N883" s="25" t="str">
        <f>"("""&amp;B883&amp;""") ("&amp;Vlookup(E883,DropDown!J:N,5,FALSE)&amp;" OR """ &amp;YEAR(D883) &amp; """ OR ""All New"" OR Episode OR Watch OR tv OR Show OR Series OR season OR binge OR Stream OR Film OR Movie OR Premiere OR Screening OR Feature OR Trailer OR Teaser OR theater OR release)"</f>
        <v>#N/A</v>
      </c>
      <c r="O883" s="23" t="str">
        <f t="shared" si="1"/>
        <v>#</v>
      </c>
      <c r="P883" s="23" t="str">
        <f t="shared" si="2"/>
        <v>#</v>
      </c>
      <c r="Q883" s="23"/>
      <c r="R883" s="23" t="str">
        <f>"("""&amp;B883&amp;""") ("&amp;Vlookup(E883,DropDown!R:V,5,FALSE)&amp;IF(ISBLANK(D883)," | "," "&amp;"OR """&amp;YEAR(D883)&amp;""" | ") &amp; """All New"" | Episode | Watch | tv | Show | Series | season | binge | Stream | Film | Movie | Premiere | Screening | Feature | Trailer | Teaser | theater | release)"</f>
        <v>#N/A</v>
      </c>
      <c r="S883" s="23"/>
      <c r="T883" s="23"/>
      <c r="U883" s="23"/>
      <c r="V883" s="23"/>
      <c r="W883" s="23"/>
      <c r="X883" s="38"/>
      <c r="Y883" s="38"/>
      <c r="Z883" s="38"/>
      <c r="AA883" s="38"/>
    </row>
    <row r="884">
      <c r="A884" s="31"/>
      <c r="B884" s="38"/>
      <c r="C884" s="38"/>
      <c r="D884" s="50"/>
      <c r="E884" s="50"/>
      <c r="F884" s="50"/>
      <c r="G884" s="27" t="str">
        <f>VLOOKUP(E884,DropDown!J:K,2,FALSE)</f>
        <v>#N/A</v>
      </c>
      <c r="H884" s="50"/>
      <c r="I884" s="50"/>
      <c r="J884" s="50"/>
      <c r="K884" s="25" t="s">
        <v>116</v>
      </c>
      <c r="L884" s="23"/>
      <c r="M884" s="23"/>
      <c r="N884" s="25" t="str">
        <f>"("""&amp;B884&amp;""") ("&amp;Vlookup(E884,DropDown!J:N,5,FALSE)&amp;" OR """ &amp;YEAR(D884) &amp; """ OR ""All New"" OR Episode OR Watch OR tv OR Show OR Series OR season OR binge OR Stream OR Film OR Movie OR Premiere OR Screening OR Feature OR Trailer OR Teaser OR theater OR release)"</f>
        <v>#N/A</v>
      </c>
      <c r="O884" s="23" t="str">
        <f t="shared" si="1"/>
        <v>#</v>
      </c>
      <c r="P884" s="23" t="str">
        <f t="shared" si="2"/>
        <v>#</v>
      </c>
      <c r="Q884" s="23"/>
      <c r="R884" s="23" t="str">
        <f>"("""&amp;B884&amp;""") ("&amp;Vlookup(E884,DropDown!R:V,5,FALSE)&amp;IF(ISBLANK(D884)," | "," "&amp;"OR """&amp;YEAR(D884)&amp;""" | ") &amp; """All New"" | Episode | Watch | tv | Show | Series | season | binge | Stream | Film | Movie | Premiere | Screening | Feature | Trailer | Teaser | theater | release)"</f>
        <v>#N/A</v>
      </c>
      <c r="S884" s="23"/>
      <c r="T884" s="23"/>
      <c r="U884" s="23"/>
      <c r="V884" s="23"/>
      <c r="W884" s="23"/>
      <c r="X884" s="38"/>
      <c r="Y884" s="38"/>
      <c r="Z884" s="38"/>
      <c r="AA884" s="38"/>
    </row>
    <row r="885">
      <c r="A885" s="31"/>
      <c r="B885" s="38"/>
      <c r="C885" s="38"/>
      <c r="D885" s="50"/>
      <c r="E885" s="50"/>
      <c r="F885" s="50"/>
      <c r="G885" s="27" t="str">
        <f>VLOOKUP(E885,DropDown!J:K,2,FALSE)</f>
        <v>#N/A</v>
      </c>
      <c r="H885" s="50"/>
      <c r="I885" s="50"/>
      <c r="J885" s="50"/>
      <c r="K885" s="25" t="s">
        <v>116</v>
      </c>
      <c r="L885" s="23"/>
      <c r="M885" s="23"/>
      <c r="N885" s="25" t="str">
        <f>"("""&amp;B885&amp;""") ("&amp;Vlookup(E885,DropDown!J:N,5,FALSE)&amp;" OR """ &amp;YEAR(D885) &amp; """ OR ""All New"" OR Episode OR Watch OR tv OR Show OR Series OR season OR binge OR Stream OR Film OR Movie OR Premiere OR Screening OR Feature OR Trailer OR Teaser OR theater OR release)"</f>
        <v>#N/A</v>
      </c>
      <c r="O885" s="23" t="str">
        <f t="shared" si="1"/>
        <v>#</v>
      </c>
      <c r="P885" s="23" t="str">
        <f t="shared" si="2"/>
        <v>#</v>
      </c>
      <c r="Q885" s="23"/>
      <c r="R885" s="23" t="str">
        <f>"("""&amp;B885&amp;""") ("&amp;Vlookup(E885,DropDown!R:V,5,FALSE)&amp;IF(ISBLANK(D885)," | "," "&amp;"OR """&amp;YEAR(D885)&amp;""" | ") &amp; """All New"" | Episode | Watch | tv | Show | Series | season | binge | Stream | Film | Movie | Premiere | Screening | Feature | Trailer | Teaser | theater | release)"</f>
        <v>#N/A</v>
      </c>
      <c r="S885" s="23"/>
      <c r="T885" s="23"/>
      <c r="U885" s="23"/>
      <c r="V885" s="23"/>
      <c r="W885" s="23"/>
      <c r="X885" s="38"/>
      <c r="Y885" s="38"/>
      <c r="Z885" s="38"/>
      <c r="AA885" s="38"/>
    </row>
    <row r="886">
      <c r="A886" s="31"/>
      <c r="B886" s="38"/>
      <c r="C886" s="38"/>
      <c r="D886" s="50"/>
      <c r="E886" s="50"/>
      <c r="F886" s="50"/>
      <c r="G886" s="27" t="str">
        <f>VLOOKUP(E886,DropDown!J:K,2,FALSE)</f>
        <v>#N/A</v>
      </c>
      <c r="H886" s="50"/>
      <c r="I886" s="50"/>
      <c r="J886" s="50"/>
      <c r="K886" s="25" t="s">
        <v>116</v>
      </c>
      <c r="L886" s="23"/>
      <c r="M886" s="23"/>
      <c r="N886" s="25" t="str">
        <f>"("""&amp;B886&amp;""") ("&amp;Vlookup(E886,DropDown!J:N,5,FALSE)&amp;" OR """ &amp;YEAR(D886) &amp; """ OR ""All New"" OR Episode OR Watch OR tv OR Show OR Series OR season OR binge OR Stream OR Film OR Movie OR Premiere OR Screening OR Feature OR Trailer OR Teaser OR theater OR release)"</f>
        <v>#N/A</v>
      </c>
      <c r="O886" s="23" t="str">
        <f t="shared" si="1"/>
        <v>#</v>
      </c>
      <c r="P886" s="23" t="str">
        <f t="shared" si="2"/>
        <v>#</v>
      </c>
      <c r="Q886" s="23"/>
      <c r="R886" s="23" t="str">
        <f>"("""&amp;B886&amp;""") ("&amp;Vlookup(E886,DropDown!R:V,5,FALSE)&amp;IF(ISBLANK(D886)," | "," "&amp;"OR """&amp;YEAR(D886)&amp;""" | ") &amp; """All New"" | Episode | Watch | tv | Show | Series | season | binge | Stream | Film | Movie | Premiere | Screening | Feature | Trailer | Teaser | theater | release)"</f>
        <v>#N/A</v>
      </c>
      <c r="S886" s="23"/>
      <c r="T886" s="23"/>
      <c r="U886" s="23"/>
      <c r="V886" s="23"/>
      <c r="W886" s="23"/>
      <c r="X886" s="38"/>
      <c r="Y886" s="38"/>
      <c r="Z886" s="38"/>
      <c r="AA886" s="38"/>
    </row>
    <row r="887">
      <c r="A887" s="31"/>
      <c r="B887" s="38"/>
      <c r="C887" s="38"/>
      <c r="D887" s="50"/>
      <c r="E887" s="50"/>
      <c r="F887" s="50"/>
      <c r="G887" s="27" t="str">
        <f>VLOOKUP(E887,DropDown!J:K,2,FALSE)</f>
        <v>#N/A</v>
      </c>
      <c r="H887" s="50"/>
      <c r="I887" s="50"/>
      <c r="J887" s="50"/>
      <c r="K887" s="25" t="s">
        <v>116</v>
      </c>
      <c r="L887" s="23"/>
      <c r="M887" s="23"/>
      <c r="N887" s="25" t="str">
        <f>"("""&amp;B887&amp;""") ("&amp;Vlookup(E887,DropDown!J:N,5,FALSE)&amp;" OR """ &amp;YEAR(D887) &amp; """ OR ""All New"" OR Episode OR Watch OR tv OR Show OR Series OR season OR binge OR Stream OR Film OR Movie OR Premiere OR Screening OR Feature OR Trailer OR Teaser OR theater OR release)"</f>
        <v>#N/A</v>
      </c>
      <c r="O887" s="23" t="str">
        <f t="shared" si="1"/>
        <v>#</v>
      </c>
      <c r="P887" s="23" t="str">
        <f t="shared" si="2"/>
        <v>#</v>
      </c>
      <c r="Q887" s="23"/>
      <c r="R887" s="23" t="str">
        <f>"("""&amp;B887&amp;""") ("&amp;Vlookup(E887,DropDown!R:V,5,FALSE)&amp;IF(ISBLANK(D887)," | "," "&amp;"OR """&amp;YEAR(D887)&amp;""" | ") &amp; """All New"" | Episode | Watch | tv | Show | Series | season | binge | Stream | Film | Movie | Premiere | Screening | Feature | Trailer | Teaser | theater | release)"</f>
        <v>#N/A</v>
      </c>
      <c r="S887" s="23"/>
      <c r="T887" s="23"/>
      <c r="U887" s="23"/>
      <c r="V887" s="23"/>
      <c r="W887" s="23"/>
      <c r="X887" s="38"/>
      <c r="Y887" s="38"/>
      <c r="Z887" s="38"/>
      <c r="AA887" s="38"/>
    </row>
    <row r="888">
      <c r="A888" s="31"/>
      <c r="B888" s="38"/>
      <c r="C888" s="38"/>
      <c r="D888" s="50"/>
      <c r="E888" s="50"/>
      <c r="F888" s="50"/>
      <c r="G888" s="27" t="str">
        <f>VLOOKUP(E888,DropDown!J:K,2,FALSE)</f>
        <v>#N/A</v>
      </c>
      <c r="H888" s="50"/>
      <c r="I888" s="50"/>
      <c r="J888" s="50"/>
      <c r="K888" s="25" t="s">
        <v>116</v>
      </c>
      <c r="L888" s="23"/>
      <c r="M888" s="23"/>
      <c r="N888" s="25" t="str">
        <f>"("""&amp;B888&amp;""") ("&amp;Vlookup(E888,DropDown!J:N,5,FALSE)&amp;" OR """ &amp;YEAR(D888) &amp; """ OR ""All New"" OR Episode OR Watch OR tv OR Show OR Series OR season OR binge OR Stream OR Film OR Movie OR Premiere OR Screening OR Feature OR Trailer OR Teaser OR theater OR release)"</f>
        <v>#N/A</v>
      </c>
      <c r="O888" s="23" t="str">
        <f t="shared" si="1"/>
        <v>#</v>
      </c>
      <c r="P888" s="23" t="str">
        <f t="shared" si="2"/>
        <v>#</v>
      </c>
      <c r="Q888" s="23"/>
      <c r="R888" s="23" t="str">
        <f>"("""&amp;B888&amp;""") ("&amp;Vlookup(E888,DropDown!R:V,5,FALSE)&amp;IF(ISBLANK(D888)," | "," "&amp;"OR """&amp;YEAR(D888)&amp;""" | ") &amp; """All New"" | Episode | Watch | tv | Show | Series | season | binge | Stream | Film | Movie | Premiere | Screening | Feature | Trailer | Teaser | theater | release)"</f>
        <v>#N/A</v>
      </c>
      <c r="S888" s="23"/>
      <c r="T888" s="23"/>
      <c r="U888" s="23"/>
      <c r="V888" s="23"/>
      <c r="W888" s="23"/>
      <c r="X888" s="38"/>
      <c r="Y888" s="38"/>
      <c r="Z888" s="38"/>
      <c r="AA888" s="38"/>
    </row>
    <row r="889">
      <c r="A889" s="31"/>
      <c r="B889" s="38"/>
      <c r="C889" s="38"/>
      <c r="D889" s="50"/>
      <c r="E889" s="50"/>
      <c r="F889" s="50"/>
      <c r="G889" s="27" t="str">
        <f>VLOOKUP(E889,DropDown!J:K,2,FALSE)</f>
        <v>#N/A</v>
      </c>
      <c r="H889" s="50"/>
      <c r="I889" s="50"/>
      <c r="J889" s="50"/>
      <c r="K889" s="25" t="s">
        <v>116</v>
      </c>
      <c r="L889" s="23"/>
      <c r="M889" s="23"/>
      <c r="N889" s="25" t="str">
        <f>"("""&amp;B889&amp;""") ("&amp;Vlookup(E889,DropDown!J:N,5,FALSE)&amp;" OR """ &amp;YEAR(D889) &amp; """ OR ""All New"" OR Episode OR Watch OR tv OR Show OR Series OR season OR binge OR Stream OR Film OR Movie OR Premiere OR Screening OR Feature OR Trailer OR Teaser OR theater OR release)"</f>
        <v>#N/A</v>
      </c>
      <c r="O889" s="23" t="str">
        <f t="shared" si="1"/>
        <v>#</v>
      </c>
      <c r="P889" s="23" t="str">
        <f t="shared" si="2"/>
        <v>#</v>
      </c>
      <c r="Q889" s="23"/>
      <c r="R889" s="23" t="str">
        <f>"("""&amp;B889&amp;""") ("&amp;Vlookup(E889,DropDown!R:V,5,FALSE)&amp;IF(ISBLANK(D889)," | "," "&amp;"OR """&amp;YEAR(D889)&amp;""" | ") &amp; """All New"" | Episode | Watch | tv | Show | Series | season | binge | Stream | Film | Movie | Premiere | Screening | Feature | Trailer | Teaser | theater | release)"</f>
        <v>#N/A</v>
      </c>
      <c r="S889" s="23"/>
      <c r="T889" s="23"/>
      <c r="U889" s="23"/>
      <c r="V889" s="23"/>
      <c r="W889" s="23"/>
      <c r="X889" s="38"/>
      <c r="Y889" s="38"/>
      <c r="Z889" s="38"/>
      <c r="AA889" s="38"/>
    </row>
    <row r="890">
      <c r="A890" s="31"/>
      <c r="B890" s="38"/>
      <c r="C890" s="38"/>
      <c r="D890" s="50"/>
      <c r="E890" s="50"/>
      <c r="F890" s="50"/>
      <c r="G890" s="27" t="str">
        <f>VLOOKUP(E890,DropDown!J:K,2,FALSE)</f>
        <v>#N/A</v>
      </c>
      <c r="H890" s="50"/>
      <c r="I890" s="50"/>
      <c r="J890" s="50"/>
      <c r="K890" s="25" t="s">
        <v>116</v>
      </c>
      <c r="L890" s="23"/>
      <c r="M890" s="23"/>
      <c r="N890" s="25" t="str">
        <f>"("""&amp;B890&amp;""") ("&amp;Vlookup(E890,DropDown!J:N,5,FALSE)&amp;" OR """ &amp;YEAR(D890) &amp; """ OR ""All New"" OR Episode OR Watch OR tv OR Show OR Series OR season OR binge OR Stream OR Film OR Movie OR Premiere OR Screening OR Feature OR Trailer OR Teaser OR theater OR release)"</f>
        <v>#N/A</v>
      </c>
      <c r="O890" s="23" t="str">
        <f t="shared" si="1"/>
        <v>#</v>
      </c>
      <c r="P890" s="23" t="str">
        <f t="shared" si="2"/>
        <v>#</v>
      </c>
      <c r="Q890" s="23"/>
      <c r="R890" s="23" t="str">
        <f>"("""&amp;B890&amp;""") ("&amp;Vlookup(E890,DropDown!R:V,5,FALSE)&amp;IF(ISBLANK(D890)," | "," "&amp;"OR """&amp;YEAR(D890)&amp;""" | ") &amp; """All New"" | Episode | Watch | tv | Show | Series | season | binge | Stream | Film | Movie | Premiere | Screening | Feature | Trailer | Teaser | theater | release)"</f>
        <v>#N/A</v>
      </c>
      <c r="S890" s="23"/>
      <c r="T890" s="23"/>
      <c r="U890" s="23"/>
      <c r="V890" s="23"/>
      <c r="W890" s="23"/>
      <c r="X890" s="38"/>
      <c r="Y890" s="38"/>
      <c r="Z890" s="38"/>
      <c r="AA890" s="38"/>
    </row>
    <row r="891">
      <c r="A891" s="31"/>
      <c r="B891" s="38"/>
      <c r="C891" s="38"/>
      <c r="D891" s="50"/>
      <c r="E891" s="50"/>
      <c r="F891" s="50"/>
      <c r="G891" s="27" t="str">
        <f>VLOOKUP(E891,DropDown!J:K,2,FALSE)</f>
        <v>#N/A</v>
      </c>
      <c r="H891" s="50"/>
      <c r="I891" s="50"/>
      <c r="J891" s="50"/>
      <c r="K891" s="25" t="s">
        <v>116</v>
      </c>
      <c r="L891" s="23"/>
      <c r="M891" s="23"/>
      <c r="N891" s="25" t="str">
        <f>"("""&amp;B891&amp;""") ("&amp;Vlookup(E891,DropDown!J:N,5,FALSE)&amp;" OR """ &amp;YEAR(D891) &amp; """ OR ""All New"" OR Episode OR Watch OR tv OR Show OR Series OR season OR binge OR Stream OR Film OR Movie OR Premiere OR Screening OR Feature OR Trailer OR Teaser OR theater OR release)"</f>
        <v>#N/A</v>
      </c>
      <c r="O891" s="23" t="str">
        <f t="shared" si="1"/>
        <v>#</v>
      </c>
      <c r="P891" s="23" t="str">
        <f t="shared" si="2"/>
        <v>#</v>
      </c>
      <c r="Q891" s="23"/>
      <c r="R891" s="23" t="str">
        <f>"("""&amp;B891&amp;""") ("&amp;Vlookup(E891,DropDown!R:V,5,FALSE)&amp;IF(ISBLANK(D891)," | "," "&amp;"OR """&amp;YEAR(D891)&amp;""" | ") &amp; """All New"" | Episode | Watch | tv | Show | Series | season | binge | Stream | Film | Movie | Premiere | Screening | Feature | Trailer | Teaser | theater | release)"</f>
        <v>#N/A</v>
      </c>
      <c r="S891" s="23"/>
      <c r="T891" s="23"/>
      <c r="U891" s="23"/>
      <c r="V891" s="23"/>
      <c r="W891" s="23"/>
      <c r="X891" s="38"/>
      <c r="Y891" s="38"/>
      <c r="Z891" s="38"/>
      <c r="AA891" s="38"/>
    </row>
    <row r="892">
      <c r="A892" s="31"/>
      <c r="B892" s="38"/>
      <c r="C892" s="38"/>
      <c r="D892" s="50"/>
      <c r="E892" s="50"/>
      <c r="F892" s="50"/>
      <c r="G892" s="27" t="str">
        <f>VLOOKUP(E892,DropDown!J:K,2,FALSE)</f>
        <v>#N/A</v>
      </c>
      <c r="H892" s="50"/>
      <c r="I892" s="50"/>
      <c r="J892" s="50"/>
      <c r="K892" s="25" t="s">
        <v>116</v>
      </c>
      <c r="L892" s="23"/>
      <c r="M892" s="23"/>
      <c r="N892" s="25" t="str">
        <f>"("""&amp;B892&amp;""") ("&amp;Vlookup(E892,DropDown!J:N,5,FALSE)&amp;" OR """ &amp;YEAR(D892) &amp; """ OR ""All New"" OR Episode OR Watch OR tv OR Show OR Series OR season OR binge OR Stream OR Film OR Movie OR Premiere OR Screening OR Feature OR Trailer OR Teaser OR theater OR release)"</f>
        <v>#N/A</v>
      </c>
      <c r="O892" s="23" t="str">
        <f t="shared" si="1"/>
        <v>#</v>
      </c>
      <c r="P892" s="23" t="str">
        <f t="shared" si="2"/>
        <v>#</v>
      </c>
      <c r="Q892" s="23"/>
      <c r="R892" s="23" t="str">
        <f>"("""&amp;B892&amp;""") ("&amp;Vlookup(E892,DropDown!R:V,5,FALSE)&amp;IF(ISBLANK(D892)," | "," "&amp;"OR """&amp;YEAR(D892)&amp;""" | ") &amp; """All New"" | Episode | Watch | tv | Show | Series | season | binge | Stream | Film | Movie | Premiere | Screening | Feature | Trailer | Teaser | theater | release)"</f>
        <v>#N/A</v>
      </c>
      <c r="S892" s="23"/>
      <c r="T892" s="23"/>
      <c r="U892" s="23"/>
      <c r="V892" s="23"/>
      <c r="W892" s="23"/>
      <c r="X892" s="38"/>
      <c r="Y892" s="38"/>
      <c r="Z892" s="38"/>
      <c r="AA892" s="38"/>
    </row>
    <row r="893">
      <c r="A893" s="31"/>
      <c r="B893" s="38"/>
      <c r="C893" s="38"/>
      <c r="D893" s="50"/>
      <c r="E893" s="50"/>
      <c r="F893" s="50"/>
      <c r="G893" s="27" t="str">
        <f>VLOOKUP(E893,DropDown!J:K,2,FALSE)</f>
        <v>#N/A</v>
      </c>
      <c r="H893" s="50"/>
      <c r="I893" s="50"/>
      <c r="J893" s="50"/>
      <c r="K893" s="25" t="s">
        <v>116</v>
      </c>
      <c r="L893" s="23"/>
      <c r="M893" s="23"/>
      <c r="N893" s="25" t="str">
        <f>"("""&amp;B893&amp;""") ("&amp;Vlookup(E893,DropDown!J:N,5,FALSE)&amp;" OR """ &amp;YEAR(D893) &amp; """ OR ""All New"" OR Episode OR Watch OR tv OR Show OR Series OR season OR binge OR Stream OR Film OR Movie OR Premiere OR Screening OR Feature OR Trailer OR Teaser OR theater OR release)"</f>
        <v>#N/A</v>
      </c>
      <c r="O893" s="23" t="str">
        <f t="shared" si="1"/>
        <v>#</v>
      </c>
      <c r="P893" s="23" t="str">
        <f t="shared" si="2"/>
        <v>#</v>
      </c>
      <c r="Q893" s="23"/>
      <c r="R893" s="23" t="str">
        <f>"("""&amp;B893&amp;""") ("&amp;Vlookup(E893,DropDown!R:V,5,FALSE)&amp;IF(ISBLANK(D893)," | "," "&amp;"OR """&amp;YEAR(D893)&amp;""" | ") &amp; """All New"" | Episode | Watch | tv | Show | Series | season | binge | Stream | Film | Movie | Premiere | Screening | Feature | Trailer | Teaser | theater | release)"</f>
        <v>#N/A</v>
      </c>
      <c r="S893" s="23"/>
      <c r="T893" s="23"/>
      <c r="U893" s="23"/>
      <c r="V893" s="23"/>
      <c r="W893" s="23"/>
      <c r="X893" s="38"/>
      <c r="Y893" s="38"/>
      <c r="Z893" s="38"/>
      <c r="AA893" s="38"/>
    </row>
    <row r="894">
      <c r="A894" s="31"/>
      <c r="B894" s="38"/>
      <c r="C894" s="38"/>
      <c r="D894" s="50"/>
      <c r="E894" s="50"/>
      <c r="F894" s="50"/>
      <c r="G894" s="27" t="str">
        <f>VLOOKUP(E894,DropDown!J:K,2,FALSE)</f>
        <v>#N/A</v>
      </c>
      <c r="H894" s="50"/>
      <c r="I894" s="50"/>
      <c r="J894" s="50"/>
      <c r="K894" s="25" t="s">
        <v>116</v>
      </c>
      <c r="L894" s="23"/>
      <c r="M894" s="23"/>
      <c r="N894" s="25" t="str">
        <f>"("""&amp;B894&amp;""") ("&amp;Vlookup(E894,DropDown!J:N,5,FALSE)&amp;" OR """ &amp;YEAR(D894) &amp; """ OR ""All New"" OR Episode OR Watch OR tv OR Show OR Series OR season OR binge OR Stream OR Film OR Movie OR Premiere OR Screening OR Feature OR Trailer OR Teaser OR theater OR release)"</f>
        <v>#N/A</v>
      </c>
      <c r="O894" s="23" t="str">
        <f t="shared" si="1"/>
        <v>#</v>
      </c>
      <c r="P894" s="23" t="str">
        <f t="shared" si="2"/>
        <v>#</v>
      </c>
      <c r="Q894" s="23"/>
      <c r="R894" s="23" t="str">
        <f>"("""&amp;B894&amp;""") ("&amp;Vlookup(E894,DropDown!R:V,5,FALSE)&amp;IF(ISBLANK(D894)," | "," "&amp;"OR """&amp;YEAR(D894)&amp;""" | ") &amp; """All New"" | Episode | Watch | tv | Show | Series | season | binge | Stream | Film | Movie | Premiere | Screening | Feature | Trailer | Teaser | theater | release)"</f>
        <v>#N/A</v>
      </c>
      <c r="S894" s="23"/>
      <c r="T894" s="23"/>
      <c r="U894" s="23"/>
      <c r="V894" s="23"/>
      <c r="W894" s="23"/>
      <c r="X894" s="38"/>
      <c r="Y894" s="38"/>
      <c r="Z894" s="38"/>
      <c r="AA894" s="38"/>
    </row>
    <row r="895">
      <c r="A895" s="31"/>
      <c r="B895" s="38"/>
      <c r="C895" s="38"/>
      <c r="D895" s="50"/>
      <c r="E895" s="50"/>
      <c r="F895" s="50"/>
      <c r="G895" s="27" t="str">
        <f>VLOOKUP(E895,DropDown!J:K,2,FALSE)</f>
        <v>#N/A</v>
      </c>
      <c r="H895" s="50"/>
      <c r="I895" s="50"/>
      <c r="J895" s="50"/>
      <c r="K895" s="25" t="s">
        <v>116</v>
      </c>
      <c r="L895" s="23"/>
      <c r="M895" s="23"/>
      <c r="N895" s="25" t="str">
        <f>"("""&amp;B895&amp;""") ("&amp;Vlookup(E895,DropDown!J:N,5,FALSE)&amp;" OR """ &amp;YEAR(D895) &amp; """ OR ""All New"" OR Episode OR Watch OR tv OR Show OR Series OR season OR binge OR Stream OR Film OR Movie OR Premiere OR Screening OR Feature OR Trailer OR Teaser OR theater OR release)"</f>
        <v>#N/A</v>
      </c>
      <c r="O895" s="23" t="str">
        <f t="shared" si="1"/>
        <v>#</v>
      </c>
      <c r="P895" s="23" t="str">
        <f t="shared" si="2"/>
        <v>#</v>
      </c>
      <c r="Q895" s="23"/>
      <c r="R895" s="23" t="str">
        <f>"("""&amp;B895&amp;""") ("&amp;Vlookup(E895,DropDown!R:V,5,FALSE)&amp;IF(ISBLANK(D895)," | "," "&amp;"OR """&amp;YEAR(D895)&amp;""" | ") &amp; """All New"" | Episode | Watch | tv | Show | Series | season | binge | Stream | Film | Movie | Premiere | Screening | Feature | Trailer | Teaser | theater | release)"</f>
        <v>#N/A</v>
      </c>
      <c r="S895" s="23"/>
      <c r="T895" s="23"/>
      <c r="U895" s="23"/>
      <c r="V895" s="23"/>
      <c r="W895" s="23"/>
      <c r="X895" s="38"/>
      <c r="Y895" s="38"/>
      <c r="Z895" s="38"/>
      <c r="AA895" s="38"/>
    </row>
    <row r="896">
      <c r="A896" s="31"/>
      <c r="B896" s="38"/>
      <c r="C896" s="38"/>
      <c r="D896" s="50"/>
      <c r="E896" s="50"/>
      <c r="F896" s="50"/>
      <c r="G896" s="27" t="str">
        <f>VLOOKUP(E896,DropDown!J:K,2,FALSE)</f>
        <v>#N/A</v>
      </c>
      <c r="H896" s="50"/>
      <c r="I896" s="50"/>
      <c r="J896" s="50"/>
      <c r="K896" s="25" t="s">
        <v>116</v>
      </c>
      <c r="L896" s="23"/>
      <c r="M896" s="23"/>
      <c r="N896" s="25" t="str">
        <f>"("""&amp;B896&amp;""") ("&amp;Vlookup(E896,DropDown!J:N,5,FALSE)&amp;" OR """ &amp;YEAR(D896) &amp; """ OR ""All New"" OR Episode OR Watch OR tv OR Show OR Series OR season OR binge OR Stream OR Film OR Movie OR Premiere OR Screening OR Feature OR Trailer OR Teaser OR theater OR release)"</f>
        <v>#N/A</v>
      </c>
      <c r="O896" s="23" t="str">
        <f t="shared" si="1"/>
        <v>#</v>
      </c>
      <c r="P896" s="23" t="str">
        <f t="shared" si="2"/>
        <v>#</v>
      </c>
      <c r="Q896" s="23"/>
      <c r="R896" s="23" t="str">
        <f>"("""&amp;B896&amp;""") ("&amp;Vlookup(E896,DropDown!R:V,5,FALSE)&amp;IF(ISBLANK(D896)," | "," "&amp;"OR """&amp;YEAR(D896)&amp;""" | ") &amp; """All New"" | Episode | Watch | tv | Show | Series | season | binge | Stream | Film | Movie | Premiere | Screening | Feature | Trailer | Teaser | theater | release)"</f>
        <v>#N/A</v>
      </c>
      <c r="S896" s="23"/>
      <c r="T896" s="23"/>
      <c r="U896" s="23"/>
      <c r="V896" s="23"/>
      <c r="W896" s="23"/>
      <c r="X896" s="38"/>
      <c r="Y896" s="38"/>
      <c r="Z896" s="38"/>
      <c r="AA896" s="38"/>
    </row>
    <row r="897">
      <c r="A897" s="31"/>
      <c r="B897" s="38"/>
      <c r="C897" s="38"/>
      <c r="D897" s="50"/>
      <c r="E897" s="50"/>
      <c r="F897" s="50"/>
      <c r="G897" s="27" t="str">
        <f>VLOOKUP(E897,DropDown!J:K,2,FALSE)</f>
        <v>#N/A</v>
      </c>
      <c r="H897" s="50"/>
      <c r="I897" s="50"/>
      <c r="J897" s="50"/>
      <c r="K897" s="25" t="s">
        <v>116</v>
      </c>
      <c r="L897" s="23"/>
      <c r="M897" s="23"/>
      <c r="N897" s="25" t="str">
        <f>"("""&amp;B897&amp;""") ("&amp;Vlookup(E897,DropDown!J:N,5,FALSE)&amp;" OR """ &amp;YEAR(D897) &amp; """ OR ""All New"" OR Episode OR Watch OR tv OR Show OR Series OR season OR binge OR Stream OR Film OR Movie OR Premiere OR Screening OR Feature OR Trailer OR Teaser OR theater OR release)"</f>
        <v>#N/A</v>
      </c>
      <c r="O897" s="23" t="str">
        <f t="shared" si="1"/>
        <v>#</v>
      </c>
      <c r="P897" s="23" t="str">
        <f t="shared" si="2"/>
        <v>#</v>
      </c>
      <c r="Q897" s="23"/>
      <c r="R897" s="23" t="str">
        <f>"("""&amp;B897&amp;""") ("&amp;Vlookup(E897,DropDown!R:V,5,FALSE)&amp;IF(ISBLANK(D897)," | "," "&amp;"OR """&amp;YEAR(D897)&amp;""" | ") &amp; """All New"" | Episode | Watch | tv | Show | Series | season | binge | Stream | Film | Movie | Premiere | Screening | Feature | Trailer | Teaser | theater | release)"</f>
        <v>#N/A</v>
      </c>
      <c r="S897" s="23"/>
      <c r="T897" s="23"/>
      <c r="U897" s="23"/>
      <c r="V897" s="23"/>
      <c r="W897" s="23"/>
      <c r="X897" s="38"/>
      <c r="Y897" s="38"/>
      <c r="Z897" s="38"/>
      <c r="AA897" s="38"/>
    </row>
    <row r="898">
      <c r="A898" s="31"/>
      <c r="B898" s="38"/>
      <c r="C898" s="38"/>
      <c r="D898" s="50"/>
      <c r="E898" s="50"/>
      <c r="F898" s="50"/>
      <c r="G898" s="27" t="str">
        <f>VLOOKUP(E898,DropDown!J:K,2,FALSE)</f>
        <v>#N/A</v>
      </c>
      <c r="H898" s="50"/>
      <c r="I898" s="50"/>
      <c r="J898" s="50"/>
      <c r="K898" s="25" t="s">
        <v>116</v>
      </c>
      <c r="L898" s="23"/>
      <c r="M898" s="23"/>
      <c r="N898" s="25" t="str">
        <f>"("""&amp;B898&amp;""") ("&amp;Vlookup(E898,DropDown!J:N,5,FALSE)&amp;" OR """ &amp;YEAR(D898) &amp; """ OR ""All New"" OR Episode OR Watch OR tv OR Show OR Series OR season OR binge OR Stream OR Film OR Movie OR Premiere OR Screening OR Feature OR Trailer OR Teaser OR theater OR release)"</f>
        <v>#N/A</v>
      </c>
      <c r="O898" s="23" t="str">
        <f t="shared" si="1"/>
        <v>#</v>
      </c>
      <c r="P898" s="23" t="str">
        <f t="shared" si="2"/>
        <v>#</v>
      </c>
      <c r="Q898" s="23"/>
      <c r="R898" s="23" t="str">
        <f>"("""&amp;B898&amp;""") ("&amp;Vlookup(E898,DropDown!R:V,5,FALSE)&amp;IF(ISBLANK(D898)," | "," "&amp;"OR """&amp;YEAR(D898)&amp;""" | ") &amp; """All New"" | Episode | Watch | tv | Show | Series | season | binge | Stream | Film | Movie | Premiere | Screening | Feature | Trailer | Teaser | theater | release)"</f>
        <v>#N/A</v>
      </c>
      <c r="S898" s="23"/>
      <c r="T898" s="23"/>
      <c r="U898" s="23"/>
      <c r="V898" s="23"/>
      <c r="W898" s="23"/>
      <c r="X898" s="38"/>
      <c r="Y898" s="38"/>
      <c r="Z898" s="38"/>
      <c r="AA898" s="38"/>
    </row>
    <row r="899">
      <c r="A899" s="31"/>
      <c r="B899" s="38"/>
      <c r="C899" s="38"/>
      <c r="D899" s="50"/>
      <c r="E899" s="50"/>
      <c r="F899" s="50"/>
      <c r="G899" s="27" t="str">
        <f>VLOOKUP(E899,DropDown!J:K,2,FALSE)</f>
        <v>#N/A</v>
      </c>
      <c r="H899" s="50"/>
      <c r="I899" s="50"/>
      <c r="J899" s="50"/>
      <c r="K899" s="25" t="s">
        <v>116</v>
      </c>
      <c r="L899" s="23"/>
      <c r="M899" s="23"/>
      <c r="N899" s="25" t="str">
        <f>"("""&amp;B899&amp;""") ("&amp;Vlookup(E899,DropDown!J:N,5,FALSE)&amp;" OR """ &amp;YEAR(D899) &amp; """ OR ""All New"" OR Episode OR Watch OR tv OR Show OR Series OR season OR binge OR Stream OR Film OR Movie OR Premiere OR Screening OR Feature OR Trailer OR Teaser OR theater OR release)"</f>
        <v>#N/A</v>
      </c>
      <c r="O899" s="23" t="str">
        <f t="shared" si="1"/>
        <v>#</v>
      </c>
      <c r="P899" s="23" t="str">
        <f t="shared" si="2"/>
        <v>#</v>
      </c>
      <c r="Q899" s="23"/>
      <c r="R899" s="23" t="str">
        <f>"("""&amp;B899&amp;""") ("&amp;Vlookup(E899,DropDown!R:V,5,FALSE)&amp;IF(ISBLANK(D899)," | "," "&amp;"OR """&amp;YEAR(D899)&amp;""" | ") &amp; """All New"" | Episode | Watch | tv | Show | Series | season | binge | Stream | Film | Movie | Premiere | Screening | Feature | Trailer | Teaser | theater | release)"</f>
        <v>#N/A</v>
      </c>
      <c r="S899" s="23"/>
      <c r="T899" s="23"/>
      <c r="U899" s="23"/>
      <c r="V899" s="23"/>
      <c r="W899" s="23"/>
      <c r="X899" s="38"/>
      <c r="Y899" s="38"/>
      <c r="Z899" s="38"/>
      <c r="AA899" s="38"/>
    </row>
    <row r="900">
      <c r="A900" s="31"/>
      <c r="B900" s="38"/>
      <c r="C900" s="38"/>
      <c r="D900" s="50"/>
      <c r="E900" s="50"/>
      <c r="F900" s="50"/>
      <c r="G900" s="27" t="str">
        <f>VLOOKUP(E900,DropDown!J:K,2,FALSE)</f>
        <v>#N/A</v>
      </c>
      <c r="H900" s="50"/>
      <c r="I900" s="50"/>
      <c r="J900" s="50"/>
      <c r="K900" s="25" t="s">
        <v>116</v>
      </c>
      <c r="L900" s="23"/>
      <c r="M900" s="23"/>
      <c r="N900" s="25" t="str">
        <f>"("""&amp;B900&amp;""") ("&amp;Vlookup(E900,DropDown!J:N,5,FALSE)&amp;" OR """ &amp;YEAR(D900) &amp; """ OR ""All New"" OR Episode OR Watch OR tv OR Show OR Series OR season OR binge OR Stream OR Film OR Movie OR Premiere OR Screening OR Feature OR Trailer OR Teaser OR theater OR release)"</f>
        <v>#N/A</v>
      </c>
      <c r="O900" s="23" t="str">
        <f t="shared" si="1"/>
        <v>#</v>
      </c>
      <c r="P900" s="23" t="str">
        <f t="shared" si="2"/>
        <v>#</v>
      </c>
      <c r="Q900" s="23"/>
      <c r="R900" s="23" t="str">
        <f>"("""&amp;B900&amp;""") ("&amp;Vlookup(E900,DropDown!R:V,5,FALSE)&amp;IF(ISBLANK(D900)," | "," "&amp;"OR """&amp;YEAR(D900)&amp;""" | ") &amp; """All New"" | Episode | Watch | tv | Show | Series | season | binge | Stream | Film | Movie | Premiere | Screening | Feature | Trailer | Teaser | theater | release)"</f>
        <v>#N/A</v>
      </c>
      <c r="S900" s="23"/>
      <c r="T900" s="23"/>
      <c r="U900" s="23"/>
      <c r="V900" s="23"/>
      <c r="W900" s="23"/>
      <c r="X900" s="38"/>
      <c r="Y900" s="38"/>
      <c r="Z900" s="38"/>
      <c r="AA900" s="38"/>
    </row>
    <row r="901">
      <c r="A901" s="31"/>
      <c r="B901" s="38"/>
      <c r="C901" s="38"/>
      <c r="D901" s="50"/>
      <c r="E901" s="50"/>
      <c r="F901" s="50"/>
      <c r="G901" s="27" t="str">
        <f>VLOOKUP(E901,DropDown!J:K,2,FALSE)</f>
        <v>#N/A</v>
      </c>
      <c r="H901" s="50"/>
      <c r="I901" s="50"/>
      <c r="J901" s="50"/>
      <c r="K901" s="25" t="s">
        <v>116</v>
      </c>
      <c r="L901" s="23"/>
      <c r="M901" s="23"/>
      <c r="N901" s="25" t="str">
        <f>"("""&amp;B901&amp;""") ("&amp;Vlookup(E901,DropDown!J:N,5,FALSE)&amp;" OR """ &amp;YEAR(D901) &amp; """ OR ""All New"" OR Episode OR Watch OR tv OR Show OR Series OR season OR binge OR Stream OR Film OR Movie OR Premiere OR Screening OR Feature OR Trailer OR Teaser OR theater OR release)"</f>
        <v>#N/A</v>
      </c>
      <c r="O901" s="23" t="str">
        <f t="shared" si="1"/>
        <v>#</v>
      </c>
      <c r="P901" s="23" t="str">
        <f t="shared" si="2"/>
        <v>#</v>
      </c>
      <c r="Q901" s="23"/>
      <c r="R901" s="23" t="str">
        <f>"("""&amp;B901&amp;""") ("&amp;Vlookup(E901,DropDown!R:V,5,FALSE)&amp;IF(ISBLANK(D901)," | "," "&amp;"OR """&amp;YEAR(D901)&amp;""" | ") &amp; """All New"" | Episode | Watch | tv | Show | Series | season | binge | Stream | Film | Movie | Premiere | Screening | Feature | Trailer | Teaser | theater | release)"</f>
        <v>#N/A</v>
      </c>
      <c r="S901" s="23"/>
      <c r="T901" s="23"/>
      <c r="U901" s="23"/>
      <c r="V901" s="23"/>
      <c r="W901" s="23"/>
      <c r="X901" s="38"/>
      <c r="Y901" s="38"/>
      <c r="Z901" s="38"/>
      <c r="AA901" s="38"/>
    </row>
    <row r="902">
      <c r="A902" s="31"/>
      <c r="B902" s="38"/>
      <c r="C902" s="38"/>
      <c r="D902" s="50"/>
      <c r="E902" s="50"/>
      <c r="F902" s="50"/>
      <c r="G902" s="27" t="str">
        <f>VLOOKUP(E902,DropDown!J:K,2,FALSE)</f>
        <v>#N/A</v>
      </c>
      <c r="H902" s="50"/>
      <c r="I902" s="50"/>
      <c r="J902" s="50"/>
      <c r="K902" s="25" t="s">
        <v>116</v>
      </c>
      <c r="L902" s="23"/>
      <c r="M902" s="23"/>
      <c r="N902" s="25" t="str">
        <f>"("""&amp;B902&amp;""") ("&amp;Vlookup(E902,DropDown!J:N,5,FALSE)&amp;" OR """ &amp;YEAR(D902) &amp; """ OR ""All New"" OR Episode OR Watch OR tv OR Show OR Series OR season OR binge OR Stream OR Film OR Movie OR Premiere OR Screening OR Feature OR Trailer OR Teaser OR theater OR release)"</f>
        <v>#N/A</v>
      </c>
      <c r="O902" s="23" t="str">
        <f t="shared" si="1"/>
        <v>#</v>
      </c>
      <c r="P902" s="23" t="str">
        <f t="shared" si="2"/>
        <v>#</v>
      </c>
      <c r="Q902" s="23"/>
      <c r="R902" s="23" t="str">
        <f>"("""&amp;B902&amp;""") ("&amp;Vlookup(E902,DropDown!R:V,5,FALSE)&amp;IF(ISBLANK(D902)," | "," "&amp;"OR """&amp;YEAR(D902)&amp;""" | ") &amp; """All New"" | Episode | Watch | tv | Show | Series | season | binge | Stream | Film | Movie | Premiere | Screening | Feature | Trailer | Teaser | theater | release)"</f>
        <v>#N/A</v>
      </c>
      <c r="S902" s="23"/>
      <c r="T902" s="23"/>
      <c r="U902" s="23"/>
      <c r="V902" s="23"/>
      <c r="W902" s="23"/>
      <c r="X902" s="38"/>
      <c r="Y902" s="38"/>
      <c r="Z902" s="38"/>
      <c r="AA902" s="38"/>
    </row>
    <row r="903">
      <c r="A903" s="31"/>
      <c r="B903" s="38"/>
      <c r="C903" s="38"/>
      <c r="D903" s="50"/>
      <c r="E903" s="50"/>
      <c r="F903" s="50"/>
      <c r="G903" s="27" t="str">
        <f>VLOOKUP(E903,DropDown!J:K,2,FALSE)</f>
        <v>#N/A</v>
      </c>
      <c r="H903" s="50"/>
      <c r="I903" s="50"/>
      <c r="J903" s="50"/>
      <c r="K903" s="25" t="s">
        <v>116</v>
      </c>
      <c r="L903" s="23"/>
      <c r="M903" s="23"/>
      <c r="N903" s="25" t="str">
        <f>"("""&amp;B903&amp;""") ("&amp;Vlookup(E903,DropDown!J:N,5,FALSE)&amp;" OR """ &amp;YEAR(D903) &amp; """ OR ""All New"" OR Episode OR Watch OR tv OR Show OR Series OR season OR binge OR Stream OR Film OR Movie OR Premiere OR Screening OR Feature OR Trailer OR Teaser OR theater OR release)"</f>
        <v>#N/A</v>
      </c>
      <c r="O903" s="23" t="str">
        <f t="shared" si="1"/>
        <v>#</v>
      </c>
      <c r="P903" s="23" t="str">
        <f t="shared" si="2"/>
        <v>#</v>
      </c>
      <c r="Q903" s="23"/>
      <c r="R903" s="23" t="str">
        <f>"("""&amp;B903&amp;""") ("&amp;Vlookup(E903,DropDown!R:V,5,FALSE)&amp;IF(ISBLANK(D903)," | "," "&amp;"OR """&amp;YEAR(D903)&amp;""" | ") &amp; """All New"" | Episode | Watch | tv | Show | Series | season | binge | Stream | Film | Movie | Premiere | Screening | Feature | Trailer | Teaser | theater | release)"</f>
        <v>#N/A</v>
      </c>
      <c r="S903" s="23"/>
      <c r="T903" s="23"/>
      <c r="U903" s="23"/>
      <c r="V903" s="23"/>
      <c r="W903" s="23"/>
      <c r="X903" s="38"/>
      <c r="Y903" s="38"/>
      <c r="Z903" s="38"/>
      <c r="AA903" s="38"/>
    </row>
    <row r="904">
      <c r="A904" s="31"/>
      <c r="B904" s="38"/>
      <c r="C904" s="38"/>
      <c r="D904" s="50"/>
      <c r="E904" s="50"/>
      <c r="F904" s="50"/>
      <c r="G904" s="27" t="str">
        <f>VLOOKUP(E904,DropDown!J:K,2,FALSE)</f>
        <v>#N/A</v>
      </c>
      <c r="H904" s="50"/>
      <c r="I904" s="50"/>
      <c r="J904" s="50"/>
      <c r="K904" s="25" t="s">
        <v>116</v>
      </c>
      <c r="L904" s="23"/>
      <c r="M904" s="23"/>
      <c r="N904" s="25" t="str">
        <f>"("""&amp;B904&amp;""") ("&amp;Vlookup(E904,DropDown!J:N,5,FALSE)&amp;" OR """ &amp;YEAR(D904) &amp; """ OR ""All New"" OR Episode OR Watch OR tv OR Show OR Series OR season OR binge OR Stream OR Film OR Movie OR Premiere OR Screening OR Feature OR Trailer OR Teaser OR theater OR release)"</f>
        <v>#N/A</v>
      </c>
      <c r="O904" s="23" t="str">
        <f t="shared" si="1"/>
        <v>#</v>
      </c>
      <c r="P904" s="23" t="str">
        <f t="shared" si="2"/>
        <v>#</v>
      </c>
      <c r="Q904" s="23"/>
      <c r="R904" s="23" t="str">
        <f>"("""&amp;B904&amp;""") ("&amp;Vlookup(E904,DropDown!R:V,5,FALSE)&amp;IF(ISBLANK(D904)," | "," "&amp;"OR """&amp;YEAR(D904)&amp;""" | ") &amp; """All New"" | Episode | Watch | tv | Show | Series | season | binge | Stream | Film | Movie | Premiere | Screening | Feature | Trailer | Teaser | theater | release)"</f>
        <v>#N/A</v>
      </c>
      <c r="S904" s="23"/>
      <c r="T904" s="23"/>
      <c r="U904" s="23"/>
      <c r="V904" s="23"/>
      <c r="W904" s="23"/>
      <c r="X904" s="38"/>
      <c r="Y904" s="38"/>
      <c r="Z904" s="38"/>
      <c r="AA904" s="38"/>
    </row>
    <row r="905">
      <c r="A905" s="31"/>
      <c r="B905" s="38"/>
      <c r="C905" s="38"/>
      <c r="D905" s="50"/>
      <c r="E905" s="50"/>
      <c r="F905" s="50"/>
      <c r="G905" s="27" t="str">
        <f>VLOOKUP(E905,DropDown!J:K,2,FALSE)</f>
        <v>#N/A</v>
      </c>
      <c r="H905" s="50"/>
      <c r="I905" s="50"/>
      <c r="J905" s="50"/>
      <c r="K905" s="25" t="s">
        <v>116</v>
      </c>
      <c r="L905" s="23"/>
      <c r="M905" s="23"/>
      <c r="N905" s="25" t="str">
        <f>"("""&amp;B905&amp;""") ("&amp;Vlookup(E905,DropDown!J:N,5,FALSE)&amp;" OR """ &amp;YEAR(D905) &amp; """ OR ""All New"" OR Episode OR Watch OR tv OR Show OR Series OR season OR binge OR Stream OR Film OR Movie OR Premiere OR Screening OR Feature OR Trailer OR Teaser OR theater OR release)"</f>
        <v>#N/A</v>
      </c>
      <c r="O905" s="23" t="str">
        <f t="shared" si="1"/>
        <v>#</v>
      </c>
      <c r="P905" s="23" t="str">
        <f t="shared" si="2"/>
        <v>#</v>
      </c>
      <c r="Q905" s="23"/>
      <c r="R905" s="23" t="str">
        <f>"("""&amp;B905&amp;""") ("&amp;Vlookup(E905,DropDown!R:V,5,FALSE)&amp;IF(ISBLANK(D905)," | "," "&amp;"OR """&amp;YEAR(D905)&amp;""" | ") &amp; """All New"" | Episode | Watch | tv | Show | Series | season | binge | Stream | Film | Movie | Premiere | Screening | Feature | Trailer | Teaser | theater | release)"</f>
        <v>#N/A</v>
      </c>
      <c r="S905" s="23"/>
      <c r="T905" s="23"/>
      <c r="U905" s="23"/>
      <c r="V905" s="23"/>
      <c r="W905" s="23"/>
      <c r="X905" s="38"/>
      <c r="Y905" s="38"/>
      <c r="Z905" s="38"/>
      <c r="AA905" s="38"/>
    </row>
    <row r="906">
      <c r="A906" s="31"/>
      <c r="B906" s="38"/>
      <c r="C906" s="38"/>
      <c r="D906" s="50"/>
      <c r="E906" s="50"/>
      <c r="F906" s="50"/>
      <c r="G906" s="27" t="str">
        <f>VLOOKUP(E906,DropDown!J:K,2,FALSE)</f>
        <v>#N/A</v>
      </c>
      <c r="H906" s="50"/>
      <c r="I906" s="50"/>
      <c r="J906" s="50"/>
      <c r="K906" s="25" t="s">
        <v>116</v>
      </c>
      <c r="L906" s="23"/>
      <c r="M906" s="23"/>
      <c r="N906" s="25" t="str">
        <f>"("""&amp;B906&amp;""") ("&amp;Vlookup(E906,DropDown!J:N,5,FALSE)&amp;" OR """ &amp;YEAR(D906) &amp; """ OR ""All New"" OR Episode OR Watch OR tv OR Show OR Series OR season OR binge OR Stream OR Film OR Movie OR Premiere OR Screening OR Feature OR Trailer OR Teaser OR theater OR release)"</f>
        <v>#N/A</v>
      </c>
      <c r="O906" s="23" t="str">
        <f t="shared" si="1"/>
        <v>#</v>
      </c>
      <c r="P906" s="23" t="str">
        <f t="shared" si="2"/>
        <v>#</v>
      </c>
      <c r="Q906" s="23"/>
      <c r="R906" s="23" t="str">
        <f>"("""&amp;B906&amp;""") ("&amp;Vlookup(E906,DropDown!R:V,5,FALSE)&amp;IF(ISBLANK(D906)," | "," "&amp;"OR """&amp;YEAR(D906)&amp;""" | ") &amp; """All New"" | Episode | Watch | tv | Show | Series | season | binge | Stream | Film | Movie | Premiere | Screening | Feature | Trailer | Teaser | theater | release)"</f>
        <v>#N/A</v>
      </c>
      <c r="S906" s="23"/>
      <c r="T906" s="23"/>
      <c r="U906" s="23"/>
      <c r="V906" s="23"/>
      <c r="W906" s="23"/>
      <c r="X906" s="38"/>
      <c r="Y906" s="38"/>
      <c r="Z906" s="38"/>
      <c r="AA906" s="38"/>
    </row>
    <row r="907">
      <c r="A907" s="31"/>
      <c r="B907" s="38"/>
      <c r="C907" s="38"/>
      <c r="D907" s="50"/>
      <c r="E907" s="50"/>
      <c r="F907" s="50"/>
      <c r="G907" s="27" t="str">
        <f>VLOOKUP(E907,DropDown!J:K,2,FALSE)</f>
        <v>#N/A</v>
      </c>
      <c r="H907" s="50"/>
      <c r="I907" s="50"/>
      <c r="J907" s="50"/>
      <c r="K907" s="25" t="s">
        <v>116</v>
      </c>
      <c r="L907" s="23"/>
      <c r="M907" s="23"/>
      <c r="N907" s="25" t="str">
        <f>"("""&amp;B907&amp;""") ("&amp;Vlookup(E907,DropDown!J:N,5,FALSE)&amp;" OR """ &amp;YEAR(D907) &amp; """ OR ""All New"" OR Episode OR Watch OR tv OR Show OR Series OR season OR binge OR Stream OR Film OR Movie OR Premiere OR Screening OR Feature OR Trailer OR Teaser OR theater OR release)"</f>
        <v>#N/A</v>
      </c>
      <c r="O907" s="23" t="str">
        <f t="shared" si="1"/>
        <v>#</v>
      </c>
      <c r="P907" s="23" t="str">
        <f t="shared" si="2"/>
        <v>#</v>
      </c>
      <c r="Q907" s="23"/>
      <c r="R907" s="23" t="str">
        <f>"("""&amp;B907&amp;""") ("&amp;Vlookup(E907,DropDown!R:V,5,FALSE)&amp;IF(ISBLANK(D907)," | "," "&amp;"OR """&amp;YEAR(D907)&amp;""" | ") &amp; """All New"" | Episode | Watch | tv | Show | Series | season | binge | Stream | Film | Movie | Premiere | Screening | Feature | Trailer | Teaser | theater | release)"</f>
        <v>#N/A</v>
      </c>
      <c r="S907" s="23"/>
      <c r="T907" s="23"/>
      <c r="U907" s="23"/>
      <c r="V907" s="23"/>
      <c r="W907" s="23"/>
      <c r="X907" s="38"/>
      <c r="Y907" s="38"/>
      <c r="Z907" s="38"/>
      <c r="AA907" s="38"/>
    </row>
    <row r="908">
      <c r="A908" s="31"/>
      <c r="B908" s="38"/>
      <c r="C908" s="38"/>
      <c r="D908" s="50"/>
      <c r="E908" s="50"/>
      <c r="F908" s="50"/>
      <c r="G908" s="27" t="str">
        <f>VLOOKUP(E908,DropDown!J:K,2,FALSE)</f>
        <v>#N/A</v>
      </c>
      <c r="H908" s="50"/>
      <c r="I908" s="50"/>
      <c r="J908" s="50"/>
      <c r="K908" s="25" t="s">
        <v>116</v>
      </c>
      <c r="L908" s="23"/>
      <c r="M908" s="23"/>
      <c r="N908" s="25" t="str">
        <f>"("""&amp;B908&amp;""") ("&amp;Vlookup(E908,DropDown!J:N,5,FALSE)&amp;" OR """ &amp;YEAR(D908) &amp; """ OR ""All New"" OR Episode OR Watch OR tv OR Show OR Series OR season OR binge OR Stream OR Film OR Movie OR Premiere OR Screening OR Feature OR Trailer OR Teaser OR theater OR release)"</f>
        <v>#N/A</v>
      </c>
      <c r="O908" s="23" t="str">
        <f t="shared" si="1"/>
        <v>#</v>
      </c>
      <c r="P908" s="23" t="str">
        <f t="shared" si="2"/>
        <v>#</v>
      </c>
      <c r="Q908" s="23"/>
      <c r="R908" s="23" t="str">
        <f>"("""&amp;B908&amp;""") ("&amp;Vlookup(E908,DropDown!R:V,5,FALSE)&amp;IF(ISBLANK(D908)," | "," "&amp;"OR """&amp;YEAR(D908)&amp;""" | ") &amp; """All New"" | Episode | Watch | tv | Show | Series | season | binge | Stream | Film | Movie | Premiere | Screening | Feature | Trailer | Teaser | theater | release)"</f>
        <v>#N/A</v>
      </c>
      <c r="S908" s="23"/>
      <c r="T908" s="23"/>
      <c r="U908" s="23"/>
      <c r="V908" s="23"/>
      <c r="W908" s="23"/>
      <c r="X908" s="38"/>
      <c r="Y908" s="38"/>
      <c r="Z908" s="38"/>
      <c r="AA908" s="38"/>
    </row>
    <row r="909">
      <c r="A909" s="31"/>
      <c r="B909" s="38"/>
      <c r="C909" s="38"/>
      <c r="D909" s="50"/>
      <c r="E909" s="50"/>
      <c r="F909" s="50"/>
      <c r="G909" s="27" t="str">
        <f>VLOOKUP(E909,DropDown!J:K,2,FALSE)</f>
        <v>#N/A</v>
      </c>
      <c r="H909" s="50"/>
      <c r="I909" s="50"/>
      <c r="J909" s="50"/>
      <c r="K909" s="25" t="s">
        <v>116</v>
      </c>
      <c r="L909" s="23"/>
      <c r="M909" s="23"/>
      <c r="N909" s="25" t="str">
        <f>"("""&amp;B909&amp;""") ("&amp;Vlookup(E909,DropDown!J:N,5,FALSE)&amp;" OR """ &amp;YEAR(D909) &amp; """ OR ""All New"" OR Episode OR Watch OR tv OR Show OR Series OR season OR binge OR Stream OR Film OR Movie OR Premiere OR Screening OR Feature OR Trailer OR Teaser OR theater OR release)"</f>
        <v>#N/A</v>
      </c>
      <c r="O909" s="23" t="str">
        <f t="shared" si="1"/>
        <v>#</v>
      </c>
      <c r="P909" s="23" t="str">
        <f t="shared" si="2"/>
        <v>#</v>
      </c>
      <c r="Q909" s="23"/>
      <c r="R909" s="23" t="str">
        <f>"("""&amp;B909&amp;""") ("&amp;Vlookup(E909,DropDown!R:V,5,FALSE)&amp;IF(ISBLANK(D909)," | "," "&amp;"OR """&amp;YEAR(D909)&amp;""" | ") &amp; """All New"" | Episode | Watch | tv | Show | Series | season | binge | Stream | Film | Movie | Premiere | Screening | Feature | Trailer | Teaser | theater | release)"</f>
        <v>#N/A</v>
      </c>
      <c r="S909" s="23"/>
      <c r="T909" s="23"/>
      <c r="U909" s="23"/>
      <c r="V909" s="23"/>
      <c r="W909" s="23"/>
      <c r="X909" s="38"/>
      <c r="Y909" s="38"/>
      <c r="Z909" s="38"/>
      <c r="AA909" s="38"/>
    </row>
    <row r="910">
      <c r="A910" s="31"/>
      <c r="B910" s="38"/>
      <c r="C910" s="38"/>
      <c r="D910" s="50"/>
      <c r="E910" s="50"/>
      <c r="F910" s="50"/>
      <c r="G910" s="27" t="str">
        <f>VLOOKUP(E910,DropDown!J:K,2,FALSE)</f>
        <v>#N/A</v>
      </c>
      <c r="H910" s="50"/>
      <c r="I910" s="50"/>
      <c r="J910" s="50"/>
      <c r="K910" s="25" t="s">
        <v>116</v>
      </c>
      <c r="L910" s="23"/>
      <c r="M910" s="23"/>
      <c r="N910" s="25" t="str">
        <f>"("""&amp;B910&amp;""") ("&amp;Vlookup(E910,DropDown!J:N,5,FALSE)&amp;" OR """ &amp;YEAR(D910) &amp; """ OR ""All New"" OR Episode OR Watch OR tv OR Show OR Series OR season OR binge OR Stream OR Film OR Movie OR Premiere OR Screening OR Feature OR Trailer OR Teaser OR theater OR release)"</f>
        <v>#N/A</v>
      </c>
      <c r="O910" s="23" t="str">
        <f t="shared" si="1"/>
        <v>#</v>
      </c>
      <c r="P910" s="23" t="str">
        <f t="shared" si="2"/>
        <v>#</v>
      </c>
      <c r="Q910" s="23"/>
      <c r="R910" s="23" t="str">
        <f>"("""&amp;B910&amp;""") ("&amp;Vlookup(E910,DropDown!R:V,5,FALSE)&amp;IF(ISBLANK(D910)," | "," "&amp;"OR """&amp;YEAR(D910)&amp;""" | ") &amp; """All New"" | Episode | Watch | tv | Show | Series | season | binge | Stream | Film | Movie | Premiere | Screening | Feature | Trailer | Teaser | theater | release)"</f>
        <v>#N/A</v>
      </c>
      <c r="S910" s="23"/>
      <c r="T910" s="23"/>
      <c r="U910" s="23"/>
      <c r="V910" s="23"/>
      <c r="W910" s="23"/>
      <c r="X910" s="38"/>
      <c r="Y910" s="38"/>
      <c r="Z910" s="38"/>
      <c r="AA910" s="38"/>
    </row>
    <row r="911">
      <c r="A911" s="31"/>
      <c r="B911" s="38"/>
      <c r="C911" s="38"/>
      <c r="D911" s="50"/>
      <c r="E911" s="50"/>
      <c r="F911" s="50"/>
      <c r="G911" s="27" t="str">
        <f>VLOOKUP(E911,DropDown!J:K,2,FALSE)</f>
        <v>#N/A</v>
      </c>
      <c r="H911" s="50"/>
      <c r="I911" s="50"/>
      <c r="J911" s="50"/>
      <c r="K911" s="25" t="s">
        <v>116</v>
      </c>
      <c r="L911" s="23"/>
      <c r="M911" s="23"/>
      <c r="N911" s="25" t="str">
        <f>"("""&amp;B911&amp;""") ("&amp;Vlookup(E911,DropDown!J:N,5,FALSE)&amp;" OR """ &amp;YEAR(D911) &amp; """ OR ""All New"" OR Episode OR Watch OR tv OR Show OR Series OR season OR binge OR Stream OR Film OR Movie OR Premiere OR Screening OR Feature OR Trailer OR Teaser OR theater OR release)"</f>
        <v>#N/A</v>
      </c>
      <c r="O911" s="23" t="str">
        <f t="shared" si="1"/>
        <v>#</v>
      </c>
      <c r="P911" s="23" t="str">
        <f t="shared" si="2"/>
        <v>#</v>
      </c>
      <c r="Q911" s="23"/>
      <c r="R911" s="23" t="str">
        <f>"("""&amp;B911&amp;""") ("&amp;Vlookup(E911,DropDown!R:V,5,FALSE)&amp;IF(ISBLANK(D911)," | "," "&amp;"OR """&amp;YEAR(D911)&amp;""" | ") &amp; """All New"" | Episode | Watch | tv | Show | Series | season | binge | Stream | Film | Movie | Premiere | Screening | Feature | Trailer | Teaser | theater | release)"</f>
        <v>#N/A</v>
      </c>
      <c r="S911" s="23"/>
      <c r="T911" s="23"/>
      <c r="U911" s="23"/>
      <c r="V911" s="23"/>
      <c r="W911" s="23"/>
      <c r="X911" s="38"/>
      <c r="Y911" s="38"/>
      <c r="Z911" s="38"/>
      <c r="AA911" s="38"/>
    </row>
    <row r="912">
      <c r="A912" s="31"/>
      <c r="B912" s="38"/>
      <c r="C912" s="38"/>
      <c r="D912" s="50"/>
      <c r="E912" s="50"/>
      <c r="F912" s="50"/>
      <c r="G912" s="27" t="str">
        <f>VLOOKUP(E912,DropDown!J:K,2,FALSE)</f>
        <v>#N/A</v>
      </c>
      <c r="H912" s="50"/>
      <c r="I912" s="50"/>
      <c r="J912" s="50"/>
      <c r="K912" s="25" t="s">
        <v>116</v>
      </c>
      <c r="L912" s="23"/>
      <c r="M912" s="23"/>
      <c r="N912" s="25" t="str">
        <f>"("""&amp;B912&amp;""") ("&amp;Vlookup(E912,DropDown!J:N,5,FALSE)&amp;" OR """ &amp;YEAR(D912) &amp; """ OR ""All New"" OR Episode OR Watch OR tv OR Show OR Series OR season OR binge OR Stream OR Film OR Movie OR Premiere OR Screening OR Feature OR Trailer OR Teaser OR theater OR release)"</f>
        <v>#N/A</v>
      </c>
      <c r="O912" s="23" t="str">
        <f t="shared" si="1"/>
        <v>#</v>
      </c>
      <c r="P912" s="23" t="str">
        <f t="shared" si="2"/>
        <v>#</v>
      </c>
      <c r="Q912" s="23"/>
      <c r="R912" s="23" t="str">
        <f>"("""&amp;B912&amp;""") ("&amp;Vlookup(E912,DropDown!R:V,5,FALSE)&amp;IF(ISBLANK(D912)," | "," "&amp;"OR """&amp;YEAR(D912)&amp;""" | ") &amp; """All New"" | Episode | Watch | tv | Show | Series | season | binge | Stream | Film | Movie | Premiere | Screening | Feature | Trailer | Teaser | theater | release)"</f>
        <v>#N/A</v>
      </c>
      <c r="S912" s="23"/>
      <c r="T912" s="23"/>
      <c r="U912" s="23"/>
      <c r="V912" s="23"/>
      <c r="W912" s="23"/>
      <c r="X912" s="38"/>
      <c r="Y912" s="38"/>
      <c r="Z912" s="38"/>
      <c r="AA912" s="38"/>
    </row>
    <row r="913">
      <c r="A913" s="31"/>
      <c r="B913" s="38"/>
      <c r="C913" s="38"/>
      <c r="D913" s="50"/>
      <c r="E913" s="50"/>
      <c r="F913" s="50"/>
      <c r="G913" s="27" t="str">
        <f>VLOOKUP(E913,DropDown!J:K,2,FALSE)</f>
        <v>#N/A</v>
      </c>
      <c r="H913" s="50"/>
      <c r="I913" s="50"/>
      <c r="J913" s="50"/>
      <c r="K913" s="25" t="s">
        <v>116</v>
      </c>
      <c r="L913" s="23"/>
      <c r="M913" s="23"/>
      <c r="N913" s="25" t="str">
        <f>"("""&amp;B913&amp;""") ("&amp;Vlookup(E913,DropDown!J:N,5,FALSE)&amp;" OR """ &amp;YEAR(D913) &amp; """ OR ""All New"" OR Episode OR Watch OR tv OR Show OR Series OR season OR binge OR Stream OR Film OR Movie OR Premiere OR Screening OR Feature OR Trailer OR Teaser OR theater OR release)"</f>
        <v>#N/A</v>
      </c>
      <c r="O913" s="23" t="str">
        <f t="shared" si="1"/>
        <v>#</v>
      </c>
      <c r="P913" s="23" t="str">
        <f t="shared" si="2"/>
        <v>#</v>
      </c>
      <c r="Q913" s="23"/>
      <c r="R913" s="23" t="str">
        <f>"("""&amp;B913&amp;""") ("&amp;Vlookup(E913,DropDown!R:V,5,FALSE)&amp;IF(ISBLANK(D913)," | "," "&amp;"OR """&amp;YEAR(D913)&amp;""" | ") &amp; """All New"" | Episode | Watch | tv | Show | Series | season | binge | Stream | Film | Movie | Premiere | Screening | Feature | Trailer | Teaser | theater | release)"</f>
        <v>#N/A</v>
      </c>
      <c r="S913" s="23"/>
      <c r="T913" s="23"/>
      <c r="U913" s="23"/>
      <c r="V913" s="23"/>
      <c r="W913" s="23"/>
      <c r="X913" s="38"/>
      <c r="Y913" s="38"/>
      <c r="Z913" s="38"/>
      <c r="AA913" s="38"/>
    </row>
    <row r="914">
      <c r="A914" s="31"/>
      <c r="B914" s="38"/>
      <c r="C914" s="38"/>
      <c r="D914" s="50"/>
      <c r="E914" s="50"/>
      <c r="F914" s="50"/>
      <c r="G914" s="27" t="str">
        <f>VLOOKUP(E914,DropDown!J:K,2,FALSE)</f>
        <v>#N/A</v>
      </c>
      <c r="H914" s="50"/>
      <c r="I914" s="50"/>
      <c r="J914" s="50"/>
      <c r="K914" s="25" t="s">
        <v>116</v>
      </c>
      <c r="L914" s="23"/>
      <c r="M914" s="23"/>
      <c r="N914" s="25" t="str">
        <f>"("""&amp;B914&amp;""") ("&amp;Vlookup(E914,DropDown!J:N,5,FALSE)&amp;" OR """ &amp;YEAR(D914) &amp; """ OR ""All New"" OR Episode OR Watch OR tv OR Show OR Series OR season OR binge OR Stream OR Film OR Movie OR Premiere OR Screening OR Feature OR Trailer OR Teaser OR theater OR release)"</f>
        <v>#N/A</v>
      </c>
      <c r="O914" s="23" t="str">
        <f t="shared" si="1"/>
        <v>#</v>
      </c>
      <c r="P914" s="23" t="str">
        <f t="shared" si="2"/>
        <v>#</v>
      </c>
      <c r="Q914" s="23"/>
      <c r="R914" s="23" t="str">
        <f>"("""&amp;B914&amp;""") ("&amp;Vlookup(E914,DropDown!R:V,5,FALSE)&amp;IF(ISBLANK(D914)," | "," "&amp;"OR """&amp;YEAR(D914)&amp;""" | ") &amp; """All New"" | Episode | Watch | tv | Show | Series | season | binge | Stream | Film | Movie | Premiere | Screening | Feature | Trailer | Teaser | theater | release)"</f>
        <v>#N/A</v>
      </c>
      <c r="S914" s="23"/>
      <c r="T914" s="23"/>
      <c r="U914" s="23"/>
      <c r="V914" s="23"/>
      <c r="W914" s="23"/>
      <c r="X914" s="38"/>
      <c r="Y914" s="38"/>
      <c r="Z914" s="38"/>
      <c r="AA914" s="38"/>
    </row>
    <row r="915">
      <c r="A915" s="31"/>
      <c r="B915" s="38"/>
      <c r="C915" s="38"/>
      <c r="D915" s="50"/>
      <c r="E915" s="50"/>
      <c r="F915" s="50"/>
      <c r="G915" s="27" t="str">
        <f>VLOOKUP(E915,DropDown!J:K,2,FALSE)</f>
        <v>#N/A</v>
      </c>
      <c r="H915" s="50"/>
      <c r="I915" s="50"/>
      <c r="J915" s="50"/>
      <c r="K915" s="25" t="s">
        <v>116</v>
      </c>
      <c r="L915" s="23"/>
      <c r="M915" s="23"/>
      <c r="N915" s="25" t="str">
        <f>"("""&amp;B915&amp;""") ("&amp;Vlookup(E915,DropDown!J:N,5,FALSE)&amp;" OR """ &amp;YEAR(D915) &amp; """ OR ""All New"" OR Episode OR Watch OR tv OR Show OR Series OR season OR binge OR Stream OR Film OR Movie OR Premiere OR Screening OR Feature OR Trailer OR Teaser OR theater OR release)"</f>
        <v>#N/A</v>
      </c>
      <c r="O915" s="23" t="str">
        <f t="shared" si="1"/>
        <v>#</v>
      </c>
      <c r="P915" s="23" t="str">
        <f t="shared" si="2"/>
        <v>#</v>
      </c>
      <c r="Q915" s="23"/>
      <c r="R915" s="23" t="str">
        <f>"("""&amp;B915&amp;""") ("&amp;Vlookup(E915,DropDown!R:V,5,FALSE)&amp;IF(ISBLANK(D915)," | "," "&amp;"OR """&amp;YEAR(D915)&amp;""" | ") &amp; """All New"" | Episode | Watch | tv | Show | Series | season | binge | Stream | Film | Movie | Premiere | Screening | Feature | Trailer | Teaser | theater | release)"</f>
        <v>#N/A</v>
      </c>
      <c r="S915" s="23"/>
      <c r="T915" s="23"/>
      <c r="U915" s="23"/>
      <c r="V915" s="23"/>
      <c r="W915" s="23"/>
      <c r="X915" s="38"/>
      <c r="Y915" s="38"/>
      <c r="Z915" s="38"/>
      <c r="AA915" s="38"/>
    </row>
    <row r="916">
      <c r="A916" s="31"/>
      <c r="B916" s="38"/>
      <c r="C916" s="38"/>
      <c r="D916" s="50"/>
      <c r="E916" s="50"/>
      <c r="F916" s="50"/>
      <c r="G916" s="27" t="str">
        <f>VLOOKUP(E916,DropDown!J:K,2,FALSE)</f>
        <v>#N/A</v>
      </c>
      <c r="H916" s="50"/>
      <c r="I916" s="50"/>
      <c r="J916" s="50"/>
      <c r="K916" s="25" t="s">
        <v>116</v>
      </c>
      <c r="L916" s="23"/>
      <c r="M916" s="23"/>
      <c r="N916" s="25" t="str">
        <f>"("""&amp;B916&amp;""") ("&amp;Vlookup(E916,DropDown!J:N,5,FALSE)&amp;" OR """ &amp;YEAR(D916) &amp; """ OR ""All New"" OR Episode OR Watch OR tv OR Show OR Series OR season OR binge OR Stream OR Film OR Movie OR Premiere OR Screening OR Feature OR Trailer OR Teaser OR theater OR release)"</f>
        <v>#N/A</v>
      </c>
      <c r="O916" s="23" t="str">
        <f t="shared" si="1"/>
        <v>#</v>
      </c>
      <c r="P916" s="23" t="str">
        <f t="shared" si="2"/>
        <v>#</v>
      </c>
      <c r="Q916" s="23"/>
      <c r="R916" s="23" t="str">
        <f>"("""&amp;B916&amp;""") ("&amp;Vlookup(E916,DropDown!R:V,5,FALSE)&amp;IF(ISBLANK(D916)," | "," "&amp;"OR """&amp;YEAR(D916)&amp;""" | ") &amp; """All New"" | Episode | Watch | tv | Show | Series | season | binge | Stream | Film | Movie | Premiere | Screening | Feature | Trailer | Teaser | theater | release)"</f>
        <v>#N/A</v>
      </c>
      <c r="S916" s="23"/>
      <c r="T916" s="23"/>
      <c r="U916" s="23"/>
      <c r="V916" s="23"/>
      <c r="W916" s="23"/>
      <c r="X916" s="38"/>
      <c r="Y916" s="38"/>
      <c r="Z916" s="38"/>
      <c r="AA916" s="38"/>
    </row>
    <row r="917">
      <c r="A917" s="31"/>
      <c r="B917" s="38"/>
      <c r="C917" s="38"/>
      <c r="D917" s="50"/>
      <c r="E917" s="50"/>
      <c r="F917" s="50"/>
      <c r="G917" s="27" t="str">
        <f>VLOOKUP(E917,DropDown!J:K,2,FALSE)</f>
        <v>#N/A</v>
      </c>
      <c r="H917" s="50"/>
      <c r="I917" s="50"/>
      <c r="J917" s="50"/>
      <c r="K917" s="25" t="s">
        <v>116</v>
      </c>
      <c r="L917" s="23"/>
      <c r="M917" s="23"/>
      <c r="N917" s="25" t="str">
        <f>"("""&amp;B917&amp;""") ("&amp;Vlookup(E917,DropDown!J:N,5,FALSE)&amp;" OR """ &amp;YEAR(D917) &amp; """ OR ""All New"" OR Episode OR Watch OR tv OR Show OR Series OR season OR binge OR Stream OR Film OR Movie OR Premiere OR Screening OR Feature OR Trailer OR Teaser OR theater OR release)"</f>
        <v>#N/A</v>
      </c>
      <c r="O917" s="23" t="str">
        <f t="shared" si="1"/>
        <v>#</v>
      </c>
      <c r="P917" s="23" t="str">
        <f t="shared" si="2"/>
        <v>#</v>
      </c>
      <c r="Q917" s="23"/>
      <c r="R917" s="23" t="str">
        <f>"("""&amp;B917&amp;""") ("&amp;Vlookup(E917,DropDown!R:V,5,FALSE)&amp;IF(ISBLANK(D917)," | "," "&amp;"OR """&amp;YEAR(D917)&amp;""" | ") &amp; """All New"" | Episode | Watch | tv | Show | Series | season | binge | Stream | Film | Movie | Premiere | Screening | Feature | Trailer | Teaser | theater | release)"</f>
        <v>#N/A</v>
      </c>
      <c r="S917" s="23"/>
      <c r="T917" s="23"/>
      <c r="U917" s="23"/>
      <c r="V917" s="23"/>
      <c r="W917" s="23"/>
      <c r="X917" s="38"/>
      <c r="Y917" s="38"/>
      <c r="Z917" s="38"/>
      <c r="AA917" s="38"/>
    </row>
    <row r="918">
      <c r="A918" s="31"/>
      <c r="B918" s="38"/>
      <c r="C918" s="38"/>
      <c r="D918" s="50"/>
      <c r="E918" s="50"/>
      <c r="F918" s="50"/>
      <c r="G918" s="27" t="str">
        <f>VLOOKUP(E918,DropDown!J:K,2,FALSE)</f>
        <v>#N/A</v>
      </c>
      <c r="H918" s="50"/>
      <c r="I918" s="50"/>
      <c r="J918" s="50"/>
      <c r="K918" s="25" t="s">
        <v>116</v>
      </c>
      <c r="L918" s="23"/>
      <c r="M918" s="23"/>
      <c r="N918" s="25" t="str">
        <f>"("""&amp;B918&amp;""") ("&amp;Vlookup(E918,DropDown!J:N,5,FALSE)&amp;" OR """ &amp;YEAR(D918) &amp; """ OR ""All New"" OR Episode OR Watch OR tv OR Show OR Series OR season OR binge OR Stream OR Film OR Movie OR Premiere OR Screening OR Feature OR Trailer OR Teaser OR theater OR release)"</f>
        <v>#N/A</v>
      </c>
      <c r="O918" s="23" t="str">
        <f t="shared" si="1"/>
        <v>#</v>
      </c>
      <c r="P918" s="23" t="str">
        <f t="shared" si="2"/>
        <v>#</v>
      </c>
      <c r="Q918" s="23"/>
      <c r="R918" s="23" t="str">
        <f>"("""&amp;B918&amp;""") ("&amp;Vlookup(E918,DropDown!R:V,5,FALSE)&amp;IF(ISBLANK(D918)," | "," "&amp;"OR """&amp;YEAR(D918)&amp;""" | ") &amp; """All New"" | Episode | Watch | tv | Show | Series | season | binge | Stream | Film | Movie | Premiere | Screening | Feature | Trailer | Teaser | theater | release)"</f>
        <v>#N/A</v>
      </c>
      <c r="S918" s="23"/>
      <c r="T918" s="23"/>
      <c r="U918" s="23"/>
      <c r="V918" s="23"/>
      <c r="W918" s="23"/>
      <c r="X918" s="38"/>
      <c r="Y918" s="38"/>
      <c r="Z918" s="38"/>
      <c r="AA918" s="38"/>
    </row>
    <row r="919">
      <c r="A919" s="31"/>
      <c r="B919" s="38"/>
      <c r="C919" s="38"/>
      <c r="D919" s="50"/>
      <c r="E919" s="50"/>
      <c r="F919" s="50"/>
      <c r="G919" s="27" t="str">
        <f>VLOOKUP(E919,DropDown!J:K,2,FALSE)</f>
        <v>#N/A</v>
      </c>
      <c r="H919" s="50"/>
      <c r="I919" s="50"/>
      <c r="J919" s="50"/>
      <c r="K919" s="25" t="s">
        <v>116</v>
      </c>
      <c r="L919" s="23"/>
      <c r="M919" s="23"/>
      <c r="N919" s="25" t="str">
        <f>"("""&amp;B919&amp;""") ("&amp;Vlookup(E919,DropDown!J:N,5,FALSE)&amp;" OR """ &amp;YEAR(D919) &amp; """ OR ""All New"" OR Episode OR Watch OR tv OR Show OR Series OR season OR binge OR Stream OR Film OR Movie OR Premiere OR Screening OR Feature OR Trailer OR Teaser OR theater OR release)"</f>
        <v>#N/A</v>
      </c>
      <c r="O919" s="23" t="str">
        <f t="shared" si="1"/>
        <v>#</v>
      </c>
      <c r="P919" s="23" t="str">
        <f t="shared" si="2"/>
        <v>#</v>
      </c>
      <c r="Q919" s="23"/>
      <c r="R919" s="23" t="str">
        <f>"("""&amp;B919&amp;""") ("&amp;Vlookup(E919,DropDown!R:V,5,FALSE)&amp;IF(ISBLANK(D919)," | "," "&amp;"OR """&amp;YEAR(D919)&amp;""" | ") &amp; """All New"" | Episode | Watch | tv | Show | Series | season | binge | Stream | Film | Movie | Premiere | Screening | Feature | Trailer | Teaser | theater | release)"</f>
        <v>#N/A</v>
      </c>
      <c r="S919" s="23"/>
      <c r="T919" s="23"/>
      <c r="U919" s="23"/>
      <c r="V919" s="23"/>
      <c r="W919" s="23"/>
      <c r="X919" s="38"/>
      <c r="Y919" s="38"/>
      <c r="Z919" s="38"/>
      <c r="AA919" s="38"/>
    </row>
    <row r="920">
      <c r="A920" s="31"/>
      <c r="B920" s="38"/>
      <c r="C920" s="38"/>
      <c r="D920" s="50"/>
      <c r="E920" s="50"/>
      <c r="F920" s="50"/>
      <c r="G920" s="27" t="str">
        <f>VLOOKUP(E920,DropDown!J:K,2,FALSE)</f>
        <v>#N/A</v>
      </c>
      <c r="H920" s="50"/>
      <c r="I920" s="50"/>
      <c r="J920" s="50"/>
      <c r="K920" s="25" t="s">
        <v>116</v>
      </c>
      <c r="L920" s="23"/>
      <c r="M920" s="23"/>
      <c r="N920" s="25" t="str">
        <f>"("""&amp;B920&amp;""") ("&amp;Vlookup(E920,DropDown!J:N,5,FALSE)&amp;" OR """ &amp;YEAR(D920) &amp; """ OR ""All New"" OR Episode OR Watch OR tv OR Show OR Series OR season OR binge OR Stream OR Film OR Movie OR Premiere OR Screening OR Feature OR Trailer OR Teaser OR theater OR release)"</f>
        <v>#N/A</v>
      </c>
      <c r="O920" s="23" t="str">
        <f t="shared" si="1"/>
        <v>#</v>
      </c>
      <c r="P920" s="23" t="str">
        <f t="shared" si="2"/>
        <v>#</v>
      </c>
      <c r="Q920" s="23"/>
      <c r="R920" s="23" t="str">
        <f>"("""&amp;B920&amp;""") ("&amp;Vlookup(E920,DropDown!R:V,5,FALSE)&amp;IF(ISBLANK(D920)," | "," "&amp;"OR """&amp;YEAR(D920)&amp;""" | ") &amp; """All New"" | Episode | Watch | tv | Show | Series | season | binge | Stream | Film | Movie | Premiere | Screening | Feature | Trailer | Teaser | theater | release)"</f>
        <v>#N/A</v>
      </c>
      <c r="S920" s="23"/>
      <c r="T920" s="23"/>
      <c r="U920" s="23"/>
      <c r="V920" s="23"/>
      <c r="W920" s="23"/>
      <c r="X920" s="38"/>
      <c r="Y920" s="38"/>
      <c r="Z920" s="38"/>
      <c r="AA920" s="38"/>
    </row>
    <row r="921">
      <c r="A921" s="31"/>
      <c r="B921" s="38"/>
      <c r="C921" s="38"/>
      <c r="D921" s="50"/>
      <c r="E921" s="50"/>
      <c r="F921" s="50"/>
      <c r="G921" s="27" t="str">
        <f>VLOOKUP(E921,DropDown!J:K,2,FALSE)</f>
        <v>#N/A</v>
      </c>
      <c r="H921" s="50"/>
      <c r="I921" s="50"/>
      <c r="J921" s="50"/>
      <c r="K921" s="25" t="s">
        <v>116</v>
      </c>
      <c r="L921" s="23"/>
      <c r="M921" s="23"/>
      <c r="N921" s="25" t="str">
        <f>"("""&amp;B921&amp;""") ("&amp;Vlookup(E921,DropDown!J:N,5,FALSE)&amp;" OR """ &amp;YEAR(D921) &amp; """ OR ""All New"" OR Episode OR Watch OR tv OR Show OR Series OR season OR binge OR Stream OR Film OR Movie OR Premiere OR Screening OR Feature OR Trailer OR Teaser OR theater OR release)"</f>
        <v>#N/A</v>
      </c>
      <c r="O921" s="23" t="str">
        <f t="shared" si="1"/>
        <v>#</v>
      </c>
      <c r="P921" s="23" t="str">
        <f t="shared" si="2"/>
        <v>#</v>
      </c>
      <c r="Q921" s="23"/>
      <c r="R921" s="23" t="str">
        <f>"("""&amp;B921&amp;""") ("&amp;Vlookup(E921,DropDown!R:V,5,FALSE)&amp;IF(ISBLANK(D921)," | "," "&amp;"OR """&amp;YEAR(D921)&amp;""" | ") &amp; """All New"" | Episode | Watch | tv | Show | Series | season | binge | Stream | Film | Movie | Premiere | Screening | Feature | Trailer | Teaser | theater | release)"</f>
        <v>#N/A</v>
      </c>
      <c r="S921" s="23"/>
      <c r="T921" s="23"/>
      <c r="U921" s="23"/>
      <c r="V921" s="23"/>
      <c r="W921" s="23"/>
      <c r="X921" s="38"/>
      <c r="Y921" s="38"/>
      <c r="Z921" s="38"/>
      <c r="AA921" s="38"/>
    </row>
    <row r="922">
      <c r="A922" s="31"/>
      <c r="B922" s="38"/>
      <c r="C922" s="38"/>
      <c r="D922" s="50"/>
      <c r="E922" s="50"/>
      <c r="F922" s="50"/>
      <c r="G922" s="27" t="str">
        <f>VLOOKUP(E922,DropDown!J:K,2,FALSE)</f>
        <v>#N/A</v>
      </c>
      <c r="H922" s="50"/>
      <c r="I922" s="50"/>
      <c r="J922" s="50"/>
      <c r="K922" s="25" t="s">
        <v>116</v>
      </c>
      <c r="L922" s="23"/>
      <c r="M922" s="23"/>
      <c r="N922" s="25" t="str">
        <f>"("""&amp;B922&amp;""") ("&amp;Vlookup(E922,DropDown!J:N,5,FALSE)&amp;" OR """ &amp;YEAR(D922) &amp; """ OR ""All New"" OR Episode OR Watch OR tv OR Show OR Series OR season OR binge OR Stream OR Film OR Movie OR Premiere OR Screening OR Feature OR Trailer OR Teaser OR theater OR release)"</f>
        <v>#N/A</v>
      </c>
      <c r="O922" s="23" t="str">
        <f t="shared" si="1"/>
        <v>#</v>
      </c>
      <c r="P922" s="23" t="str">
        <f t="shared" si="2"/>
        <v>#</v>
      </c>
      <c r="Q922" s="23"/>
      <c r="R922" s="23" t="str">
        <f>"("""&amp;B922&amp;""") ("&amp;Vlookup(E922,DropDown!R:V,5,FALSE)&amp;IF(ISBLANK(D922)," | "," "&amp;"OR """&amp;YEAR(D922)&amp;""" | ") &amp; """All New"" | Episode | Watch | tv | Show | Series | season | binge | Stream | Film | Movie | Premiere | Screening | Feature | Trailer | Teaser | theater | release)"</f>
        <v>#N/A</v>
      </c>
      <c r="S922" s="23"/>
      <c r="T922" s="23"/>
      <c r="U922" s="23"/>
      <c r="V922" s="23"/>
      <c r="W922" s="23"/>
      <c r="X922" s="38"/>
      <c r="Y922" s="38"/>
      <c r="Z922" s="38"/>
      <c r="AA922" s="38"/>
    </row>
    <row r="923">
      <c r="A923" s="31"/>
      <c r="B923" s="38"/>
      <c r="C923" s="38"/>
      <c r="D923" s="50"/>
      <c r="E923" s="50"/>
      <c r="F923" s="50"/>
      <c r="G923" s="27" t="str">
        <f>VLOOKUP(E923,DropDown!J:K,2,FALSE)</f>
        <v>#N/A</v>
      </c>
      <c r="H923" s="50"/>
      <c r="I923" s="50"/>
      <c r="J923" s="50"/>
      <c r="K923" s="25" t="s">
        <v>116</v>
      </c>
      <c r="L923" s="23"/>
      <c r="M923" s="23"/>
      <c r="N923" s="25" t="str">
        <f>"("""&amp;B923&amp;""") ("&amp;Vlookup(E923,DropDown!J:N,5,FALSE)&amp;" OR """ &amp;YEAR(D923) &amp; """ OR ""All New"" OR Episode OR Watch OR tv OR Show OR Series OR season OR binge OR Stream OR Film OR Movie OR Premiere OR Screening OR Feature OR Trailer OR Teaser OR theater OR release)"</f>
        <v>#N/A</v>
      </c>
      <c r="O923" s="23" t="str">
        <f t="shared" si="1"/>
        <v>#</v>
      </c>
      <c r="P923" s="23" t="str">
        <f t="shared" si="2"/>
        <v>#</v>
      </c>
      <c r="Q923" s="23"/>
      <c r="R923" s="23" t="str">
        <f>"("""&amp;B923&amp;""") ("&amp;Vlookup(E923,DropDown!R:V,5,FALSE)&amp;IF(ISBLANK(D923)," | "," "&amp;"OR """&amp;YEAR(D923)&amp;""" | ") &amp; """All New"" | Episode | Watch | tv | Show | Series | season | binge | Stream | Film | Movie | Premiere | Screening | Feature | Trailer | Teaser | theater | release)"</f>
        <v>#N/A</v>
      </c>
      <c r="S923" s="23"/>
      <c r="T923" s="23"/>
      <c r="U923" s="23"/>
      <c r="V923" s="23"/>
      <c r="W923" s="23"/>
      <c r="X923" s="38"/>
      <c r="Y923" s="38"/>
      <c r="Z923" s="38"/>
      <c r="AA923" s="38"/>
    </row>
    <row r="924">
      <c r="A924" s="31"/>
      <c r="B924" s="38"/>
      <c r="C924" s="38"/>
      <c r="D924" s="50"/>
      <c r="E924" s="50"/>
      <c r="F924" s="50"/>
      <c r="G924" s="27" t="str">
        <f>VLOOKUP(E924,DropDown!J:K,2,FALSE)</f>
        <v>#N/A</v>
      </c>
      <c r="H924" s="50"/>
      <c r="I924" s="50"/>
      <c r="J924" s="50"/>
      <c r="K924" s="25" t="s">
        <v>116</v>
      </c>
      <c r="L924" s="23"/>
      <c r="M924" s="23"/>
      <c r="N924" s="25" t="str">
        <f>"("""&amp;B924&amp;""") ("&amp;Vlookup(E924,DropDown!J:N,5,FALSE)&amp;" OR """ &amp;YEAR(D924) &amp; """ OR ""All New"" OR Episode OR Watch OR tv OR Show OR Series OR season OR binge OR Stream OR Film OR Movie OR Premiere OR Screening OR Feature OR Trailer OR Teaser OR theater OR release)"</f>
        <v>#N/A</v>
      </c>
      <c r="O924" s="23" t="str">
        <f t="shared" si="1"/>
        <v>#</v>
      </c>
      <c r="P924" s="23" t="str">
        <f t="shared" si="2"/>
        <v>#</v>
      </c>
      <c r="Q924" s="23"/>
      <c r="R924" s="23" t="str">
        <f>"("""&amp;B924&amp;""") ("&amp;Vlookup(E924,DropDown!R:V,5,FALSE)&amp;IF(ISBLANK(D924)," | "," "&amp;"OR """&amp;YEAR(D924)&amp;""" | ") &amp; """All New"" | Episode | Watch | tv | Show | Series | season | binge | Stream | Film | Movie | Premiere | Screening | Feature | Trailer | Teaser | theater | release)"</f>
        <v>#N/A</v>
      </c>
      <c r="S924" s="23"/>
      <c r="T924" s="23"/>
      <c r="U924" s="23"/>
      <c r="V924" s="23"/>
      <c r="W924" s="23"/>
      <c r="X924" s="38"/>
      <c r="Y924" s="38"/>
      <c r="Z924" s="38"/>
      <c r="AA924" s="38"/>
    </row>
    <row r="925">
      <c r="A925" s="31"/>
      <c r="B925" s="38"/>
      <c r="C925" s="38"/>
      <c r="D925" s="50"/>
      <c r="E925" s="50"/>
      <c r="F925" s="50"/>
      <c r="G925" s="27" t="str">
        <f>VLOOKUP(E925,DropDown!J:K,2,FALSE)</f>
        <v>#N/A</v>
      </c>
      <c r="H925" s="50"/>
      <c r="I925" s="50"/>
      <c r="J925" s="50"/>
      <c r="K925" s="25" t="s">
        <v>116</v>
      </c>
      <c r="L925" s="23"/>
      <c r="M925" s="23"/>
      <c r="N925" s="25" t="str">
        <f>"("""&amp;B925&amp;""") ("&amp;Vlookup(E925,DropDown!J:N,5,FALSE)&amp;" OR """ &amp;YEAR(D925) &amp; """ OR ""All New"" OR Episode OR Watch OR tv OR Show OR Series OR season OR binge OR Stream OR Film OR Movie OR Premiere OR Screening OR Feature OR Trailer OR Teaser OR theater OR release)"</f>
        <v>#N/A</v>
      </c>
      <c r="O925" s="23" t="str">
        <f t="shared" si="1"/>
        <v>#</v>
      </c>
      <c r="P925" s="23" t="str">
        <f t="shared" si="2"/>
        <v>#</v>
      </c>
      <c r="Q925" s="23"/>
      <c r="R925" s="23" t="str">
        <f>"("""&amp;B925&amp;""") ("&amp;Vlookup(E925,DropDown!R:V,5,FALSE)&amp;IF(ISBLANK(D925)," | "," "&amp;"OR """&amp;YEAR(D925)&amp;""" | ") &amp; """All New"" | Episode | Watch | tv | Show | Series | season | binge | Stream | Film | Movie | Premiere | Screening | Feature | Trailer | Teaser | theater | release)"</f>
        <v>#N/A</v>
      </c>
      <c r="S925" s="23"/>
      <c r="T925" s="23"/>
      <c r="U925" s="23"/>
      <c r="V925" s="23"/>
      <c r="W925" s="23"/>
      <c r="X925" s="38"/>
      <c r="Y925" s="38"/>
      <c r="Z925" s="38"/>
      <c r="AA925" s="38"/>
    </row>
    <row r="926">
      <c r="A926" s="31"/>
      <c r="B926" s="38"/>
      <c r="C926" s="38"/>
      <c r="D926" s="50"/>
      <c r="E926" s="50"/>
      <c r="F926" s="50"/>
      <c r="G926" s="27" t="str">
        <f>VLOOKUP(E926,DropDown!J:K,2,FALSE)</f>
        <v>#N/A</v>
      </c>
      <c r="H926" s="50"/>
      <c r="I926" s="50"/>
      <c r="J926" s="50"/>
      <c r="K926" s="25" t="s">
        <v>116</v>
      </c>
      <c r="L926" s="23"/>
      <c r="M926" s="23"/>
      <c r="N926" s="25" t="str">
        <f>"("""&amp;B926&amp;""") ("&amp;Vlookup(E926,DropDown!J:N,5,FALSE)&amp;" OR """ &amp;YEAR(D926) &amp; """ OR ""All New"" OR Episode OR Watch OR tv OR Show OR Series OR season OR binge OR Stream OR Film OR Movie OR Premiere OR Screening OR Feature OR Trailer OR Teaser OR theater OR release)"</f>
        <v>#N/A</v>
      </c>
      <c r="O926" s="23" t="str">
        <f t="shared" si="1"/>
        <v>#</v>
      </c>
      <c r="P926" s="23" t="str">
        <f t="shared" si="2"/>
        <v>#</v>
      </c>
      <c r="Q926" s="23"/>
      <c r="R926" s="23" t="str">
        <f>"("""&amp;B926&amp;""") ("&amp;Vlookup(E926,DropDown!R:V,5,FALSE)&amp;IF(ISBLANK(D926)," | "," "&amp;"OR """&amp;YEAR(D926)&amp;""" | ") &amp; """All New"" | Episode | Watch | tv | Show | Series | season | binge | Stream | Film | Movie | Premiere | Screening | Feature | Trailer | Teaser | theater | release)"</f>
        <v>#N/A</v>
      </c>
      <c r="S926" s="23"/>
      <c r="T926" s="23"/>
      <c r="U926" s="23"/>
      <c r="V926" s="23"/>
      <c r="W926" s="23"/>
      <c r="X926" s="38"/>
      <c r="Y926" s="38"/>
      <c r="Z926" s="38"/>
      <c r="AA926" s="38"/>
    </row>
    <row r="927">
      <c r="A927" s="31"/>
      <c r="B927" s="38"/>
      <c r="C927" s="38"/>
      <c r="D927" s="50"/>
      <c r="E927" s="50"/>
      <c r="F927" s="50"/>
      <c r="G927" s="27" t="str">
        <f>VLOOKUP(E927,DropDown!J:K,2,FALSE)</f>
        <v>#N/A</v>
      </c>
      <c r="H927" s="50"/>
      <c r="I927" s="50"/>
      <c r="J927" s="50"/>
      <c r="K927" s="25" t="s">
        <v>116</v>
      </c>
      <c r="L927" s="23"/>
      <c r="M927" s="23"/>
      <c r="N927" s="25" t="str">
        <f>"("""&amp;B927&amp;""") ("&amp;Vlookup(E927,DropDown!J:N,5,FALSE)&amp;" OR """ &amp;YEAR(D927) &amp; """ OR ""All New"" OR Episode OR Watch OR tv OR Show OR Series OR season OR binge OR Stream OR Film OR Movie OR Premiere OR Screening OR Feature OR Trailer OR Teaser OR theater OR release)"</f>
        <v>#N/A</v>
      </c>
      <c r="O927" s="23" t="str">
        <f t="shared" si="1"/>
        <v>#</v>
      </c>
      <c r="P927" s="23" t="str">
        <f t="shared" si="2"/>
        <v>#</v>
      </c>
      <c r="Q927" s="23"/>
      <c r="R927" s="23" t="str">
        <f>"("""&amp;B927&amp;""") ("&amp;Vlookup(E927,DropDown!R:V,5,FALSE)&amp;IF(ISBLANK(D927)," | "," "&amp;"OR """&amp;YEAR(D927)&amp;""" | ") &amp; """All New"" | Episode | Watch | tv | Show | Series | season | binge | Stream | Film | Movie | Premiere | Screening | Feature | Trailer | Teaser | theater | release)"</f>
        <v>#N/A</v>
      </c>
      <c r="S927" s="23"/>
      <c r="T927" s="23"/>
      <c r="U927" s="23"/>
      <c r="V927" s="23"/>
      <c r="W927" s="23"/>
      <c r="X927" s="38"/>
      <c r="Y927" s="38"/>
      <c r="Z927" s="38"/>
      <c r="AA927" s="38"/>
    </row>
    <row r="928">
      <c r="A928" s="31"/>
      <c r="B928" s="38"/>
      <c r="C928" s="38"/>
      <c r="D928" s="50"/>
      <c r="E928" s="50"/>
      <c r="F928" s="50"/>
      <c r="G928" s="27" t="str">
        <f>VLOOKUP(E928,DropDown!J:K,2,FALSE)</f>
        <v>#N/A</v>
      </c>
      <c r="H928" s="50"/>
      <c r="I928" s="50"/>
      <c r="J928" s="50"/>
      <c r="K928" s="25" t="s">
        <v>116</v>
      </c>
      <c r="L928" s="23"/>
      <c r="M928" s="23"/>
      <c r="N928" s="25" t="str">
        <f>"("""&amp;B928&amp;""") ("&amp;Vlookup(E928,DropDown!J:N,5,FALSE)&amp;" OR """ &amp;YEAR(D928) &amp; """ OR ""All New"" OR Episode OR Watch OR tv OR Show OR Series OR season OR binge OR Stream OR Film OR Movie OR Premiere OR Screening OR Feature OR Trailer OR Teaser OR theater OR release)"</f>
        <v>#N/A</v>
      </c>
      <c r="O928" s="23" t="str">
        <f t="shared" si="1"/>
        <v>#</v>
      </c>
      <c r="P928" s="23" t="str">
        <f t="shared" si="2"/>
        <v>#</v>
      </c>
      <c r="Q928" s="23"/>
      <c r="R928" s="23" t="str">
        <f>"("""&amp;B928&amp;""") ("&amp;Vlookup(E928,DropDown!R:V,5,FALSE)&amp;IF(ISBLANK(D928)," | "," "&amp;"OR """&amp;YEAR(D928)&amp;""" | ") &amp; """All New"" | Episode | Watch | tv | Show | Series | season | binge | Stream | Film | Movie | Premiere | Screening | Feature | Trailer | Teaser | theater | release)"</f>
        <v>#N/A</v>
      </c>
      <c r="S928" s="23"/>
      <c r="T928" s="23"/>
      <c r="U928" s="23"/>
      <c r="V928" s="23"/>
      <c r="W928" s="23"/>
      <c r="X928" s="38"/>
      <c r="Y928" s="38"/>
      <c r="Z928" s="38"/>
      <c r="AA928" s="38"/>
    </row>
    <row r="929">
      <c r="A929" s="31"/>
      <c r="B929" s="38"/>
      <c r="C929" s="38"/>
      <c r="D929" s="50"/>
      <c r="E929" s="50"/>
      <c r="F929" s="50"/>
      <c r="G929" s="27" t="str">
        <f>VLOOKUP(E929,DropDown!J:K,2,FALSE)</f>
        <v>#N/A</v>
      </c>
      <c r="H929" s="50"/>
      <c r="I929" s="50"/>
      <c r="J929" s="50"/>
      <c r="K929" s="25" t="s">
        <v>116</v>
      </c>
      <c r="L929" s="23"/>
      <c r="M929" s="23"/>
      <c r="N929" s="25" t="str">
        <f>"("""&amp;B929&amp;""") ("&amp;Vlookup(E929,DropDown!J:N,5,FALSE)&amp;" OR """ &amp;YEAR(D929) &amp; """ OR ""All New"" OR Episode OR Watch OR tv OR Show OR Series OR season OR binge OR Stream OR Film OR Movie OR Premiere OR Screening OR Feature OR Trailer OR Teaser OR theater OR release)"</f>
        <v>#N/A</v>
      </c>
      <c r="O929" s="23" t="str">
        <f t="shared" si="1"/>
        <v>#</v>
      </c>
      <c r="P929" s="23" t="str">
        <f t="shared" si="2"/>
        <v>#</v>
      </c>
      <c r="Q929" s="23"/>
      <c r="R929" s="23" t="str">
        <f>"("""&amp;B929&amp;""") ("&amp;Vlookup(E929,DropDown!R:V,5,FALSE)&amp;IF(ISBLANK(D929)," | "," "&amp;"OR """&amp;YEAR(D929)&amp;""" | ") &amp; """All New"" | Episode | Watch | tv | Show | Series | season | binge | Stream | Film | Movie | Premiere | Screening | Feature | Trailer | Teaser | theater | release)"</f>
        <v>#N/A</v>
      </c>
      <c r="S929" s="23"/>
      <c r="T929" s="23"/>
      <c r="U929" s="23"/>
      <c r="V929" s="23"/>
      <c r="W929" s="23"/>
      <c r="X929" s="38"/>
      <c r="Y929" s="38"/>
      <c r="Z929" s="38"/>
      <c r="AA929" s="38"/>
    </row>
    <row r="930">
      <c r="A930" s="31"/>
      <c r="B930" s="38"/>
      <c r="C930" s="38"/>
      <c r="D930" s="50"/>
      <c r="E930" s="50"/>
      <c r="F930" s="50"/>
      <c r="G930" s="27" t="str">
        <f>VLOOKUP(E930,DropDown!J:K,2,FALSE)</f>
        <v>#N/A</v>
      </c>
      <c r="H930" s="50"/>
      <c r="I930" s="50"/>
      <c r="J930" s="50"/>
      <c r="K930" s="25" t="s">
        <v>116</v>
      </c>
      <c r="L930" s="23"/>
      <c r="M930" s="23"/>
      <c r="N930" s="25" t="str">
        <f>"("""&amp;B930&amp;""") ("&amp;Vlookup(E930,DropDown!J:N,5,FALSE)&amp;" OR """ &amp;YEAR(D930) &amp; """ OR ""All New"" OR Episode OR Watch OR tv OR Show OR Series OR season OR binge OR Stream OR Film OR Movie OR Premiere OR Screening OR Feature OR Trailer OR Teaser OR theater OR release)"</f>
        <v>#N/A</v>
      </c>
      <c r="O930" s="23" t="str">
        <f t="shared" si="1"/>
        <v>#</v>
      </c>
      <c r="P930" s="23" t="str">
        <f t="shared" si="2"/>
        <v>#</v>
      </c>
      <c r="Q930" s="23"/>
      <c r="R930" s="23" t="str">
        <f>"("""&amp;B930&amp;""") ("&amp;Vlookup(E930,DropDown!R:V,5,FALSE)&amp;IF(ISBLANK(D930)," | "," "&amp;"OR """&amp;YEAR(D930)&amp;""" | ") &amp; """All New"" | Episode | Watch | tv | Show | Series | season | binge | Stream | Film | Movie | Premiere | Screening | Feature | Trailer | Teaser | theater | release)"</f>
        <v>#N/A</v>
      </c>
      <c r="S930" s="23"/>
      <c r="T930" s="23"/>
      <c r="U930" s="23"/>
      <c r="V930" s="23"/>
      <c r="W930" s="23"/>
      <c r="X930" s="38"/>
      <c r="Y930" s="38"/>
      <c r="Z930" s="38"/>
      <c r="AA930" s="38"/>
    </row>
    <row r="931">
      <c r="A931" s="31"/>
      <c r="B931" s="38"/>
      <c r="C931" s="38"/>
      <c r="D931" s="50"/>
      <c r="E931" s="50"/>
      <c r="F931" s="50"/>
      <c r="G931" s="27" t="str">
        <f>VLOOKUP(E931,DropDown!J:K,2,FALSE)</f>
        <v>#N/A</v>
      </c>
      <c r="H931" s="50"/>
      <c r="I931" s="50"/>
      <c r="J931" s="50"/>
      <c r="K931" s="25" t="s">
        <v>116</v>
      </c>
      <c r="L931" s="23"/>
      <c r="M931" s="23"/>
      <c r="N931" s="25" t="str">
        <f>"("""&amp;B931&amp;""") ("&amp;Vlookup(E931,DropDown!J:N,5,FALSE)&amp;" OR """ &amp;YEAR(D931) &amp; """ OR ""All New"" OR Episode OR Watch OR tv OR Show OR Series OR season OR binge OR Stream OR Film OR Movie OR Premiere OR Screening OR Feature OR Trailer OR Teaser OR theater OR release)"</f>
        <v>#N/A</v>
      </c>
      <c r="O931" s="23" t="str">
        <f t="shared" si="1"/>
        <v>#</v>
      </c>
      <c r="P931" s="23" t="str">
        <f t="shared" si="2"/>
        <v>#</v>
      </c>
      <c r="Q931" s="23"/>
      <c r="R931" s="23" t="str">
        <f>"("""&amp;B931&amp;""") ("&amp;Vlookup(E931,DropDown!R:V,5,FALSE)&amp;IF(ISBLANK(D931)," | "," "&amp;"OR """&amp;YEAR(D931)&amp;""" | ") &amp; """All New"" | Episode | Watch | tv | Show | Series | season | binge | Stream | Film | Movie | Premiere | Screening | Feature | Trailer | Teaser | theater | release)"</f>
        <v>#N/A</v>
      </c>
      <c r="S931" s="23"/>
      <c r="T931" s="23"/>
      <c r="U931" s="23"/>
      <c r="V931" s="23"/>
      <c r="W931" s="23"/>
      <c r="X931" s="38"/>
      <c r="Y931" s="38"/>
      <c r="Z931" s="38"/>
      <c r="AA931" s="38"/>
    </row>
    <row r="932">
      <c r="A932" s="31"/>
      <c r="B932" s="38"/>
      <c r="C932" s="38"/>
      <c r="D932" s="50"/>
      <c r="E932" s="50"/>
      <c r="F932" s="50"/>
      <c r="G932" s="27" t="str">
        <f>VLOOKUP(E932,DropDown!J:K,2,FALSE)</f>
        <v>#N/A</v>
      </c>
      <c r="H932" s="50"/>
      <c r="I932" s="50"/>
      <c r="J932" s="50"/>
      <c r="K932" s="25" t="s">
        <v>116</v>
      </c>
      <c r="L932" s="23"/>
      <c r="M932" s="23"/>
      <c r="N932" s="25" t="str">
        <f>"("""&amp;B932&amp;""") ("&amp;Vlookup(E932,DropDown!J:N,5,FALSE)&amp;" OR """ &amp;YEAR(D932) &amp; """ OR ""All New"" OR Episode OR Watch OR tv OR Show OR Series OR season OR binge OR Stream OR Film OR Movie OR Premiere OR Screening OR Feature OR Trailer OR Teaser OR theater OR release)"</f>
        <v>#N/A</v>
      </c>
      <c r="O932" s="23" t="str">
        <f t="shared" si="1"/>
        <v>#</v>
      </c>
      <c r="P932" s="23" t="str">
        <f t="shared" si="2"/>
        <v>#</v>
      </c>
      <c r="Q932" s="23"/>
      <c r="R932" s="23" t="str">
        <f>"("""&amp;B932&amp;""") ("&amp;Vlookup(E932,DropDown!R:V,5,FALSE)&amp;IF(ISBLANK(D932)," | "," "&amp;"OR """&amp;YEAR(D932)&amp;""" | ") &amp; """All New"" | Episode | Watch | tv | Show | Series | season | binge | Stream | Film | Movie | Premiere | Screening | Feature | Trailer | Teaser | theater | release)"</f>
        <v>#N/A</v>
      </c>
      <c r="S932" s="23"/>
      <c r="T932" s="23"/>
      <c r="U932" s="23"/>
      <c r="V932" s="23"/>
      <c r="W932" s="23"/>
      <c r="X932" s="38"/>
      <c r="Y932" s="38"/>
      <c r="Z932" s="38"/>
      <c r="AA932" s="38"/>
    </row>
    <row r="933">
      <c r="A933" s="31"/>
      <c r="B933" s="38"/>
      <c r="C933" s="38"/>
      <c r="D933" s="50"/>
      <c r="E933" s="50"/>
      <c r="F933" s="50"/>
      <c r="G933" s="27" t="str">
        <f>VLOOKUP(E933,DropDown!J:K,2,FALSE)</f>
        <v>#N/A</v>
      </c>
      <c r="H933" s="50"/>
      <c r="I933" s="50"/>
      <c r="J933" s="50"/>
      <c r="K933" s="25" t="s">
        <v>116</v>
      </c>
      <c r="L933" s="23"/>
      <c r="M933" s="23"/>
      <c r="N933" s="25" t="str">
        <f>"("""&amp;B933&amp;""") ("&amp;Vlookup(E933,DropDown!J:N,5,FALSE)&amp;" OR """ &amp;YEAR(D933) &amp; """ OR ""All New"" OR Episode OR Watch OR tv OR Show OR Series OR season OR binge OR Stream OR Film OR Movie OR Premiere OR Screening OR Feature OR Trailer OR Teaser OR theater OR release)"</f>
        <v>#N/A</v>
      </c>
      <c r="O933" s="23" t="str">
        <f t="shared" si="1"/>
        <v>#</v>
      </c>
      <c r="P933" s="23" t="str">
        <f t="shared" si="2"/>
        <v>#</v>
      </c>
      <c r="Q933" s="23"/>
      <c r="R933" s="23" t="str">
        <f>"("""&amp;B933&amp;""") ("&amp;Vlookup(E933,DropDown!R:V,5,FALSE)&amp;IF(ISBLANK(D933)," | "," "&amp;"OR """&amp;YEAR(D933)&amp;""" | ") &amp; """All New"" | Episode | Watch | tv | Show | Series | season | binge | Stream | Film | Movie | Premiere | Screening | Feature | Trailer | Teaser | theater | release)"</f>
        <v>#N/A</v>
      </c>
      <c r="S933" s="23"/>
      <c r="T933" s="23"/>
      <c r="U933" s="23"/>
      <c r="V933" s="23"/>
      <c r="W933" s="23"/>
      <c r="X933" s="38"/>
      <c r="Y933" s="38"/>
      <c r="Z933" s="38"/>
      <c r="AA933" s="38"/>
    </row>
    <row r="934">
      <c r="A934" s="31"/>
      <c r="B934" s="38"/>
      <c r="C934" s="38"/>
      <c r="D934" s="50"/>
      <c r="E934" s="50"/>
      <c r="F934" s="50"/>
      <c r="G934" s="27" t="str">
        <f>VLOOKUP(E934,DropDown!J:K,2,FALSE)</f>
        <v>#N/A</v>
      </c>
      <c r="H934" s="50"/>
      <c r="I934" s="50"/>
      <c r="J934" s="50"/>
      <c r="K934" s="25" t="s">
        <v>116</v>
      </c>
      <c r="L934" s="23"/>
      <c r="M934" s="23"/>
      <c r="N934" s="25" t="str">
        <f>"("""&amp;B934&amp;""") ("&amp;Vlookup(E934,DropDown!J:N,5,FALSE)&amp;" OR """ &amp;YEAR(D934) &amp; """ OR ""All New"" OR Episode OR Watch OR tv OR Show OR Series OR season OR binge OR Stream OR Film OR Movie OR Premiere OR Screening OR Feature OR Trailer OR Teaser OR theater OR release)"</f>
        <v>#N/A</v>
      </c>
      <c r="O934" s="23" t="str">
        <f t="shared" si="1"/>
        <v>#</v>
      </c>
      <c r="P934" s="23" t="str">
        <f t="shared" si="2"/>
        <v>#</v>
      </c>
      <c r="Q934" s="23"/>
      <c r="R934" s="23" t="str">
        <f>"("""&amp;B934&amp;""") ("&amp;Vlookup(E934,DropDown!R:V,5,FALSE)&amp;IF(ISBLANK(D934)," | "," "&amp;"OR """&amp;YEAR(D934)&amp;""" | ") &amp; """All New"" | Episode | Watch | tv | Show | Series | season | binge | Stream | Film | Movie | Premiere | Screening | Feature | Trailer | Teaser | theater | release)"</f>
        <v>#N/A</v>
      </c>
      <c r="S934" s="23"/>
      <c r="T934" s="23"/>
      <c r="U934" s="23"/>
      <c r="V934" s="23"/>
      <c r="W934" s="23"/>
      <c r="X934" s="38"/>
      <c r="Y934" s="38"/>
      <c r="Z934" s="38"/>
      <c r="AA934" s="38"/>
    </row>
    <row r="935">
      <c r="A935" s="31"/>
      <c r="B935" s="38"/>
      <c r="C935" s="38"/>
      <c r="D935" s="50"/>
      <c r="E935" s="50"/>
      <c r="F935" s="50"/>
      <c r="G935" s="27" t="str">
        <f>VLOOKUP(E935,DropDown!J:K,2,FALSE)</f>
        <v>#N/A</v>
      </c>
      <c r="H935" s="50"/>
      <c r="I935" s="50"/>
      <c r="J935" s="50"/>
      <c r="K935" s="25" t="s">
        <v>116</v>
      </c>
      <c r="L935" s="23"/>
      <c r="M935" s="23"/>
      <c r="N935" s="25" t="str">
        <f>"("""&amp;B935&amp;""") ("&amp;Vlookup(E935,DropDown!J:N,5,FALSE)&amp;" OR """ &amp;YEAR(D935) &amp; """ OR ""All New"" OR Episode OR Watch OR tv OR Show OR Series OR season OR binge OR Stream OR Film OR Movie OR Premiere OR Screening OR Feature OR Trailer OR Teaser OR theater OR release)"</f>
        <v>#N/A</v>
      </c>
      <c r="O935" s="23" t="str">
        <f t="shared" si="1"/>
        <v>#</v>
      </c>
      <c r="P935" s="23" t="str">
        <f t="shared" si="2"/>
        <v>#</v>
      </c>
      <c r="Q935" s="23"/>
      <c r="R935" s="23" t="str">
        <f>"("""&amp;B935&amp;""") ("&amp;Vlookup(E935,DropDown!R:V,5,FALSE)&amp;IF(ISBLANK(D935)," | "," "&amp;"OR """&amp;YEAR(D935)&amp;""" | ") &amp; """All New"" | Episode | Watch | tv | Show | Series | season | binge | Stream | Film | Movie | Premiere | Screening | Feature | Trailer | Teaser | theater | release)"</f>
        <v>#N/A</v>
      </c>
      <c r="S935" s="23"/>
      <c r="T935" s="23"/>
      <c r="U935" s="23"/>
      <c r="V935" s="23"/>
      <c r="W935" s="23"/>
      <c r="X935" s="38"/>
      <c r="Y935" s="38"/>
      <c r="Z935" s="38"/>
      <c r="AA935" s="38"/>
    </row>
    <row r="936">
      <c r="A936" s="31"/>
      <c r="B936" s="38"/>
      <c r="C936" s="38"/>
      <c r="D936" s="50"/>
      <c r="E936" s="50"/>
      <c r="F936" s="50"/>
      <c r="G936" s="27" t="str">
        <f>VLOOKUP(E936,DropDown!J:K,2,FALSE)</f>
        <v>#N/A</v>
      </c>
      <c r="H936" s="50"/>
      <c r="I936" s="50"/>
      <c r="J936" s="50"/>
      <c r="K936" s="25" t="s">
        <v>116</v>
      </c>
      <c r="L936" s="23"/>
      <c r="M936" s="23"/>
      <c r="N936" s="25" t="str">
        <f>"("""&amp;B936&amp;""") ("&amp;Vlookup(E936,DropDown!J:N,5,FALSE)&amp;" OR """ &amp;YEAR(D936) &amp; """ OR ""All New"" OR Episode OR Watch OR tv OR Show OR Series OR season OR binge OR Stream OR Film OR Movie OR Premiere OR Screening OR Feature OR Trailer OR Teaser OR theater OR release)"</f>
        <v>#N/A</v>
      </c>
      <c r="O936" s="23" t="str">
        <f t="shared" si="1"/>
        <v>#</v>
      </c>
      <c r="P936" s="23" t="str">
        <f t="shared" si="2"/>
        <v>#</v>
      </c>
      <c r="Q936" s="23"/>
      <c r="R936" s="23" t="str">
        <f>"("""&amp;B936&amp;""") ("&amp;Vlookup(E936,DropDown!R:V,5,FALSE)&amp;IF(ISBLANK(D936)," | "," "&amp;"OR """&amp;YEAR(D936)&amp;""" | ") &amp; """All New"" | Episode | Watch | tv | Show | Series | season | binge | Stream | Film | Movie | Premiere | Screening | Feature | Trailer | Teaser | theater | release)"</f>
        <v>#N/A</v>
      </c>
      <c r="S936" s="23"/>
      <c r="T936" s="23"/>
      <c r="U936" s="23"/>
      <c r="V936" s="23"/>
      <c r="W936" s="23"/>
      <c r="X936" s="38"/>
      <c r="Y936" s="38"/>
      <c r="Z936" s="38"/>
      <c r="AA936" s="38"/>
    </row>
    <row r="937">
      <c r="A937" s="31"/>
      <c r="B937" s="38"/>
      <c r="C937" s="38"/>
      <c r="D937" s="50"/>
      <c r="E937" s="50"/>
      <c r="F937" s="50"/>
      <c r="G937" s="27" t="str">
        <f>VLOOKUP(E937,DropDown!J:K,2,FALSE)</f>
        <v>#N/A</v>
      </c>
      <c r="H937" s="50"/>
      <c r="I937" s="50"/>
      <c r="J937" s="50"/>
      <c r="K937" s="25" t="s">
        <v>116</v>
      </c>
      <c r="L937" s="23"/>
      <c r="M937" s="23"/>
      <c r="N937" s="25" t="str">
        <f>"("""&amp;B937&amp;""") ("&amp;Vlookup(E937,DropDown!J:N,5,FALSE)&amp;" OR """ &amp;YEAR(D937) &amp; """ OR ""All New"" OR Episode OR Watch OR tv OR Show OR Series OR season OR binge OR Stream OR Film OR Movie OR Premiere OR Screening OR Feature OR Trailer OR Teaser OR theater OR release)"</f>
        <v>#N/A</v>
      </c>
      <c r="O937" s="23" t="str">
        <f t="shared" si="1"/>
        <v>#</v>
      </c>
      <c r="P937" s="23" t="str">
        <f t="shared" si="2"/>
        <v>#</v>
      </c>
      <c r="Q937" s="23"/>
      <c r="R937" s="23" t="str">
        <f>"("""&amp;B937&amp;""") ("&amp;Vlookup(E937,DropDown!R:V,5,FALSE)&amp;IF(ISBLANK(D937)," | "," "&amp;"OR """&amp;YEAR(D937)&amp;""" | ") &amp; """All New"" | Episode | Watch | tv | Show | Series | season | binge | Stream | Film | Movie | Premiere | Screening | Feature | Trailer | Teaser | theater | release)"</f>
        <v>#N/A</v>
      </c>
      <c r="S937" s="23"/>
      <c r="T937" s="23"/>
      <c r="U937" s="23"/>
      <c r="V937" s="23"/>
      <c r="W937" s="23"/>
      <c r="X937" s="38"/>
      <c r="Y937" s="38"/>
      <c r="Z937" s="38"/>
      <c r="AA937" s="38"/>
    </row>
    <row r="938">
      <c r="A938" s="31"/>
      <c r="B938" s="38"/>
      <c r="C938" s="38"/>
      <c r="D938" s="50"/>
      <c r="E938" s="50"/>
      <c r="F938" s="50"/>
      <c r="G938" s="27" t="str">
        <f>VLOOKUP(E938,DropDown!J:K,2,FALSE)</f>
        <v>#N/A</v>
      </c>
      <c r="H938" s="50"/>
      <c r="I938" s="50"/>
      <c r="J938" s="50"/>
      <c r="K938" s="25" t="s">
        <v>116</v>
      </c>
      <c r="L938" s="23"/>
      <c r="M938" s="23"/>
      <c r="N938" s="25" t="str">
        <f>"("""&amp;B938&amp;""") ("&amp;Vlookup(E938,DropDown!J:N,5,FALSE)&amp;" OR """ &amp;YEAR(D938) &amp; """ OR ""All New"" OR Episode OR Watch OR tv OR Show OR Series OR season OR binge OR Stream OR Film OR Movie OR Premiere OR Screening OR Feature OR Trailer OR Teaser OR theater OR release)"</f>
        <v>#N/A</v>
      </c>
      <c r="O938" s="23" t="str">
        <f t="shared" si="1"/>
        <v>#</v>
      </c>
      <c r="P938" s="23" t="str">
        <f t="shared" si="2"/>
        <v>#</v>
      </c>
      <c r="Q938" s="23"/>
      <c r="R938" s="23" t="str">
        <f>"("""&amp;B938&amp;""") ("&amp;Vlookup(E938,DropDown!R:V,5,FALSE)&amp;IF(ISBLANK(D938)," | "," "&amp;"OR """&amp;YEAR(D938)&amp;""" | ") &amp; """All New"" | Episode | Watch | tv | Show | Series | season | binge | Stream | Film | Movie | Premiere | Screening | Feature | Trailer | Teaser | theater | release)"</f>
        <v>#N/A</v>
      </c>
      <c r="S938" s="23"/>
      <c r="T938" s="23"/>
      <c r="U938" s="23"/>
      <c r="V938" s="23"/>
      <c r="W938" s="23"/>
      <c r="X938" s="38"/>
      <c r="Y938" s="38"/>
      <c r="Z938" s="38"/>
      <c r="AA938" s="38"/>
    </row>
    <row r="939">
      <c r="A939" s="31"/>
      <c r="B939" s="38"/>
      <c r="C939" s="38"/>
      <c r="D939" s="50"/>
      <c r="E939" s="50"/>
      <c r="F939" s="50"/>
      <c r="G939" s="27" t="str">
        <f>VLOOKUP(E939,DropDown!J:K,2,FALSE)</f>
        <v>#N/A</v>
      </c>
      <c r="H939" s="50"/>
      <c r="I939" s="50"/>
      <c r="J939" s="50"/>
      <c r="K939" s="25" t="s">
        <v>116</v>
      </c>
      <c r="L939" s="23"/>
      <c r="M939" s="23"/>
      <c r="N939" s="25" t="str">
        <f>"("""&amp;B939&amp;""") ("&amp;Vlookup(E939,DropDown!J:N,5,FALSE)&amp;" OR """ &amp;YEAR(D939) &amp; """ OR ""All New"" OR Episode OR Watch OR tv OR Show OR Series OR season OR binge OR Stream OR Film OR Movie OR Premiere OR Screening OR Feature OR Trailer OR Teaser OR theater OR release)"</f>
        <v>#N/A</v>
      </c>
      <c r="O939" s="23" t="str">
        <f t="shared" si="1"/>
        <v>#</v>
      </c>
      <c r="P939" s="23" t="str">
        <f t="shared" si="2"/>
        <v>#</v>
      </c>
      <c r="Q939" s="23"/>
      <c r="R939" s="23" t="str">
        <f>"("""&amp;B939&amp;""") ("&amp;Vlookup(E939,DropDown!R:V,5,FALSE)&amp;IF(ISBLANK(D939)," | "," "&amp;"OR """&amp;YEAR(D939)&amp;""" | ") &amp; """All New"" | Episode | Watch | tv | Show | Series | season | binge | Stream | Film | Movie | Premiere | Screening | Feature | Trailer | Teaser | theater | release)"</f>
        <v>#N/A</v>
      </c>
      <c r="S939" s="23"/>
      <c r="T939" s="23"/>
      <c r="U939" s="23"/>
      <c r="V939" s="23"/>
      <c r="W939" s="23"/>
      <c r="X939" s="38"/>
      <c r="Y939" s="38"/>
      <c r="Z939" s="38"/>
      <c r="AA939" s="38"/>
    </row>
    <row r="940">
      <c r="A940" s="31"/>
      <c r="B940" s="38"/>
      <c r="C940" s="38"/>
      <c r="D940" s="50"/>
      <c r="E940" s="50"/>
      <c r="F940" s="50"/>
      <c r="G940" s="27" t="str">
        <f>VLOOKUP(E940,DropDown!J:K,2,FALSE)</f>
        <v>#N/A</v>
      </c>
      <c r="H940" s="50"/>
      <c r="I940" s="50"/>
      <c r="J940" s="50"/>
      <c r="K940" s="25" t="s">
        <v>116</v>
      </c>
      <c r="L940" s="23"/>
      <c r="M940" s="23"/>
      <c r="N940" s="25" t="str">
        <f>"("""&amp;B940&amp;""") ("&amp;Vlookup(E940,DropDown!J:N,5,FALSE)&amp;" OR """ &amp;YEAR(D940) &amp; """ OR ""All New"" OR Episode OR Watch OR tv OR Show OR Series OR season OR binge OR Stream OR Film OR Movie OR Premiere OR Screening OR Feature OR Trailer OR Teaser OR theater OR release)"</f>
        <v>#N/A</v>
      </c>
      <c r="O940" s="23" t="str">
        <f t="shared" si="1"/>
        <v>#</v>
      </c>
      <c r="P940" s="23" t="str">
        <f t="shared" si="2"/>
        <v>#</v>
      </c>
      <c r="Q940" s="23"/>
      <c r="R940" s="23" t="str">
        <f>"("""&amp;B940&amp;""") ("&amp;Vlookup(E940,DropDown!R:V,5,FALSE)&amp;IF(ISBLANK(D940)," | "," "&amp;"OR """&amp;YEAR(D940)&amp;""" | ") &amp; """All New"" | Episode | Watch | tv | Show | Series | season | binge | Stream | Film | Movie | Premiere | Screening | Feature | Trailer | Teaser | theater | release)"</f>
        <v>#N/A</v>
      </c>
      <c r="S940" s="23"/>
      <c r="T940" s="23"/>
      <c r="U940" s="23"/>
      <c r="V940" s="23"/>
      <c r="W940" s="23"/>
      <c r="X940" s="38"/>
      <c r="Y940" s="38"/>
      <c r="Z940" s="38"/>
      <c r="AA940" s="38"/>
    </row>
    <row r="941">
      <c r="A941" s="31"/>
      <c r="B941" s="38"/>
      <c r="C941" s="38"/>
      <c r="D941" s="50"/>
      <c r="E941" s="50"/>
      <c r="F941" s="50"/>
      <c r="G941" s="27" t="str">
        <f>VLOOKUP(E941,DropDown!J:K,2,FALSE)</f>
        <v>#N/A</v>
      </c>
      <c r="H941" s="50"/>
      <c r="I941" s="50"/>
      <c r="J941" s="50"/>
      <c r="K941" s="25" t="s">
        <v>116</v>
      </c>
      <c r="L941" s="23"/>
      <c r="M941" s="23"/>
      <c r="N941" s="25" t="str">
        <f>"("""&amp;B941&amp;""") ("&amp;Vlookup(E941,DropDown!J:N,5,FALSE)&amp;" OR """ &amp;YEAR(D941) &amp; """ OR ""All New"" OR Episode OR Watch OR tv OR Show OR Series OR season OR binge OR Stream OR Film OR Movie OR Premiere OR Screening OR Feature OR Trailer OR Teaser OR theater OR release)"</f>
        <v>#N/A</v>
      </c>
      <c r="O941" s="23" t="str">
        <f t="shared" si="1"/>
        <v>#</v>
      </c>
      <c r="P941" s="23" t="str">
        <f t="shared" si="2"/>
        <v>#</v>
      </c>
      <c r="Q941" s="23"/>
      <c r="R941" s="23" t="str">
        <f>"("""&amp;B941&amp;""") ("&amp;Vlookup(E941,DropDown!R:V,5,FALSE)&amp;IF(ISBLANK(D941)," | "," "&amp;"OR """&amp;YEAR(D941)&amp;""" | ") &amp; """All New"" | Episode | Watch | tv | Show | Series | season | binge | Stream | Film | Movie | Premiere | Screening | Feature | Trailer | Teaser | theater | release)"</f>
        <v>#N/A</v>
      </c>
      <c r="S941" s="23"/>
      <c r="T941" s="23"/>
      <c r="U941" s="23"/>
      <c r="V941" s="23"/>
      <c r="W941" s="23"/>
      <c r="X941" s="38"/>
      <c r="Y941" s="38"/>
      <c r="Z941" s="38"/>
      <c r="AA941" s="38"/>
    </row>
    <row r="942">
      <c r="A942" s="31"/>
      <c r="B942" s="38"/>
      <c r="C942" s="38"/>
      <c r="D942" s="50"/>
      <c r="E942" s="50"/>
      <c r="F942" s="50"/>
      <c r="G942" s="27" t="str">
        <f>VLOOKUP(E942,DropDown!J:K,2,FALSE)</f>
        <v>#N/A</v>
      </c>
      <c r="H942" s="50"/>
      <c r="I942" s="50"/>
      <c r="J942" s="50"/>
      <c r="K942" s="25" t="s">
        <v>116</v>
      </c>
      <c r="L942" s="23"/>
      <c r="M942" s="23"/>
      <c r="N942" s="25" t="str">
        <f>"("""&amp;B942&amp;""") ("&amp;Vlookup(E942,DropDown!J:N,5,FALSE)&amp;" OR """ &amp;YEAR(D942) &amp; """ OR ""All New"" OR Episode OR Watch OR tv OR Show OR Series OR season OR binge OR Stream OR Film OR Movie OR Premiere OR Screening OR Feature OR Trailer OR Teaser OR theater OR release)"</f>
        <v>#N/A</v>
      </c>
      <c r="O942" s="23" t="str">
        <f t="shared" si="1"/>
        <v>#</v>
      </c>
      <c r="P942" s="23" t="str">
        <f t="shared" si="2"/>
        <v>#</v>
      </c>
      <c r="Q942" s="23"/>
      <c r="R942" s="23" t="str">
        <f>"("""&amp;B942&amp;""") ("&amp;Vlookup(E942,DropDown!R:V,5,FALSE)&amp;IF(ISBLANK(D942)," | "," "&amp;"OR """&amp;YEAR(D942)&amp;""" | ") &amp; """All New"" | Episode | Watch | tv | Show | Series | season | binge | Stream | Film | Movie | Premiere | Screening | Feature | Trailer | Teaser | theater | release)"</f>
        <v>#N/A</v>
      </c>
      <c r="S942" s="23"/>
      <c r="T942" s="23"/>
      <c r="U942" s="23"/>
      <c r="V942" s="23"/>
      <c r="W942" s="23"/>
      <c r="X942" s="38"/>
      <c r="Y942" s="38"/>
      <c r="Z942" s="38"/>
      <c r="AA942" s="38"/>
    </row>
    <row r="943">
      <c r="A943" s="31"/>
      <c r="B943" s="38"/>
      <c r="C943" s="38"/>
      <c r="D943" s="50"/>
      <c r="E943" s="50"/>
      <c r="F943" s="50"/>
      <c r="G943" s="27" t="str">
        <f>VLOOKUP(E943,DropDown!J:K,2,FALSE)</f>
        <v>#N/A</v>
      </c>
      <c r="H943" s="50"/>
      <c r="I943" s="50"/>
      <c r="J943" s="50"/>
      <c r="K943" s="25" t="s">
        <v>116</v>
      </c>
      <c r="L943" s="23"/>
      <c r="M943" s="23"/>
      <c r="N943" s="25" t="str">
        <f>"("""&amp;B943&amp;""") ("&amp;Vlookup(E943,DropDown!J:N,5,FALSE)&amp;" OR """ &amp;YEAR(D943) &amp; """ OR ""All New"" OR Episode OR Watch OR tv OR Show OR Series OR season OR binge OR Stream OR Film OR Movie OR Premiere OR Screening OR Feature OR Trailer OR Teaser OR theater OR release)"</f>
        <v>#N/A</v>
      </c>
      <c r="O943" s="23" t="str">
        <f t="shared" si="1"/>
        <v>#</v>
      </c>
      <c r="P943" s="23" t="str">
        <f t="shared" si="2"/>
        <v>#</v>
      </c>
      <c r="Q943" s="23"/>
      <c r="R943" s="23" t="str">
        <f>"("""&amp;B943&amp;""") ("&amp;Vlookup(E943,DropDown!R:V,5,FALSE)&amp;IF(ISBLANK(D943)," | "," "&amp;"OR """&amp;YEAR(D943)&amp;""" | ") &amp; """All New"" | Episode | Watch | tv | Show | Series | season | binge | Stream | Film | Movie | Premiere | Screening | Feature | Trailer | Teaser | theater | release)"</f>
        <v>#N/A</v>
      </c>
      <c r="S943" s="23"/>
      <c r="T943" s="23"/>
      <c r="U943" s="23"/>
      <c r="V943" s="23"/>
      <c r="W943" s="23"/>
      <c r="X943" s="38"/>
      <c r="Y943" s="38"/>
      <c r="Z943" s="38"/>
      <c r="AA943" s="38"/>
    </row>
    <row r="944">
      <c r="A944" s="31"/>
      <c r="B944" s="38"/>
      <c r="C944" s="38"/>
      <c r="D944" s="50"/>
      <c r="E944" s="50"/>
      <c r="F944" s="50"/>
      <c r="G944" s="27" t="str">
        <f>VLOOKUP(E944,DropDown!J:K,2,FALSE)</f>
        <v>#N/A</v>
      </c>
      <c r="H944" s="50"/>
      <c r="I944" s="50"/>
      <c r="J944" s="50"/>
      <c r="K944" s="25" t="s">
        <v>116</v>
      </c>
      <c r="L944" s="23"/>
      <c r="M944" s="23"/>
      <c r="N944" s="25" t="str">
        <f>"("""&amp;B944&amp;""") ("&amp;Vlookup(E944,DropDown!J:N,5,FALSE)&amp;" OR """ &amp;YEAR(D944) &amp; """ OR ""All New"" OR Episode OR Watch OR tv OR Show OR Series OR season OR binge OR Stream OR Film OR Movie OR Premiere OR Screening OR Feature OR Trailer OR Teaser OR theater OR release)"</f>
        <v>#N/A</v>
      </c>
      <c r="O944" s="23" t="str">
        <f t="shared" si="1"/>
        <v>#</v>
      </c>
      <c r="P944" s="23" t="str">
        <f t="shared" si="2"/>
        <v>#</v>
      </c>
      <c r="Q944" s="23"/>
      <c r="R944" s="23" t="str">
        <f>"("""&amp;B944&amp;""") ("&amp;Vlookup(E944,DropDown!R:V,5,FALSE)&amp;IF(ISBLANK(D944)," | "," "&amp;"OR """&amp;YEAR(D944)&amp;""" | ") &amp; """All New"" | Episode | Watch | tv | Show | Series | season | binge | Stream | Film | Movie | Premiere | Screening | Feature | Trailer | Teaser | theater | release)"</f>
        <v>#N/A</v>
      </c>
      <c r="S944" s="23"/>
      <c r="T944" s="23"/>
      <c r="U944" s="23"/>
      <c r="V944" s="23"/>
      <c r="W944" s="23"/>
      <c r="X944" s="38"/>
      <c r="Y944" s="38"/>
      <c r="Z944" s="38"/>
      <c r="AA944" s="38"/>
    </row>
    <row r="945">
      <c r="A945" s="31"/>
      <c r="B945" s="38"/>
      <c r="C945" s="38"/>
      <c r="D945" s="50"/>
      <c r="E945" s="50"/>
      <c r="F945" s="50"/>
      <c r="G945" s="27" t="str">
        <f>VLOOKUP(E945,DropDown!J:K,2,FALSE)</f>
        <v>#N/A</v>
      </c>
      <c r="H945" s="50"/>
      <c r="I945" s="50"/>
      <c r="J945" s="50"/>
      <c r="K945" s="25" t="s">
        <v>116</v>
      </c>
      <c r="L945" s="23"/>
      <c r="M945" s="23"/>
      <c r="N945" s="25" t="str">
        <f>"("""&amp;B945&amp;""") ("&amp;Vlookup(E945,DropDown!J:N,5,FALSE)&amp;" OR """ &amp;YEAR(D945) &amp; """ OR ""All New"" OR Episode OR Watch OR tv OR Show OR Series OR season OR binge OR Stream OR Film OR Movie OR Premiere OR Screening OR Feature OR Trailer OR Teaser OR theater OR release)"</f>
        <v>#N/A</v>
      </c>
      <c r="O945" s="23" t="str">
        <f t="shared" si="1"/>
        <v>#</v>
      </c>
      <c r="P945" s="23" t="str">
        <f t="shared" si="2"/>
        <v>#</v>
      </c>
      <c r="Q945" s="23"/>
      <c r="R945" s="23" t="str">
        <f>"("""&amp;B945&amp;""") ("&amp;Vlookup(E945,DropDown!R:V,5,FALSE)&amp;IF(ISBLANK(D945)," | "," "&amp;"OR """&amp;YEAR(D945)&amp;""" | ") &amp; """All New"" | Episode | Watch | tv | Show | Series | season | binge | Stream | Film | Movie | Premiere | Screening | Feature | Trailer | Teaser | theater | release)"</f>
        <v>#N/A</v>
      </c>
      <c r="S945" s="23"/>
      <c r="T945" s="23"/>
      <c r="U945" s="23"/>
      <c r="V945" s="23"/>
      <c r="W945" s="23"/>
      <c r="X945" s="38"/>
      <c r="Y945" s="38"/>
      <c r="Z945" s="38"/>
      <c r="AA945" s="38"/>
    </row>
    <row r="946">
      <c r="A946" s="31"/>
      <c r="B946" s="38"/>
      <c r="C946" s="38"/>
      <c r="D946" s="50"/>
      <c r="E946" s="50"/>
      <c r="F946" s="50"/>
      <c r="G946" s="27" t="str">
        <f>VLOOKUP(E946,DropDown!J:K,2,FALSE)</f>
        <v>#N/A</v>
      </c>
      <c r="H946" s="50"/>
      <c r="I946" s="50"/>
      <c r="J946" s="50"/>
      <c r="K946" s="25" t="s">
        <v>116</v>
      </c>
      <c r="L946" s="23"/>
      <c r="M946" s="23"/>
      <c r="N946" s="25" t="str">
        <f>"("""&amp;B946&amp;""") ("&amp;Vlookup(E946,DropDown!J:N,5,FALSE)&amp;" OR """ &amp;YEAR(D946) &amp; """ OR ""All New"" OR Episode OR Watch OR tv OR Show OR Series OR season OR binge OR Stream OR Film OR Movie OR Premiere OR Screening OR Feature OR Trailer OR Teaser OR theater OR release)"</f>
        <v>#N/A</v>
      </c>
      <c r="O946" s="23" t="str">
        <f t="shared" si="1"/>
        <v>#</v>
      </c>
      <c r="P946" s="23" t="str">
        <f t="shared" si="2"/>
        <v>#</v>
      </c>
      <c r="Q946" s="23"/>
      <c r="R946" s="23" t="str">
        <f>"("""&amp;B946&amp;""") ("&amp;Vlookup(E946,DropDown!R:V,5,FALSE)&amp;IF(ISBLANK(D946)," | "," "&amp;"OR """&amp;YEAR(D946)&amp;""" | ") &amp; """All New"" | Episode | Watch | tv | Show | Series | season | binge | Stream | Film | Movie | Premiere | Screening | Feature | Trailer | Teaser | theater | release)"</f>
        <v>#N/A</v>
      </c>
      <c r="S946" s="23"/>
      <c r="T946" s="23"/>
      <c r="U946" s="23"/>
      <c r="V946" s="23"/>
      <c r="W946" s="23"/>
      <c r="X946" s="38"/>
      <c r="Y946" s="38"/>
      <c r="Z946" s="38"/>
      <c r="AA946" s="38"/>
    </row>
    <row r="947">
      <c r="A947" s="31"/>
      <c r="B947" s="38"/>
      <c r="C947" s="38"/>
      <c r="D947" s="50"/>
      <c r="E947" s="50"/>
      <c r="F947" s="50"/>
      <c r="G947" s="27" t="str">
        <f>VLOOKUP(E947,DropDown!J:K,2,FALSE)</f>
        <v>#N/A</v>
      </c>
      <c r="H947" s="50"/>
      <c r="I947" s="50"/>
      <c r="J947" s="50"/>
      <c r="K947" s="25" t="s">
        <v>116</v>
      </c>
      <c r="L947" s="23"/>
      <c r="M947" s="23"/>
      <c r="N947" s="25" t="str">
        <f>"("""&amp;B947&amp;""") ("&amp;Vlookup(E947,DropDown!J:N,5,FALSE)&amp;" OR """ &amp;YEAR(D947) &amp; """ OR ""All New"" OR Episode OR Watch OR tv OR Show OR Series OR season OR binge OR Stream OR Film OR Movie OR Premiere OR Screening OR Feature OR Trailer OR Teaser OR theater OR release)"</f>
        <v>#N/A</v>
      </c>
      <c r="O947" s="23" t="str">
        <f t="shared" si="1"/>
        <v>#</v>
      </c>
      <c r="P947" s="23" t="str">
        <f t="shared" si="2"/>
        <v>#</v>
      </c>
      <c r="Q947" s="23"/>
      <c r="R947" s="23" t="str">
        <f>"("""&amp;B947&amp;""") ("&amp;Vlookup(E947,DropDown!R:V,5,FALSE)&amp;IF(ISBLANK(D947)," | "," "&amp;"OR """&amp;YEAR(D947)&amp;""" | ") &amp; """All New"" | Episode | Watch | tv | Show | Series | season | binge | Stream | Film | Movie | Premiere | Screening | Feature | Trailer | Teaser | theater | release)"</f>
        <v>#N/A</v>
      </c>
      <c r="S947" s="23"/>
      <c r="T947" s="23"/>
      <c r="U947" s="23"/>
      <c r="V947" s="23"/>
      <c r="W947" s="23"/>
      <c r="X947" s="38"/>
      <c r="Y947" s="38"/>
      <c r="Z947" s="38"/>
      <c r="AA947" s="38"/>
    </row>
    <row r="948">
      <c r="A948" s="31"/>
      <c r="B948" s="38"/>
      <c r="C948" s="38"/>
      <c r="D948" s="50"/>
      <c r="E948" s="50"/>
      <c r="F948" s="50"/>
      <c r="G948" s="27" t="str">
        <f>VLOOKUP(E948,DropDown!J:K,2,FALSE)</f>
        <v>#N/A</v>
      </c>
      <c r="H948" s="50"/>
      <c r="I948" s="50"/>
      <c r="J948" s="50"/>
      <c r="K948" s="25" t="s">
        <v>116</v>
      </c>
      <c r="L948" s="23"/>
      <c r="M948" s="23"/>
      <c r="N948" s="25" t="str">
        <f>"("""&amp;B948&amp;""") ("&amp;Vlookup(E948,DropDown!J:N,5,FALSE)&amp;" OR """ &amp;YEAR(D948) &amp; """ OR ""All New"" OR Episode OR Watch OR tv OR Show OR Series OR season OR binge OR Stream OR Film OR Movie OR Premiere OR Screening OR Feature OR Trailer OR Teaser OR theater OR release)"</f>
        <v>#N/A</v>
      </c>
      <c r="O948" s="23" t="str">
        <f t="shared" si="1"/>
        <v>#</v>
      </c>
      <c r="P948" s="23" t="str">
        <f t="shared" si="2"/>
        <v>#</v>
      </c>
      <c r="Q948" s="23"/>
      <c r="R948" s="23" t="str">
        <f>"("""&amp;B948&amp;""") ("&amp;Vlookup(E948,DropDown!R:V,5,FALSE)&amp;IF(ISBLANK(D948)," | "," "&amp;"OR """&amp;YEAR(D948)&amp;""" | ") &amp; """All New"" | Episode | Watch | tv | Show | Series | season | binge | Stream | Film | Movie | Premiere | Screening | Feature | Trailer | Teaser | theater | release)"</f>
        <v>#N/A</v>
      </c>
      <c r="S948" s="23"/>
      <c r="T948" s="23"/>
      <c r="U948" s="23"/>
      <c r="V948" s="23"/>
      <c r="W948" s="23"/>
      <c r="X948" s="38"/>
      <c r="Y948" s="38"/>
      <c r="Z948" s="38"/>
      <c r="AA948" s="38"/>
    </row>
    <row r="949">
      <c r="A949" s="31"/>
      <c r="B949" s="38"/>
      <c r="C949" s="38"/>
      <c r="D949" s="50"/>
      <c r="E949" s="50"/>
      <c r="F949" s="50"/>
      <c r="G949" s="27" t="str">
        <f>VLOOKUP(E949,DropDown!J:K,2,FALSE)</f>
        <v>#N/A</v>
      </c>
      <c r="H949" s="50"/>
      <c r="I949" s="50"/>
      <c r="J949" s="50"/>
      <c r="K949" s="25" t="s">
        <v>116</v>
      </c>
      <c r="L949" s="23"/>
      <c r="M949" s="23"/>
      <c r="N949" s="25" t="str">
        <f>"("""&amp;B949&amp;""") ("&amp;Vlookup(E949,DropDown!J:N,5,FALSE)&amp;" OR """ &amp;YEAR(D949) &amp; """ OR ""All New"" OR Episode OR Watch OR tv OR Show OR Series OR season OR binge OR Stream OR Film OR Movie OR Premiere OR Screening OR Feature OR Trailer OR Teaser OR theater OR release)"</f>
        <v>#N/A</v>
      </c>
      <c r="O949" s="23" t="str">
        <f t="shared" si="1"/>
        <v>#</v>
      </c>
      <c r="P949" s="23" t="str">
        <f t="shared" si="2"/>
        <v>#</v>
      </c>
      <c r="Q949" s="23"/>
      <c r="R949" s="23" t="str">
        <f>"("""&amp;B949&amp;""") ("&amp;Vlookup(E949,DropDown!R:V,5,FALSE)&amp;IF(ISBLANK(D949)," | "," "&amp;"OR """&amp;YEAR(D949)&amp;""" | ") &amp; """All New"" | Episode | Watch | tv | Show | Series | season | binge | Stream | Film | Movie | Premiere | Screening | Feature | Trailer | Teaser | theater | release)"</f>
        <v>#N/A</v>
      </c>
      <c r="S949" s="23"/>
      <c r="T949" s="23"/>
      <c r="U949" s="23"/>
      <c r="V949" s="23"/>
      <c r="W949" s="23"/>
      <c r="X949" s="38"/>
      <c r="Y949" s="38"/>
      <c r="Z949" s="38"/>
      <c r="AA949" s="38"/>
    </row>
    <row r="950">
      <c r="A950" s="31"/>
      <c r="B950" s="38"/>
      <c r="C950" s="38"/>
      <c r="D950" s="50"/>
      <c r="E950" s="50"/>
      <c r="F950" s="50"/>
      <c r="G950" s="27" t="str">
        <f>VLOOKUP(E950,DropDown!J:K,2,FALSE)</f>
        <v>#N/A</v>
      </c>
      <c r="H950" s="50"/>
      <c r="I950" s="50"/>
      <c r="J950" s="50"/>
      <c r="K950" s="25" t="s">
        <v>116</v>
      </c>
      <c r="L950" s="23"/>
      <c r="M950" s="23"/>
      <c r="N950" s="25" t="str">
        <f>"("""&amp;B950&amp;""") ("&amp;Vlookup(E950,DropDown!J:N,5,FALSE)&amp;" OR """ &amp;YEAR(D950) &amp; """ OR ""All New"" OR Episode OR Watch OR tv OR Show OR Series OR season OR binge OR Stream OR Film OR Movie OR Premiere OR Screening OR Feature OR Trailer OR Teaser OR theater OR release)"</f>
        <v>#N/A</v>
      </c>
      <c r="O950" s="23" t="str">
        <f t="shared" si="1"/>
        <v>#</v>
      </c>
      <c r="P950" s="23" t="str">
        <f t="shared" si="2"/>
        <v>#</v>
      </c>
      <c r="Q950" s="23"/>
      <c r="R950" s="23" t="str">
        <f>"("""&amp;B950&amp;""") ("&amp;Vlookup(E950,DropDown!R:V,5,FALSE)&amp;IF(ISBLANK(D950)," | "," "&amp;"OR """&amp;YEAR(D950)&amp;""" | ") &amp; """All New"" | Episode | Watch | tv | Show | Series | season | binge | Stream | Film | Movie | Premiere | Screening | Feature | Trailer | Teaser | theater | release)"</f>
        <v>#N/A</v>
      </c>
      <c r="S950" s="23"/>
      <c r="T950" s="23"/>
      <c r="U950" s="23"/>
      <c r="V950" s="23"/>
      <c r="W950" s="23"/>
      <c r="X950" s="38"/>
      <c r="Y950" s="38"/>
      <c r="Z950" s="38"/>
      <c r="AA950" s="38"/>
    </row>
    <row r="951">
      <c r="A951" s="31"/>
      <c r="B951" s="38"/>
      <c r="C951" s="38"/>
      <c r="D951" s="50"/>
      <c r="E951" s="50"/>
      <c r="F951" s="50"/>
      <c r="G951" s="27" t="str">
        <f>VLOOKUP(E951,DropDown!J:K,2,FALSE)</f>
        <v>#N/A</v>
      </c>
      <c r="H951" s="50"/>
      <c r="I951" s="50"/>
      <c r="J951" s="50"/>
      <c r="K951" s="25" t="s">
        <v>116</v>
      </c>
      <c r="L951" s="23"/>
      <c r="M951" s="23"/>
      <c r="N951" s="25" t="str">
        <f>"("""&amp;B951&amp;""") ("&amp;Vlookup(E951,DropDown!J:N,5,FALSE)&amp;" OR """ &amp;YEAR(D951) &amp; """ OR ""All New"" OR Episode OR Watch OR tv OR Show OR Series OR season OR binge OR Stream OR Film OR Movie OR Premiere OR Screening OR Feature OR Trailer OR Teaser OR theater OR release)"</f>
        <v>#N/A</v>
      </c>
      <c r="O951" s="23" t="str">
        <f t="shared" si="1"/>
        <v>#</v>
      </c>
      <c r="P951" s="23" t="str">
        <f t="shared" si="2"/>
        <v>#</v>
      </c>
      <c r="Q951" s="23"/>
      <c r="R951" s="23" t="str">
        <f>"("""&amp;B951&amp;""") ("&amp;Vlookup(E951,DropDown!R:V,5,FALSE)&amp;IF(ISBLANK(D951)," | "," "&amp;"OR """&amp;YEAR(D951)&amp;""" | ") &amp; """All New"" | Episode | Watch | tv | Show | Series | season | binge | Stream | Film | Movie | Premiere | Screening | Feature | Trailer | Teaser | theater | release)"</f>
        <v>#N/A</v>
      </c>
      <c r="S951" s="23"/>
      <c r="T951" s="23"/>
      <c r="U951" s="23"/>
      <c r="V951" s="23"/>
      <c r="W951" s="23"/>
      <c r="X951" s="38"/>
      <c r="Y951" s="38"/>
      <c r="Z951" s="38"/>
      <c r="AA951" s="38"/>
    </row>
    <row r="952">
      <c r="A952" s="31"/>
      <c r="B952" s="38"/>
      <c r="C952" s="38"/>
      <c r="D952" s="50"/>
      <c r="E952" s="50"/>
      <c r="F952" s="50"/>
      <c r="G952" s="27" t="str">
        <f>VLOOKUP(E952,DropDown!J:K,2,FALSE)</f>
        <v>#N/A</v>
      </c>
      <c r="H952" s="50"/>
      <c r="I952" s="50"/>
      <c r="J952" s="50"/>
      <c r="K952" s="25" t="s">
        <v>116</v>
      </c>
      <c r="L952" s="23"/>
      <c r="M952" s="23"/>
      <c r="N952" s="25" t="str">
        <f>"("""&amp;B952&amp;""") ("&amp;Vlookup(E952,DropDown!J:N,5,FALSE)&amp;" OR """ &amp;YEAR(D952) &amp; """ OR ""All New"" OR Episode OR Watch OR tv OR Show OR Series OR season OR binge OR Stream OR Film OR Movie OR Premiere OR Screening OR Feature OR Trailer OR Teaser OR theater OR release)"</f>
        <v>#N/A</v>
      </c>
      <c r="O952" s="23" t="str">
        <f t="shared" si="1"/>
        <v>#</v>
      </c>
      <c r="P952" s="23" t="str">
        <f t="shared" si="2"/>
        <v>#</v>
      </c>
      <c r="Q952" s="23"/>
      <c r="R952" s="23" t="str">
        <f>"("""&amp;B952&amp;""") ("&amp;Vlookup(E952,DropDown!R:V,5,FALSE)&amp;IF(ISBLANK(D952)," | "," "&amp;"OR """&amp;YEAR(D952)&amp;""" | ") &amp; """All New"" | Episode | Watch | tv | Show | Series | season | binge | Stream | Film | Movie | Premiere | Screening | Feature | Trailer | Teaser | theater | release)"</f>
        <v>#N/A</v>
      </c>
      <c r="S952" s="23"/>
      <c r="T952" s="23"/>
      <c r="U952" s="23"/>
      <c r="V952" s="23"/>
      <c r="W952" s="23"/>
      <c r="X952" s="38"/>
      <c r="Y952" s="38"/>
      <c r="Z952" s="38"/>
      <c r="AA952" s="38"/>
    </row>
    <row r="953">
      <c r="A953" s="31"/>
      <c r="B953" s="38"/>
      <c r="C953" s="38"/>
      <c r="D953" s="50"/>
      <c r="E953" s="50"/>
      <c r="F953" s="50"/>
      <c r="G953" s="27" t="str">
        <f>VLOOKUP(E953,DropDown!J:K,2,FALSE)</f>
        <v>#N/A</v>
      </c>
      <c r="H953" s="50"/>
      <c r="I953" s="50"/>
      <c r="J953" s="50"/>
      <c r="K953" s="25" t="s">
        <v>116</v>
      </c>
      <c r="L953" s="23"/>
      <c r="M953" s="23"/>
      <c r="N953" s="25" t="str">
        <f>"("""&amp;B953&amp;""") ("&amp;Vlookup(E953,DropDown!J:N,5,FALSE)&amp;" OR """ &amp;YEAR(D953) &amp; """ OR ""All New"" OR Episode OR Watch OR tv OR Show OR Series OR season OR binge OR Stream OR Film OR Movie OR Premiere OR Screening OR Feature OR Trailer OR Teaser OR theater OR release)"</f>
        <v>#N/A</v>
      </c>
      <c r="O953" s="23" t="str">
        <f t="shared" si="1"/>
        <v>#</v>
      </c>
      <c r="P953" s="23" t="str">
        <f t="shared" si="2"/>
        <v>#</v>
      </c>
      <c r="Q953" s="23"/>
      <c r="R953" s="23" t="str">
        <f>"("""&amp;B953&amp;""") ("&amp;Vlookup(E953,DropDown!R:V,5,FALSE)&amp;IF(ISBLANK(D953)," | "," "&amp;"OR """&amp;YEAR(D953)&amp;""" | ") &amp; """All New"" | Episode | Watch | tv | Show | Series | season | binge | Stream | Film | Movie | Premiere | Screening | Feature | Trailer | Teaser | theater | release)"</f>
        <v>#N/A</v>
      </c>
      <c r="S953" s="23"/>
      <c r="T953" s="23"/>
      <c r="U953" s="23"/>
      <c r="V953" s="23"/>
      <c r="W953" s="23"/>
      <c r="X953" s="38"/>
      <c r="Y953" s="38"/>
      <c r="Z953" s="38"/>
      <c r="AA953" s="38"/>
    </row>
    <row r="954">
      <c r="A954" s="31"/>
      <c r="B954" s="38"/>
      <c r="C954" s="38"/>
      <c r="D954" s="50"/>
      <c r="E954" s="50"/>
      <c r="F954" s="50"/>
      <c r="G954" s="27" t="str">
        <f>VLOOKUP(E954,DropDown!J:K,2,FALSE)</f>
        <v>#N/A</v>
      </c>
      <c r="H954" s="50"/>
      <c r="I954" s="50"/>
      <c r="J954" s="50"/>
      <c r="K954" s="25" t="s">
        <v>116</v>
      </c>
      <c r="L954" s="23"/>
      <c r="M954" s="23"/>
      <c r="N954" s="25" t="str">
        <f>"("""&amp;B954&amp;""") ("&amp;Vlookup(E954,DropDown!J:N,5,FALSE)&amp;" OR """ &amp;YEAR(D954) &amp; """ OR ""All New"" OR Episode OR Watch OR tv OR Show OR Series OR season OR binge OR Stream OR Film OR Movie OR Premiere OR Screening OR Feature OR Trailer OR Teaser OR theater OR release)"</f>
        <v>#N/A</v>
      </c>
      <c r="O954" s="23" t="str">
        <f t="shared" si="1"/>
        <v>#</v>
      </c>
      <c r="P954" s="23" t="str">
        <f t="shared" si="2"/>
        <v>#</v>
      </c>
      <c r="Q954" s="23"/>
      <c r="R954" s="23" t="str">
        <f>"("""&amp;B954&amp;""") ("&amp;Vlookup(E954,DropDown!R:V,5,FALSE)&amp;IF(ISBLANK(D954)," | "," "&amp;"OR """&amp;YEAR(D954)&amp;""" | ") &amp; """All New"" | Episode | Watch | tv | Show | Series | season | binge | Stream | Film | Movie | Premiere | Screening | Feature | Trailer | Teaser | theater | release)"</f>
        <v>#N/A</v>
      </c>
      <c r="S954" s="23"/>
      <c r="T954" s="23"/>
      <c r="U954" s="23"/>
      <c r="V954" s="23"/>
      <c r="W954" s="23"/>
      <c r="X954" s="38"/>
      <c r="Y954" s="38"/>
      <c r="Z954" s="38"/>
      <c r="AA954" s="38"/>
    </row>
    <row r="955">
      <c r="A955" s="31"/>
      <c r="B955" s="38"/>
      <c r="C955" s="38"/>
      <c r="D955" s="50"/>
      <c r="E955" s="50"/>
      <c r="F955" s="50"/>
      <c r="G955" s="27" t="str">
        <f>VLOOKUP(E955,DropDown!J:K,2,FALSE)</f>
        <v>#N/A</v>
      </c>
      <c r="H955" s="50"/>
      <c r="I955" s="50"/>
      <c r="J955" s="50"/>
      <c r="K955" s="25" t="s">
        <v>116</v>
      </c>
      <c r="L955" s="23"/>
      <c r="M955" s="23"/>
      <c r="N955" s="25" t="str">
        <f>"("""&amp;B955&amp;""") ("&amp;Vlookup(E955,DropDown!J:N,5,FALSE)&amp;" OR """ &amp;YEAR(D955) &amp; """ OR ""All New"" OR Episode OR Watch OR tv OR Show OR Series OR season OR binge OR Stream OR Film OR Movie OR Premiere OR Screening OR Feature OR Trailer OR Teaser OR theater OR release)"</f>
        <v>#N/A</v>
      </c>
      <c r="O955" s="23" t="str">
        <f t="shared" si="1"/>
        <v>#</v>
      </c>
      <c r="P955" s="23" t="str">
        <f t="shared" si="2"/>
        <v>#</v>
      </c>
      <c r="Q955" s="23"/>
      <c r="R955" s="23" t="str">
        <f>"("""&amp;B955&amp;""") ("&amp;Vlookup(E955,DropDown!R:V,5,FALSE)&amp;IF(ISBLANK(D955)," | "," "&amp;"OR """&amp;YEAR(D955)&amp;""" | ") &amp; """All New"" | Episode | Watch | tv | Show | Series | season | binge | Stream | Film | Movie | Premiere | Screening | Feature | Trailer | Teaser | theater | release)"</f>
        <v>#N/A</v>
      </c>
      <c r="S955" s="23"/>
      <c r="T955" s="23"/>
      <c r="U955" s="23"/>
      <c r="V955" s="23"/>
      <c r="W955" s="23"/>
      <c r="X955" s="38"/>
      <c r="Y955" s="38"/>
      <c r="Z955" s="38"/>
      <c r="AA955" s="38"/>
    </row>
    <row r="956">
      <c r="A956" s="31"/>
      <c r="B956" s="38"/>
      <c r="C956" s="38"/>
      <c r="D956" s="50"/>
      <c r="E956" s="50"/>
      <c r="F956" s="50"/>
      <c r="G956" s="27" t="str">
        <f>VLOOKUP(E956,DropDown!J:K,2,FALSE)</f>
        <v>#N/A</v>
      </c>
      <c r="H956" s="50"/>
      <c r="I956" s="50"/>
      <c r="J956" s="50"/>
      <c r="K956" s="25" t="s">
        <v>116</v>
      </c>
      <c r="L956" s="23"/>
      <c r="M956" s="23"/>
      <c r="N956" s="25" t="str">
        <f>"("""&amp;B956&amp;""") ("&amp;Vlookup(E956,DropDown!J:N,5,FALSE)&amp;" OR """ &amp;YEAR(D956) &amp; """ OR ""All New"" OR Episode OR Watch OR tv OR Show OR Series OR season OR binge OR Stream OR Film OR Movie OR Premiere OR Screening OR Feature OR Trailer OR Teaser OR theater OR release)"</f>
        <v>#N/A</v>
      </c>
      <c r="O956" s="23" t="str">
        <f t="shared" si="1"/>
        <v>#</v>
      </c>
      <c r="P956" s="23" t="str">
        <f t="shared" si="2"/>
        <v>#</v>
      </c>
      <c r="Q956" s="23"/>
      <c r="R956" s="23" t="str">
        <f>"("""&amp;B956&amp;""") ("&amp;Vlookup(E956,DropDown!R:V,5,FALSE)&amp;IF(ISBLANK(D956)," | "," "&amp;"OR """&amp;YEAR(D956)&amp;""" | ") &amp; """All New"" | Episode | Watch | tv | Show | Series | season | binge | Stream | Film | Movie | Premiere | Screening | Feature | Trailer | Teaser | theater | release)"</f>
        <v>#N/A</v>
      </c>
      <c r="S956" s="23"/>
      <c r="T956" s="23"/>
      <c r="U956" s="23"/>
      <c r="V956" s="23"/>
      <c r="W956" s="23"/>
      <c r="X956" s="38"/>
      <c r="Y956" s="38"/>
      <c r="Z956" s="38"/>
      <c r="AA956" s="38"/>
    </row>
    <row r="957">
      <c r="A957" s="31"/>
      <c r="B957" s="38"/>
      <c r="C957" s="38"/>
      <c r="D957" s="50"/>
      <c r="E957" s="50"/>
      <c r="F957" s="50"/>
      <c r="G957" s="27" t="str">
        <f>VLOOKUP(E957,DropDown!J:K,2,FALSE)</f>
        <v>#N/A</v>
      </c>
      <c r="H957" s="50"/>
      <c r="I957" s="50"/>
      <c r="J957" s="50"/>
      <c r="K957" s="25" t="s">
        <v>116</v>
      </c>
      <c r="L957" s="23"/>
      <c r="M957" s="23"/>
      <c r="N957" s="25" t="str">
        <f>"("""&amp;B957&amp;""") ("&amp;Vlookup(E957,DropDown!J:N,5,FALSE)&amp;" OR """ &amp;YEAR(D957) &amp; """ OR ""All New"" OR Episode OR Watch OR tv OR Show OR Series OR season OR binge OR Stream OR Film OR Movie OR Premiere OR Screening OR Feature OR Trailer OR Teaser OR theater OR release)"</f>
        <v>#N/A</v>
      </c>
      <c r="O957" s="23" t="str">
        <f t="shared" si="1"/>
        <v>#</v>
      </c>
      <c r="P957" s="23" t="str">
        <f t="shared" si="2"/>
        <v>#</v>
      </c>
      <c r="Q957" s="23"/>
      <c r="R957" s="23" t="str">
        <f>"("""&amp;B957&amp;""") ("&amp;Vlookup(E957,DropDown!R:V,5,FALSE)&amp;IF(ISBLANK(D957)," | "," "&amp;"OR """&amp;YEAR(D957)&amp;""" | ") &amp; """All New"" | Episode | Watch | tv | Show | Series | season | binge | Stream | Film | Movie | Premiere | Screening | Feature | Trailer | Teaser | theater | release)"</f>
        <v>#N/A</v>
      </c>
      <c r="S957" s="23"/>
      <c r="T957" s="23"/>
      <c r="U957" s="23"/>
      <c r="V957" s="23"/>
      <c r="W957" s="23"/>
      <c r="X957" s="38"/>
      <c r="Y957" s="38"/>
      <c r="Z957" s="38"/>
      <c r="AA957" s="38"/>
    </row>
    <row r="958">
      <c r="A958" s="31"/>
      <c r="B958" s="38"/>
      <c r="C958" s="38"/>
      <c r="D958" s="50"/>
      <c r="E958" s="50"/>
      <c r="F958" s="50"/>
      <c r="G958" s="27" t="str">
        <f>VLOOKUP(E958,DropDown!J:K,2,FALSE)</f>
        <v>#N/A</v>
      </c>
      <c r="H958" s="50"/>
      <c r="I958" s="50"/>
      <c r="J958" s="50"/>
      <c r="K958" s="25" t="s">
        <v>116</v>
      </c>
      <c r="L958" s="23"/>
      <c r="M958" s="23"/>
      <c r="N958" s="25" t="str">
        <f>"("""&amp;B958&amp;""") ("&amp;Vlookup(E958,DropDown!J:N,5,FALSE)&amp;" OR """ &amp;YEAR(D958) &amp; """ OR ""All New"" OR Episode OR Watch OR tv OR Show OR Series OR season OR binge OR Stream OR Film OR Movie OR Premiere OR Screening OR Feature OR Trailer OR Teaser OR theater OR release)"</f>
        <v>#N/A</v>
      </c>
      <c r="O958" s="23" t="str">
        <f t="shared" si="1"/>
        <v>#</v>
      </c>
      <c r="P958" s="23" t="str">
        <f t="shared" si="2"/>
        <v>#</v>
      </c>
      <c r="Q958" s="23"/>
      <c r="R958" s="23" t="str">
        <f>"("""&amp;B958&amp;""") ("&amp;Vlookup(E958,DropDown!R:V,5,FALSE)&amp;IF(ISBLANK(D958)," | "," "&amp;"OR """&amp;YEAR(D958)&amp;""" | ") &amp; """All New"" | Episode | Watch | tv | Show | Series | season | binge | Stream | Film | Movie | Premiere | Screening | Feature | Trailer | Teaser | theater | release)"</f>
        <v>#N/A</v>
      </c>
      <c r="S958" s="23"/>
      <c r="T958" s="23"/>
      <c r="U958" s="23"/>
      <c r="V958" s="23"/>
      <c r="W958" s="23"/>
      <c r="X958" s="38"/>
      <c r="Y958" s="38"/>
      <c r="Z958" s="38"/>
      <c r="AA958" s="38"/>
    </row>
    <row r="959">
      <c r="A959" s="31"/>
      <c r="B959" s="38"/>
      <c r="C959" s="38"/>
      <c r="D959" s="50"/>
      <c r="E959" s="50"/>
      <c r="F959" s="50"/>
      <c r="G959" s="27" t="str">
        <f>VLOOKUP(E959,DropDown!J:K,2,FALSE)</f>
        <v>#N/A</v>
      </c>
      <c r="H959" s="50"/>
      <c r="I959" s="50"/>
      <c r="J959" s="50"/>
      <c r="K959" s="25" t="s">
        <v>116</v>
      </c>
      <c r="L959" s="23"/>
      <c r="M959" s="23"/>
      <c r="N959" s="25" t="str">
        <f>"("""&amp;B959&amp;""") ("&amp;Vlookup(E959,DropDown!J:N,5,FALSE)&amp;" OR """ &amp;YEAR(D959) &amp; """ OR ""All New"" OR Episode OR Watch OR tv OR Show OR Series OR season OR binge OR Stream OR Film OR Movie OR Premiere OR Screening OR Feature OR Trailer OR Teaser OR theater OR release)"</f>
        <v>#N/A</v>
      </c>
      <c r="O959" s="23" t="str">
        <f t="shared" si="1"/>
        <v>#</v>
      </c>
      <c r="P959" s="23" t="str">
        <f t="shared" si="2"/>
        <v>#</v>
      </c>
      <c r="Q959" s="23"/>
      <c r="R959" s="23" t="str">
        <f>"("""&amp;B959&amp;""") ("&amp;Vlookup(E959,DropDown!R:V,5,FALSE)&amp;IF(ISBLANK(D959)," | "," "&amp;"OR """&amp;YEAR(D959)&amp;""" | ") &amp; """All New"" | Episode | Watch | tv | Show | Series | season | binge | Stream | Film | Movie | Premiere | Screening | Feature | Trailer | Teaser | theater | release)"</f>
        <v>#N/A</v>
      </c>
      <c r="S959" s="23"/>
      <c r="T959" s="23"/>
      <c r="U959" s="23"/>
      <c r="V959" s="23"/>
      <c r="W959" s="23"/>
      <c r="X959" s="38"/>
      <c r="Y959" s="38"/>
      <c r="Z959" s="38"/>
      <c r="AA959" s="38"/>
    </row>
    <row r="960">
      <c r="A960" s="31"/>
      <c r="B960" s="38"/>
      <c r="C960" s="38"/>
      <c r="D960" s="50"/>
      <c r="E960" s="50"/>
      <c r="F960" s="50"/>
      <c r="G960" s="27" t="str">
        <f>VLOOKUP(E960,DropDown!J:K,2,FALSE)</f>
        <v>#N/A</v>
      </c>
      <c r="H960" s="50"/>
      <c r="I960" s="50"/>
      <c r="J960" s="50"/>
      <c r="K960" s="25" t="s">
        <v>116</v>
      </c>
      <c r="L960" s="23"/>
      <c r="M960" s="23"/>
      <c r="N960" s="25" t="str">
        <f>"("""&amp;B960&amp;""") ("&amp;Vlookup(E960,DropDown!J:N,5,FALSE)&amp;" OR """ &amp;YEAR(D960) &amp; """ OR ""All New"" OR Episode OR Watch OR tv OR Show OR Series OR season OR binge OR Stream OR Film OR Movie OR Premiere OR Screening OR Feature OR Trailer OR Teaser OR theater OR release)"</f>
        <v>#N/A</v>
      </c>
      <c r="O960" s="23" t="str">
        <f t="shared" si="1"/>
        <v>#</v>
      </c>
      <c r="P960" s="23" t="str">
        <f t="shared" si="2"/>
        <v>#</v>
      </c>
      <c r="Q960" s="23"/>
      <c r="R960" s="23" t="str">
        <f>"("""&amp;B960&amp;""") ("&amp;Vlookup(E960,DropDown!R:V,5,FALSE)&amp;IF(ISBLANK(D960)," | "," "&amp;"OR """&amp;YEAR(D960)&amp;""" | ") &amp; """All New"" | Episode | Watch | tv | Show | Series | season | binge | Stream | Film | Movie | Premiere | Screening | Feature | Trailer | Teaser | theater | release)"</f>
        <v>#N/A</v>
      </c>
      <c r="S960" s="23"/>
      <c r="T960" s="23"/>
      <c r="U960" s="23"/>
      <c r="V960" s="23"/>
      <c r="W960" s="23"/>
      <c r="X960" s="38"/>
      <c r="Y960" s="38"/>
      <c r="Z960" s="38"/>
      <c r="AA960" s="38"/>
    </row>
    <row r="961">
      <c r="A961" s="31"/>
      <c r="B961" s="38"/>
      <c r="C961" s="38"/>
      <c r="D961" s="50"/>
      <c r="E961" s="50"/>
      <c r="F961" s="50"/>
      <c r="G961" s="27" t="str">
        <f>VLOOKUP(E961,DropDown!J:K,2,FALSE)</f>
        <v>#N/A</v>
      </c>
      <c r="H961" s="50"/>
      <c r="I961" s="50"/>
      <c r="J961" s="50"/>
      <c r="K961" s="25" t="s">
        <v>116</v>
      </c>
      <c r="L961" s="23"/>
      <c r="M961" s="23"/>
      <c r="N961" s="25" t="str">
        <f>"("""&amp;B961&amp;""") ("&amp;Vlookup(E961,DropDown!J:N,5,FALSE)&amp;" OR """ &amp;YEAR(D961) &amp; """ OR ""All New"" OR Episode OR Watch OR tv OR Show OR Series OR season OR binge OR Stream OR Film OR Movie OR Premiere OR Screening OR Feature OR Trailer OR Teaser OR theater OR release)"</f>
        <v>#N/A</v>
      </c>
      <c r="O961" s="23" t="str">
        <f t="shared" si="1"/>
        <v>#</v>
      </c>
      <c r="P961" s="23" t="str">
        <f t="shared" si="2"/>
        <v>#</v>
      </c>
      <c r="Q961" s="23"/>
      <c r="R961" s="23" t="str">
        <f>"("""&amp;B961&amp;""") ("&amp;Vlookup(E961,DropDown!R:V,5,FALSE)&amp;IF(ISBLANK(D961)," | "," "&amp;"OR """&amp;YEAR(D961)&amp;""" | ") &amp; """All New"" | Episode | Watch | tv | Show | Series | season | binge | Stream | Film | Movie | Premiere | Screening | Feature | Trailer | Teaser | theater | release)"</f>
        <v>#N/A</v>
      </c>
      <c r="S961" s="23"/>
      <c r="T961" s="23"/>
      <c r="U961" s="23"/>
      <c r="V961" s="23"/>
      <c r="W961" s="23"/>
      <c r="X961" s="38"/>
      <c r="Y961" s="38"/>
      <c r="Z961" s="38"/>
      <c r="AA961" s="38"/>
    </row>
    <row r="962">
      <c r="A962" s="31"/>
      <c r="B962" s="38"/>
      <c r="C962" s="38"/>
      <c r="D962" s="50"/>
      <c r="E962" s="50"/>
      <c r="F962" s="50"/>
      <c r="G962" s="27" t="str">
        <f>VLOOKUP(E962,DropDown!J:K,2,FALSE)</f>
        <v>#N/A</v>
      </c>
      <c r="H962" s="50"/>
      <c r="I962" s="50"/>
      <c r="J962" s="50"/>
      <c r="K962" s="25" t="s">
        <v>116</v>
      </c>
      <c r="L962" s="23"/>
      <c r="M962" s="23"/>
      <c r="N962" s="25" t="str">
        <f>"("""&amp;B962&amp;""") ("&amp;Vlookup(E962,DropDown!J:N,5,FALSE)&amp;" OR """ &amp;YEAR(D962) &amp; """ OR ""All New"" OR Episode OR Watch OR tv OR Show OR Series OR season OR binge OR Stream OR Film OR Movie OR Premiere OR Screening OR Feature OR Trailer OR Teaser OR theater OR release)"</f>
        <v>#N/A</v>
      </c>
      <c r="O962" s="23" t="str">
        <f t="shared" si="1"/>
        <v>#</v>
      </c>
      <c r="P962" s="23" t="str">
        <f t="shared" si="2"/>
        <v>#</v>
      </c>
      <c r="Q962" s="23"/>
      <c r="R962" s="23" t="str">
        <f>"("""&amp;B962&amp;""") ("&amp;Vlookup(E962,DropDown!R:V,5,FALSE)&amp;IF(ISBLANK(D962)," | "," "&amp;"OR """&amp;YEAR(D962)&amp;""" | ") &amp; """All New"" | Episode | Watch | tv | Show | Series | season | binge | Stream | Film | Movie | Premiere | Screening | Feature | Trailer | Teaser | theater | release)"</f>
        <v>#N/A</v>
      </c>
      <c r="S962" s="23"/>
      <c r="T962" s="23"/>
      <c r="U962" s="23"/>
      <c r="V962" s="23"/>
      <c r="W962" s="23"/>
      <c r="X962" s="38"/>
      <c r="Y962" s="38"/>
      <c r="Z962" s="38"/>
      <c r="AA962" s="38"/>
    </row>
    <row r="963">
      <c r="A963" s="31"/>
      <c r="B963" s="38"/>
      <c r="C963" s="38"/>
      <c r="D963" s="50"/>
      <c r="E963" s="50"/>
      <c r="F963" s="50"/>
      <c r="G963" s="27" t="str">
        <f>VLOOKUP(E963,DropDown!J:K,2,FALSE)</f>
        <v>#N/A</v>
      </c>
      <c r="H963" s="50"/>
      <c r="I963" s="50"/>
      <c r="J963" s="50"/>
      <c r="K963" s="25" t="s">
        <v>116</v>
      </c>
      <c r="L963" s="23"/>
      <c r="M963" s="23"/>
      <c r="N963" s="25" t="str">
        <f>"("""&amp;B963&amp;""") ("&amp;Vlookup(E963,DropDown!J:N,5,FALSE)&amp;" OR """ &amp;YEAR(D963) &amp; """ OR ""All New"" OR Episode OR Watch OR tv OR Show OR Series OR season OR binge OR Stream OR Film OR Movie OR Premiere OR Screening OR Feature OR Trailer OR Teaser OR theater OR release)"</f>
        <v>#N/A</v>
      </c>
      <c r="O963" s="23" t="str">
        <f t="shared" si="1"/>
        <v>#</v>
      </c>
      <c r="P963" s="23" t="str">
        <f t="shared" si="2"/>
        <v>#</v>
      </c>
      <c r="Q963" s="23"/>
      <c r="R963" s="23" t="str">
        <f>"("""&amp;B963&amp;""") ("&amp;Vlookup(E963,DropDown!R:V,5,FALSE)&amp;IF(ISBLANK(D963)," | "," "&amp;"OR """&amp;YEAR(D963)&amp;""" | ") &amp; """All New"" | Episode | Watch | tv | Show | Series | season | binge | Stream | Film | Movie | Premiere | Screening | Feature | Trailer | Teaser | theater | release)"</f>
        <v>#N/A</v>
      </c>
      <c r="S963" s="23"/>
      <c r="T963" s="23"/>
      <c r="U963" s="23"/>
      <c r="V963" s="23"/>
      <c r="W963" s="23"/>
      <c r="X963" s="38"/>
      <c r="Y963" s="38"/>
      <c r="Z963" s="38"/>
      <c r="AA963" s="38"/>
    </row>
    <row r="964">
      <c r="A964" s="31"/>
      <c r="B964" s="38"/>
      <c r="C964" s="38"/>
      <c r="D964" s="50"/>
      <c r="E964" s="50"/>
      <c r="F964" s="50"/>
      <c r="G964" s="27" t="str">
        <f>VLOOKUP(E964,DropDown!J:K,2,FALSE)</f>
        <v>#N/A</v>
      </c>
      <c r="H964" s="50"/>
      <c r="I964" s="50"/>
      <c r="J964" s="50"/>
      <c r="K964" s="25" t="s">
        <v>116</v>
      </c>
      <c r="L964" s="23"/>
      <c r="M964" s="23"/>
      <c r="N964" s="25" t="str">
        <f>"("""&amp;B964&amp;""") ("&amp;Vlookup(E964,DropDown!J:N,5,FALSE)&amp;" OR """ &amp;YEAR(D964) &amp; """ OR ""All New"" OR Episode OR Watch OR tv OR Show OR Series OR season OR binge OR Stream OR Film OR Movie OR Premiere OR Screening OR Feature OR Trailer OR Teaser OR theater OR release)"</f>
        <v>#N/A</v>
      </c>
      <c r="O964" s="23" t="str">
        <f t="shared" si="1"/>
        <v>#</v>
      </c>
      <c r="P964" s="23" t="str">
        <f t="shared" si="2"/>
        <v>#</v>
      </c>
      <c r="Q964" s="23"/>
      <c r="R964" s="23" t="str">
        <f>"("""&amp;B964&amp;""") ("&amp;Vlookup(E964,DropDown!R:V,5,FALSE)&amp;IF(ISBLANK(D964)," | "," "&amp;"OR """&amp;YEAR(D964)&amp;""" | ") &amp; """All New"" | Episode | Watch | tv | Show | Series | season | binge | Stream | Film | Movie | Premiere | Screening | Feature | Trailer | Teaser | theater | release)"</f>
        <v>#N/A</v>
      </c>
      <c r="S964" s="23"/>
      <c r="T964" s="23"/>
      <c r="U964" s="23"/>
      <c r="V964" s="23"/>
      <c r="W964" s="23"/>
      <c r="X964" s="38"/>
      <c r="Y964" s="38"/>
      <c r="Z964" s="38"/>
      <c r="AA964" s="38"/>
    </row>
    <row r="965">
      <c r="A965" s="31"/>
      <c r="B965" s="38"/>
      <c r="C965" s="38"/>
      <c r="D965" s="50"/>
      <c r="E965" s="50"/>
      <c r="F965" s="50"/>
      <c r="G965" s="27" t="str">
        <f>VLOOKUP(E965,DropDown!J:K,2,FALSE)</f>
        <v>#N/A</v>
      </c>
      <c r="H965" s="50"/>
      <c r="I965" s="50"/>
      <c r="J965" s="50"/>
      <c r="K965" s="25" t="s">
        <v>116</v>
      </c>
      <c r="L965" s="23"/>
      <c r="M965" s="23"/>
      <c r="N965" s="25" t="str">
        <f>"("""&amp;B965&amp;""") ("&amp;Vlookup(E965,DropDown!J:N,5,FALSE)&amp;" OR """ &amp;YEAR(D965) &amp; """ OR ""All New"" OR Episode OR Watch OR tv OR Show OR Series OR season OR binge OR Stream OR Film OR Movie OR Premiere OR Screening OR Feature OR Trailer OR Teaser OR theater OR release)"</f>
        <v>#N/A</v>
      </c>
      <c r="O965" s="23" t="str">
        <f t="shared" si="1"/>
        <v>#</v>
      </c>
      <c r="P965" s="23" t="str">
        <f t="shared" si="2"/>
        <v>#</v>
      </c>
      <c r="Q965" s="23"/>
      <c r="R965" s="23" t="str">
        <f>"("""&amp;B965&amp;""") ("&amp;Vlookup(E965,DropDown!R:V,5,FALSE)&amp;IF(ISBLANK(D965)," | "," "&amp;"OR """&amp;YEAR(D965)&amp;""" | ") &amp; """All New"" | Episode | Watch | tv | Show | Series | season | binge | Stream | Film | Movie | Premiere | Screening | Feature | Trailer | Teaser | theater | release)"</f>
        <v>#N/A</v>
      </c>
      <c r="S965" s="23"/>
      <c r="T965" s="23"/>
      <c r="U965" s="23"/>
      <c r="V965" s="23"/>
      <c r="W965" s="23"/>
      <c r="X965" s="38"/>
      <c r="Y965" s="38"/>
      <c r="Z965" s="38"/>
      <c r="AA965" s="38"/>
    </row>
    <row r="966">
      <c r="A966" s="31"/>
      <c r="B966" s="38"/>
      <c r="C966" s="38"/>
      <c r="D966" s="50"/>
      <c r="E966" s="50"/>
      <c r="F966" s="50"/>
      <c r="G966" s="27" t="str">
        <f>VLOOKUP(E966,DropDown!J:K,2,FALSE)</f>
        <v>#N/A</v>
      </c>
      <c r="H966" s="50"/>
      <c r="I966" s="50"/>
      <c r="J966" s="50"/>
      <c r="K966" s="25" t="s">
        <v>116</v>
      </c>
      <c r="L966" s="23"/>
      <c r="M966" s="23"/>
      <c r="N966" s="25" t="str">
        <f>"("""&amp;B966&amp;""") ("&amp;Vlookup(E966,DropDown!J:N,5,FALSE)&amp;" OR """ &amp;YEAR(D966) &amp; """ OR ""All New"" OR Episode OR Watch OR tv OR Show OR Series OR season OR binge OR Stream OR Film OR Movie OR Premiere OR Screening OR Feature OR Trailer OR Teaser OR theater OR release)"</f>
        <v>#N/A</v>
      </c>
      <c r="O966" s="23" t="str">
        <f t="shared" si="1"/>
        <v>#</v>
      </c>
      <c r="P966" s="23" t="str">
        <f t="shared" si="2"/>
        <v>#</v>
      </c>
      <c r="Q966" s="23"/>
      <c r="R966" s="23" t="str">
        <f>"("""&amp;B966&amp;""") ("&amp;Vlookup(E966,DropDown!R:V,5,FALSE)&amp;IF(ISBLANK(D966)," | "," "&amp;"OR """&amp;YEAR(D966)&amp;""" | ") &amp; """All New"" | Episode | Watch | tv | Show | Series | season | binge | Stream | Film | Movie | Premiere | Screening | Feature | Trailer | Teaser | theater | release)"</f>
        <v>#N/A</v>
      </c>
      <c r="S966" s="23"/>
      <c r="T966" s="23"/>
      <c r="U966" s="23"/>
      <c r="V966" s="23"/>
      <c r="W966" s="23"/>
      <c r="X966" s="38"/>
      <c r="Y966" s="38"/>
      <c r="Z966" s="38"/>
      <c r="AA966" s="38"/>
    </row>
    <row r="967">
      <c r="A967" s="31"/>
      <c r="B967" s="38"/>
      <c r="C967" s="38"/>
      <c r="D967" s="50"/>
      <c r="E967" s="50"/>
      <c r="F967" s="50"/>
      <c r="G967" s="27" t="str">
        <f>VLOOKUP(E967,DropDown!J:K,2,FALSE)</f>
        <v>#N/A</v>
      </c>
      <c r="H967" s="50"/>
      <c r="I967" s="50"/>
      <c r="J967" s="50"/>
      <c r="K967" s="25" t="s">
        <v>116</v>
      </c>
      <c r="L967" s="23"/>
      <c r="M967" s="23"/>
      <c r="N967" s="25" t="str">
        <f>"("""&amp;B967&amp;""") ("&amp;Vlookup(E967,DropDown!J:N,5,FALSE)&amp;" OR """ &amp;YEAR(D967) &amp; """ OR ""All New"" OR Episode OR Watch OR tv OR Show OR Series OR season OR binge OR Stream OR Film OR Movie OR Premiere OR Screening OR Feature OR Trailer OR Teaser OR theater OR release)"</f>
        <v>#N/A</v>
      </c>
      <c r="O967" s="23" t="str">
        <f t="shared" si="1"/>
        <v>#</v>
      </c>
      <c r="P967" s="23" t="str">
        <f t="shared" si="2"/>
        <v>#</v>
      </c>
      <c r="Q967" s="23"/>
      <c r="R967" s="23" t="str">
        <f>"("""&amp;B967&amp;""") ("&amp;Vlookup(E967,DropDown!R:V,5,FALSE)&amp;IF(ISBLANK(D967)," | "," "&amp;"OR """&amp;YEAR(D967)&amp;""" | ") &amp; """All New"" | Episode | Watch | tv | Show | Series | season | binge | Stream | Film | Movie | Premiere | Screening | Feature | Trailer | Teaser | theater | release)"</f>
        <v>#N/A</v>
      </c>
      <c r="S967" s="23"/>
      <c r="T967" s="23"/>
      <c r="U967" s="23"/>
      <c r="V967" s="23"/>
      <c r="W967" s="23"/>
      <c r="X967" s="38"/>
      <c r="Y967" s="38"/>
      <c r="Z967" s="38"/>
      <c r="AA967" s="38"/>
    </row>
    <row r="968">
      <c r="A968" s="31"/>
      <c r="B968" s="38"/>
      <c r="C968" s="38"/>
      <c r="D968" s="50"/>
      <c r="E968" s="50"/>
      <c r="F968" s="50"/>
      <c r="G968" s="27" t="str">
        <f>VLOOKUP(E968,DropDown!J:K,2,FALSE)</f>
        <v>#N/A</v>
      </c>
      <c r="H968" s="50"/>
      <c r="I968" s="50"/>
      <c r="J968" s="50"/>
      <c r="K968" s="25" t="s">
        <v>116</v>
      </c>
      <c r="L968" s="23"/>
      <c r="M968" s="23"/>
      <c r="N968" s="25" t="str">
        <f>"("""&amp;B968&amp;""") ("&amp;Vlookup(E968,DropDown!J:N,5,FALSE)&amp;" OR """ &amp;YEAR(D968) &amp; """ OR ""All New"" OR Episode OR Watch OR tv OR Show OR Series OR season OR binge OR Stream OR Film OR Movie OR Premiere OR Screening OR Feature OR Trailer OR Teaser OR theater OR release)"</f>
        <v>#N/A</v>
      </c>
      <c r="O968" s="23" t="str">
        <f t="shared" si="1"/>
        <v>#</v>
      </c>
      <c r="P968" s="23" t="str">
        <f t="shared" si="2"/>
        <v>#</v>
      </c>
      <c r="Q968" s="23"/>
      <c r="R968" s="23" t="str">
        <f>"("""&amp;B968&amp;""") ("&amp;Vlookup(E968,DropDown!R:V,5,FALSE)&amp;IF(ISBLANK(D968)," | "," "&amp;"OR """&amp;YEAR(D968)&amp;""" | ") &amp; """All New"" | Episode | Watch | tv | Show | Series | season | binge | Stream | Film | Movie | Premiere | Screening | Feature | Trailer | Teaser | theater | release)"</f>
        <v>#N/A</v>
      </c>
      <c r="S968" s="23"/>
      <c r="T968" s="23"/>
      <c r="U968" s="23"/>
      <c r="V968" s="23"/>
      <c r="W968" s="23"/>
      <c r="X968" s="38"/>
      <c r="Y968" s="38"/>
      <c r="Z968" s="38"/>
      <c r="AA968" s="38"/>
    </row>
    <row r="969">
      <c r="A969" s="31"/>
      <c r="B969" s="38"/>
      <c r="C969" s="38"/>
      <c r="D969" s="50"/>
      <c r="E969" s="50"/>
      <c r="F969" s="50"/>
      <c r="G969" s="27" t="str">
        <f>VLOOKUP(E969,DropDown!J:K,2,FALSE)</f>
        <v>#N/A</v>
      </c>
      <c r="H969" s="50"/>
      <c r="I969" s="50"/>
      <c r="J969" s="50"/>
      <c r="K969" s="25" t="s">
        <v>116</v>
      </c>
      <c r="L969" s="23"/>
      <c r="M969" s="23"/>
      <c r="N969" s="25" t="str">
        <f>"("""&amp;B969&amp;""") ("&amp;Vlookup(E969,DropDown!J:N,5,FALSE)&amp;" OR """ &amp;YEAR(D969) &amp; """ OR ""All New"" OR Episode OR Watch OR tv OR Show OR Series OR season OR binge OR Stream OR Film OR Movie OR Premiere OR Screening OR Feature OR Trailer OR Teaser OR theater OR release)"</f>
        <v>#N/A</v>
      </c>
      <c r="O969" s="23" t="str">
        <f t="shared" si="1"/>
        <v>#</v>
      </c>
      <c r="P969" s="23" t="str">
        <f t="shared" si="2"/>
        <v>#</v>
      </c>
      <c r="Q969" s="23"/>
      <c r="R969" s="23" t="str">
        <f>"("""&amp;B969&amp;""") ("&amp;Vlookup(E969,DropDown!R:V,5,FALSE)&amp;IF(ISBLANK(D969)," | "," "&amp;"OR """&amp;YEAR(D969)&amp;""" | ") &amp; """All New"" | Episode | Watch | tv | Show | Series | season | binge | Stream | Film | Movie | Premiere | Screening | Feature | Trailer | Teaser | theater | release)"</f>
        <v>#N/A</v>
      </c>
      <c r="S969" s="23"/>
      <c r="T969" s="23"/>
      <c r="U969" s="23"/>
      <c r="V969" s="23"/>
      <c r="W969" s="23"/>
      <c r="X969" s="38"/>
      <c r="Y969" s="38"/>
      <c r="Z969" s="38"/>
      <c r="AA969" s="38"/>
    </row>
    <row r="970">
      <c r="A970" s="31"/>
      <c r="B970" s="38"/>
      <c r="C970" s="38"/>
      <c r="D970" s="50"/>
      <c r="E970" s="50"/>
      <c r="F970" s="50"/>
      <c r="G970" s="27" t="str">
        <f>VLOOKUP(E970,DropDown!J:K,2,FALSE)</f>
        <v>#N/A</v>
      </c>
      <c r="H970" s="50"/>
      <c r="I970" s="50"/>
      <c r="J970" s="50"/>
      <c r="K970" s="25" t="s">
        <v>116</v>
      </c>
      <c r="L970" s="23"/>
      <c r="M970" s="23"/>
      <c r="N970" s="25" t="str">
        <f>"("""&amp;B970&amp;""") ("&amp;Vlookup(E970,DropDown!J:N,5,FALSE)&amp;" OR """ &amp;YEAR(D970) &amp; """ OR ""All New"" OR Episode OR Watch OR tv OR Show OR Series OR season OR binge OR Stream OR Film OR Movie OR Premiere OR Screening OR Feature OR Trailer OR Teaser OR theater OR release)"</f>
        <v>#N/A</v>
      </c>
      <c r="O970" s="23" t="str">
        <f t="shared" si="1"/>
        <v>#</v>
      </c>
      <c r="P970" s="23" t="str">
        <f t="shared" si="2"/>
        <v>#</v>
      </c>
      <c r="Q970" s="23"/>
      <c r="R970" s="23" t="str">
        <f>"("""&amp;B970&amp;""") ("&amp;Vlookup(E970,DropDown!R:V,5,FALSE)&amp;IF(ISBLANK(D970)," | "," "&amp;"OR """&amp;YEAR(D970)&amp;""" | ") &amp; """All New"" | Episode | Watch | tv | Show | Series | season | binge | Stream | Film | Movie | Premiere | Screening | Feature | Trailer | Teaser | theater | release)"</f>
        <v>#N/A</v>
      </c>
      <c r="S970" s="23"/>
      <c r="T970" s="23"/>
      <c r="U970" s="23"/>
      <c r="V970" s="23"/>
      <c r="W970" s="23"/>
      <c r="X970" s="38"/>
      <c r="Y970" s="38"/>
      <c r="Z970" s="38"/>
      <c r="AA970" s="38"/>
    </row>
    <row r="971">
      <c r="A971" s="31"/>
      <c r="B971" s="38"/>
      <c r="C971" s="38"/>
      <c r="D971" s="50"/>
      <c r="E971" s="50"/>
      <c r="F971" s="50"/>
      <c r="G971" s="27" t="str">
        <f>VLOOKUP(E971,DropDown!J:K,2,FALSE)</f>
        <v>#N/A</v>
      </c>
      <c r="H971" s="50"/>
      <c r="I971" s="50"/>
      <c r="J971" s="50"/>
      <c r="K971" s="25" t="s">
        <v>116</v>
      </c>
      <c r="L971" s="23"/>
      <c r="M971" s="23"/>
      <c r="N971" s="25" t="str">
        <f>"("""&amp;B971&amp;""") ("&amp;Vlookup(E971,DropDown!J:N,5,FALSE)&amp;" OR """ &amp;YEAR(D971) &amp; """ OR ""All New"" OR Episode OR Watch OR tv OR Show OR Series OR season OR binge OR Stream OR Film OR Movie OR Premiere OR Screening OR Feature OR Trailer OR Teaser OR theater OR release)"</f>
        <v>#N/A</v>
      </c>
      <c r="O971" s="23" t="str">
        <f t="shared" si="1"/>
        <v>#</v>
      </c>
      <c r="P971" s="23" t="str">
        <f t="shared" si="2"/>
        <v>#</v>
      </c>
      <c r="Q971" s="23"/>
      <c r="R971" s="23" t="str">
        <f>"("""&amp;B971&amp;""") ("&amp;Vlookup(E971,DropDown!R:V,5,FALSE)&amp;IF(ISBLANK(D971)," | "," "&amp;"OR """&amp;YEAR(D971)&amp;""" | ") &amp; """All New"" | Episode | Watch | tv | Show | Series | season | binge | Stream | Film | Movie | Premiere | Screening | Feature | Trailer | Teaser | theater | release)"</f>
        <v>#N/A</v>
      </c>
      <c r="S971" s="23"/>
      <c r="T971" s="23"/>
      <c r="U971" s="23"/>
      <c r="V971" s="23"/>
      <c r="W971" s="23"/>
      <c r="X971" s="38"/>
      <c r="Y971" s="38"/>
      <c r="Z971" s="38"/>
      <c r="AA971" s="38"/>
    </row>
    <row r="972">
      <c r="A972" s="31"/>
      <c r="B972" s="38"/>
      <c r="C972" s="38"/>
      <c r="D972" s="50"/>
      <c r="E972" s="50"/>
      <c r="F972" s="50"/>
      <c r="G972" s="27" t="str">
        <f>VLOOKUP(E972,DropDown!J:K,2,FALSE)</f>
        <v>#N/A</v>
      </c>
      <c r="H972" s="50"/>
      <c r="I972" s="50"/>
      <c r="J972" s="50"/>
      <c r="K972" s="25" t="s">
        <v>116</v>
      </c>
      <c r="L972" s="23"/>
      <c r="M972" s="23"/>
      <c r="N972" s="25" t="str">
        <f>"("""&amp;B972&amp;""") ("&amp;Vlookup(E972,DropDown!J:N,5,FALSE)&amp;" OR """ &amp;YEAR(D972) &amp; """ OR ""All New"" OR Episode OR Watch OR tv OR Show OR Series OR season OR binge OR Stream OR Film OR Movie OR Premiere OR Screening OR Feature OR Trailer OR Teaser OR theater OR release)"</f>
        <v>#N/A</v>
      </c>
      <c r="O972" s="23" t="str">
        <f t="shared" si="1"/>
        <v>#</v>
      </c>
      <c r="P972" s="23" t="str">
        <f t="shared" si="2"/>
        <v>#</v>
      </c>
      <c r="Q972" s="23"/>
      <c r="R972" s="23" t="str">
        <f>"("""&amp;B972&amp;""") ("&amp;Vlookup(E972,DropDown!R:V,5,FALSE)&amp;IF(ISBLANK(D972)," | "," "&amp;"OR """&amp;YEAR(D972)&amp;""" | ") &amp; """All New"" | Episode | Watch | tv | Show | Series | season | binge | Stream | Film | Movie | Premiere | Screening | Feature | Trailer | Teaser | theater | release)"</f>
        <v>#N/A</v>
      </c>
      <c r="S972" s="23"/>
      <c r="T972" s="23"/>
      <c r="U972" s="23"/>
      <c r="V972" s="23"/>
      <c r="W972" s="23"/>
      <c r="X972" s="38"/>
      <c r="Y972" s="38"/>
      <c r="Z972" s="38"/>
      <c r="AA972" s="38"/>
    </row>
    <row r="973">
      <c r="A973" s="31"/>
      <c r="B973" s="38"/>
      <c r="C973" s="38"/>
      <c r="D973" s="50"/>
      <c r="E973" s="50"/>
      <c r="F973" s="50"/>
      <c r="G973" s="27" t="str">
        <f>VLOOKUP(E973,DropDown!J:K,2,FALSE)</f>
        <v>#N/A</v>
      </c>
      <c r="H973" s="50"/>
      <c r="I973" s="50"/>
      <c r="J973" s="50"/>
      <c r="K973" s="25" t="s">
        <v>116</v>
      </c>
      <c r="L973" s="23"/>
      <c r="M973" s="23"/>
      <c r="N973" s="25" t="str">
        <f>"("""&amp;B973&amp;""") ("&amp;Vlookup(E973,DropDown!J:N,5,FALSE)&amp;" OR """ &amp;YEAR(D973) &amp; """ OR ""All New"" OR Episode OR Watch OR tv OR Show OR Series OR season OR binge OR Stream OR Film OR Movie OR Premiere OR Screening OR Feature OR Trailer OR Teaser OR theater OR release)"</f>
        <v>#N/A</v>
      </c>
      <c r="O973" s="23" t="str">
        <f t="shared" si="1"/>
        <v>#</v>
      </c>
      <c r="P973" s="23" t="str">
        <f t="shared" si="2"/>
        <v>#</v>
      </c>
      <c r="Q973" s="23"/>
      <c r="R973" s="23" t="str">
        <f>"("""&amp;B973&amp;""") ("&amp;Vlookup(E973,DropDown!R:V,5,FALSE)&amp;IF(ISBLANK(D973)," | "," "&amp;"OR """&amp;YEAR(D973)&amp;""" | ") &amp; """All New"" | Episode | Watch | tv | Show | Series | season | binge | Stream | Film | Movie | Premiere | Screening | Feature | Trailer | Teaser | theater | release)"</f>
        <v>#N/A</v>
      </c>
      <c r="S973" s="23"/>
      <c r="T973" s="23"/>
      <c r="U973" s="23"/>
      <c r="V973" s="23"/>
      <c r="W973" s="23"/>
      <c r="X973" s="38"/>
      <c r="Y973" s="38"/>
      <c r="Z973" s="38"/>
      <c r="AA973" s="38"/>
    </row>
    <row r="974">
      <c r="A974" s="31"/>
      <c r="B974" s="38"/>
      <c r="C974" s="38"/>
      <c r="D974" s="50"/>
      <c r="E974" s="50"/>
      <c r="F974" s="50"/>
      <c r="G974" s="27" t="str">
        <f>VLOOKUP(E974,DropDown!J:K,2,FALSE)</f>
        <v>#N/A</v>
      </c>
      <c r="H974" s="50"/>
      <c r="I974" s="50"/>
      <c r="J974" s="50"/>
      <c r="K974" s="25" t="s">
        <v>116</v>
      </c>
      <c r="L974" s="23"/>
      <c r="M974" s="23"/>
      <c r="N974" s="25" t="str">
        <f>"("""&amp;B974&amp;""") ("&amp;Vlookup(E974,DropDown!J:N,5,FALSE)&amp;" OR """ &amp;YEAR(D974) &amp; """ OR ""All New"" OR Episode OR Watch OR tv OR Show OR Series OR season OR binge OR Stream OR Film OR Movie OR Premiere OR Screening OR Feature OR Trailer OR Teaser OR theater OR release)"</f>
        <v>#N/A</v>
      </c>
      <c r="O974" s="23" t="str">
        <f t="shared" si="1"/>
        <v>#</v>
      </c>
      <c r="P974" s="23" t="str">
        <f t="shared" si="2"/>
        <v>#</v>
      </c>
      <c r="Q974" s="23"/>
      <c r="R974" s="23" t="str">
        <f>"("""&amp;B974&amp;""") ("&amp;Vlookup(E974,DropDown!R:V,5,FALSE)&amp;IF(ISBLANK(D974)," | "," "&amp;"OR """&amp;YEAR(D974)&amp;""" | ") &amp; """All New"" | Episode | Watch | tv | Show | Series | season | binge | Stream | Film | Movie | Premiere | Screening | Feature | Trailer | Teaser | theater | release)"</f>
        <v>#N/A</v>
      </c>
      <c r="S974" s="23"/>
      <c r="T974" s="23"/>
      <c r="U974" s="23"/>
      <c r="V974" s="23"/>
      <c r="W974" s="23"/>
      <c r="X974" s="38"/>
      <c r="Y974" s="38"/>
      <c r="Z974" s="38"/>
      <c r="AA974" s="38"/>
    </row>
    <row r="975">
      <c r="A975" s="31"/>
      <c r="B975" s="38"/>
      <c r="C975" s="38"/>
      <c r="D975" s="50"/>
      <c r="E975" s="50"/>
      <c r="F975" s="50"/>
      <c r="G975" s="27" t="str">
        <f>VLOOKUP(E975,DropDown!J:K,2,FALSE)</f>
        <v>#N/A</v>
      </c>
      <c r="H975" s="50"/>
      <c r="I975" s="50"/>
      <c r="J975" s="50"/>
      <c r="K975" s="25" t="s">
        <v>116</v>
      </c>
      <c r="L975" s="23"/>
      <c r="M975" s="23"/>
      <c r="N975" s="25" t="str">
        <f>"("""&amp;B975&amp;""") ("&amp;Vlookup(E975,DropDown!J:N,5,FALSE)&amp;" OR """ &amp;YEAR(D975) &amp; """ OR ""All New"" OR Episode OR Watch OR tv OR Show OR Series OR season OR binge OR Stream OR Film OR Movie OR Premiere OR Screening OR Feature OR Trailer OR Teaser OR theater OR release)"</f>
        <v>#N/A</v>
      </c>
      <c r="O975" s="23" t="str">
        <f t="shared" si="1"/>
        <v>#</v>
      </c>
      <c r="P975" s="23" t="str">
        <f t="shared" si="2"/>
        <v>#</v>
      </c>
      <c r="Q975" s="23"/>
      <c r="R975" s="23" t="str">
        <f>"("""&amp;B975&amp;""") ("&amp;Vlookup(E975,DropDown!R:V,5,FALSE)&amp;IF(ISBLANK(D975)," | "," "&amp;"OR """&amp;YEAR(D975)&amp;""" | ") &amp; """All New"" | Episode | Watch | tv | Show | Series | season | binge | Stream | Film | Movie | Premiere | Screening | Feature | Trailer | Teaser | theater | release)"</f>
        <v>#N/A</v>
      </c>
      <c r="S975" s="23"/>
      <c r="T975" s="23"/>
      <c r="U975" s="23"/>
      <c r="V975" s="23"/>
      <c r="W975" s="23"/>
      <c r="X975" s="38"/>
      <c r="Y975" s="38"/>
      <c r="Z975" s="38"/>
      <c r="AA975" s="38"/>
    </row>
    <row r="976">
      <c r="A976" s="31"/>
      <c r="B976" s="38"/>
      <c r="C976" s="38"/>
      <c r="D976" s="50"/>
      <c r="E976" s="50"/>
      <c r="F976" s="50"/>
      <c r="G976" s="27" t="str">
        <f>VLOOKUP(E976,DropDown!J:K,2,FALSE)</f>
        <v>#N/A</v>
      </c>
      <c r="H976" s="50"/>
      <c r="I976" s="50"/>
      <c r="J976" s="50"/>
      <c r="K976" s="25" t="s">
        <v>116</v>
      </c>
      <c r="L976" s="23"/>
      <c r="M976" s="23"/>
      <c r="N976" s="25" t="str">
        <f>"("""&amp;B976&amp;""") ("&amp;Vlookup(E976,DropDown!J:N,5,FALSE)&amp;" OR """ &amp;YEAR(D976) &amp; """ OR ""All New"" OR Episode OR Watch OR tv OR Show OR Series OR season OR binge OR Stream OR Film OR Movie OR Premiere OR Screening OR Feature OR Trailer OR Teaser OR theater OR release)"</f>
        <v>#N/A</v>
      </c>
      <c r="O976" s="23" t="str">
        <f t="shared" si="1"/>
        <v>#</v>
      </c>
      <c r="P976" s="23" t="str">
        <f t="shared" si="2"/>
        <v>#</v>
      </c>
      <c r="Q976" s="23"/>
      <c r="R976" s="23" t="str">
        <f>"("""&amp;B976&amp;""") ("&amp;Vlookup(E976,DropDown!R:V,5,FALSE)&amp;IF(ISBLANK(D976)," | "," "&amp;"OR """&amp;YEAR(D976)&amp;""" | ") &amp; """All New"" | Episode | Watch | tv | Show | Series | season | binge | Stream | Film | Movie | Premiere | Screening | Feature | Trailer | Teaser | theater | release)"</f>
        <v>#N/A</v>
      </c>
      <c r="S976" s="23"/>
      <c r="T976" s="23"/>
      <c r="U976" s="23"/>
      <c r="V976" s="23"/>
      <c r="W976" s="23"/>
      <c r="X976" s="38"/>
      <c r="Y976" s="38"/>
      <c r="Z976" s="38"/>
      <c r="AA976" s="38"/>
    </row>
    <row r="977">
      <c r="A977" s="31"/>
      <c r="B977" s="38"/>
      <c r="C977" s="38"/>
      <c r="D977" s="50"/>
      <c r="E977" s="50"/>
      <c r="F977" s="50"/>
      <c r="G977" s="27" t="str">
        <f>VLOOKUP(E977,DropDown!J:K,2,FALSE)</f>
        <v>#N/A</v>
      </c>
      <c r="H977" s="50"/>
      <c r="I977" s="50"/>
      <c r="J977" s="50"/>
      <c r="K977" s="25" t="s">
        <v>116</v>
      </c>
      <c r="L977" s="23"/>
      <c r="M977" s="23"/>
      <c r="N977" s="25" t="str">
        <f>"("""&amp;B977&amp;""") ("&amp;Vlookup(E977,DropDown!J:N,5,FALSE)&amp;" OR """ &amp;YEAR(D977) &amp; """ OR ""All New"" OR Episode OR Watch OR tv OR Show OR Series OR season OR binge OR Stream OR Film OR Movie OR Premiere OR Screening OR Feature OR Trailer OR Teaser OR theater OR release)"</f>
        <v>#N/A</v>
      </c>
      <c r="O977" s="23" t="str">
        <f t="shared" si="1"/>
        <v>#</v>
      </c>
      <c r="P977" s="23" t="str">
        <f t="shared" si="2"/>
        <v>#</v>
      </c>
      <c r="Q977" s="23"/>
      <c r="R977" s="23" t="str">
        <f>"("""&amp;B977&amp;""") ("&amp;Vlookup(E977,DropDown!R:V,5,FALSE)&amp;IF(ISBLANK(D977)," | "," "&amp;"OR """&amp;YEAR(D977)&amp;""" | ") &amp; """All New"" | Episode | Watch | tv | Show | Series | season | binge | Stream | Film | Movie | Premiere | Screening | Feature | Trailer | Teaser | theater | release)"</f>
        <v>#N/A</v>
      </c>
      <c r="S977" s="23"/>
      <c r="T977" s="23"/>
      <c r="U977" s="23"/>
      <c r="V977" s="23"/>
      <c r="W977" s="23"/>
      <c r="X977" s="38"/>
      <c r="Y977" s="38"/>
      <c r="Z977" s="38"/>
      <c r="AA977" s="38"/>
    </row>
    <row r="978">
      <c r="A978" s="31"/>
      <c r="B978" s="38"/>
      <c r="C978" s="38"/>
      <c r="D978" s="50"/>
      <c r="E978" s="50"/>
      <c r="F978" s="50"/>
      <c r="G978" s="27" t="str">
        <f>VLOOKUP(E978,DropDown!J:K,2,FALSE)</f>
        <v>#N/A</v>
      </c>
      <c r="H978" s="50"/>
      <c r="I978" s="50"/>
      <c r="J978" s="50"/>
      <c r="K978" s="25" t="s">
        <v>116</v>
      </c>
      <c r="L978" s="23"/>
      <c r="M978" s="23"/>
      <c r="N978" s="25" t="str">
        <f>"("""&amp;B978&amp;""") ("&amp;Vlookup(E978,DropDown!J:N,5,FALSE)&amp;" OR """ &amp;YEAR(D978) &amp; """ OR ""All New"" OR Episode OR Watch OR tv OR Show OR Series OR season OR binge OR Stream OR Film OR Movie OR Premiere OR Screening OR Feature OR Trailer OR Teaser OR theater OR release)"</f>
        <v>#N/A</v>
      </c>
      <c r="O978" s="23" t="str">
        <f t="shared" si="1"/>
        <v>#</v>
      </c>
      <c r="P978" s="23" t="str">
        <f t="shared" si="2"/>
        <v>#</v>
      </c>
      <c r="Q978" s="23"/>
      <c r="R978" s="23" t="str">
        <f>"("""&amp;B978&amp;""") ("&amp;Vlookup(E978,DropDown!R:V,5,FALSE)&amp;IF(ISBLANK(D978)," | "," "&amp;"OR """&amp;YEAR(D978)&amp;""" | ") &amp; """All New"" | Episode | Watch | tv | Show | Series | season | binge | Stream | Film | Movie | Premiere | Screening | Feature | Trailer | Teaser | theater | release)"</f>
        <v>#N/A</v>
      </c>
      <c r="S978" s="23"/>
      <c r="T978" s="23"/>
      <c r="U978" s="23"/>
      <c r="V978" s="23"/>
      <c r="W978" s="23"/>
      <c r="X978" s="38"/>
      <c r="Y978" s="38"/>
      <c r="Z978" s="38"/>
      <c r="AA978" s="38"/>
    </row>
    <row r="979">
      <c r="A979" s="31"/>
      <c r="B979" s="38"/>
      <c r="C979" s="38"/>
      <c r="D979" s="50"/>
      <c r="E979" s="50"/>
      <c r="F979" s="50"/>
      <c r="G979" s="27" t="str">
        <f>VLOOKUP(E979,DropDown!J:K,2,FALSE)</f>
        <v>#N/A</v>
      </c>
      <c r="H979" s="50"/>
      <c r="I979" s="50"/>
      <c r="J979" s="50"/>
      <c r="K979" s="25" t="s">
        <v>116</v>
      </c>
      <c r="L979" s="23"/>
      <c r="M979" s="23"/>
      <c r="N979" s="25" t="str">
        <f>"("""&amp;B979&amp;""") ("&amp;Vlookup(E979,DropDown!J:N,5,FALSE)&amp;" OR """ &amp;YEAR(D979) &amp; """ OR ""All New"" OR Episode OR Watch OR tv OR Show OR Series OR season OR binge OR Stream OR Film OR Movie OR Premiere OR Screening OR Feature OR Trailer OR Teaser OR theater OR release)"</f>
        <v>#N/A</v>
      </c>
      <c r="O979" s="23" t="str">
        <f t="shared" si="1"/>
        <v>#</v>
      </c>
      <c r="P979" s="23" t="str">
        <f t="shared" si="2"/>
        <v>#</v>
      </c>
      <c r="Q979" s="23"/>
      <c r="R979" s="23" t="str">
        <f>"("""&amp;B979&amp;""") ("&amp;Vlookup(E979,DropDown!R:V,5,FALSE)&amp;IF(ISBLANK(D979)," | "," "&amp;"OR """&amp;YEAR(D979)&amp;""" | ") &amp; """All New"" | Episode | Watch | tv | Show | Series | season | binge | Stream | Film | Movie | Premiere | Screening | Feature | Trailer | Teaser | theater | release)"</f>
        <v>#N/A</v>
      </c>
      <c r="S979" s="23"/>
      <c r="T979" s="23"/>
      <c r="U979" s="23"/>
      <c r="V979" s="23"/>
      <c r="W979" s="23"/>
      <c r="X979" s="38"/>
      <c r="Y979" s="38"/>
      <c r="Z979" s="38"/>
      <c r="AA979" s="38"/>
    </row>
    <row r="980">
      <c r="A980" s="31"/>
      <c r="B980" s="38"/>
      <c r="C980" s="38"/>
      <c r="D980" s="50"/>
      <c r="E980" s="50"/>
      <c r="F980" s="50"/>
      <c r="G980" s="27" t="str">
        <f>VLOOKUP(E980,DropDown!J:K,2,FALSE)</f>
        <v>#N/A</v>
      </c>
      <c r="H980" s="50"/>
      <c r="I980" s="50"/>
      <c r="J980" s="50"/>
      <c r="K980" s="25" t="s">
        <v>116</v>
      </c>
      <c r="L980" s="23"/>
      <c r="M980" s="23"/>
      <c r="N980" s="25" t="str">
        <f>"("""&amp;B980&amp;""") ("&amp;Vlookup(E980,DropDown!J:N,5,FALSE)&amp;" OR """ &amp;YEAR(D980) &amp; """ OR ""All New"" OR Episode OR Watch OR tv OR Show OR Series OR season OR binge OR Stream OR Film OR Movie OR Premiere OR Screening OR Feature OR Trailer OR Teaser OR theater OR release)"</f>
        <v>#N/A</v>
      </c>
      <c r="O980" s="23" t="str">
        <f t="shared" si="1"/>
        <v>#</v>
      </c>
      <c r="P980" s="23" t="str">
        <f t="shared" si="2"/>
        <v>#</v>
      </c>
      <c r="Q980" s="23"/>
      <c r="R980" s="23" t="str">
        <f>"("""&amp;B980&amp;""") ("&amp;Vlookup(E980,DropDown!R:V,5,FALSE)&amp;IF(ISBLANK(D980)," | "," "&amp;"OR """&amp;YEAR(D980)&amp;""" | ") &amp; """All New"" | Episode | Watch | tv | Show | Series | season | binge | Stream | Film | Movie | Premiere | Screening | Feature | Trailer | Teaser | theater | release)"</f>
        <v>#N/A</v>
      </c>
      <c r="S980" s="23"/>
      <c r="T980" s="23"/>
      <c r="U980" s="23"/>
      <c r="V980" s="23"/>
      <c r="W980" s="23"/>
      <c r="X980" s="38"/>
      <c r="Y980" s="38"/>
      <c r="Z980" s="38"/>
      <c r="AA980" s="38"/>
    </row>
    <row r="981">
      <c r="A981" s="31"/>
      <c r="B981" s="38"/>
      <c r="C981" s="38"/>
      <c r="D981" s="50"/>
      <c r="E981" s="50"/>
      <c r="F981" s="50"/>
      <c r="G981" s="27" t="str">
        <f>VLOOKUP(E981,DropDown!J:K,2,FALSE)</f>
        <v>#N/A</v>
      </c>
      <c r="H981" s="50"/>
      <c r="I981" s="50"/>
      <c r="J981" s="50"/>
      <c r="K981" s="25" t="s">
        <v>116</v>
      </c>
      <c r="L981" s="23"/>
      <c r="M981" s="23"/>
      <c r="N981" s="25" t="str">
        <f>"("""&amp;B981&amp;""") ("&amp;Vlookup(E981,DropDown!J:N,5,FALSE)&amp;" OR """ &amp;YEAR(D981) &amp; """ OR ""All New"" OR Episode OR Watch OR tv OR Show OR Series OR season OR binge OR Stream OR Film OR Movie OR Premiere OR Screening OR Feature OR Trailer OR Teaser OR theater OR release)"</f>
        <v>#N/A</v>
      </c>
      <c r="O981" s="23" t="str">
        <f t="shared" si="1"/>
        <v>#</v>
      </c>
      <c r="P981" s="23" t="str">
        <f t="shared" si="2"/>
        <v>#</v>
      </c>
      <c r="Q981" s="23"/>
      <c r="R981" s="23" t="str">
        <f>"("""&amp;B981&amp;""") ("&amp;Vlookup(E981,DropDown!R:V,5,FALSE)&amp;IF(ISBLANK(D981)," | "," "&amp;"OR """&amp;YEAR(D981)&amp;""" | ") &amp; """All New"" | Episode | Watch | tv | Show | Series | season | binge | Stream | Film | Movie | Premiere | Screening | Feature | Trailer | Teaser | theater | release)"</f>
        <v>#N/A</v>
      </c>
      <c r="S981" s="23"/>
      <c r="T981" s="23"/>
      <c r="U981" s="23"/>
      <c r="V981" s="23"/>
      <c r="W981" s="23"/>
      <c r="X981" s="38"/>
      <c r="Y981" s="38"/>
      <c r="Z981" s="38"/>
      <c r="AA981" s="38"/>
    </row>
    <row r="982">
      <c r="A982" s="31"/>
      <c r="B982" s="38"/>
      <c r="C982" s="38"/>
      <c r="D982" s="50"/>
      <c r="E982" s="50"/>
      <c r="F982" s="50"/>
      <c r="G982" s="27" t="str">
        <f>VLOOKUP(E982,DropDown!J:K,2,FALSE)</f>
        <v>#N/A</v>
      </c>
      <c r="H982" s="50"/>
      <c r="I982" s="50"/>
      <c r="J982" s="50"/>
      <c r="K982" s="25" t="s">
        <v>116</v>
      </c>
      <c r="L982" s="23"/>
      <c r="M982" s="23"/>
      <c r="N982" s="25" t="str">
        <f>"("""&amp;B982&amp;""") ("&amp;Vlookup(E982,DropDown!J:N,5,FALSE)&amp;" OR """ &amp;YEAR(D982) &amp; """ OR ""All New"" OR Episode OR Watch OR tv OR Show OR Series OR season OR binge OR Stream OR Film OR Movie OR Premiere OR Screening OR Feature OR Trailer OR Teaser OR theater OR release)"</f>
        <v>#N/A</v>
      </c>
      <c r="O982" s="23" t="str">
        <f t="shared" si="1"/>
        <v>#</v>
      </c>
      <c r="P982" s="23" t="str">
        <f t="shared" si="2"/>
        <v>#</v>
      </c>
      <c r="Q982" s="23"/>
      <c r="R982" s="23" t="str">
        <f>"("""&amp;B982&amp;""") ("&amp;Vlookup(E982,DropDown!R:V,5,FALSE)&amp;IF(ISBLANK(D982)," | "," "&amp;"OR """&amp;YEAR(D982)&amp;""" | ") &amp; """All New"" | Episode | Watch | tv | Show | Series | season | binge | Stream | Film | Movie | Premiere | Screening | Feature | Trailer | Teaser | theater | release)"</f>
        <v>#N/A</v>
      </c>
      <c r="S982" s="23"/>
      <c r="T982" s="23"/>
      <c r="U982" s="23"/>
      <c r="V982" s="23"/>
      <c r="W982" s="23"/>
      <c r="X982" s="38"/>
      <c r="Y982" s="38"/>
      <c r="Z982" s="38"/>
      <c r="AA982" s="38"/>
    </row>
    <row r="983">
      <c r="A983" s="31"/>
      <c r="B983" s="38"/>
      <c r="C983" s="38"/>
      <c r="D983" s="50"/>
      <c r="E983" s="50"/>
      <c r="F983" s="50"/>
      <c r="G983" s="27" t="str">
        <f>VLOOKUP(E983,DropDown!J:K,2,FALSE)</f>
        <v>#N/A</v>
      </c>
      <c r="H983" s="50"/>
      <c r="I983" s="50"/>
      <c r="J983" s="50"/>
      <c r="K983" s="25" t="s">
        <v>116</v>
      </c>
      <c r="L983" s="23"/>
      <c r="M983" s="23"/>
      <c r="N983" s="25" t="str">
        <f>"("""&amp;B983&amp;""") ("&amp;Vlookup(E983,DropDown!J:N,5,FALSE)&amp;" OR """ &amp;YEAR(D983) &amp; """ OR ""All New"" OR Episode OR Watch OR tv OR Show OR Series OR season OR binge OR Stream OR Film OR Movie OR Premiere OR Screening OR Feature OR Trailer OR Teaser OR theater OR release)"</f>
        <v>#N/A</v>
      </c>
      <c r="O983" s="23" t="str">
        <f t="shared" si="1"/>
        <v>#</v>
      </c>
      <c r="P983" s="23" t="str">
        <f t="shared" si="2"/>
        <v>#</v>
      </c>
      <c r="Q983" s="23"/>
      <c r="R983" s="23" t="str">
        <f>"("""&amp;B983&amp;""") ("&amp;Vlookup(E983,DropDown!R:V,5,FALSE)&amp;IF(ISBLANK(D983)," | "," "&amp;"OR """&amp;YEAR(D983)&amp;""" | ") &amp; """All New"" | Episode | Watch | tv | Show | Series | season | binge | Stream | Film | Movie | Premiere | Screening | Feature | Trailer | Teaser | theater | release)"</f>
        <v>#N/A</v>
      </c>
      <c r="S983" s="23"/>
      <c r="T983" s="23"/>
      <c r="U983" s="23"/>
      <c r="V983" s="23"/>
      <c r="W983" s="23"/>
      <c r="X983" s="38"/>
      <c r="Y983" s="38"/>
      <c r="Z983" s="38"/>
      <c r="AA983" s="38"/>
    </row>
    <row r="984">
      <c r="A984" s="31"/>
      <c r="B984" s="38"/>
      <c r="C984" s="38"/>
      <c r="D984" s="50"/>
      <c r="E984" s="50"/>
      <c r="F984" s="50"/>
      <c r="G984" s="27" t="str">
        <f>VLOOKUP(E984,DropDown!J:K,2,FALSE)</f>
        <v>#N/A</v>
      </c>
      <c r="H984" s="50"/>
      <c r="I984" s="50"/>
      <c r="J984" s="50"/>
      <c r="K984" s="25" t="s">
        <v>116</v>
      </c>
      <c r="L984" s="23"/>
      <c r="M984" s="23"/>
      <c r="N984" s="25" t="str">
        <f>"("""&amp;B984&amp;""") ("&amp;Vlookup(E984,DropDown!J:N,5,FALSE)&amp;" OR """ &amp;YEAR(D984) &amp; """ OR ""All New"" OR Episode OR Watch OR tv OR Show OR Series OR season OR binge OR Stream OR Film OR Movie OR Premiere OR Screening OR Feature OR Trailer OR Teaser OR theater OR release)"</f>
        <v>#N/A</v>
      </c>
      <c r="O984" s="23" t="str">
        <f t="shared" si="1"/>
        <v>#</v>
      </c>
      <c r="P984" s="23" t="str">
        <f t="shared" si="2"/>
        <v>#</v>
      </c>
      <c r="Q984" s="23"/>
      <c r="R984" s="23" t="str">
        <f>"("""&amp;B984&amp;""") ("&amp;Vlookup(E984,DropDown!R:V,5,FALSE)&amp;IF(ISBLANK(D984)," | "," "&amp;"OR """&amp;YEAR(D984)&amp;""" | ") &amp; """All New"" | Episode | Watch | tv | Show | Series | season | binge | Stream | Film | Movie | Premiere | Screening | Feature | Trailer | Teaser | theater | release)"</f>
        <v>#N/A</v>
      </c>
      <c r="S984" s="23"/>
      <c r="T984" s="23"/>
      <c r="U984" s="23"/>
      <c r="V984" s="23"/>
      <c r="W984" s="23"/>
      <c r="X984" s="38"/>
      <c r="Y984" s="38"/>
      <c r="Z984" s="38"/>
      <c r="AA984" s="38"/>
    </row>
    <row r="985">
      <c r="A985" s="31"/>
      <c r="B985" s="38"/>
      <c r="C985" s="38"/>
      <c r="D985" s="50"/>
      <c r="E985" s="50"/>
      <c r="F985" s="50"/>
      <c r="G985" s="27" t="str">
        <f>VLOOKUP(E985,DropDown!J:K,2,FALSE)</f>
        <v>#N/A</v>
      </c>
      <c r="H985" s="50"/>
      <c r="I985" s="50"/>
      <c r="J985" s="50"/>
      <c r="K985" s="25" t="s">
        <v>116</v>
      </c>
      <c r="L985" s="23"/>
      <c r="M985" s="23"/>
      <c r="N985" s="25" t="str">
        <f>"("""&amp;B985&amp;""") ("&amp;Vlookup(E985,DropDown!J:N,5,FALSE)&amp;" OR """ &amp;YEAR(D985) &amp; """ OR ""All New"" OR Episode OR Watch OR tv OR Show OR Series OR season OR binge OR Stream OR Film OR Movie OR Premiere OR Screening OR Feature OR Trailer OR Teaser OR theater OR release)"</f>
        <v>#N/A</v>
      </c>
      <c r="O985" s="23" t="str">
        <f t="shared" si="1"/>
        <v>#</v>
      </c>
      <c r="P985" s="23" t="str">
        <f t="shared" si="2"/>
        <v>#</v>
      </c>
      <c r="Q985" s="23"/>
      <c r="R985" s="23" t="str">
        <f>"("""&amp;B985&amp;""") ("&amp;Vlookup(E985,DropDown!R:V,5,FALSE)&amp;IF(ISBLANK(D985)," | "," "&amp;"OR """&amp;YEAR(D985)&amp;""" | ") &amp; """All New"" | Episode | Watch | tv | Show | Series | season | binge | Stream | Film | Movie | Premiere | Screening | Feature | Trailer | Teaser | theater | release)"</f>
        <v>#N/A</v>
      </c>
      <c r="S985" s="23"/>
      <c r="T985" s="23"/>
      <c r="U985" s="23"/>
      <c r="V985" s="23"/>
      <c r="W985" s="23"/>
      <c r="X985" s="38"/>
      <c r="Y985" s="38"/>
      <c r="Z985" s="38"/>
      <c r="AA985" s="38"/>
    </row>
    <row r="986">
      <c r="A986" s="31"/>
      <c r="B986" s="38"/>
      <c r="C986" s="38"/>
      <c r="D986" s="50"/>
      <c r="E986" s="50"/>
      <c r="F986" s="50"/>
      <c r="G986" s="27" t="str">
        <f>VLOOKUP(E986,DropDown!J:K,2,FALSE)</f>
        <v>#N/A</v>
      </c>
      <c r="H986" s="50"/>
      <c r="I986" s="50"/>
      <c r="J986" s="50"/>
      <c r="K986" s="25" t="s">
        <v>116</v>
      </c>
      <c r="L986" s="23"/>
      <c r="M986" s="23"/>
      <c r="N986" s="25" t="str">
        <f>"("""&amp;B986&amp;""") ("&amp;Vlookup(E986,DropDown!J:N,5,FALSE)&amp;" OR """ &amp;YEAR(D986) &amp; """ OR ""All New"" OR Episode OR Watch OR tv OR Show OR Series OR season OR binge OR Stream OR Film OR Movie OR Premiere OR Screening OR Feature OR Trailer OR Teaser OR theater OR release)"</f>
        <v>#N/A</v>
      </c>
      <c r="O986" s="23" t="str">
        <f t="shared" si="1"/>
        <v>#</v>
      </c>
      <c r="P986" s="23" t="str">
        <f t="shared" si="2"/>
        <v>#</v>
      </c>
      <c r="Q986" s="23"/>
      <c r="R986" s="23" t="str">
        <f>"("""&amp;B986&amp;""") ("&amp;Vlookup(E986,DropDown!R:V,5,FALSE)&amp;IF(ISBLANK(D986)," | "," "&amp;"OR """&amp;YEAR(D986)&amp;""" | ") &amp; """All New"" | Episode | Watch | tv | Show | Series | season | binge | Stream | Film | Movie | Premiere | Screening | Feature | Trailer | Teaser | theater | release)"</f>
        <v>#N/A</v>
      </c>
      <c r="S986" s="23"/>
      <c r="T986" s="23"/>
      <c r="U986" s="23"/>
      <c r="V986" s="23"/>
      <c r="W986" s="23"/>
      <c r="X986" s="38"/>
      <c r="Y986" s="38"/>
      <c r="Z986" s="38"/>
      <c r="AA986" s="38"/>
    </row>
    <row r="987">
      <c r="A987" s="31"/>
      <c r="B987" s="38"/>
      <c r="C987" s="38"/>
      <c r="D987" s="50"/>
      <c r="E987" s="50"/>
      <c r="F987" s="50"/>
      <c r="G987" s="27" t="str">
        <f>VLOOKUP(E987,DropDown!J:K,2,FALSE)</f>
        <v>#N/A</v>
      </c>
      <c r="H987" s="50"/>
      <c r="I987" s="50"/>
      <c r="J987" s="50"/>
      <c r="K987" s="25" t="s">
        <v>116</v>
      </c>
      <c r="L987" s="23"/>
      <c r="M987" s="23"/>
      <c r="N987" s="25" t="str">
        <f>"("""&amp;B987&amp;""") ("&amp;Vlookup(E987,DropDown!J:N,5,FALSE)&amp;" OR """ &amp;YEAR(D987) &amp; """ OR ""All New"" OR Episode OR Watch OR tv OR Show OR Series OR season OR binge OR Stream OR Film OR Movie OR Premiere OR Screening OR Feature OR Trailer OR Teaser OR theater OR release)"</f>
        <v>#N/A</v>
      </c>
      <c r="O987" s="23" t="str">
        <f t="shared" si="1"/>
        <v>#</v>
      </c>
      <c r="P987" s="23" t="str">
        <f t="shared" si="2"/>
        <v>#</v>
      </c>
      <c r="Q987" s="23"/>
      <c r="R987" s="23" t="str">
        <f>"("""&amp;B987&amp;""") ("&amp;Vlookup(E987,DropDown!R:V,5,FALSE)&amp;IF(ISBLANK(D987)," | "," "&amp;"OR """&amp;YEAR(D987)&amp;""" | ") &amp; """All New"" | Episode | Watch | tv | Show | Series | season | binge | Stream | Film | Movie | Premiere | Screening | Feature | Trailer | Teaser | theater | release)"</f>
        <v>#N/A</v>
      </c>
      <c r="S987" s="23"/>
      <c r="T987" s="23"/>
      <c r="U987" s="23"/>
      <c r="V987" s="23"/>
      <c r="W987" s="23"/>
      <c r="X987" s="38"/>
      <c r="Y987" s="38"/>
      <c r="Z987" s="38"/>
      <c r="AA987" s="38"/>
    </row>
    <row r="988">
      <c r="A988" s="31"/>
      <c r="B988" s="38"/>
      <c r="C988" s="38"/>
      <c r="D988" s="50"/>
      <c r="E988" s="50"/>
      <c r="F988" s="50"/>
      <c r="G988" s="27" t="str">
        <f>VLOOKUP(E988,DropDown!J:K,2,FALSE)</f>
        <v>#N/A</v>
      </c>
      <c r="H988" s="50"/>
      <c r="I988" s="50"/>
      <c r="J988" s="50"/>
      <c r="K988" s="25" t="s">
        <v>116</v>
      </c>
      <c r="L988" s="23"/>
      <c r="M988" s="23"/>
      <c r="N988" s="25" t="str">
        <f>"("""&amp;B988&amp;""") ("&amp;Vlookup(E988,DropDown!J:N,5,FALSE)&amp;" OR """ &amp;YEAR(D988) &amp; """ OR ""All New"" OR Episode OR Watch OR tv OR Show OR Series OR season OR binge OR Stream OR Film OR Movie OR Premiere OR Screening OR Feature OR Trailer OR Teaser OR theater OR release)"</f>
        <v>#N/A</v>
      </c>
      <c r="O988" s="23" t="str">
        <f t="shared" si="1"/>
        <v>#</v>
      </c>
      <c r="P988" s="23" t="str">
        <f t="shared" si="2"/>
        <v>#</v>
      </c>
      <c r="Q988" s="23"/>
      <c r="R988" s="23" t="str">
        <f>"("""&amp;B988&amp;""") ("&amp;Vlookup(E988,DropDown!R:V,5,FALSE)&amp;IF(ISBLANK(D988)," | "," "&amp;"OR """&amp;YEAR(D988)&amp;""" | ") &amp; """All New"" | Episode | Watch | tv | Show | Series | season | binge | Stream | Film | Movie | Premiere | Screening | Feature | Trailer | Teaser | theater | release)"</f>
        <v>#N/A</v>
      </c>
      <c r="S988" s="23"/>
      <c r="T988" s="23"/>
      <c r="U988" s="23"/>
      <c r="V988" s="23"/>
      <c r="W988" s="23"/>
      <c r="X988" s="38"/>
      <c r="Y988" s="38"/>
      <c r="Z988" s="38"/>
      <c r="AA988" s="38"/>
    </row>
    <row r="989">
      <c r="A989" s="31"/>
      <c r="B989" s="38"/>
      <c r="C989" s="38"/>
      <c r="D989" s="50"/>
      <c r="E989" s="50"/>
      <c r="F989" s="50"/>
      <c r="G989" s="27" t="str">
        <f>VLOOKUP(E989,DropDown!J:K,2,FALSE)</f>
        <v>#N/A</v>
      </c>
      <c r="H989" s="50"/>
      <c r="I989" s="50"/>
      <c r="J989" s="50"/>
      <c r="K989" s="25" t="s">
        <v>116</v>
      </c>
      <c r="L989" s="23"/>
      <c r="M989" s="23"/>
      <c r="N989" s="25" t="str">
        <f>"("""&amp;B989&amp;""") ("&amp;Vlookup(E989,DropDown!J:N,5,FALSE)&amp;" OR """ &amp;YEAR(D989) &amp; """ OR ""All New"" OR Episode OR Watch OR tv OR Show OR Series OR season OR binge OR Stream OR Film OR Movie OR Premiere OR Screening OR Feature OR Trailer OR Teaser OR theater OR release)"</f>
        <v>#N/A</v>
      </c>
      <c r="O989" s="23" t="str">
        <f t="shared" si="1"/>
        <v>#</v>
      </c>
      <c r="P989" s="23" t="str">
        <f t="shared" si="2"/>
        <v>#</v>
      </c>
      <c r="Q989" s="23"/>
      <c r="R989" s="23" t="str">
        <f>"("""&amp;B989&amp;""") ("&amp;Vlookup(E989,DropDown!R:V,5,FALSE)&amp;IF(ISBLANK(D989)," | "," "&amp;"OR """&amp;YEAR(D989)&amp;""" | ") &amp; """All New"" | Episode | Watch | tv | Show | Series | season | binge | Stream | Film | Movie | Premiere | Screening | Feature | Trailer | Teaser | theater | release)"</f>
        <v>#N/A</v>
      </c>
      <c r="S989" s="23"/>
      <c r="T989" s="23"/>
      <c r="U989" s="23"/>
      <c r="V989" s="23"/>
      <c r="W989" s="23"/>
      <c r="X989" s="38"/>
      <c r="Y989" s="38"/>
      <c r="Z989" s="38"/>
      <c r="AA989" s="38"/>
    </row>
    <row r="990">
      <c r="A990" s="31"/>
      <c r="B990" s="38"/>
      <c r="C990" s="38"/>
      <c r="D990" s="50"/>
      <c r="E990" s="50"/>
      <c r="F990" s="50"/>
      <c r="G990" s="27" t="str">
        <f>VLOOKUP(E990,DropDown!J:K,2,FALSE)</f>
        <v>#N/A</v>
      </c>
      <c r="H990" s="50"/>
      <c r="I990" s="50"/>
      <c r="J990" s="50"/>
      <c r="K990" s="25" t="s">
        <v>116</v>
      </c>
      <c r="L990" s="23"/>
      <c r="M990" s="23"/>
      <c r="N990" s="25" t="str">
        <f>"("""&amp;B990&amp;""") ("&amp;Vlookup(E990,DropDown!J:N,5,FALSE)&amp;" OR """ &amp;YEAR(D990) &amp; """ OR ""All New"" OR Episode OR Watch OR tv OR Show OR Series OR season OR binge OR Stream OR Film OR Movie OR Premiere OR Screening OR Feature OR Trailer OR Teaser OR theater OR release)"</f>
        <v>#N/A</v>
      </c>
      <c r="O990" s="23" t="str">
        <f t="shared" si="1"/>
        <v>#</v>
      </c>
      <c r="P990" s="23" t="str">
        <f t="shared" si="2"/>
        <v>#</v>
      </c>
      <c r="Q990" s="23"/>
      <c r="R990" s="23" t="str">
        <f>"("""&amp;B990&amp;""") ("&amp;Vlookup(E990,DropDown!R:V,5,FALSE)&amp;IF(ISBLANK(D990)," | "," "&amp;"OR """&amp;YEAR(D990)&amp;""" | ") &amp; """All New"" | Episode | Watch | tv | Show | Series | season | binge | Stream | Film | Movie | Premiere | Screening | Feature | Trailer | Teaser | theater | release)"</f>
        <v>#N/A</v>
      </c>
      <c r="S990" s="23"/>
      <c r="T990" s="23"/>
      <c r="U990" s="23"/>
      <c r="V990" s="23"/>
      <c r="W990" s="23"/>
      <c r="X990" s="38"/>
      <c r="Y990" s="38"/>
      <c r="Z990" s="38"/>
      <c r="AA990" s="38"/>
    </row>
    <row r="991">
      <c r="A991" s="31"/>
      <c r="B991" s="38"/>
      <c r="C991" s="38"/>
      <c r="D991" s="50"/>
      <c r="E991" s="50"/>
      <c r="F991" s="50"/>
      <c r="G991" s="27" t="str">
        <f>VLOOKUP(E991,DropDown!J:K,2,FALSE)</f>
        <v>#N/A</v>
      </c>
      <c r="H991" s="50"/>
      <c r="I991" s="50"/>
      <c r="J991" s="50"/>
      <c r="K991" s="25" t="s">
        <v>116</v>
      </c>
      <c r="L991" s="23"/>
      <c r="M991" s="23"/>
      <c r="N991" s="25" t="str">
        <f>"("""&amp;B991&amp;""") ("&amp;Vlookup(E991,DropDown!J:N,5,FALSE)&amp;" OR """ &amp;YEAR(D991) &amp; """ OR ""All New"" OR Episode OR Watch OR tv OR Show OR Series OR season OR binge OR Stream OR Film OR Movie OR Premiere OR Screening OR Feature OR Trailer OR Teaser OR theater OR release)"</f>
        <v>#N/A</v>
      </c>
      <c r="O991" s="23" t="str">
        <f t="shared" si="1"/>
        <v>#</v>
      </c>
      <c r="P991" s="23" t="str">
        <f t="shared" si="2"/>
        <v>#</v>
      </c>
      <c r="Q991" s="23"/>
      <c r="R991" s="23" t="str">
        <f>"("""&amp;B991&amp;""") ("&amp;Vlookup(E991,DropDown!R:V,5,FALSE)&amp;IF(ISBLANK(D991)," | "," "&amp;"OR """&amp;YEAR(D991)&amp;""" | ") &amp; """All New"" | Episode | Watch | tv | Show | Series | season | binge | Stream | Film | Movie | Premiere | Screening | Feature | Trailer | Teaser | theater | release)"</f>
        <v>#N/A</v>
      </c>
      <c r="S991" s="23"/>
      <c r="T991" s="23"/>
      <c r="U991" s="23"/>
      <c r="V991" s="23"/>
      <c r="W991" s="23"/>
      <c r="X991" s="38"/>
      <c r="Y991" s="38"/>
      <c r="Z991" s="38"/>
      <c r="AA991" s="38"/>
    </row>
    <row r="992">
      <c r="A992" s="31"/>
      <c r="B992" s="38"/>
      <c r="C992" s="38"/>
      <c r="D992" s="50"/>
      <c r="E992" s="50"/>
      <c r="F992" s="50"/>
      <c r="G992" s="27" t="str">
        <f>VLOOKUP(E992,DropDown!J:K,2,FALSE)</f>
        <v>#N/A</v>
      </c>
      <c r="H992" s="50"/>
      <c r="I992" s="50"/>
      <c r="J992" s="50"/>
      <c r="K992" s="25" t="s">
        <v>116</v>
      </c>
      <c r="L992" s="23"/>
      <c r="M992" s="23"/>
      <c r="N992" s="25" t="str">
        <f>"("""&amp;B992&amp;""") ("&amp;Vlookup(E992,DropDown!J:N,5,FALSE)&amp;" OR """ &amp;YEAR(D992) &amp; """ OR ""All New"" OR Episode OR Watch OR tv OR Show OR Series OR season OR binge OR Stream OR Film OR Movie OR Premiere OR Screening OR Feature OR Trailer OR Teaser OR theater OR release)"</f>
        <v>#N/A</v>
      </c>
      <c r="O992" s="23" t="str">
        <f t="shared" si="1"/>
        <v>#</v>
      </c>
      <c r="P992" s="23" t="str">
        <f t="shared" si="2"/>
        <v>#</v>
      </c>
      <c r="Q992" s="23"/>
      <c r="R992" s="23" t="str">
        <f>"("""&amp;B992&amp;""") ("&amp;Vlookup(E992,DropDown!R:V,5,FALSE)&amp;IF(ISBLANK(D992)," | "," "&amp;"OR """&amp;YEAR(D992)&amp;""" | ") &amp; """All New"" | Episode | Watch | tv | Show | Series | season | binge | Stream | Film | Movie | Premiere | Screening | Feature | Trailer | Teaser | theater | release)"</f>
        <v>#N/A</v>
      </c>
      <c r="S992" s="23"/>
      <c r="T992" s="23"/>
      <c r="U992" s="23"/>
      <c r="V992" s="23"/>
      <c r="W992" s="23"/>
      <c r="X992" s="38"/>
      <c r="Y992" s="38"/>
      <c r="Z992" s="38"/>
      <c r="AA992" s="38"/>
    </row>
    <row r="993">
      <c r="A993" s="31"/>
      <c r="B993" s="38"/>
      <c r="C993" s="38"/>
      <c r="D993" s="50"/>
      <c r="E993" s="50"/>
      <c r="F993" s="50"/>
      <c r="G993" s="27" t="str">
        <f>VLOOKUP(E993,DropDown!J:K,2,FALSE)</f>
        <v>#N/A</v>
      </c>
      <c r="H993" s="50"/>
      <c r="I993" s="50"/>
      <c r="J993" s="50"/>
      <c r="K993" s="25" t="s">
        <v>116</v>
      </c>
      <c r="L993" s="23"/>
      <c r="M993" s="23"/>
      <c r="N993" s="25" t="str">
        <f>"("""&amp;B993&amp;""") ("&amp;Vlookup(E993,DropDown!J:N,5,FALSE)&amp;" OR """ &amp;YEAR(D993) &amp; """ OR ""All New"" OR Episode OR Watch OR tv OR Show OR Series OR season OR binge OR Stream OR Film OR Movie OR Premiere OR Screening OR Feature OR Trailer OR Teaser OR theater OR release)"</f>
        <v>#N/A</v>
      </c>
      <c r="O993" s="23" t="str">
        <f t="shared" si="1"/>
        <v>#</v>
      </c>
      <c r="P993" s="23" t="str">
        <f t="shared" si="2"/>
        <v>#</v>
      </c>
      <c r="Q993" s="23"/>
      <c r="R993" s="23" t="str">
        <f>"("""&amp;B993&amp;""") ("&amp;Vlookup(E993,DropDown!R:V,5,FALSE)&amp;IF(ISBLANK(D993)," | "," "&amp;"OR """&amp;YEAR(D993)&amp;""" | ") &amp; """All New"" | Episode | Watch | tv | Show | Series | season | binge | Stream | Film | Movie | Premiere | Screening | Feature | Trailer | Teaser | theater | release)"</f>
        <v>#N/A</v>
      </c>
      <c r="S993" s="23"/>
      <c r="T993" s="23"/>
      <c r="U993" s="23"/>
      <c r="V993" s="23"/>
      <c r="W993" s="23"/>
      <c r="X993" s="38"/>
      <c r="Y993" s="38"/>
      <c r="Z993" s="38"/>
      <c r="AA993" s="38"/>
    </row>
    <row r="994">
      <c r="A994" s="31"/>
      <c r="B994" s="38"/>
      <c r="C994" s="38"/>
      <c r="D994" s="50"/>
      <c r="E994" s="50"/>
      <c r="F994" s="50"/>
      <c r="G994" s="27" t="str">
        <f>VLOOKUP(E994,DropDown!J:K,2,FALSE)</f>
        <v>#N/A</v>
      </c>
      <c r="H994" s="50"/>
      <c r="I994" s="50"/>
      <c r="J994" s="50"/>
      <c r="K994" s="25" t="s">
        <v>116</v>
      </c>
      <c r="L994" s="23"/>
      <c r="M994" s="23"/>
      <c r="N994" s="25" t="str">
        <f>"("""&amp;B994&amp;""") ("&amp;Vlookup(E994,DropDown!J:N,5,FALSE)&amp;" OR """ &amp;YEAR(D994) &amp; """ OR ""All New"" OR Episode OR Watch OR tv OR Show OR Series OR season OR binge OR Stream OR Film OR Movie OR Premiere OR Screening OR Feature OR Trailer OR Teaser OR theater OR release)"</f>
        <v>#N/A</v>
      </c>
      <c r="O994" s="23" t="str">
        <f t="shared" si="1"/>
        <v>#</v>
      </c>
      <c r="P994" s="23" t="str">
        <f t="shared" si="2"/>
        <v>#</v>
      </c>
      <c r="Q994" s="23"/>
      <c r="R994" s="23" t="str">
        <f>"("""&amp;B994&amp;""") ("&amp;Vlookup(E994,DropDown!R:V,5,FALSE)&amp;IF(ISBLANK(D994)," | "," "&amp;"OR """&amp;YEAR(D994)&amp;""" | ") &amp; """All New"" | Episode | Watch | tv | Show | Series | season | binge | Stream | Film | Movie | Premiere | Screening | Feature | Trailer | Teaser | theater | release)"</f>
        <v>#N/A</v>
      </c>
      <c r="S994" s="23"/>
      <c r="T994" s="23"/>
      <c r="U994" s="23"/>
      <c r="V994" s="23"/>
      <c r="W994" s="23"/>
      <c r="X994" s="38"/>
      <c r="Y994" s="38"/>
      <c r="Z994" s="38"/>
      <c r="AA994" s="38"/>
    </row>
    <row r="995">
      <c r="A995" s="31"/>
      <c r="B995" s="38"/>
      <c r="C995" s="38"/>
      <c r="D995" s="50"/>
      <c r="E995" s="50"/>
      <c r="F995" s="50"/>
      <c r="G995" s="27" t="str">
        <f>VLOOKUP(E995,DropDown!J:K,2,FALSE)</f>
        <v>#N/A</v>
      </c>
      <c r="H995" s="50"/>
      <c r="I995" s="50"/>
      <c r="J995" s="50"/>
      <c r="K995" s="25" t="s">
        <v>116</v>
      </c>
      <c r="L995" s="23"/>
      <c r="M995" s="23"/>
      <c r="N995" s="25" t="str">
        <f>"("""&amp;B995&amp;""") ("&amp;Vlookup(E995,DropDown!J:N,5,FALSE)&amp;" OR """ &amp;YEAR(D995) &amp; """ OR ""All New"" OR Episode OR Watch OR tv OR Show OR Series OR season OR binge OR Stream OR Film OR Movie OR Premiere OR Screening OR Feature OR Trailer OR Teaser OR theater OR release)"</f>
        <v>#N/A</v>
      </c>
      <c r="O995" s="23" t="str">
        <f t="shared" si="1"/>
        <v>#</v>
      </c>
      <c r="P995" s="23" t="str">
        <f t="shared" si="2"/>
        <v>#</v>
      </c>
      <c r="Q995" s="23"/>
      <c r="R995" s="23" t="str">
        <f>"("""&amp;B995&amp;""") ("&amp;Vlookup(E995,DropDown!R:V,5,FALSE)&amp;IF(ISBLANK(D995)," | "," "&amp;"OR """&amp;YEAR(D995)&amp;""" | ") &amp; """All New"" | Episode | Watch | tv | Show | Series | season | binge | Stream | Film | Movie | Premiere | Screening | Feature | Trailer | Teaser | theater | release)"</f>
        <v>#N/A</v>
      </c>
      <c r="S995" s="23"/>
      <c r="T995" s="23"/>
      <c r="U995" s="23"/>
      <c r="V995" s="23"/>
      <c r="W995" s="23"/>
      <c r="X995" s="38"/>
      <c r="Y995" s="38"/>
      <c r="Z995" s="38"/>
      <c r="AA995" s="38"/>
    </row>
    <row r="996">
      <c r="A996" s="31"/>
      <c r="B996" s="38"/>
      <c r="C996" s="38"/>
      <c r="D996" s="50"/>
      <c r="E996" s="50"/>
      <c r="F996" s="50"/>
      <c r="G996" s="27" t="str">
        <f>VLOOKUP(E996,DropDown!J:K,2,FALSE)</f>
        <v>#N/A</v>
      </c>
      <c r="H996" s="50"/>
      <c r="I996" s="50"/>
      <c r="J996" s="50"/>
      <c r="K996" s="25" t="s">
        <v>116</v>
      </c>
      <c r="L996" s="23"/>
      <c r="M996" s="23"/>
      <c r="N996" s="25" t="str">
        <f>"("""&amp;B996&amp;""") ("&amp;Vlookup(E996,DropDown!J:N,5,FALSE)&amp;" OR """ &amp;YEAR(D996) &amp; """ OR ""All New"" OR Episode OR Watch OR tv OR Show OR Series OR season OR binge OR Stream OR Film OR Movie OR Premiere OR Screening OR Feature OR Trailer OR Teaser OR theater OR release)"</f>
        <v>#N/A</v>
      </c>
      <c r="O996" s="23" t="str">
        <f t="shared" si="1"/>
        <v>#</v>
      </c>
      <c r="P996" s="23" t="str">
        <f t="shared" si="2"/>
        <v>#</v>
      </c>
      <c r="Q996" s="23"/>
      <c r="R996" s="23" t="str">
        <f>"("""&amp;B996&amp;""") ("&amp;Vlookup(E996,DropDown!R:V,5,FALSE)&amp;IF(ISBLANK(D996)," | "," "&amp;"OR """&amp;YEAR(D996)&amp;""" | ") &amp; """All New"" | Episode | Watch | tv | Show | Series | season | binge | Stream | Film | Movie | Premiere | Screening | Feature | Trailer | Teaser | theater | release)"</f>
        <v>#N/A</v>
      </c>
      <c r="S996" s="23"/>
      <c r="T996" s="23"/>
      <c r="U996" s="23"/>
      <c r="V996" s="23"/>
      <c r="W996" s="23"/>
      <c r="X996" s="38"/>
      <c r="Y996" s="38"/>
      <c r="Z996" s="38"/>
      <c r="AA996" s="38"/>
    </row>
    <row r="997">
      <c r="A997" s="31"/>
      <c r="B997" s="38"/>
      <c r="C997" s="38"/>
      <c r="D997" s="50"/>
      <c r="E997" s="50"/>
      <c r="F997" s="50"/>
      <c r="G997" s="27" t="str">
        <f>VLOOKUP(E997,DropDown!J:K,2,FALSE)</f>
        <v>#N/A</v>
      </c>
      <c r="H997" s="50"/>
      <c r="I997" s="50"/>
      <c r="J997" s="50"/>
      <c r="K997" s="25" t="s">
        <v>116</v>
      </c>
      <c r="L997" s="23"/>
      <c r="M997" s="23"/>
      <c r="N997" s="25" t="str">
        <f>"("""&amp;B997&amp;""") ("&amp;Vlookup(E997,DropDown!J:N,5,FALSE)&amp;" OR """ &amp;YEAR(D997) &amp; """ OR ""All New"" OR Episode OR Watch OR tv OR Show OR Series OR season OR binge OR Stream OR Film OR Movie OR Premiere OR Screening OR Feature OR Trailer OR Teaser OR theater OR release)"</f>
        <v>#N/A</v>
      </c>
      <c r="O997" s="23" t="str">
        <f t="shared" si="1"/>
        <v>#</v>
      </c>
      <c r="P997" s="23" t="str">
        <f t="shared" si="2"/>
        <v>#</v>
      </c>
      <c r="Q997" s="23"/>
      <c r="R997" s="23" t="str">
        <f>"("""&amp;B997&amp;""") ("&amp;Vlookup(E997,DropDown!R:V,5,FALSE)&amp;IF(ISBLANK(D997)," | "," "&amp;"OR """&amp;YEAR(D997)&amp;""" | ") &amp; """All New"" | Episode | Watch | tv | Show | Series | season | binge | Stream | Film | Movie | Premiere | Screening | Feature | Trailer | Teaser | theater | release)"</f>
        <v>#N/A</v>
      </c>
      <c r="S997" s="23"/>
      <c r="T997" s="23"/>
      <c r="U997" s="23"/>
      <c r="V997" s="23"/>
      <c r="W997" s="23"/>
      <c r="X997" s="38"/>
      <c r="Y997" s="38"/>
      <c r="Z997" s="38"/>
      <c r="AA997" s="38"/>
    </row>
    <row r="998">
      <c r="A998" s="31"/>
      <c r="B998" s="38"/>
      <c r="C998" s="38"/>
      <c r="D998" s="50"/>
      <c r="E998" s="50"/>
      <c r="F998" s="50"/>
      <c r="G998" s="27" t="str">
        <f>VLOOKUP(E998,DropDown!J:K,2,FALSE)</f>
        <v>#N/A</v>
      </c>
      <c r="H998" s="50"/>
      <c r="I998" s="50"/>
      <c r="J998" s="50"/>
      <c r="K998" s="25" t="s">
        <v>116</v>
      </c>
      <c r="L998" s="23"/>
      <c r="M998" s="23"/>
      <c r="N998" s="25" t="str">
        <f>"("""&amp;B998&amp;""") ("&amp;Vlookup(E998,DropDown!J:N,5,FALSE)&amp;" OR """ &amp;YEAR(D998) &amp; """ OR ""All New"" OR Episode OR Watch OR tv OR Show OR Series OR season OR binge OR Stream OR Film OR Movie OR Premiere OR Screening OR Feature OR Trailer OR Teaser OR theater OR release)"</f>
        <v>#N/A</v>
      </c>
      <c r="O998" s="23" t="str">
        <f t="shared" si="1"/>
        <v>#</v>
      </c>
      <c r="P998" s="23" t="str">
        <f t="shared" si="2"/>
        <v>#</v>
      </c>
      <c r="Q998" s="23"/>
      <c r="R998" s="23" t="str">
        <f>"("""&amp;B998&amp;""") ("&amp;Vlookup(E998,DropDown!R:V,5,FALSE)&amp;IF(ISBLANK(D998)," | "," "&amp;"OR """&amp;YEAR(D998)&amp;""" | ") &amp; """All New"" | Episode | Watch | tv | Show | Series | season | binge | Stream | Film | Movie | Premiere | Screening | Feature | Trailer | Teaser | theater | release)"</f>
        <v>#N/A</v>
      </c>
      <c r="S998" s="23"/>
      <c r="T998" s="23"/>
      <c r="U998" s="23"/>
      <c r="V998" s="23"/>
      <c r="W998" s="23"/>
      <c r="X998" s="38"/>
      <c r="Y998" s="38"/>
      <c r="Z998" s="38"/>
      <c r="AA998" s="38"/>
    </row>
    <row r="999">
      <c r="A999" s="31"/>
      <c r="B999" s="38"/>
      <c r="C999" s="38"/>
      <c r="D999" s="50"/>
      <c r="E999" s="50"/>
      <c r="F999" s="50"/>
      <c r="G999" s="27" t="str">
        <f>VLOOKUP(E999,DropDown!J:K,2,FALSE)</f>
        <v>#N/A</v>
      </c>
      <c r="H999" s="50"/>
      <c r="I999" s="50"/>
      <c r="J999" s="50"/>
      <c r="K999" s="25" t="s">
        <v>116</v>
      </c>
      <c r="L999" s="23"/>
      <c r="M999" s="23"/>
      <c r="N999" s="25" t="str">
        <f>"("""&amp;B999&amp;""") ("&amp;Vlookup(E999,DropDown!J:N,5,FALSE)&amp;" OR """ &amp;YEAR(D999) &amp; """ OR ""All New"" OR Episode OR Watch OR tv OR Show OR Series OR season OR binge OR Stream OR Film OR Movie OR Premiere OR Screening OR Feature OR Trailer OR Teaser OR theater OR release)"</f>
        <v>#N/A</v>
      </c>
      <c r="O999" s="23" t="str">
        <f t="shared" si="1"/>
        <v>#</v>
      </c>
      <c r="P999" s="23" t="str">
        <f t="shared" si="2"/>
        <v>#</v>
      </c>
      <c r="Q999" s="23"/>
      <c r="R999" s="23" t="str">
        <f>"("""&amp;B999&amp;""") ("&amp;Vlookup(E999,DropDown!R:V,5,FALSE)&amp;IF(ISBLANK(D999)," | "," "&amp;"OR """&amp;YEAR(D999)&amp;""" | ") &amp; """All New"" | Episode | Watch | tv | Show | Series | season | binge | Stream | Film | Movie | Premiere | Screening | Feature | Trailer | Teaser | theater | release)"</f>
        <v>#N/A</v>
      </c>
      <c r="S999" s="23"/>
      <c r="T999" s="23"/>
      <c r="U999" s="23"/>
      <c r="V999" s="23"/>
      <c r="W999" s="23"/>
      <c r="X999" s="38"/>
      <c r="Y999" s="38"/>
      <c r="Z999" s="38"/>
      <c r="AA999" s="38"/>
    </row>
    <row r="1000">
      <c r="A1000" s="31"/>
      <c r="B1000" s="38"/>
      <c r="C1000" s="38"/>
      <c r="D1000" s="50"/>
      <c r="E1000" s="50"/>
      <c r="F1000" s="50"/>
      <c r="G1000" s="27" t="str">
        <f>VLOOKUP(E1000,DropDown!J:K,2,FALSE)</f>
        <v>#N/A</v>
      </c>
      <c r="H1000" s="50"/>
      <c r="I1000" s="50"/>
      <c r="J1000" s="50"/>
      <c r="K1000" s="25" t="s">
        <v>116</v>
      </c>
      <c r="L1000" s="23"/>
      <c r="M1000" s="23"/>
      <c r="N1000" s="25" t="str">
        <f>"("""&amp;B1000&amp;""") ("&amp;Vlookup(E1000,DropDown!J:N,5,FALSE)&amp;" OR """ &amp;YEAR(D1000) &amp; """ OR ""All New"" OR Episode OR Watch OR tv OR Show OR Series OR season OR binge OR Stream OR Film OR Movie OR Premiere OR Screening OR Feature OR Trailer OR Teaser OR theater OR release)"</f>
        <v>#N/A</v>
      </c>
      <c r="O1000" s="23" t="str">
        <f t="shared" si="1"/>
        <v>#</v>
      </c>
      <c r="P1000" s="23" t="str">
        <f t="shared" si="2"/>
        <v>#</v>
      </c>
      <c r="Q1000" s="23"/>
      <c r="R1000" s="23" t="str">
        <f>"("""&amp;B1000&amp;""") ("&amp;Vlookup(E1000,DropDown!R:V,5,FALSE)&amp;IF(ISBLANK(D1000)," | "," "&amp;"OR """&amp;YEAR(D1000)&amp;""" | ") &amp; """All New"" | Episode | Watch | tv | Show | Series | season | binge | Stream | Film | Movie | Premiere | Screening | Feature | Trailer | Teaser | theater | release)"</f>
        <v>#N/A</v>
      </c>
      <c r="S1000" s="23"/>
      <c r="T1000" s="23"/>
      <c r="U1000" s="23"/>
      <c r="V1000" s="23"/>
      <c r="W1000" s="23"/>
      <c r="X1000" s="38"/>
      <c r="Y1000" s="38"/>
      <c r="Z1000" s="38"/>
      <c r="AA1000" s="38"/>
    </row>
  </sheetData>
  <autoFilter ref="$A$1:$AA$1000"/>
  <dataValidations>
    <dataValidation type="list" allowBlank="1" sqref="G2:G1000">
      <formula1>DropDown!$I$2:$I$7</formula1>
    </dataValidation>
    <dataValidation type="list" allowBlank="1" sqref="H2:J1000">
      <formula1>DropDown!$O$2:$O$32</formula1>
    </dataValidation>
    <dataValidation type="list" allowBlank="1" sqref="E2:E3">
      <formula1>DropDown!$J$2:$J$292</formula1>
    </dataValidation>
    <dataValidation type="list" allowBlank="1" sqref="E4:E1000">
      <formula1>DropDown!$J$2:$J$281</formula1>
    </dataValidation>
    <dataValidation type="list" allowBlank="1" showErrorMessage="1" sqref="A2:A1000">
      <formula1>DropDown!$F$2:$F$3</formula1>
    </dataValidation>
    <dataValidation type="list" allowBlank="1" sqref="F2:F1000">
      <formula1>DropDown!$H$2:$H$10</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19.0"/>
    <col customWidth="1" min="3" max="3" width="22.5"/>
    <col customWidth="1" min="4" max="4" width="18.75"/>
    <col customWidth="1" min="5" max="5" width="24.5"/>
    <col customWidth="1" min="6" max="6" width="18.63"/>
    <col customWidth="1" min="7" max="7" width="19.75"/>
    <col customWidth="1" min="8" max="8" width="16.63"/>
    <col customWidth="1" min="9" max="9" width="13.88"/>
    <col customWidth="1" min="10" max="10" width="13.75"/>
    <col customWidth="1" min="11" max="13" width="22.5"/>
    <col customWidth="1" min="14" max="14" width="29.63"/>
    <col customWidth="1" min="15" max="15" width="23.13"/>
    <col customWidth="1" min="16" max="16" width="22.5"/>
  </cols>
  <sheetData>
    <row r="1">
      <c r="A1" s="1"/>
      <c r="B1" s="1" t="s">
        <v>3</v>
      </c>
      <c r="C1" s="4"/>
      <c r="D1" s="4"/>
      <c r="E1" s="4"/>
      <c r="F1" s="4"/>
      <c r="G1" s="4"/>
      <c r="H1" s="4"/>
      <c r="I1" s="4"/>
      <c r="J1" s="4"/>
      <c r="K1" s="4"/>
      <c r="L1" s="4"/>
      <c r="M1" s="4"/>
      <c r="N1" s="4"/>
      <c r="O1" s="4"/>
      <c r="P1" s="4"/>
    </row>
    <row r="2">
      <c r="A2" s="7" t="s">
        <v>11</v>
      </c>
      <c r="B2" s="7" t="s">
        <v>22</v>
      </c>
      <c r="C2" s="9" t="s">
        <v>24</v>
      </c>
      <c r="D2" s="10" t="s">
        <v>28</v>
      </c>
      <c r="E2" s="9" t="s">
        <v>31</v>
      </c>
      <c r="F2" s="12" t="s">
        <v>33</v>
      </c>
      <c r="G2" s="12" t="s">
        <v>35</v>
      </c>
      <c r="H2" s="12" t="s">
        <v>38</v>
      </c>
      <c r="I2" s="12" t="s">
        <v>39</v>
      </c>
      <c r="J2" s="12" t="s">
        <v>40</v>
      </c>
      <c r="K2" s="12" t="s">
        <v>42</v>
      </c>
      <c r="L2" s="12" t="s">
        <v>43</v>
      </c>
      <c r="M2" s="12" t="s">
        <v>45</v>
      </c>
      <c r="N2" s="12" t="s">
        <v>46</v>
      </c>
      <c r="O2" s="12" t="s">
        <v>48</v>
      </c>
      <c r="P2" s="9" t="s">
        <v>51</v>
      </c>
    </row>
    <row r="3">
      <c r="A3" s="4" t="s">
        <v>54</v>
      </c>
      <c r="B3" s="2" t="s">
        <v>55</v>
      </c>
      <c r="C3" s="2" t="s">
        <v>55</v>
      </c>
      <c r="D3" t="s">
        <v>59</v>
      </c>
      <c r="E3" t="s">
        <v>59</v>
      </c>
      <c r="F3" t="s">
        <v>59</v>
      </c>
      <c r="G3" t="s">
        <v>62</v>
      </c>
      <c r="H3" t="s">
        <v>64</v>
      </c>
      <c r="I3" t="s">
        <v>64</v>
      </c>
      <c r="J3" t="s">
        <v>64</v>
      </c>
      <c r="K3" s="15" t="s">
        <v>65</v>
      </c>
      <c r="L3" s="15" t="s">
        <v>69</v>
      </c>
      <c r="M3" s="15" t="s">
        <v>71</v>
      </c>
      <c r="N3" s="15" t="s">
        <v>73</v>
      </c>
      <c r="O3" s="15" t="s">
        <v>74</v>
      </c>
      <c r="P3" s="15" t="s">
        <v>75</v>
      </c>
    </row>
    <row r="4">
      <c r="A4" s="4" t="s">
        <v>78</v>
      </c>
      <c r="B4" s="2" t="s">
        <v>79</v>
      </c>
      <c r="C4" s="2" t="s">
        <v>79</v>
      </c>
      <c r="D4" t="s">
        <v>81</v>
      </c>
      <c r="E4" t="s">
        <v>81</v>
      </c>
      <c r="F4" t="s">
        <v>81</v>
      </c>
      <c r="G4" t="s">
        <v>84</v>
      </c>
      <c r="H4" t="s">
        <v>86</v>
      </c>
      <c r="I4" t="s">
        <v>86</v>
      </c>
      <c r="J4" t="s">
        <v>86</v>
      </c>
      <c r="K4" s="15" t="s">
        <v>89</v>
      </c>
      <c r="L4" s="15" t="s">
        <v>89</v>
      </c>
      <c r="M4" s="15" t="s">
        <v>89</v>
      </c>
      <c r="N4" s="15" t="s">
        <v>89</v>
      </c>
      <c r="O4" s="15" t="s">
        <v>89</v>
      </c>
      <c r="P4" s="15" t="s">
        <v>89</v>
      </c>
    </row>
    <row r="5">
      <c r="A5" s="17" t="s">
        <v>94</v>
      </c>
      <c r="B5" s="2"/>
      <c r="C5" s="2"/>
      <c r="D5" t="s">
        <v>97</v>
      </c>
      <c r="E5" t="s">
        <v>97</v>
      </c>
      <c r="F5" t="s">
        <v>97</v>
      </c>
      <c r="G5" t="s">
        <v>99</v>
      </c>
      <c r="H5" t="s">
        <v>100</v>
      </c>
      <c r="I5" t="s">
        <v>100</v>
      </c>
      <c r="J5" t="s">
        <v>100</v>
      </c>
    </row>
    <row r="6">
      <c r="C6" s="15"/>
    </row>
    <row r="7">
      <c r="C7" s="1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v>
      </c>
    </row>
    <row r="2">
      <c r="A2" s="2" t="s">
        <v>4</v>
      </c>
      <c r="B2" s="2" t="s">
        <v>5</v>
      </c>
    </row>
    <row r="3">
      <c r="A3" s="2" t="s">
        <v>7</v>
      </c>
      <c r="B3" s="2" t="s">
        <v>9</v>
      </c>
    </row>
    <row r="4">
      <c r="A4" s="2" t="s">
        <v>12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0" max="10" width="28.38"/>
    <col customWidth="1" min="12" max="12" width="40.63"/>
    <col customWidth="1" min="13" max="13" width="26.38"/>
    <col customWidth="1" min="14" max="14" width="87.38"/>
    <col customWidth="1" min="17" max="17" width="20.0"/>
    <col customWidth="1" min="18" max="18" width="28.38"/>
    <col customWidth="1" min="20" max="20" width="51.75"/>
    <col customWidth="1" min="21" max="21" width="26.38"/>
    <col customWidth="1" min="22" max="22" width="48.38"/>
  </cols>
  <sheetData>
    <row r="1">
      <c r="A1" s="28" t="s">
        <v>110</v>
      </c>
      <c r="B1" s="28" t="s">
        <v>111</v>
      </c>
      <c r="C1" s="2" t="s">
        <v>112</v>
      </c>
      <c r="D1" s="2" t="s">
        <v>113</v>
      </c>
      <c r="E1" s="2" t="s">
        <v>114</v>
      </c>
      <c r="F1" s="30" t="s">
        <v>0</v>
      </c>
      <c r="G1" s="2" t="s">
        <v>115</v>
      </c>
      <c r="H1" s="2" t="s">
        <v>13</v>
      </c>
      <c r="I1" s="2" t="s">
        <v>15</v>
      </c>
      <c r="J1" s="2" t="s">
        <v>11</v>
      </c>
      <c r="K1" s="2" t="s">
        <v>15</v>
      </c>
      <c r="L1" s="2" t="s">
        <v>117</v>
      </c>
      <c r="M1" s="2" t="s">
        <v>113</v>
      </c>
      <c r="N1" s="2" t="s">
        <v>118</v>
      </c>
      <c r="O1" s="2" t="s">
        <v>119</v>
      </c>
      <c r="Q1" s="31" t="s">
        <v>120</v>
      </c>
      <c r="R1" s="32" t="s">
        <v>11</v>
      </c>
      <c r="S1" s="32" t="s">
        <v>15</v>
      </c>
      <c r="T1" s="33" t="s">
        <v>117</v>
      </c>
      <c r="U1" s="32" t="s">
        <v>113</v>
      </c>
      <c r="V1" s="33" t="s">
        <v>121</v>
      </c>
    </row>
    <row r="2">
      <c r="A2" s="2" t="s">
        <v>122</v>
      </c>
      <c r="B2" s="2" t="s">
        <v>109</v>
      </c>
      <c r="C2" s="2" t="s">
        <v>123</v>
      </c>
      <c r="D2" s="2" t="s">
        <v>124</v>
      </c>
      <c r="E2" s="2" t="s">
        <v>125</v>
      </c>
      <c r="F2" s="30" t="s">
        <v>126</v>
      </c>
      <c r="G2" s="2" t="s">
        <v>127</v>
      </c>
      <c r="H2" s="2" t="s">
        <v>128</v>
      </c>
      <c r="I2" s="2" t="s">
        <v>129</v>
      </c>
      <c r="J2" s="2" t="s">
        <v>28</v>
      </c>
      <c r="K2" s="2" t="s">
        <v>130</v>
      </c>
      <c r="L2" s="34" t="s">
        <v>131</v>
      </c>
      <c r="M2" s="2" t="s">
        <v>33</v>
      </c>
      <c r="N2" t="s">
        <v>132</v>
      </c>
      <c r="O2" s="2" t="s">
        <v>110</v>
      </c>
      <c r="R2" s="2" t="s">
        <v>28</v>
      </c>
      <c r="S2" s="2" t="s">
        <v>130</v>
      </c>
      <c r="T2" s="35" t="s">
        <v>131</v>
      </c>
      <c r="U2" s="2" t="s">
        <v>33</v>
      </c>
      <c r="V2" s="36" t="s">
        <v>133</v>
      </c>
    </row>
    <row r="3">
      <c r="A3" s="2" t="s">
        <v>134</v>
      </c>
      <c r="C3" s="2" t="s">
        <v>135</v>
      </c>
      <c r="E3" s="2" t="s">
        <v>136</v>
      </c>
      <c r="F3" s="30" t="s">
        <v>137</v>
      </c>
      <c r="G3" s="2" t="s">
        <v>116</v>
      </c>
      <c r="H3" s="2" t="s">
        <v>138</v>
      </c>
      <c r="I3" s="2" t="s">
        <v>130</v>
      </c>
      <c r="J3" s="2" t="s">
        <v>139</v>
      </c>
      <c r="K3" s="2" t="s">
        <v>129</v>
      </c>
      <c r="L3" s="34" t="s">
        <v>140</v>
      </c>
      <c r="M3" s="2" t="s">
        <v>139</v>
      </c>
      <c r="N3" t="s">
        <v>141</v>
      </c>
      <c r="O3" s="2" t="s">
        <v>142</v>
      </c>
      <c r="R3" s="2" t="s">
        <v>139</v>
      </c>
      <c r="S3" s="2" t="s">
        <v>129</v>
      </c>
      <c r="T3" s="35" t="s">
        <v>140</v>
      </c>
      <c r="U3" s="2" t="s">
        <v>139</v>
      </c>
      <c r="V3" s="36" t="s">
        <v>143</v>
      </c>
    </row>
    <row r="4">
      <c r="H4" s="2"/>
      <c r="I4" s="2"/>
      <c r="J4" s="2" t="s">
        <v>144</v>
      </c>
      <c r="K4" s="2" t="s">
        <v>129</v>
      </c>
      <c r="L4" s="34" t="s">
        <v>145</v>
      </c>
      <c r="M4" s="2" t="s">
        <v>147</v>
      </c>
      <c r="N4" t="s">
        <v>148</v>
      </c>
      <c r="O4" s="2" t="s">
        <v>149</v>
      </c>
      <c r="P4" s="2"/>
      <c r="R4" s="2" t="s">
        <v>144</v>
      </c>
      <c r="S4" s="2" t="s">
        <v>129</v>
      </c>
      <c r="T4" s="35" t="s">
        <v>145</v>
      </c>
      <c r="U4" s="2" t="s">
        <v>144</v>
      </c>
      <c r="V4" s="36" t="s">
        <v>150</v>
      </c>
    </row>
    <row r="5">
      <c r="H5" s="2"/>
      <c r="I5" s="2"/>
      <c r="J5" s="2" t="s">
        <v>151</v>
      </c>
      <c r="K5" s="2" t="s">
        <v>129</v>
      </c>
      <c r="L5" s="34" t="s">
        <v>152</v>
      </c>
      <c r="M5" s="2" t="s">
        <v>147</v>
      </c>
      <c r="N5" t="s">
        <v>154</v>
      </c>
      <c r="O5" s="2" t="s">
        <v>155</v>
      </c>
      <c r="R5" s="2" t="s">
        <v>151</v>
      </c>
      <c r="S5" s="2" t="s">
        <v>129</v>
      </c>
      <c r="T5" s="35" t="s">
        <v>152</v>
      </c>
      <c r="U5" s="2" t="s">
        <v>151</v>
      </c>
      <c r="V5" s="36" t="s">
        <v>156</v>
      </c>
    </row>
    <row r="6">
      <c r="H6" s="2"/>
      <c r="I6" s="2"/>
      <c r="J6" s="2" t="s">
        <v>157</v>
      </c>
      <c r="K6" s="2" t="s">
        <v>129</v>
      </c>
      <c r="L6" s="34" t="s">
        <v>158</v>
      </c>
      <c r="M6" s="2" t="s">
        <v>157</v>
      </c>
      <c r="N6" t="s">
        <v>159</v>
      </c>
      <c r="O6" s="2" t="s">
        <v>160</v>
      </c>
      <c r="R6" s="2" t="s">
        <v>157</v>
      </c>
      <c r="S6" s="2" t="s">
        <v>129</v>
      </c>
      <c r="T6" s="35" t="s">
        <v>158</v>
      </c>
      <c r="U6" s="2" t="s">
        <v>157</v>
      </c>
      <c r="V6" s="36" t="s">
        <v>161</v>
      </c>
    </row>
    <row r="7">
      <c r="H7" s="2"/>
      <c r="I7" s="2"/>
      <c r="J7" s="2" t="s">
        <v>162</v>
      </c>
      <c r="K7" s="2" t="s">
        <v>129</v>
      </c>
      <c r="L7" s="34" t="s">
        <v>163</v>
      </c>
      <c r="M7" s="2" t="s">
        <v>147</v>
      </c>
      <c r="N7" t="s">
        <v>164</v>
      </c>
      <c r="O7" s="2" t="s">
        <v>165</v>
      </c>
      <c r="R7" s="2" t="s">
        <v>162</v>
      </c>
      <c r="S7" s="2" t="s">
        <v>129</v>
      </c>
      <c r="T7" s="35" t="s">
        <v>163</v>
      </c>
      <c r="U7" s="2" t="s">
        <v>147</v>
      </c>
      <c r="V7" s="36" t="s">
        <v>166</v>
      </c>
    </row>
    <row r="8">
      <c r="H8" s="2"/>
      <c r="J8" s="2" t="s">
        <v>167</v>
      </c>
      <c r="K8" s="2" t="s">
        <v>129</v>
      </c>
      <c r="L8" s="34" t="s">
        <v>168</v>
      </c>
      <c r="M8" s="2" t="s">
        <v>147</v>
      </c>
      <c r="N8" t="s">
        <v>169</v>
      </c>
      <c r="O8" s="2" t="s">
        <v>170</v>
      </c>
      <c r="R8" s="2" t="s">
        <v>167</v>
      </c>
      <c r="S8" s="2" t="s">
        <v>129</v>
      </c>
      <c r="T8" s="35" t="s">
        <v>168</v>
      </c>
      <c r="U8" s="2" t="s">
        <v>147</v>
      </c>
      <c r="V8" s="36" t="s">
        <v>171</v>
      </c>
    </row>
    <row r="9">
      <c r="H9" s="2"/>
      <c r="J9" s="2" t="s">
        <v>172</v>
      </c>
      <c r="K9" s="2" t="s">
        <v>129</v>
      </c>
      <c r="L9" s="34" t="s">
        <v>173</v>
      </c>
      <c r="M9" s="2" t="s">
        <v>147</v>
      </c>
      <c r="N9" t="s">
        <v>174</v>
      </c>
      <c r="O9" s="2" t="s">
        <v>175</v>
      </c>
      <c r="R9" s="2" t="s">
        <v>172</v>
      </c>
      <c r="S9" s="2" t="s">
        <v>129</v>
      </c>
      <c r="T9" s="35" t="s">
        <v>173</v>
      </c>
      <c r="U9" s="2" t="s">
        <v>172</v>
      </c>
      <c r="V9" s="36" t="s">
        <v>176</v>
      </c>
    </row>
    <row r="10">
      <c r="H10" s="2"/>
      <c r="J10" s="2" t="s">
        <v>177</v>
      </c>
      <c r="K10" s="2" t="s">
        <v>129</v>
      </c>
      <c r="L10" s="2"/>
      <c r="M10" s="2" t="s">
        <v>147</v>
      </c>
      <c r="N10" t="s">
        <v>178</v>
      </c>
      <c r="O10" s="2" t="s">
        <v>179</v>
      </c>
      <c r="R10" s="2" t="s">
        <v>177</v>
      </c>
      <c r="S10" s="2" t="s">
        <v>129</v>
      </c>
      <c r="T10" s="36"/>
      <c r="V10" s="36" t="s">
        <v>180</v>
      </c>
    </row>
    <row r="11">
      <c r="J11" s="2" t="s">
        <v>181</v>
      </c>
      <c r="K11" s="2" t="s">
        <v>129</v>
      </c>
      <c r="L11" s="34" t="s">
        <v>182</v>
      </c>
      <c r="M11" s="2" t="s">
        <v>147</v>
      </c>
      <c r="N11" t="s">
        <v>183</v>
      </c>
      <c r="O11" s="2" t="s">
        <v>184</v>
      </c>
      <c r="R11" s="2" t="s">
        <v>181</v>
      </c>
      <c r="S11" s="2" t="s">
        <v>129</v>
      </c>
      <c r="T11" s="35" t="s">
        <v>182</v>
      </c>
      <c r="V11" s="36" t="s">
        <v>185</v>
      </c>
    </row>
    <row r="12">
      <c r="J12" s="2" t="s">
        <v>186</v>
      </c>
      <c r="K12" s="2" t="s">
        <v>129</v>
      </c>
      <c r="L12" s="2"/>
      <c r="M12" s="2" t="s">
        <v>147</v>
      </c>
      <c r="N12" t="s">
        <v>187</v>
      </c>
      <c r="O12" s="2" t="s">
        <v>188</v>
      </c>
      <c r="R12" s="2" t="s">
        <v>186</v>
      </c>
      <c r="S12" s="2" t="s">
        <v>129</v>
      </c>
      <c r="T12" s="36"/>
      <c r="V12" s="36" t="s">
        <v>189</v>
      </c>
    </row>
    <row r="13">
      <c r="J13" s="2" t="s">
        <v>190</v>
      </c>
      <c r="K13" s="2" t="s">
        <v>129</v>
      </c>
      <c r="L13" s="2"/>
      <c r="M13" s="2" t="s">
        <v>147</v>
      </c>
      <c r="N13" t="s">
        <v>191</v>
      </c>
      <c r="O13" s="2" t="s">
        <v>192</v>
      </c>
      <c r="R13" s="2" t="s">
        <v>190</v>
      </c>
      <c r="S13" s="2" t="s">
        <v>129</v>
      </c>
      <c r="T13" s="36"/>
      <c r="V13" s="36" t="s">
        <v>193</v>
      </c>
    </row>
    <row r="14">
      <c r="J14" s="2" t="s">
        <v>194</v>
      </c>
      <c r="K14" s="2" t="s">
        <v>129</v>
      </c>
      <c r="L14" s="34" t="s">
        <v>195</v>
      </c>
      <c r="M14" s="2" t="s">
        <v>147</v>
      </c>
      <c r="N14" t="s">
        <v>196</v>
      </c>
      <c r="O14" s="2" t="s">
        <v>197</v>
      </c>
      <c r="R14" s="2" t="s">
        <v>194</v>
      </c>
      <c r="S14" s="2" t="s">
        <v>129</v>
      </c>
      <c r="T14" s="35" t="s">
        <v>195</v>
      </c>
      <c r="U14" s="28" t="s">
        <v>194</v>
      </c>
      <c r="V14" s="36" t="s">
        <v>198</v>
      </c>
    </row>
    <row r="15">
      <c r="J15" s="2" t="s">
        <v>199</v>
      </c>
      <c r="K15" s="2" t="s">
        <v>129</v>
      </c>
      <c r="L15" s="34" t="s">
        <v>200</v>
      </c>
      <c r="M15" s="2" t="s">
        <v>147</v>
      </c>
      <c r="N15" t="s">
        <v>201</v>
      </c>
      <c r="O15" s="2" t="s">
        <v>202</v>
      </c>
      <c r="R15" s="2" t="s">
        <v>199</v>
      </c>
      <c r="S15" s="2" t="s">
        <v>129</v>
      </c>
      <c r="T15" s="35" t="s">
        <v>200</v>
      </c>
      <c r="U15" s="2" t="s">
        <v>203</v>
      </c>
      <c r="V15" s="36" t="s">
        <v>204</v>
      </c>
    </row>
    <row r="16">
      <c r="J16" s="2" t="s">
        <v>205</v>
      </c>
      <c r="K16" s="2" t="s">
        <v>129</v>
      </c>
      <c r="L16" s="34" t="s">
        <v>206</v>
      </c>
      <c r="M16" s="2" t="s">
        <v>147</v>
      </c>
      <c r="N16" t="s">
        <v>207</v>
      </c>
      <c r="O16" s="2" t="s">
        <v>208</v>
      </c>
      <c r="R16" s="2" t="s">
        <v>205</v>
      </c>
      <c r="S16" s="2" t="s">
        <v>129</v>
      </c>
      <c r="T16" s="35" t="s">
        <v>206</v>
      </c>
      <c r="U16" s="2" t="s">
        <v>205</v>
      </c>
      <c r="V16" s="36" t="s">
        <v>209</v>
      </c>
    </row>
    <row r="17">
      <c r="J17" s="2" t="s">
        <v>210</v>
      </c>
      <c r="K17" s="2" t="s">
        <v>129</v>
      </c>
      <c r="L17" s="34" t="s">
        <v>211</v>
      </c>
      <c r="M17" s="2" t="s">
        <v>147</v>
      </c>
      <c r="N17" t="s">
        <v>212</v>
      </c>
      <c r="O17" s="2" t="s">
        <v>213</v>
      </c>
      <c r="R17" s="2" t="s">
        <v>210</v>
      </c>
      <c r="S17" s="2" t="s">
        <v>129</v>
      </c>
      <c r="T17" s="35" t="s">
        <v>211</v>
      </c>
      <c r="U17" s="2" t="s">
        <v>210</v>
      </c>
      <c r="V17" s="36" t="s">
        <v>214</v>
      </c>
    </row>
    <row r="18">
      <c r="J18" s="2" t="s">
        <v>215</v>
      </c>
      <c r="K18" s="2" t="s">
        <v>129</v>
      </c>
      <c r="L18" s="34" t="s">
        <v>216</v>
      </c>
      <c r="M18" s="2" t="s">
        <v>147</v>
      </c>
      <c r="N18" t="s">
        <v>217</v>
      </c>
      <c r="O18" s="2" t="s">
        <v>218</v>
      </c>
      <c r="R18" s="2" t="s">
        <v>215</v>
      </c>
      <c r="S18" s="2" t="s">
        <v>129</v>
      </c>
      <c r="T18" s="35" t="s">
        <v>216</v>
      </c>
      <c r="V18" s="36" t="s">
        <v>219</v>
      </c>
    </row>
    <row r="19">
      <c r="J19" s="2" t="s">
        <v>220</v>
      </c>
      <c r="K19" s="2" t="s">
        <v>129</v>
      </c>
      <c r="L19" s="34" t="s">
        <v>221</v>
      </c>
      <c r="M19" s="2" t="s">
        <v>147</v>
      </c>
      <c r="N19" t="s">
        <v>222</v>
      </c>
      <c r="O19" s="2" t="s">
        <v>223</v>
      </c>
      <c r="R19" s="2" t="s">
        <v>220</v>
      </c>
      <c r="S19" s="2" t="s">
        <v>129</v>
      </c>
      <c r="T19" s="35" t="s">
        <v>221</v>
      </c>
      <c r="U19" s="2" t="s">
        <v>220</v>
      </c>
      <c r="V19" s="36" t="s">
        <v>224</v>
      </c>
    </row>
    <row r="20">
      <c r="J20" s="2" t="s">
        <v>225</v>
      </c>
      <c r="K20" s="2" t="s">
        <v>129</v>
      </c>
      <c r="L20" s="34" t="s">
        <v>226</v>
      </c>
      <c r="M20" s="2" t="s">
        <v>147</v>
      </c>
      <c r="N20" t="s">
        <v>227</v>
      </c>
      <c r="O20" s="2" t="s">
        <v>228</v>
      </c>
      <c r="R20" s="2" t="s">
        <v>225</v>
      </c>
      <c r="S20" s="2" t="s">
        <v>129</v>
      </c>
      <c r="T20" s="35" t="s">
        <v>226</v>
      </c>
      <c r="U20" s="2" t="s">
        <v>229</v>
      </c>
      <c r="V20" s="36" t="s">
        <v>230</v>
      </c>
    </row>
    <row r="21">
      <c r="J21" s="2" t="s">
        <v>231</v>
      </c>
      <c r="K21" s="2" t="s">
        <v>129</v>
      </c>
      <c r="L21" s="2"/>
      <c r="M21" s="2" t="s">
        <v>147</v>
      </c>
      <c r="N21" t="s">
        <v>232</v>
      </c>
      <c r="O21" s="2" t="s">
        <v>233</v>
      </c>
      <c r="R21" s="2" t="s">
        <v>231</v>
      </c>
      <c r="S21" s="2" t="s">
        <v>129</v>
      </c>
      <c r="T21" s="36"/>
      <c r="V21" s="36" t="s">
        <v>234</v>
      </c>
    </row>
    <row r="22">
      <c r="J22" s="2" t="s">
        <v>235</v>
      </c>
      <c r="K22" s="2" t="s">
        <v>129</v>
      </c>
      <c r="L22" s="52" t="s">
        <v>236</v>
      </c>
      <c r="M22" s="2" t="s">
        <v>147</v>
      </c>
      <c r="N22" t="s">
        <v>237</v>
      </c>
      <c r="O22" s="2" t="s">
        <v>238</v>
      </c>
      <c r="R22" s="2" t="s">
        <v>235</v>
      </c>
      <c r="S22" s="2" t="s">
        <v>129</v>
      </c>
      <c r="T22" s="54" t="s">
        <v>236</v>
      </c>
      <c r="U22" s="2" t="s">
        <v>235</v>
      </c>
      <c r="V22" s="36" t="s">
        <v>239</v>
      </c>
    </row>
    <row r="23">
      <c r="J23" s="2" t="s">
        <v>240</v>
      </c>
      <c r="K23" s="2" t="s">
        <v>129</v>
      </c>
      <c r="L23" s="34" t="s">
        <v>241</v>
      </c>
      <c r="M23" s="2" t="s">
        <v>147</v>
      </c>
      <c r="N23" t="s">
        <v>242</v>
      </c>
      <c r="O23" s="2" t="s">
        <v>243</v>
      </c>
      <c r="R23" s="2" t="s">
        <v>240</v>
      </c>
      <c r="S23" s="2" t="s">
        <v>129</v>
      </c>
      <c r="T23" s="35" t="s">
        <v>241</v>
      </c>
      <c r="V23" s="36" t="s">
        <v>244</v>
      </c>
    </row>
    <row r="24">
      <c r="J24" s="2" t="s">
        <v>245</v>
      </c>
      <c r="K24" s="2" t="s">
        <v>129</v>
      </c>
      <c r="L24" s="34" t="s">
        <v>246</v>
      </c>
      <c r="M24" s="2" t="s">
        <v>147</v>
      </c>
      <c r="N24" t="s">
        <v>247</v>
      </c>
      <c r="O24" s="2" t="s">
        <v>248</v>
      </c>
      <c r="R24" s="2" t="s">
        <v>245</v>
      </c>
      <c r="S24" s="2" t="s">
        <v>129</v>
      </c>
      <c r="T24" s="35" t="s">
        <v>246</v>
      </c>
      <c r="U24" s="2" t="s">
        <v>245</v>
      </c>
      <c r="V24" s="36" t="s">
        <v>249</v>
      </c>
    </row>
    <row r="25">
      <c r="J25" s="2" t="s">
        <v>250</v>
      </c>
      <c r="K25" s="2" t="s">
        <v>129</v>
      </c>
      <c r="L25" s="34" t="s">
        <v>251</v>
      </c>
      <c r="M25" s="2" t="s">
        <v>147</v>
      </c>
      <c r="N25" t="s">
        <v>252</v>
      </c>
      <c r="O25" s="2" t="s">
        <v>253</v>
      </c>
      <c r="R25" s="2" t="s">
        <v>250</v>
      </c>
      <c r="S25" s="2" t="s">
        <v>129</v>
      </c>
      <c r="T25" s="35" t="s">
        <v>251</v>
      </c>
      <c r="V25" s="36" t="s">
        <v>254</v>
      </c>
    </row>
    <row r="26">
      <c r="J26" s="2" t="s">
        <v>22</v>
      </c>
      <c r="K26" s="2" t="s">
        <v>129</v>
      </c>
      <c r="L26" s="34" t="s">
        <v>255</v>
      </c>
      <c r="M26" s="2" t="s">
        <v>147</v>
      </c>
      <c r="N26" t="s">
        <v>256</v>
      </c>
      <c r="O26" s="2" t="s">
        <v>257</v>
      </c>
      <c r="R26" s="2" t="s">
        <v>22</v>
      </c>
      <c r="S26" s="2" t="s">
        <v>129</v>
      </c>
      <c r="T26" s="35" t="s">
        <v>255</v>
      </c>
      <c r="U26" s="2" t="s">
        <v>22</v>
      </c>
      <c r="V26" s="36" t="s">
        <v>258</v>
      </c>
    </row>
    <row r="27">
      <c r="J27" s="2" t="s">
        <v>259</v>
      </c>
      <c r="K27" s="2" t="s">
        <v>129</v>
      </c>
      <c r="L27" s="34" t="s">
        <v>260</v>
      </c>
      <c r="M27" s="2" t="s">
        <v>147</v>
      </c>
      <c r="N27" t="s">
        <v>261</v>
      </c>
      <c r="O27" s="2" t="s">
        <v>262</v>
      </c>
      <c r="R27" s="2" t="s">
        <v>259</v>
      </c>
      <c r="S27" s="2" t="s">
        <v>129</v>
      </c>
      <c r="T27" s="35" t="s">
        <v>260</v>
      </c>
      <c r="U27" s="2" t="s">
        <v>263</v>
      </c>
      <c r="V27" s="36" t="s">
        <v>264</v>
      </c>
    </row>
    <row r="28">
      <c r="J28" s="2" t="s">
        <v>265</v>
      </c>
      <c r="K28" s="2" t="s">
        <v>129</v>
      </c>
      <c r="L28" s="34" t="s">
        <v>266</v>
      </c>
      <c r="M28" s="2" t="s">
        <v>147</v>
      </c>
      <c r="N28" t="s">
        <v>267</v>
      </c>
      <c r="O28" s="2" t="s">
        <v>268</v>
      </c>
      <c r="R28" s="2" t="s">
        <v>265</v>
      </c>
      <c r="S28" s="2" t="s">
        <v>129</v>
      </c>
      <c r="T28" s="35" t="s">
        <v>266</v>
      </c>
      <c r="V28" s="36" t="s">
        <v>269</v>
      </c>
    </row>
    <row r="29">
      <c r="J29" s="2" t="s">
        <v>270</v>
      </c>
      <c r="K29" s="2" t="s">
        <v>129</v>
      </c>
      <c r="L29" s="34" t="s">
        <v>271</v>
      </c>
      <c r="M29" s="2" t="s">
        <v>147</v>
      </c>
      <c r="N29" t="s">
        <v>272</v>
      </c>
      <c r="O29" s="27" t="s">
        <v>273</v>
      </c>
      <c r="R29" s="2" t="s">
        <v>270</v>
      </c>
      <c r="S29" s="2" t="s">
        <v>129</v>
      </c>
      <c r="T29" s="35" t="s">
        <v>271</v>
      </c>
      <c r="U29" s="2" t="s">
        <v>270</v>
      </c>
      <c r="V29" s="36" t="s">
        <v>274</v>
      </c>
    </row>
    <row r="30">
      <c r="J30" s="2" t="s">
        <v>275</v>
      </c>
      <c r="K30" s="2" t="s">
        <v>129</v>
      </c>
      <c r="L30" s="34" t="s">
        <v>276</v>
      </c>
      <c r="M30" s="2" t="s">
        <v>147</v>
      </c>
      <c r="N30" t="s">
        <v>277</v>
      </c>
      <c r="O30" s="2"/>
      <c r="R30" s="2" t="s">
        <v>275</v>
      </c>
      <c r="S30" s="2" t="s">
        <v>129</v>
      </c>
      <c r="T30" s="35" t="s">
        <v>276</v>
      </c>
      <c r="U30" s="2" t="s">
        <v>275</v>
      </c>
      <c r="V30" s="36" t="s">
        <v>278</v>
      </c>
    </row>
    <row r="31">
      <c r="J31" s="2" t="s">
        <v>279</v>
      </c>
      <c r="K31" s="2" t="s">
        <v>129</v>
      </c>
      <c r="L31" s="34" t="s">
        <v>280</v>
      </c>
      <c r="M31" s="2" t="s">
        <v>147</v>
      </c>
      <c r="N31" t="s">
        <v>281</v>
      </c>
      <c r="O31" s="2"/>
      <c r="R31" s="2" t="s">
        <v>279</v>
      </c>
      <c r="S31" s="2" t="s">
        <v>129</v>
      </c>
      <c r="T31" s="35" t="s">
        <v>280</v>
      </c>
      <c r="V31" s="36" t="s">
        <v>282</v>
      </c>
    </row>
    <row r="32">
      <c r="J32" s="2" t="s">
        <v>283</v>
      </c>
      <c r="K32" s="2" t="s">
        <v>129</v>
      </c>
      <c r="L32" s="34" t="s">
        <v>284</v>
      </c>
      <c r="M32" s="2" t="s">
        <v>147</v>
      </c>
      <c r="N32" t="s">
        <v>285</v>
      </c>
      <c r="O32" s="2"/>
      <c r="R32" s="2" t="s">
        <v>283</v>
      </c>
      <c r="S32" s="2" t="s">
        <v>129</v>
      </c>
      <c r="T32" s="35" t="s">
        <v>284</v>
      </c>
      <c r="V32" s="36" t="s">
        <v>286</v>
      </c>
    </row>
    <row r="33">
      <c r="J33" s="2" t="s">
        <v>287</v>
      </c>
      <c r="K33" s="2" t="s">
        <v>129</v>
      </c>
      <c r="L33" s="2"/>
      <c r="M33" s="2" t="s">
        <v>147</v>
      </c>
      <c r="N33" t="s">
        <v>288</v>
      </c>
      <c r="R33" s="2" t="s">
        <v>287</v>
      </c>
      <c r="S33" s="2" t="s">
        <v>129</v>
      </c>
      <c r="T33" s="36"/>
      <c r="U33" s="2" t="s">
        <v>287</v>
      </c>
      <c r="V33" s="36" t="s">
        <v>289</v>
      </c>
    </row>
    <row r="34">
      <c r="J34" s="2" t="s">
        <v>290</v>
      </c>
      <c r="K34" s="2" t="s">
        <v>129</v>
      </c>
      <c r="L34" s="2"/>
      <c r="M34" s="2" t="s">
        <v>147</v>
      </c>
      <c r="N34" t="s">
        <v>291</v>
      </c>
      <c r="R34" s="2" t="s">
        <v>290</v>
      </c>
      <c r="S34" s="2" t="s">
        <v>129</v>
      </c>
      <c r="T34" s="36"/>
      <c r="V34" s="36" t="s">
        <v>292</v>
      </c>
    </row>
    <row r="35">
      <c r="J35" s="2" t="s">
        <v>293</v>
      </c>
      <c r="K35" s="2" t="s">
        <v>129</v>
      </c>
      <c r="L35" s="34" t="s">
        <v>294</v>
      </c>
      <c r="M35" s="2" t="s">
        <v>147</v>
      </c>
      <c r="N35" t="s">
        <v>295</v>
      </c>
      <c r="R35" s="2" t="s">
        <v>293</v>
      </c>
      <c r="S35" s="2" t="s">
        <v>129</v>
      </c>
      <c r="T35" s="35" t="s">
        <v>294</v>
      </c>
      <c r="U35" s="2" t="s">
        <v>293</v>
      </c>
      <c r="V35" s="36" t="s">
        <v>296</v>
      </c>
    </row>
    <row r="36">
      <c r="J36" s="2" t="s">
        <v>297</v>
      </c>
      <c r="K36" s="2" t="s">
        <v>129</v>
      </c>
      <c r="L36" s="2"/>
      <c r="M36" s="2" t="s">
        <v>147</v>
      </c>
      <c r="N36" t="s">
        <v>298</v>
      </c>
      <c r="R36" s="2" t="s">
        <v>297</v>
      </c>
      <c r="S36" s="2" t="s">
        <v>129</v>
      </c>
      <c r="T36" s="36"/>
      <c r="U36" s="2" t="s">
        <v>297</v>
      </c>
      <c r="V36" s="36" t="s">
        <v>299</v>
      </c>
    </row>
    <row r="37">
      <c r="J37" s="2" t="s">
        <v>300</v>
      </c>
      <c r="K37" s="2" t="s">
        <v>129</v>
      </c>
      <c r="L37" s="34" t="s">
        <v>301</v>
      </c>
      <c r="M37" s="2" t="s">
        <v>147</v>
      </c>
      <c r="N37" t="s">
        <v>302</v>
      </c>
      <c r="R37" s="2" t="s">
        <v>300</v>
      </c>
      <c r="S37" s="2" t="s">
        <v>129</v>
      </c>
      <c r="T37" s="35" t="s">
        <v>301</v>
      </c>
      <c r="V37" s="36" t="s">
        <v>303</v>
      </c>
    </row>
    <row r="38">
      <c r="J38" s="2" t="s">
        <v>304</v>
      </c>
      <c r="K38" s="2" t="s">
        <v>129</v>
      </c>
      <c r="L38" s="34" t="s">
        <v>305</v>
      </c>
      <c r="M38" s="2" t="s">
        <v>147</v>
      </c>
      <c r="N38" t="s">
        <v>306</v>
      </c>
      <c r="R38" s="2" t="s">
        <v>304</v>
      </c>
      <c r="S38" s="2" t="s">
        <v>129</v>
      </c>
      <c r="T38" s="35" t="s">
        <v>305</v>
      </c>
      <c r="U38" s="2" t="s">
        <v>304</v>
      </c>
      <c r="V38" s="36" t="s">
        <v>307</v>
      </c>
    </row>
    <row r="39">
      <c r="J39" s="2" t="s">
        <v>308</v>
      </c>
      <c r="K39" s="2" t="s">
        <v>130</v>
      </c>
      <c r="L39" s="57" t="s">
        <v>309</v>
      </c>
      <c r="M39" s="2" t="s">
        <v>33</v>
      </c>
      <c r="N39" t="s">
        <v>310</v>
      </c>
      <c r="R39" s="2" t="s">
        <v>308</v>
      </c>
      <c r="S39" s="2" t="s">
        <v>130</v>
      </c>
      <c r="T39" s="54" t="s">
        <v>311</v>
      </c>
      <c r="U39" s="2" t="s">
        <v>33</v>
      </c>
      <c r="V39" s="36" t="s">
        <v>312</v>
      </c>
    </row>
    <row r="40">
      <c r="J40" s="2" t="s">
        <v>313</v>
      </c>
      <c r="K40" s="2" t="s">
        <v>129</v>
      </c>
      <c r="L40" s="2"/>
      <c r="M40" s="2" t="s">
        <v>147</v>
      </c>
      <c r="N40" t="s">
        <v>314</v>
      </c>
      <c r="R40" s="2" t="s">
        <v>313</v>
      </c>
      <c r="S40" s="2" t="s">
        <v>129</v>
      </c>
      <c r="T40" s="36"/>
      <c r="V40" s="36" t="s">
        <v>315</v>
      </c>
    </row>
    <row r="41">
      <c r="J41" s="2" t="s">
        <v>316</v>
      </c>
      <c r="K41" s="2" t="s">
        <v>129</v>
      </c>
      <c r="L41" s="34" t="s">
        <v>317</v>
      </c>
      <c r="M41" s="2" t="s">
        <v>147</v>
      </c>
      <c r="N41" t="s">
        <v>318</v>
      </c>
      <c r="R41" s="2" t="s">
        <v>316</v>
      </c>
      <c r="S41" s="2" t="s">
        <v>129</v>
      </c>
      <c r="T41" s="35" t="s">
        <v>317</v>
      </c>
      <c r="U41" s="2" t="s">
        <v>316</v>
      </c>
      <c r="V41" s="36" t="s">
        <v>319</v>
      </c>
    </row>
    <row r="42">
      <c r="J42" s="2" t="s">
        <v>320</v>
      </c>
      <c r="K42" s="2" t="s">
        <v>129</v>
      </c>
      <c r="L42" s="34" t="s">
        <v>321</v>
      </c>
      <c r="M42" s="2" t="s">
        <v>147</v>
      </c>
      <c r="N42" t="s">
        <v>322</v>
      </c>
      <c r="R42" s="2" t="s">
        <v>320</v>
      </c>
      <c r="S42" s="2" t="s">
        <v>129</v>
      </c>
      <c r="T42" s="35" t="s">
        <v>321</v>
      </c>
      <c r="U42" s="2" t="s">
        <v>323</v>
      </c>
      <c r="V42" s="36" t="s">
        <v>324</v>
      </c>
    </row>
    <row r="43">
      <c r="J43" s="2" t="s">
        <v>325</v>
      </c>
      <c r="K43" s="2" t="s">
        <v>130</v>
      </c>
      <c r="L43" s="34" t="s">
        <v>326</v>
      </c>
      <c r="M43" s="2" t="s">
        <v>33</v>
      </c>
      <c r="N43" t="s">
        <v>327</v>
      </c>
      <c r="R43" s="2" t="s">
        <v>325</v>
      </c>
      <c r="S43" s="2" t="s">
        <v>130</v>
      </c>
      <c r="T43" s="35" t="s">
        <v>326</v>
      </c>
      <c r="U43" s="2" t="s">
        <v>328</v>
      </c>
      <c r="V43" s="36" t="s">
        <v>329</v>
      </c>
    </row>
    <row r="44">
      <c r="J44" s="2" t="s">
        <v>330</v>
      </c>
      <c r="K44" s="2" t="s">
        <v>129</v>
      </c>
      <c r="L44" s="34" t="s">
        <v>331</v>
      </c>
      <c r="M44" s="2" t="s">
        <v>147</v>
      </c>
      <c r="N44" t="s">
        <v>332</v>
      </c>
      <c r="R44" s="2" t="s">
        <v>330</v>
      </c>
      <c r="S44" s="2" t="s">
        <v>129</v>
      </c>
      <c r="T44" s="35" t="s">
        <v>331</v>
      </c>
      <c r="V44" s="36" t="s">
        <v>333</v>
      </c>
    </row>
    <row r="45">
      <c r="J45" s="2" t="s">
        <v>334</v>
      </c>
      <c r="K45" s="2" t="s">
        <v>129</v>
      </c>
      <c r="L45" s="34" t="s">
        <v>335</v>
      </c>
      <c r="M45" s="2" t="s">
        <v>147</v>
      </c>
      <c r="N45" t="s">
        <v>336</v>
      </c>
      <c r="R45" s="2" t="s">
        <v>334</v>
      </c>
      <c r="S45" s="2" t="s">
        <v>129</v>
      </c>
      <c r="T45" s="35" t="s">
        <v>335</v>
      </c>
      <c r="U45" s="2" t="s">
        <v>334</v>
      </c>
      <c r="V45" s="36" t="s">
        <v>337</v>
      </c>
    </row>
    <row r="46">
      <c r="J46" s="2" t="s">
        <v>338</v>
      </c>
      <c r="K46" s="2" t="s">
        <v>129</v>
      </c>
      <c r="L46" s="34" t="s">
        <v>339</v>
      </c>
      <c r="M46" s="2" t="s">
        <v>147</v>
      </c>
      <c r="N46" t="s">
        <v>340</v>
      </c>
      <c r="R46" s="2" t="s">
        <v>338</v>
      </c>
      <c r="S46" s="2" t="s">
        <v>129</v>
      </c>
      <c r="T46" s="35" t="s">
        <v>339</v>
      </c>
      <c r="U46" s="2" t="s">
        <v>338</v>
      </c>
      <c r="V46" s="36" t="s">
        <v>341</v>
      </c>
    </row>
    <row r="47">
      <c r="J47" s="2" t="s">
        <v>342</v>
      </c>
      <c r="K47" s="2" t="s">
        <v>129</v>
      </c>
      <c r="L47" s="34" t="s">
        <v>343</v>
      </c>
      <c r="M47" s="2" t="s">
        <v>147</v>
      </c>
      <c r="N47" t="s">
        <v>344</v>
      </c>
      <c r="R47" s="2" t="s">
        <v>342</v>
      </c>
      <c r="S47" s="2" t="s">
        <v>129</v>
      </c>
      <c r="T47" s="35" t="s">
        <v>343</v>
      </c>
      <c r="V47" s="36" t="s">
        <v>345</v>
      </c>
    </row>
    <row r="48">
      <c r="J48" s="2" t="s">
        <v>346</v>
      </c>
      <c r="K48" s="2" t="s">
        <v>129</v>
      </c>
      <c r="L48" s="34" t="s">
        <v>347</v>
      </c>
      <c r="M48" s="2" t="s">
        <v>147</v>
      </c>
      <c r="N48" t="s">
        <v>348</v>
      </c>
      <c r="R48" s="2" t="s">
        <v>346</v>
      </c>
      <c r="S48" s="2" t="s">
        <v>129</v>
      </c>
      <c r="T48" s="35" t="s">
        <v>347</v>
      </c>
      <c r="V48" s="36" t="s">
        <v>349</v>
      </c>
    </row>
    <row r="49">
      <c r="J49" s="2" t="s">
        <v>350</v>
      </c>
      <c r="K49" s="2" t="s">
        <v>129</v>
      </c>
      <c r="L49" s="34" t="s">
        <v>351</v>
      </c>
      <c r="M49" s="2" t="s">
        <v>147</v>
      </c>
      <c r="N49" t="s">
        <v>352</v>
      </c>
      <c r="R49" s="2" t="s">
        <v>350</v>
      </c>
      <c r="S49" s="2" t="s">
        <v>129</v>
      </c>
      <c r="T49" s="35" t="s">
        <v>351</v>
      </c>
      <c r="V49" s="36" t="s">
        <v>353</v>
      </c>
    </row>
    <row r="50">
      <c r="J50" s="2" t="s">
        <v>354</v>
      </c>
      <c r="K50" s="2" t="s">
        <v>129</v>
      </c>
      <c r="L50" s="34" t="s">
        <v>355</v>
      </c>
      <c r="M50" s="2" t="s">
        <v>147</v>
      </c>
      <c r="N50" t="s">
        <v>356</v>
      </c>
      <c r="R50" s="2" t="s">
        <v>354</v>
      </c>
      <c r="S50" s="2" t="s">
        <v>129</v>
      </c>
      <c r="T50" s="35" t="s">
        <v>355</v>
      </c>
      <c r="U50" s="2" t="s">
        <v>354</v>
      </c>
      <c r="V50" s="36" t="s">
        <v>357</v>
      </c>
    </row>
    <row r="51">
      <c r="J51" s="2" t="s">
        <v>358</v>
      </c>
      <c r="K51" s="2" t="s">
        <v>129</v>
      </c>
      <c r="L51" s="34" t="s">
        <v>359</v>
      </c>
      <c r="M51" s="2" t="s">
        <v>147</v>
      </c>
      <c r="N51" t="s">
        <v>360</v>
      </c>
      <c r="R51" s="2" t="s">
        <v>358</v>
      </c>
      <c r="S51" s="2" t="s">
        <v>129</v>
      </c>
      <c r="T51" s="35" t="s">
        <v>359</v>
      </c>
      <c r="U51" s="2" t="s">
        <v>358</v>
      </c>
      <c r="V51" s="36" t="s">
        <v>361</v>
      </c>
    </row>
    <row r="52">
      <c r="J52" s="2" t="s">
        <v>362</v>
      </c>
      <c r="K52" s="2" t="s">
        <v>129</v>
      </c>
      <c r="L52" s="34" t="s">
        <v>363</v>
      </c>
      <c r="M52" s="2" t="s">
        <v>147</v>
      </c>
      <c r="N52" t="s">
        <v>364</v>
      </c>
      <c r="R52" s="2" t="s">
        <v>362</v>
      </c>
      <c r="S52" s="2" t="s">
        <v>129</v>
      </c>
      <c r="T52" s="35" t="s">
        <v>363</v>
      </c>
      <c r="U52" s="2" t="s">
        <v>362</v>
      </c>
      <c r="V52" s="36" t="s">
        <v>365</v>
      </c>
    </row>
    <row r="53">
      <c r="J53" s="2" t="s">
        <v>366</v>
      </c>
      <c r="K53" s="2" t="s">
        <v>129</v>
      </c>
      <c r="L53" s="34" t="s">
        <v>367</v>
      </c>
      <c r="M53" s="2" t="s">
        <v>147</v>
      </c>
      <c r="N53" t="s">
        <v>368</v>
      </c>
      <c r="R53" s="2" t="s">
        <v>366</v>
      </c>
      <c r="S53" s="2" t="s">
        <v>129</v>
      </c>
      <c r="T53" s="35" t="s">
        <v>367</v>
      </c>
      <c r="U53" s="2" t="s">
        <v>369</v>
      </c>
      <c r="V53" s="36" t="s">
        <v>370</v>
      </c>
    </row>
    <row r="54">
      <c r="J54" s="2" t="s">
        <v>371</v>
      </c>
      <c r="K54" s="2" t="s">
        <v>129</v>
      </c>
      <c r="L54" s="2"/>
      <c r="M54" s="2" t="s">
        <v>147</v>
      </c>
      <c r="N54" t="s">
        <v>372</v>
      </c>
      <c r="R54" s="2" t="s">
        <v>371</v>
      </c>
      <c r="S54" s="2" t="s">
        <v>129</v>
      </c>
      <c r="T54" s="36"/>
      <c r="V54" s="36" t="s">
        <v>373</v>
      </c>
    </row>
    <row r="55">
      <c r="J55" s="2" t="s">
        <v>39</v>
      </c>
      <c r="K55" s="2" t="s">
        <v>129</v>
      </c>
      <c r="L55" s="34" t="s">
        <v>374</v>
      </c>
      <c r="M55" s="2" t="s">
        <v>38</v>
      </c>
      <c r="N55" t="s">
        <v>375</v>
      </c>
      <c r="R55" s="2" t="s">
        <v>39</v>
      </c>
      <c r="S55" s="2" t="s">
        <v>129</v>
      </c>
      <c r="T55" s="35" t="s">
        <v>374</v>
      </c>
      <c r="U55" s="2" t="s">
        <v>38</v>
      </c>
      <c r="V55" s="36" t="s">
        <v>376</v>
      </c>
    </row>
    <row r="56">
      <c r="J56" s="2" t="s">
        <v>40</v>
      </c>
      <c r="K56" s="2" t="s">
        <v>129</v>
      </c>
      <c r="L56" s="34" t="s">
        <v>377</v>
      </c>
      <c r="M56" s="2" t="s">
        <v>147</v>
      </c>
      <c r="N56" t="s">
        <v>378</v>
      </c>
      <c r="R56" s="2" t="s">
        <v>40</v>
      </c>
      <c r="S56" s="2" t="s">
        <v>129</v>
      </c>
      <c r="T56" s="35" t="s">
        <v>377</v>
      </c>
      <c r="U56" s="2" t="s">
        <v>40</v>
      </c>
      <c r="V56" s="36" t="s">
        <v>379</v>
      </c>
    </row>
    <row r="57">
      <c r="J57" s="2" t="s">
        <v>380</v>
      </c>
      <c r="K57" s="2" t="s">
        <v>129</v>
      </c>
      <c r="L57" s="34" t="s">
        <v>381</v>
      </c>
      <c r="M57" s="2" t="s">
        <v>147</v>
      </c>
      <c r="N57" t="s">
        <v>382</v>
      </c>
      <c r="R57" s="2" t="s">
        <v>380</v>
      </c>
      <c r="S57" s="2" t="s">
        <v>129</v>
      </c>
      <c r="T57" s="35" t="s">
        <v>381</v>
      </c>
      <c r="V57" s="36" t="s">
        <v>383</v>
      </c>
    </row>
    <row r="58">
      <c r="J58" s="2" t="s">
        <v>31</v>
      </c>
      <c r="K58" s="2" t="s">
        <v>129</v>
      </c>
      <c r="L58" s="34" t="s">
        <v>384</v>
      </c>
      <c r="M58" s="2" t="s">
        <v>31</v>
      </c>
      <c r="N58" t="s">
        <v>385</v>
      </c>
      <c r="R58" s="2" t="s">
        <v>31</v>
      </c>
      <c r="S58" s="2" t="s">
        <v>129</v>
      </c>
      <c r="T58" s="35" t="s">
        <v>384</v>
      </c>
      <c r="U58" s="2" t="s">
        <v>386</v>
      </c>
      <c r="V58" s="36" t="s">
        <v>387</v>
      </c>
    </row>
    <row r="59">
      <c r="J59" s="2" t="s">
        <v>388</v>
      </c>
      <c r="K59" s="2" t="s">
        <v>129</v>
      </c>
      <c r="L59" s="34" t="s">
        <v>389</v>
      </c>
      <c r="M59" s="2" t="s">
        <v>147</v>
      </c>
      <c r="N59" t="s">
        <v>390</v>
      </c>
      <c r="R59" s="2" t="s">
        <v>388</v>
      </c>
      <c r="S59" s="2" t="s">
        <v>129</v>
      </c>
      <c r="T59" s="35" t="s">
        <v>389</v>
      </c>
      <c r="V59" s="36" t="s">
        <v>391</v>
      </c>
    </row>
    <row r="60">
      <c r="J60" s="2" t="s">
        <v>392</v>
      </c>
      <c r="K60" s="2" t="s">
        <v>129</v>
      </c>
      <c r="L60" s="34" t="s">
        <v>393</v>
      </c>
      <c r="M60" s="2" t="s">
        <v>147</v>
      </c>
      <c r="N60" t="s">
        <v>394</v>
      </c>
      <c r="R60" s="2" t="s">
        <v>392</v>
      </c>
      <c r="S60" s="2" t="s">
        <v>129</v>
      </c>
      <c r="T60" s="35" t="s">
        <v>393</v>
      </c>
      <c r="U60" s="2" t="s">
        <v>392</v>
      </c>
      <c r="V60" s="36" t="s">
        <v>395</v>
      </c>
    </row>
    <row r="61">
      <c r="J61" s="2" t="s">
        <v>396</v>
      </c>
      <c r="K61" s="2" t="s">
        <v>129</v>
      </c>
      <c r="L61" s="34" t="s">
        <v>397</v>
      </c>
      <c r="M61" s="2" t="s">
        <v>147</v>
      </c>
      <c r="N61" t="s">
        <v>398</v>
      </c>
      <c r="R61" s="2" t="s">
        <v>396</v>
      </c>
      <c r="S61" s="2" t="s">
        <v>129</v>
      </c>
      <c r="T61" s="35" t="s">
        <v>397</v>
      </c>
      <c r="V61" s="36" t="s">
        <v>399</v>
      </c>
    </row>
    <row r="62">
      <c r="J62" s="2" t="s">
        <v>400</v>
      </c>
      <c r="K62" s="2" t="s">
        <v>129</v>
      </c>
      <c r="L62" s="34" t="s">
        <v>401</v>
      </c>
      <c r="M62" s="2" t="s">
        <v>147</v>
      </c>
      <c r="N62" t="s">
        <v>402</v>
      </c>
      <c r="R62" s="2" t="s">
        <v>400</v>
      </c>
      <c r="S62" s="2" t="s">
        <v>129</v>
      </c>
      <c r="T62" s="35" t="s">
        <v>401</v>
      </c>
      <c r="U62" s="2" t="s">
        <v>400</v>
      </c>
      <c r="V62" s="36" t="s">
        <v>403</v>
      </c>
    </row>
    <row r="63">
      <c r="J63" s="2" t="s">
        <v>404</v>
      </c>
      <c r="K63" s="2" t="s">
        <v>129</v>
      </c>
      <c r="L63" s="2"/>
      <c r="M63" s="2" t="s">
        <v>147</v>
      </c>
      <c r="N63" t="s">
        <v>405</v>
      </c>
      <c r="R63" s="2" t="s">
        <v>404</v>
      </c>
      <c r="S63" s="2" t="s">
        <v>129</v>
      </c>
      <c r="T63" s="36"/>
      <c r="V63" s="36" t="s">
        <v>406</v>
      </c>
    </row>
    <row r="64">
      <c r="J64" s="2" t="s">
        <v>407</v>
      </c>
      <c r="K64" s="2" t="s">
        <v>129</v>
      </c>
      <c r="L64" s="34" t="s">
        <v>408</v>
      </c>
      <c r="M64" s="2" t="s">
        <v>147</v>
      </c>
      <c r="N64" t="s">
        <v>409</v>
      </c>
      <c r="R64" s="2" t="s">
        <v>407</v>
      </c>
      <c r="S64" s="2" t="s">
        <v>129</v>
      </c>
      <c r="T64" s="35" t="s">
        <v>408</v>
      </c>
      <c r="V64" s="36" t="s">
        <v>410</v>
      </c>
    </row>
    <row r="65">
      <c r="J65" s="2" t="s">
        <v>411</v>
      </c>
      <c r="K65" s="2" t="s">
        <v>129</v>
      </c>
      <c r="L65" s="34" t="s">
        <v>412</v>
      </c>
      <c r="M65" s="2" t="s">
        <v>147</v>
      </c>
      <c r="N65" t="s">
        <v>413</v>
      </c>
      <c r="R65" s="2" t="s">
        <v>411</v>
      </c>
      <c r="S65" s="2" t="s">
        <v>129</v>
      </c>
      <c r="T65" s="35" t="s">
        <v>412</v>
      </c>
      <c r="U65" s="2" t="s">
        <v>411</v>
      </c>
      <c r="V65" s="36" t="s">
        <v>414</v>
      </c>
    </row>
    <row r="66">
      <c r="J66" s="2" t="s">
        <v>415</v>
      </c>
      <c r="K66" s="2" t="s">
        <v>129</v>
      </c>
      <c r="L66" s="34" t="s">
        <v>416</v>
      </c>
      <c r="M66" s="2" t="s">
        <v>147</v>
      </c>
      <c r="N66" t="s">
        <v>417</v>
      </c>
      <c r="R66" s="2" t="s">
        <v>415</v>
      </c>
      <c r="S66" s="2" t="s">
        <v>129</v>
      </c>
      <c r="T66" s="35" t="s">
        <v>416</v>
      </c>
      <c r="U66" s="2" t="s">
        <v>415</v>
      </c>
      <c r="V66" s="36" t="s">
        <v>418</v>
      </c>
    </row>
    <row r="67">
      <c r="J67" s="2" t="s">
        <v>419</v>
      </c>
      <c r="K67" s="2" t="s">
        <v>129</v>
      </c>
      <c r="L67" s="2"/>
      <c r="M67" s="2" t="s">
        <v>147</v>
      </c>
      <c r="N67" t="s">
        <v>420</v>
      </c>
      <c r="R67" s="2" t="s">
        <v>419</v>
      </c>
      <c r="S67" s="2" t="s">
        <v>129</v>
      </c>
      <c r="T67" s="36"/>
      <c r="V67" s="36" t="s">
        <v>421</v>
      </c>
    </row>
    <row r="68">
      <c r="J68" s="2" t="s">
        <v>422</v>
      </c>
      <c r="K68" s="2" t="s">
        <v>129</v>
      </c>
      <c r="L68" s="34" t="s">
        <v>423</v>
      </c>
      <c r="M68" s="2" t="s">
        <v>147</v>
      </c>
      <c r="N68" t="s">
        <v>424</v>
      </c>
      <c r="R68" s="2" t="s">
        <v>422</v>
      </c>
      <c r="S68" s="2" t="s">
        <v>129</v>
      </c>
      <c r="T68" s="35" t="s">
        <v>423</v>
      </c>
      <c r="U68" s="2" t="s">
        <v>422</v>
      </c>
      <c r="V68" s="36" t="s">
        <v>425</v>
      </c>
    </row>
    <row r="69">
      <c r="J69" s="2" t="s">
        <v>426</v>
      </c>
      <c r="K69" s="2" t="s">
        <v>129</v>
      </c>
      <c r="L69" s="34" t="s">
        <v>427</v>
      </c>
      <c r="M69" s="2" t="s">
        <v>147</v>
      </c>
      <c r="N69" t="s">
        <v>428</v>
      </c>
      <c r="R69" s="2" t="s">
        <v>426</v>
      </c>
      <c r="S69" s="2" t="s">
        <v>129</v>
      </c>
      <c r="T69" s="35" t="s">
        <v>427</v>
      </c>
      <c r="U69" s="2" t="s">
        <v>426</v>
      </c>
      <c r="V69" s="36" t="s">
        <v>429</v>
      </c>
    </row>
    <row r="70">
      <c r="J70" s="2" t="s">
        <v>430</v>
      </c>
      <c r="K70" s="2" t="s">
        <v>129</v>
      </c>
      <c r="L70" s="34" t="s">
        <v>431</v>
      </c>
      <c r="M70" s="2" t="s">
        <v>147</v>
      </c>
      <c r="N70" t="s">
        <v>432</v>
      </c>
      <c r="R70" s="2" t="s">
        <v>430</v>
      </c>
      <c r="S70" s="2" t="s">
        <v>129</v>
      </c>
      <c r="T70" s="35" t="s">
        <v>431</v>
      </c>
      <c r="V70" s="36" t="s">
        <v>433</v>
      </c>
    </row>
    <row r="71">
      <c r="J71" s="2" t="s">
        <v>434</v>
      </c>
      <c r="K71" s="2" t="s">
        <v>129</v>
      </c>
      <c r="L71" s="34" t="s">
        <v>435</v>
      </c>
      <c r="M71" s="2" t="s">
        <v>147</v>
      </c>
      <c r="N71" t="s">
        <v>436</v>
      </c>
      <c r="R71" s="2" t="s">
        <v>434</v>
      </c>
      <c r="S71" s="2" t="s">
        <v>129</v>
      </c>
      <c r="T71" s="35" t="s">
        <v>435</v>
      </c>
      <c r="U71" s="2" t="s">
        <v>434</v>
      </c>
      <c r="V71" s="36" t="s">
        <v>437</v>
      </c>
    </row>
    <row r="72">
      <c r="J72" s="2" t="s">
        <v>438</v>
      </c>
      <c r="K72" s="2" t="s">
        <v>129</v>
      </c>
      <c r="L72" s="34" t="s">
        <v>439</v>
      </c>
      <c r="M72" s="2" t="s">
        <v>147</v>
      </c>
      <c r="N72" t="s">
        <v>440</v>
      </c>
      <c r="R72" s="2" t="s">
        <v>438</v>
      </c>
      <c r="S72" s="2" t="s">
        <v>129</v>
      </c>
      <c r="T72" s="35" t="s">
        <v>439</v>
      </c>
      <c r="U72" s="2" t="s">
        <v>438</v>
      </c>
      <c r="V72" s="36" t="s">
        <v>441</v>
      </c>
    </row>
    <row r="73">
      <c r="J73" s="2" t="s">
        <v>442</v>
      </c>
      <c r="K73" s="2" t="s">
        <v>129</v>
      </c>
      <c r="L73" s="34" t="s">
        <v>443</v>
      </c>
      <c r="M73" s="2" t="s">
        <v>147</v>
      </c>
      <c r="N73" t="s">
        <v>444</v>
      </c>
      <c r="R73" s="2" t="s">
        <v>442</v>
      </c>
      <c r="S73" s="2" t="s">
        <v>129</v>
      </c>
      <c r="T73" s="35" t="s">
        <v>443</v>
      </c>
      <c r="U73" s="2" t="s">
        <v>442</v>
      </c>
      <c r="V73" s="36" t="s">
        <v>445</v>
      </c>
    </row>
    <row r="74">
      <c r="J74" s="2" t="s">
        <v>446</v>
      </c>
      <c r="K74" s="2" t="s">
        <v>129</v>
      </c>
      <c r="L74" s="34" t="s">
        <v>447</v>
      </c>
      <c r="M74" s="2" t="s">
        <v>147</v>
      </c>
      <c r="N74" t="s">
        <v>448</v>
      </c>
      <c r="R74" s="2" t="s">
        <v>446</v>
      </c>
      <c r="S74" s="2" t="s">
        <v>129</v>
      </c>
      <c r="T74" s="35" t="s">
        <v>447</v>
      </c>
      <c r="U74" s="2" t="s">
        <v>446</v>
      </c>
      <c r="V74" s="36" t="s">
        <v>449</v>
      </c>
    </row>
    <row r="75">
      <c r="J75" s="2" t="s">
        <v>450</v>
      </c>
      <c r="K75" s="2" t="s">
        <v>129</v>
      </c>
      <c r="L75" s="34" t="s">
        <v>451</v>
      </c>
      <c r="M75" s="2" t="s">
        <v>147</v>
      </c>
      <c r="N75" t="s">
        <v>452</v>
      </c>
      <c r="R75" s="2" t="s">
        <v>450</v>
      </c>
      <c r="S75" s="2" t="s">
        <v>129</v>
      </c>
      <c r="T75" s="35" t="s">
        <v>451</v>
      </c>
      <c r="U75" s="2" t="s">
        <v>450</v>
      </c>
      <c r="V75" s="36" t="s">
        <v>453</v>
      </c>
    </row>
    <row r="76">
      <c r="J76" s="2" t="s">
        <v>454</v>
      </c>
      <c r="K76" s="2" t="s">
        <v>129</v>
      </c>
      <c r="L76" s="2"/>
      <c r="M76" s="2" t="s">
        <v>147</v>
      </c>
      <c r="N76" t="s">
        <v>455</v>
      </c>
      <c r="R76" s="2" t="s">
        <v>454</v>
      </c>
      <c r="S76" s="2" t="s">
        <v>129</v>
      </c>
      <c r="T76" s="36"/>
      <c r="V76" s="36" t="s">
        <v>456</v>
      </c>
    </row>
    <row r="77">
      <c r="J77" s="2" t="s">
        <v>457</v>
      </c>
      <c r="K77" s="2" t="s">
        <v>129</v>
      </c>
      <c r="L77" s="34" t="s">
        <v>458</v>
      </c>
      <c r="M77" s="2" t="s">
        <v>147</v>
      </c>
      <c r="N77" t="s">
        <v>459</v>
      </c>
      <c r="R77" s="2" t="s">
        <v>457</v>
      </c>
      <c r="S77" s="2" t="s">
        <v>129</v>
      </c>
      <c r="T77" s="35" t="s">
        <v>458</v>
      </c>
      <c r="U77" s="2" t="s">
        <v>457</v>
      </c>
      <c r="V77" s="36" t="s">
        <v>460</v>
      </c>
    </row>
    <row r="78">
      <c r="J78" s="2" t="s">
        <v>461</v>
      </c>
      <c r="K78" s="2" t="s">
        <v>129</v>
      </c>
      <c r="L78" s="34" t="s">
        <v>462</v>
      </c>
      <c r="M78" s="2" t="s">
        <v>147</v>
      </c>
      <c r="N78" t="s">
        <v>463</v>
      </c>
      <c r="R78" s="2" t="s">
        <v>461</v>
      </c>
      <c r="S78" s="2" t="s">
        <v>129</v>
      </c>
      <c r="T78" s="35" t="s">
        <v>462</v>
      </c>
      <c r="U78" s="2" t="s">
        <v>464</v>
      </c>
      <c r="V78" s="36" t="s">
        <v>465</v>
      </c>
    </row>
    <row r="79">
      <c r="J79" s="2" t="s">
        <v>466</v>
      </c>
      <c r="K79" s="2" t="s">
        <v>129</v>
      </c>
      <c r="L79" s="2"/>
      <c r="M79" s="2" t="s">
        <v>147</v>
      </c>
      <c r="N79" t="s">
        <v>467</v>
      </c>
      <c r="R79" s="2" t="s">
        <v>466</v>
      </c>
      <c r="S79" s="2" t="s">
        <v>129</v>
      </c>
      <c r="T79" s="36"/>
      <c r="V79" s="36" t="s">
        <v>468</v>
      </c>
    </row>
    <row r="80">
      <c r="J80" s="2" t="s">
        <v>469</v>
      </c>
      <c r="K80" s="2" t="s">
        <v>129</v>
      </c>
      <c r="L80" s="34" t="s">
        <v>470</v>
      </c>
      <c r="M80" s="2" t="s">
        <v>147</v>
      </c>
      <c r="N80" t="s">
        <v>471</v>
      </c>
      <c r="R80" s="2" t="s">
        <v>469</v>
      </c>
      <c r="S80" s="2" t="s">
        <v>129</v>
      </c>
      <c r="T80" s="35" t="s">
        <v>470</v>
      </c>
      <c r="U80" s="2" t="s">
        <v>469</v>
      </c>
      <c r="V80" s="36" t="s">
        <v>472</v>
      </c>
    </row>
    <row r="81">
      <c r="J81" s="2" t="s">
        <v>473</v>
      </c>
      <c r="K81" s="2" t="s">
        <v>129</v>
      </c>
      <c r="L81" s="34" t="s">
        <v>474</v>
      </c>
      <c r="M81" s="2" t="s">
        <v>475</v>
      </c>
      <c r="N81" s="63" t="s">
        <v>476</v>
      </c>
      <c r="R81" s="2" t="s">
        <v>473</v>
      </c>
      <c r="S81" s="2" t="s">
        <v>129</v>
      </c>
      <c r="T81" s="35" t="s">
        <v>474</v>
      </c>
      <c r="U81" s="2" t="s">
        <v>475</v>
      </c>
      <c r="V81" s="64" t="s">
        <v>477</v>
      </c>
    </row>
    <row r="82">
      <c r="J82" s="2" t="s">
        <v>478</v>
      </c>
      <c r="K82" s="2" t="s">
        <v>129</v>
      </c>
      <c r="L82" s="2"/>
      <c r="M82" s="2" t="s">
        <v>147</v>
      </c>
      <c r="N82" t="s">
        <v>479</v>
      </c>
      <c r="R82" s="2" t="s">
        <v>478</v>
      </c>
      <c r="S82" s="2" t="s">
        <v>129</v>
      </c>
      <c r="T82" s="36"/>
      <c r="V82" s="36" t="s">
        <v>480</v>
      </c>
    </row>
    <row r="83">
      <c r="J83" s="2" t="s">
        <v>481</v>
      </c>
      <c r="K83" s="2" t="s">
        <v>129</v>
      </c>
      <c r="L83" s="34" t="s">
        <v>482</v>
      </c>
      <c r="M83" s="2" t="s">
        <v>147</v>
      </c>
      <c r="N83" t="s">
        <v>483</v>
      </c>
      <c r="R83" s="2" t="s">
        <v>481</v>
      </c>
      <c r="S83" s="2" t="s">
        <v>129</v>
      </c>
      <c r="T83" s="35" t="s">
        <v>482</v>
      </c>
      <c r="U83" s="2" t="s">
        <v>484</v>
      </c>
      <c r="V83" s="36" t="s">
        <v>485</v>
      </c>
    </row>
    <row r="84">
      <c r="J84" s="2" t="s">
        <v>486</v>
      </c>
      <c r="K84" s="2" t="s">
        <v>129</v>
      </c>
      <c r="L84" s="34" t="s">
        <v>487</v>
      </c>
      <c r="M84" s="2" t="s">
        <v>147</v>
      </c>
      <c r="N84" t="s">
        <v>488</v>
      </c>
      <c r="R84" s="2" t="s">
        <v>486</v>
      </c>
      <c r="S84" s="2" t="s">
        <v>129</v>
      </c>
      <c r="T84" s="35" t="s">
        <v>487</v>
      </c>
      <c r="V84" s="36" t="s">
        <v>489</v>
      </c>
    </row>
    <row r="85">
      <c r="J85" s="2" t="s">
        <v>490</v>
      </c>
      <c r="K85" s="2" t="s">
        <v>129</v>
      </c>
      <c r="L85" s="34" t="s">
        <v>491</v>
      </c>
      <c r="M85" s="2" t="s">
        <v>147</v>
      </c>
      <c r="N85" t="s">
        <v>492</v>
      </c>
      <c r="R85" s="2" t="s">
        <v>490</v>
      </c>
      <c r="S85" s="2" t="s">
        <v>129</v>
      </c>
      <c r="T85" s="35" t="s">
        <v>491</v>
      </c>
      <c r="U85" s="2" t="s">
        <v>490</v>
      </c>
      <c r="V85" s="36" t="s">
        <v>493</v>
      </c>
    </row>
    <row r="86">
      <c r="J86" s="2" t="s">
        <v>494</v>
      </c>
      <c r="K86" s="2" t="s">
        <v>129</v>
      </c>
      <c r="L86" s="2"/>
      <c r="M86" s="2" t="s">
        <v>147</v>
      </c>
      <c r="N86" t="s">
        <v>495</v>
      </c>
      <c r="R86" s="2" t="s">
        <v>494</v>
      </c>
      <c r="S86" s="2" t="s">
        <v>129</v>
      </c>
      <c r="T86" s="36"/>
      <c r="U86" s="2" t="s">
        <v>494</v>
      </c>
      <c r="V86" s="36" t="s">
        <v>496</v>
      </c>
    </row>
    <row r="87">
      <c r="J87" s="2" t="s">
        <v>497</v>
      </c>
      <c r="K87" s="2" t="s">
        <v>129</v>
      </c>
      <c r="L87" s="34" t="s">
        <v>498</v>
      </c>
      <c r="M87" s="2" t="s">
        <v>147</v>
      </c>
      <c r="N87" t="s">
        <v>499</v>
      </c>
      <c r="R87" s="2" t="s">
        <v>497</v>
      </c>
      <c r="S87" s="2" t="s">
        <v>129</v>
      </c>
      <c r="T87" s="35" t="s">
        <v>498</v>
      </c>
      <c r="V87" s="36" t="s">
        <v>500</v>
      </c>
    </row>
    <row r="88">
      <c r="J88" s="2" t="s">
        <v>501</v>
      </c>
      <c r="K88" s="2" t="s">
        <v>129</v>
      </c>
      <c r="L88" s="2"/>
      <c r="M88" s="2" t="s">
        <v>147</v>
      </c>
      <c r="N88" t="s">
        <v>502</v>
      </c>
      <c r="R88" s="2" t="s">
        <v>501</v>
      </c>
      <c r="S88" s="2" t="s">
        <v>129</v>
      </c>
      <c r="T88" s="36"/>
      <c r="V88" s="36" t="s">
        <v>503</v>
      </c>
    </row>
    <row r="89">
      <c r="J89" s="2" t="s">
        <v>504</v>
      </c>
      <c r="K89" s="2" t="s">
        <v>129</v>
      </c>
      <c r="L89" s="2"/>
      <c r="M89" s="2" t="s">
        <v>147</v>
      </c>
      <c r="N89" t="s">
        <v>505</v>
      </c>
      <c r="R89" s="2" t="s">
        <v>504</v>
      </c>
      <c r="S89" s="2" t="s">
        <v>129</v>
      </c>
      <c r="T89" s="36"/>
      <c r="V89" s="36" t="s">
        <v>506</v>
      </c>
    </row>
    <row r="90">
      <c r="J90" s="2" t="s">
        <v>507</v>
      </c>
      <c r="K90" s="2" t="s">
        <v>129</v>
      </c>
      <c r="L90" s="34" t="s">
        <v>508</v>
      </c>
      <c r="M90" s="2" t="s">
        <v>147</v>
      </c>
      <c r="N90" t="s">
        <v>509</v>
      </c>
      <c r="R90" s="2" t="s">
        <v>507</v>
      </c>
      <c r="S90" s="2" t="s">
        <v>129</v>
      </c>
      <c r="T90" s="35" t="s">
        <v>508</v>
      </c>
      <c r="V90" s="36" t="s">
        <v>510</v>
      </c>
    </row>
    <row r="91">
      <c r="J91" s="2" t="s">
        <v>511</v>
      </c>
      <c r="K91" s="2" t="s">
        <v>129</v>
      </c>
      <c r="L91" s="34" t="s">
        <v>512</v>
      </c>
      <c r="M91" s="2" t="s">
        <v>147</v>
      </c>
      <c r="N91" t="s">
        <v>513</v>
      </c>
      <c r="R91" s="2" t="s">
        <v>511</v>
      </c>
      <c r="S91" s="2" t="s">
        <v>129</v>
      </c>
      <c r="T91" s="35" t="s">
        <v>512</v>
      </c>
      <c r="U91" s="2" t="s">
        <v>514</v>
      </c>
      <c r="V91" s="36" t="s">
        <v>515</v>
      </c>
    </row>
    <row r="92">
      <c r="J92" s="2" t="s">
        <v>516</v>
      </c>
      <c r="K92" s="2" t="s">
        <v>129</v>
      </c>
      <c r="L92" s="34" t="s">
        <v>517</v>
      </c>
      <c r="M92" s="2" t="s">
        <v>147</v>
      </c>
      <c r="N92" t="s">
        <v>518</v>
      </c>
      <c r="R92" s="2" t="s">
        <v>516</v>
      </c>
      <c r="S92" s="2" t="s">
        <v>129</v>
      </c>
      <c r="T92" s="35" t="s">
        <v>517</v>
      </c>
      <c r="U92" s="2" t="s">
        <v>516</v>
      </c>
      <c r="V92" s="36" t="s">
        <v>519</v>
      </c>
    </row>
    <row r="93">
      <c r="J93" s="2" t="s">
        <v>42</v>
      </c>
      <c r="K93" s="2" t="s">
        <v>129</v>
      </c>
      <c r="L93" s="34" t="s">
        <v>520</v>
      </c>
      <c r="M93" s="2" t="s">
        <v>42</v>
      </c>
      <c r="N93" s="2" t="s">
        <v>521</v>
      </c>
      <c r="R93" s="2" t="s">
        <v>42</v>
      </c>
      <c r="S93" s="2" t="s">
        <v>129</v>
      </c>
      <c r="T93" s="35" t="s">
        <v>520</v>
      </c>
      <c r="U93" s="2" t="s">
        <v>42</v>
      </c>
      <c r="V93" s="36" t="s">
        <v>522</v>
      </c>
    </row>
    <row r="94">
      <c r="J94" s="2" t="s">
        <v>523</v>
      </c>
      <c r="K94" s="2" t="s">
        <v>129</v>
      </c>
      <c r="L94" s="2"/>
      <c r="M94" s="2" t="s">
        <v>147</v>
      </c>
      <c r="N94" t="s">
        <v>524</v>
      </c>
      <c r="R94" s="2" t="s">
        <v>523</v>
      </c>
      <c r="S94" s="2" t="s">
        <v>129</v>
      </c>
      <c r="T94" s="36"/>
      <c r="V94" s="36" t="s">
        <v>525</v>
      </c>
    </row>
    <row r="95">
      <c r="J95" s="2" t="s">
        <v>526</v>
      </c>
      <c r="K95" s="2" t="s">
        <v>129</v>
      </c>
      <c r="L95" s="34" t="s">
        <v>527</v>
      </c>
      <c r="M95" s="2" t="s">
        <v>147</v>
      </c>
      <c r="N95" t="s">
        <v>528</v>
      </c>
      <c r="R95" s="2" t="s">
        <v>526</v>
      </c>
      <c r="S95" s="2" t="s">
        <v>129</v>
      </c>
      <c r="T95" s="35" t="s">
        <v>527</v>
      </c>
      <c r="V95" s="36" t="s">
        <v>529</v>
      </c>
    </row>
    <row r="96">
      <c r="J96" s="2" t="s">
        <v>530</v>
      </c>
      <c r="K96" s="2" t="s">
        <v>129</v>
      </c>
      <c r="L96" s="34" t="s">
        <v>531</v>
      </c>
      <c r="M96" s="2" t="s">
        <v>147</v>
      </c>
      <c r="N96" t="s">
        <v>532</v>
      </c>
      <c r="R96" s="2" t="s">
        <v>530</v>
      </c>
      <c r="S96" s="2" t="s">
        <v>129</v>
      </c>
      <c r="T96" s="35" t="s">
        <v>531</v>
      </c>
      <c r="U96" s="2" t="s">
        <v>530</v>
      </c>
      <c r="V96" s="36" t="s">
        <v>533</v>
      </c>
    </row>
    <row r="97">
      <c r="J97" s="2" t="s">
        <v>534</v>
      </c>
      <c r="K97" s="2" t="s">
        <v>129</v>
      </c>
      <c r="L97" s="34" t="s">
        <v>535</v>
      </c>
      <c r="M97" s="2" t="s">
        <v>147</v>
      </c>
      <c r="N97" t="s">
        <v>536</v>
      </c>
      <c r="R97" s="2" t="s">
        <v>534</v>
      </c>
      <c r="S97" s="2" t="s">
        <v>129</v>
      </c>
      <c r="T97" s="35" t="s">
        <v>535</v>
      </c>
      <c r="U97" s="2" t="s">
        <v>534</v>
      </c>
      <c r="V97" s="36" t="s">
        <v>537</v>
      </c>
    </row>
    <row r="98">
      <c r="J98" s="2" t="s">
        <v>538</v>
      </c>
      <c r="K98" s="2" t="s">
        <v>129</v>
      </c>
      <c r="L98" s="34" t="s">
        <v>539</v>
      </c>
      <c r="M98" s="2" t="s">
        <v>147</v>
      </c>
      <c r="N98" t="s">
        <v>540</v>
      </c>
      <c r="R98" s="2" t="s">
        <v>538</v>
      </c>
      <c r="S98" s="2" t="s">
        <v>129</v>
      </c>
      <c r="T98" s="35" t="s">
        <v>539</v>
      </c>
      <c r="U98" s="2" t="s">
        <v>538</v>
      </c>
      <c r="V98" s="36" t="s">
        <v>541</v>
      </c>
    </row>
    <row r="99">
      <c r="J99" s="2" t="s">
        <v>542</v>
      </c>
      <c r="K99" s="2" t="s">
        <v>129</v>
      </c>
      <c r="L99" s="34" t="s">
        <v>543</v>
      </c>
      <c r="M99" s="2" t="s">
        <v>147</v>
      </c>
      <c r="N99" t="s">
        <v>544</v>
      </c>
      <c r="R99" s="2" t="s">
        <v>542</v>
      </c>
      <c r="S99" s="2" t="s">
        <v>129</v>
      </c>
      <c r="T99" s="35" t="s">
        <v>543</v>
      </c>
      <c r="U99" s="2" t="s">
        <v>545</v>
      </c>
      <c r="V99" s="36" t="s">
        <v>546</v>
      </c>
    </row>
    <row r="100">
      <c r="J100" s="2" t="s">
        <v>547</v>
      </c>
      <c r="K100" s="2" t="s">
        <v>129</v>
      </c>
      <c r="L100" s="2"/>
      <c r="M100" s="2" t="s">
        <v>147</v>
      </c>
      <c r="N100" t="s">
        <v>548</v>
      </c>
      <c r="R100" s="2" t="s">
        <v>547</v>
      </c>
      <c r="S100" s="2" t="s">
        <v>129</v>
      </c>
      <c r="T100" s="36"/>
      <c r="U100" s="2" t="s">
        <v>547</v>
      </c>
      <c r="V100" s="36" t="s">
        <v>549</v>
      </c>
    </row>
    <row r="101">
      <c r="J101" s="2" t="s">
        <v>24</v>
      </c>
      <c r="K101" s="2" t="s">
        <v>130</v>
      </c>
      <c r="L101" s="34" t="s">
        <v>550</v>
      </c>
      <c r="M101" s="2" t="s">
        <v>551</v>
      </c>
      <c r="N101" t="s">
        <v>552</v>
      </c>
      <c r="R101" s="2" t="s">
        <v>24</v>
      </c>
      <c r="S101" s="2" t="s">
        <v>130</v>
      </c>
      <c r="T101" s="35" t="s">
        <v>550</v>
      </c>
      <c r="U101" s="2" t="s">
        <v>551</v>
      </c>
      <c r="V101" s="36" t="s">
        <v>553</v>
      </c>
    </row>
    <row r="102">
      <c r="J102" s="2" t="s">
        <v>554</v>
      </c>
      <c r="K102" s="2" t="s">
        <v>129</v>
      </c>
      <c r="L102" s="2"/>
      <c r="M102" s="2" t="s">
        <v>147</v>
      </c>
      <c r="N102" t="s">
        <v>555</v>
      </c>
      <c r="R102" s="2" t="s">
        <v>554</v>
      </c>
      <c r="S102" s="2" t="s">
        <v>129</v>
      </c>
      <c r="T102" s="36"/>
      <c r="U102" s="2" t="s">
        <v>554</v>
      </c>
      <c r="V102" s="36" t="s">
        <v>556</v>
      </c>
    </row>
    <row r="103">
      <c r="J103" s="2" t="s">
        <v>557</v>
      </c>
      <c r="K103" s="2" t="s">
        <v>129</v>
      </c>
      <c r="L103" s="2"/>
      <c r="M103" s="2" t="s">
        <v>147</v>
      </c>
      <c r="N103" t="s">
        <v>558</v>
      </c>
      <c r="R103" s="2" t="s">
        <v>557</v>
      </c>
      <c r="S103" s="2" t="s">
        <v>129</v>
      </c>
      <c r="T103" s="36"/>
      <c r="U103" s="2" t="s">
        <v>557</v>
      </c>
      <c r="V103" s="36" t="s">
        <v>559</v>
      </c>
    </row>
    <row r="104">
      <c r="J104" s="2" t="s">
        <v>560</v>
      </c>
      <c r="K104" s="2" t="s">
        <v>129</v>
      </c>
      <c r="L104" s="34" t="s">
        <v>561</v>
      </c>
      <c r="M104" s="2" t="s">
        <v>147</v>
      </c>
      <c r="N104" t="s">
        <v>562</v>
      </c>
      <c r="R104" s="2" t="s">
        <v>560</v>
      </c>
      <c r="S104" s="2" t="s">
        <v>129</v>
      </c>
      <c r="T104" s="35" t="s">
        <v>561</v>
      </c>
      <c r="U104" s="2" t="s">
        <v>563</v>
      </c>
      <c r="V104" s="36" t="s">
        <v>564</v>
      </c>
    </row>
    <row r="105">
      <c r="J105" s="2" t="s">
        <v>565</v>
      </c>
      <c r="K105" s="2" t="s">
        <v>129</v>
      </c>
      <c r="L105" s="34" t="s">
        <v>566</v>
      </c>
      <c r="M105" s="2" t="s">
        <v>147</v>
      </c>
      <c r="N105" t="s">
        <v>567</v>
      </c>
      <c r="R105" s="2" t="s">
        <v>565</v>
      </c>
      <c r="S105" s="2" t="s">
        <v>129</v>
      </c>
      <c r="T105" s="35" t="s">
        <v>566</v>
      </c>
      <c r="U105" s="2" t="s">
        <v>568</v>
      </c>
      <c r="V105" s="36" t="s">
        <v>569</v>
      </c>
    </row>
    <row r="106">
      <c r="J106" s="2" t="s">
        <v>570</v>
      </c>
      <c r="K106" s="2" t="s">
        <v>129</v>
      </c>
      <c r="L106" s="2"/>
      <c r="M106" s="2" t="s">
        <v>147</v>
      </c>
      <c r="N106" t="s">
        <v>571</v>
      </c>
      <c r="R106" s="2" t="s">
        <v>570</v>
      </c>
      <c r="S106" s="2" t="s">
        <v>129</v>
      </c>
      <c r="T106" s="36"/>
      <c r="V106" s="36" t="s">
        <v>572</v>
      </c>
    </row>
    <row r="107">
      <c r="J107" s="2" t="s">
        <v>573</v>
      </c>
      <c r="K107" s="2" t="s">
        <v>129</v>
      </c>
      <c r="L107" s="34" t="s">
        <v>574</v>
      </c>
      <c r="M107" s="2" t="s">
        <v>147</v>
      </c>
      <c r="N107" t="s">
        <v>575</v>
      </c>
      <c r="R107" s="2" t="s">
        <v>573</v>
      </c>
      <c r="S107" s="2" t="s">
        <v>129</v>
      </c>
      <c r="T107" s="35" t="s">
        <v>574</v>
      </c>
      <c r="U107" s="2" t="s">
        <v>573</v>
      </c>
      <c r="V107" s="36" t="s">
        <v>576</v>
      </c>
    </row>
    <row r="108">
      <c r="J108" s="2" t="s">
        <v>577</v>
      </c>
      <c r="K108" s="2" t="s">
        <v>129</v>
      </c>
      <c r="L108" s="34" t="s">
        <v>578</v>
      </c>
      <c r="M108" s="2" t="s">
        <v>147</v>
      </c>
      <c r="N108" t="s">
        <v>579</v>
      </c>
      <c r="R108" s="2" t="s">
        <v>577</v>
      </c>
      <c r="S108" s="2" t="s">
        <v>129</v>
      </c>
      <c r="T108" s="35" t="s">
        <v>578</v>
      </c>
      <c r="V108" s="36" t="s">
        <v>580</v>
      </c>
    </row>
    <row r="109">
      <c r="J109" s="2" t="s">
        <v>581</v>
      </c>
      <c r="K109" s="2" t="s">
        <v>129</v>
      </c>
      <c r="L109" s="34" t="s">
        <v>582</v>
      </c>
      <c r="M109" s="2" t="s">
        <v>147</v>
      </c>
      <c r="N109" t="s">
        <v>583</v>
      </c>
      <c r="R109" s="2" t="s">
        <v>581</v>
      </c>
      <c r="S109" s="2" t="s">
        <v>129</v>
      </c>
      <c r="T109" s="35" t="s">
        <v>582</v>
      </c>
      <c r="U109" s="2" t="s">
        <v>581</v>
      </c>
      <c r="V109" s="36" t="s">
        <v>584</v>
      </c>
    </row>
    <row r="110">
      <c r="J110" s="2" t="s">
        <v>585</v>
      </c>
      <c r="K110" s="2" t="s">
        <v>129</v>
      </c>
      <c r="L110" s="34" t="s">
        <v>586</v>
      </c>
      <c r="M110" s="2" t="s">
        <v>147</v>
      </c>
      <c r="N110" t="s">
        <v>587</v>
      </c>
      <c r="R110" s="2" t="s">
        <v>585</v>
      </c>
      <c r="S110" s="2" t="s">
        <v>129</v>
      </c>
      <c r="T110" s="35" t="s">
        <v>586</v>
      </c>
      <c r="V110" s="36" t="s">
        <v>588</v>
      </c>
    </row>
    <row r="111">
      <c r="J111" s="2" t="s">
        <v>589</v>
      </c>
      <c r="K111" s="2" t="s">
        <v>129</v>
      </c>
      <c r="L111" s="34" t="s">
        <v>590</v>
      </c>
      <c r="M111" s="2" t="s">
        <v>147</v>
      </c>
      <c r="N111" t="s">
        <v>591</v>
      </c>
      <c r="R111" s="2" t="s">
        <v>589</v>
      </c>
      <c r="S111" s="2" t="s">
        <v>129</v>
      </c>
      <c r="T111" s="35" t="s">
        <v>590</v>
      </c>
      <c r="U111" s="2" t="s">
        <v>589</v>
      </c>
      <c r="V111" s="36" t="s">
        <v>592</v>
      </c>
    </row>
    <row r="112">
      <c r="J112" s="2" t="s">
        <v>593</v>
      </c>
      <c r="K112" s="2" t="s">
        <v>129</v>
      </c>
      <c r="L112" s="34" t="s">
        <v>594</v>
      </c>
      <c r="M112" s="2" t="s">
        <v>147</v>
      </c>
      <c r="N112" t="s">
        <v>595</v>
      </c>
      <c r="R112" s="2" t="s">
        <v>593</v>
      </c>
      <c r="S112" s="2" t="s">
        <v>129</v>
      </c>
      <c r="T112" s="35" t="s">
        <v>594</v>
      </c>
      <c r="V112" s="36" t="s">
        <v>596</v>
      </c>
    </row>
    <row r="113">
      <c r="J113" s="2" t="s">
        <v>597</v>
      </c>
      <c r="K113" s="2" t="s">
        <v>129</v>
      </c>
      <c r="L113" s="2"/>
      <c r="M113" s="2" t="s">
        <v>147</v>
      </c>
      <c r="N113" t="s">
        <v>598</v>
      </c>
      <c r="R113" s="2" t="s">
        <v>597</v>
      </c>
      <c r="S113" s="2" t="s">
        <v>129</v>
      </c>
      <c r="T113" s="36"/>
      <c r="U113" s="2" t="s">
        <v>597</v>
      </c>
      <c r="V113" s="36" t="s">
        <v>599</v>
      </c>
    </row>
    <row r="114">
      <c r="J114" s="2" t="s">
        <v>600</v>
      </c>
      <c r="K114" s="2" t="s">
        <v>129</v>
      </c>
      <c r="L114" s="2"/>
      <c r="M114" s="2" t="s">
        <v>147</v>
      </c>
      <c r="N114" t="s">
        <v>601</v>
      </c>
      <c r="R114" s="2" t="s">
        <v>600</v>
      </c>
      <c r="S114" s="2" t="s">
        <v>129</v>
      </c>
      <c r="T114" s="36"/>
      <c r="V114" s="36" t="s">
        <v>602</v>
      </c>
    </row>
    <row r="115">
      <c r="J115" s="2" t="s">
        <v>603</v>
      </c>
      <c r="K115" s="2" t="s">
        <v>129</v>
      </c>
      <c r="L115" s="34" t="s">
        <v>604</v>
      </c>
      <c r="M115" s="2" t="s">
        <v>147</v>
      </c>
      <c r="N115" t="s">
        <v>605</v>
      </c>
      <c r="R115" s="2" t="s">
        <v>603</v>
      </c>
      <c r="S115" s="2" t="s">
        <v>129</v>
      </c>
      <c r="T115" s="35" t="s">
        <v>604</v>
      </c>
      <c r="U115" s="2" t="s">
        <v>606</v>
      </c>
      <c r="V115" s="36" t="s">
        <v>607</v>
      </c>
    </row>
    <row r="116">
      <c r="J116" s="2" t="s">
        <v>608</v>
      </c>
      <c r="K116" s="2" t="s">
        <v>129</v>
      </c>
      <c r="L116" s="2"/>
      <c r="M116" s="2" t="s">
        <v>147</v>
      </c>
      <c r="N116" t="s">
        <v>609</v>
      </c>
      <c r="R116" s="2" t="s">
        <v>608</v>
      </c>
      <c r="S116" s="2" t="s">
        <v>129</v>
      </c>
      <c r="T116" s="36"/>
      <c r="U116" s="2" t="s">
        <v>610</v>
      </c>
      <c r="V116" s="36" t="s">
        <v>611</v>
      </c>
    </row>
    <row r="117">
      <c r="J117" s="2" t="s">
        <v>612</v>
      </c>
      <c r="K117" s="2" t="s">
        <v>129</v>
      </c>
      <c r="L117" s="34" t="s">
        <v>613</v>
      </c>
      <c r="M117" s="2" t="s">
        <v>147</v>
      </c>
      <c r="N117" t="s">
        <v>614</v>
      </c>
      <c r="R117" s="2" t="s">
        <v>612</v>
      </c>
      <c r="S117" s="2" t="s">
        <v>129</v>
      </c>
      <c r="T117" s="35" t="s">
        <v>613</v>
      </c>
      <c r="U117" s="2" t="s">
        <v>612</v>
      </c>
      <c r="V117" s="36" t="s">
        <v>615</v>
      </c>
    </row>
    <row r="118">
      <c r="J118" s="2" t="s">
        <v>616</v>
      </c>
      <c r="K118" s="2" t="s">
        <v>130</v>
      </c>
      <c r="L118" s="34" t="s">
        <v>617</v>
      </c>
      <c r="M118" s="2" t="s">
        <v>618</v>
      </c>
      <c r="N118" t="s">
        <v>619</v>
      </c>
      <c r="R118" s="2" t="s">
        <v>616</v>
      </c>
      <c r="S118" s="2" t="s">
        <v>130</v>
      </c>
      <c r="T118" s="35" t="s">
        <v>617</v>
      </c>
      <c r="U118" s="2" t="s">
        <v>618</v>
      </c>
      <c r="V118" s="36" t="s">
        <v>620</v>
      </c>
    </row>
    <row r="119">
      <c r="J119" s="2" t="s">
        <v>621</v>
      </c>
      <c r="K119" s="2" t="s">
        <v>129</v>
      </c>
      <c r="L119" s="34" t="s">
        <v>622</v>
      </c>
      <c r="M119" s="2" t="s">
        <v>618</v>
      </c>
      <c r="N119" t="s">
        <v>623</v>
      </c>
      <c r="R119" s="2" t="s">
        <v>621</v>
      </c>
      <c r="S119" s="2" t="s">
        <v>129</v>
      </c>
      <c r="T119" s="35" t="s">
        <v>622</v>
      </c>
      <c r="V119" s="36" t="s">
        <v>624</v>
      </c>
    </row>
    <row r="120">
      <c r="J120" s="2" t="s">
        <v>625</v>
      </c>
      <c r="K120" s="2" t="s">
        <v>129</v>
      </c>
      <c r="L120" s="34" t="s">
        <v>626</v>
      </c>
      <c r="M120" s="2" t="s">
        <v>147</v>
      </c>
      <c r="N120" t="s">
        <v>627</v>
      </c>
      <c r="R120" s="2" t="s">
        <v>625</v>
      </c>
      <c r="S120" s="2" t="s">
        <v>129</v>
      </c>
      <c r="T120" s="35" t="s">
        <v>626</v>
      </c>
      <c r="V120" s="36" t="s">
        <v>628</v>
      </c>
    </row>
    <row r="121">
      <c r="J121" s="2" t="s">
        <v>629</v>
      </c>
      <c r="K121" s="2" t="s">
        <v>129</v>
      </c>
      <c r="L121" s="34" t="s">
        <v>630</v>
      </c>
      <c r="M121" s="2" t="s">
        <v>147</v>
      </c>
      <c r="N121" t="s">
        <v>631</v>
      </c>
      <c r="R121" s="2" t="s">
        <v>629</v>
      </c>
      <c r="S121" s="2" t="s">
        <v>129</v>
      </c>
      <c r="T121" s="35" t="s">
        <v>630</v>
      </c>
      <c r="U121" s="2" t="s">
        <v>629</v>
      </c>
      <c r="V121" s="36" t="s">
        <v>632</v>
      </c>
    </row>
    <row r="122">
      <c r="J122" s="2" t="s">
        <v>633</v>
      </c>
      <c r="K122" s="2" t="s">
        <v>129</v>
      </c>
      <c r="L122" s="2"/>
      <c r="M122" s="2" t="s">
        <v>147</v>
      </c>
      <c r="N122" t="s">
        <v>634</v>
      </c>
      <c r="R122" s="2" t="s">
        <v>633</v>
      </c>
      <c r="S122" s="2" t="s">
        <v>129</v>
      </c>
      <c r="T122" s="36"/>
      <c r="U122" s="2" t="s">
        <v>633</v>
      </c>
      <c r="V122" s="36" t="s">
        <v>635</v>
      </c>
    </row>
    <row r="123">
      <c r="J123" s="2" t="s">
        <v>636</v>
      </c>
      <c r="K123" s="2" t="s">
        <v>129</v>
      </c>
      <c r="L123" s="34" t="s">
        <v>637</v>
      </c>
      <c r="M123" s="2" t="s">
        <v>147</v>
      </c>
      <c r="N123" t="s">
        <v>638</v>
      </c>
      <c r="R123" s="2" t="s">
        <v>636</v>
      </c>
      <c r="S123" s="2" t="s">
        <v>129</v>
      </c>
      <c r="T123" s="35" t="s">
        <v>637</v>
      </c>
      <c r="U123" s="2" t="s">
        <v>636</v>
      </c>
      <c r="V123" s="36" t="s">
        <v>639</v>
      </c>
    </row>
    <row r="124">
      <c r="J124" s="2" t="s">
        <v>640</v>
      </c>
      <c r="K124" s="2" t="s">
        <v>129</v>
      </c>
      <c r="L124" s="34" t="s">
        <v>641</v>
      </c>
      <c r="M124" s="2" t="s">
        <v>147</v>
      </c>
      <c r="N124" t="s">
        <v>642</v>
      </c>
      <c r="R124" s="2" t="s">
        <v>640</v>
      </c>
      <c r="S124" s="2" t="s">
        <v>129</v>
      </c>
      <c r="T124" s="35" t="s">
        <v>641</v>
      </c>
      <c r="V124" s="36" t="s">
        <v>643</v>
      </c>
    </row>
    <row r="125">
      <c r="J125" s="2" t="s">
        <v>644</v>
      </c>
      <c r="K125" s="2" t="s">
        <v>129</v>
      </c>
      <c r="L125" s="34" t="s">
        <v>645</v>
      </c>
      <c r="M125" s="2" t="s">
        <v>147</v>
      </c>
      <c r="N125" t="s">
        <v>646</v>
      </c>
      <c r="R125" s="2" t="s">
        <v>644</v>
      </c>
      <c r="S125" s="2" t="s">
        <v>129</v>
      </c>
      <c r="T125" s="35" t="s">
        <v>645</v>
      </c>
      <c r="V125" s="36" t="s">
        <v>647</v>
      </c>
    </row>
    <row r="126">
      <c r="J126" s="2" t="s">
        <v>648</v>
      </c>
      <c r="K126" s="2" t="s">
        <v>129</v>
      </c>
      <c r="L126" s="34" t="s">
        <v>649</v>
      </c>
      <c r="M126" s="2" t="s">
        <v>147</v>
      </c>
      <c r="N126" t="s">
        <v>650</v>
      </c>
      <c r="R126" s="2" t="s">
        <v>648</v>
      </c>
      <c r="S126" s="2" t="s">
        <v>129</v>
      </c>
      <c r="T126" s="35" t="s">
        <v>649</v>
      </c>
      <c r="U126" s="2" t="s">
        <v>651</v>
      </c>
      <c r="V126" s="36" t="s">
        <v>652</v>
      </c>
    </row>
    <row r="127">
      <c r="J127" s="2" t="s">
        <v>653</v>
      </c>
      <c r="K127" s="2" t="s">
        <v>129</v>
      </c>
      <c r="L127" s="34" t="s">
        <v>654</v>
      </c>
      <c r="M127" s="2" t="s">
        <v>147</v>
      </c>
      <c r="N127" t="s">
        <v>655</v>
      </c>
      <c r="R127" s="2" t="s">
        <v>653</v>
      </c>
      <c r="S127" s="2" t="s">
        <v>129</v>
      </c>
      <c r="T127" s="35" t="s">
        <v>654</v>
      </c>
      <c r="U127" s="2" t="s">
        <v>656</v>
      </c>
      <c r="V127" s="36" t="s">
        <v>657</v>
      </c>
    </row>
    <row r="128">
      <c r="J128" s="2" t="s">
        <v>658</v>
      </c>
      <c r="K128" s="2" t="s">
        <v>129</v>
      </c>
      <c r="L128" s="34" t="s">
        <v>659</v>
      </c>
      <c r="M128" s="2" t="s">
        <v>147</v>
      </c>
      <c r="N128" t="s">
        <v>660</v>
      </c>
      <c r="R128" s="2" t="s">
        <v>658</v>
      </c>
      <c r="S128" s="2" t="s">
        <v>129</v>
      </c>
      <c r="T128" s="35" t="s">
        <v>659</v>
      </c>
      <c r="U128" s="2" t="s">
        <v>658</v>
      </c>
      <c r="V128" s="36" t="s">
        <v>661</v>
      </c>
    </row>
    <row r="129">
      <c r="J129" s="2" t="s">
        <v>662</v>
      </c>
      <c r="K129" s="2" t="s">
        <v>129</v>
      </c>
      <c r="L129" s="34" t="s">
        <v>663</v>
      </c>
      <c r="M129" s="2" t="s">
        <v>147</v>
      </c>
      <c r="N129" t="s">
        <v>664</v>
      </c>
      <c r="R129" s="2" t="s">
        <v>662</v>
      </c>
      <c r="S129" s="2" t="s">
        <v>129</v>
      </c>
      <c r="T129" s="35" t="s">
        <v>663</v>
      </c>
      <c r="V129" s="36" t="s">
        <v>665</v>
      </c>
    </row>
    <row r="130">
      <c r="J130" s="2" t="s">
        <v>666</v>
      </c>
      <c r="K130" s="2" t="s">
        <v>129</v>
      </c>
      <c r="L130" s="34" t="s">
        <v>667</v>
      </c>
      <c r="M130" s="2" t="s">
        <v>147</v>
      </c>
      <c r="N130" t="s">
        <v>668</v>
      </c>
      <c r="R130" s="2" t="s">
        <v>666</v>
      </c>
      <c r="S130" s="2" t="s">
        <v>129</v>
      </c>
      <c r="T130" s="35" t="s">
        <v>667</v>
      </c>
      <c r="V130" s="36" t="s">
        <v>669</v>
      </c>
    </row>
    <row r="131">
      <c r="J131" s="2" t="s">
        <v>670</v>
      </c>
      <c r="K131" s="2" t="s">
        <v>129</v>
      </c>
      <c r="L131" s="34" t="s">
        <v>671</v>
      </c>
      <c r="M131" s="2" t="s">
        <v>147</v>
      </c>
      <c r="N131" t="s">
        <v>672</v>
      </c>
      <c r="R131" s="2" t="s">
        <v>670</v>
      </c>
      <c r="S131" s="2" t="s">
        <v>129</v>
      </c>
      <c r="T131" s="35" t="s">
        <v>671</v>
      </c>
      <c r="U131" s="2" t="s">
        <v>670</v>
      </c>
      <c r="V131" s="36" t="s">
        <v>673</v>
      </c>
    </row>
    <row r="132">
      <c r="J132" s="2" t="s">
        <v>38</v>
      </c>
      <c r="K132" s="2" t="s">
        <v>130</v>
      </c>
      <c r="L132" s="34" t="s">
        <v>674</v>
      </c>
      <c r="M132" s="2" t="s">
        <v>38</v>
      </c>
      <c r="N132" t="s">
        <v>675</v>
      </c>
      <c r="R132" s="2" t="s">
        <v>38</v>
      </c>
      <c r="S132" s="2" t="s">
        <v>130</v>
      </c>
      <c r="T132" s="35" t="s">
        <v>674</v>
      </c>
      <c r="U132" s="2" t="s">
        <v>38</v>
      </c>
      <c r="V132" s="36" t="s">
        <v>676</v>
      </c>
    </row>
    <row r="133">
      <c r="J133" s="2" t="s">
        <v>677</v>
      </c>
      <c r="K133" s="2" t="s">
        <v>129</v>
      </c>
      <c r="L133" s="34" t="s">
        <v>678</v>
      </c>
      <c r="M133" s="2" t="s">
        <v>147</v>
      </c>
      <c r="N133" t="s">
        <v>679</v>
      </c>
      <c r="R133" s="2" t="s">
        <v>677</v>
      </c>
      <c r="S133" s="2" t="s">
        <v>129</v>
      </c>
      <c r="T133" s="35" t="s">
        <v>678</v>
      </c>
      <c r="V133" s="36" t="s">
        <v>680</v>
      </c>
    </row>
    <row r="134">
      <c r="J134" s="2" t="s">
        <v>681</v>
      </c>
      <c r="K134" s="2" t="s">
        <v>129</v>
      </c>
      <c r="L134" s="34" t="s">
        <v>682</v>
      </c>
      <c r="M134" s="2" t="s">
        <v>147</v>
      </c>
      <c r="N134" t="s">
        <v>683</v>
      </c>
      <c r="R134" s="2" t="s">
        <v>681</v>
      </c>
      <c r="S134" s="2" t="s">
        <v>129</v>
      </c>
      <c r="T134" s="35" t="s">
        <v>682</v>
      </c>
      <c r="V134" s="36" t="s">
        <v>684</v>
      </c>
    </row>
    <row r="135">
      <c r="J135" s="2" t="s">
        <v>685</v>
      </c>
      <c r="K135" s="2" t="s">
        <v>129</v>
      </c>
      <c r="L135" s="34" t="s">
        <v>686</v>
      </c>
      <c r="M135" s="2" t="s">
        <v>147</v>
      </c>
      <c r="N135" t="s">
        <v>687</v>
      </c>
      <c r="R135" s="2" t="s">
        <v>685</v>
      </c>
      <c r="S135" s="2" t="s">
        <v>129</v>
      </c>
      <c r="T135" s="35" t="s">
        <v>686</v>
      </c>
      <c r="U135" s="2" t="s">
        <v>685</v>
      </c>
      <c r="V135" s="36" t="s">
        <v>688</v>
      </c>
    </row>
    <row r="136">
      <c r="J136" s="2" t="s">
        <v>689</v>
      </c>
      <c r="K136" s="2" t="s">
        <v>129</v>
      </c>
      <c r="L136" s="34" t="s">
        <v>690</v>
      </c>
      <c r="M136" s="2" t="s">
        <v>147</v>
      </c>
      <c r="N136" t="s">
        <v>691</v>
      </c>
      <c r="R136" s="2" t="s">
        <v>689</v>
      </c>
      <c r="S136" s="2" t="s">
        <v>129</v>
      </c>
      <c r="T136" s="35" t="s">
        <v>690</v>
      </c>
      <c r="U136" s="2" t="s">
        <v>689</v>
      </c>
      <c r="V136" s="36" t="s">
        <v>692</v>
      </c>
    </row>
    <row r="137">
      <c r="J137" s="2" t="s">
        <v>693</v>
      </c>
      <c r="K137" s="2" t="s">
        <v>129</v>
      </c>
      <c r="L137" s="34" t="s">
        <v>694</v>
      </c>
      <c r="M137" s="2" t="s">
        <v>147</v>
      </c>
      <c r="N137" t="s">
        <v>695</v>
      </c>
      <c r="R137" s="2" t="s">
        <v>693</v>
      </c>
      <c r="S137" s="2" t="s">
        <v>129</v>
      </c>
      <c r="T137" s="35" t="s">
        <v>694</v>
      </c>
      <c r="V137" s="36" t="s">
        <v>696</v>
      </c>
    </row>
    <row r="138">
      <c r="J138" s="2" t="s">
        <v>697</v>
      </c>
      <c r="K138" s="2" t="s">
        <v>130</v>
      </c>
      <c r="L138" s="34" t="s">
        <v>698</v>
      </c>
      <c r="M138" s="2" t="s">
        <v>35</v>
      </c>
      <c r="N138" t="s">
        <v>699</v>
      </c>
      <c r="R138" s="2" t="s">
        <v>697</v>
      </c>
      <c r="S138" s="2" t="s">
        <v>130</v>
      </c>
      <c r="T138" s="35" t="s">
        <v>698</v>
      </c>
      <c r="U138" s="2" t="s">
        <v>35</v>
      </c>
      <c r="V138" s="36" t="s">
        <v>700</v>
      </c>
    </row>
    <row r="139">
      <c r="J139" s="2" t="s">
        <v>701</v>
      </c>
      <c r="K139" s="2" t="s">
        <v>129</v>
      </c>
      <c r="L139" s="34" t="s">
        <v>702</v>
      </c>
      <c r="M139" s="2" t="s">
        <v>147</v>
      </c>
      <c r="N139" t="s">
        <v>703</v>
      </c>
      <c r="R139" s="2" t="s">
        <v>701</v>
      </c>
      <c r="S139" s="2" t="s">
        <v>129</v>
      </c>
      <c r="T139" s="35" t="s">
        <v>702</v>
      </c>
      <c r="U139" s="2" t="s">
        <v>704</v>
      </c>
      <c r="V139" s="36" t="s">
        <v>705</v>
      </c>
    </row>
    <row r="140">
      <c r="J140" s="2" t="s">
        <v>706</v>
      </c>
      <c r="K140" s="2" t="s">
        <v>129</v>
      </c>
      <c r="L140" s="34" t="s">
        <v>707</v>
      </c>
      <c r="M140" s="2" t="s">
        <v>147</v>
      </c>
      <c r="N140" t="s">
        <v>708</v>
      </c>
      <c r="R140" s="2" t="s">
        <v>706</v>
      </c>
      <c r="S140" s="2" t="s">
        <v>129</v>
      </c>
      <c r="T140" s="35" t="s">
        <v>707</v>
      </c>
      <c r="U140" s="2" t="s">
        <v>709</v>
      </c>
      <c r="V140" s="36" t="s">
        <v>710</v>
      </c>
    </row>
    <row r="141">
      <c r="J141" s="2" t="s">
        <v>711</v>
      </c>
      <c r="K141" s="2" t="s">
        <v>129</v>
      </c>
      <c r="L141" s="34" t="s">
        <v>712</v>
      </c>
      <c r="M141" s="2" t="s">
        <v>147</v>
      </c>
      <c r="N141" t="s">
        <v>713</v>
      </c>
      <c r="R141" s="2" t="s">
        <v>711</v>
      </c>
      <c r="S141" s="2" t="s">
        <v>129</v>
      </c>
      <c r="T141" s="35" t="s">
        <v>712</v>
      </c>
      <c r="V141" s="36" t="s">
        <v>714</v>
      </c>
    </row>
    <row r="142">
      <c r="J142" s="2" t="s">
        <v>715</v>
      </c>
      <c r="K142" s="2" t="s">
        <v>129</v>
      </c>
      <c r="L142" s="34" t="s">
        <v>716</v>
      </c>
      <c r="M142" s="2" t="s">
        <v>147</v>
      </c>
      <c r="N142" t="s">
        <v>717</v>
      </c>
      <c r="R142" s="2" t="s">
        <v>715</v>
      </c>
      <c r="S142" s="2" t="s">
        <v>129</v>
      </c>
      <c r="T142" s="35" t="s">
        <v>716</v>
      </c>
      <c r="U142" s="2" t="s">
        <v>718</v>
      </c>
      <c r="V142" s="36" t="s">
        <v>719</v>
      </c>
    </row>
    <row r="143">
      <c r="J143" s="2" t="s">
        <v>720</v>
      </c>
      <c r="K143" s="2" t="s">
        <v>129</v>
      </c>
      <c r="L143" s="34" t="s">
        <v>721</v>
      </c>
      <c r="M143" s="2" t="s">
        <v>147</v>
      </c>
      <c r="N143" t="s">
        <v>722</v>
      </c>
      <c r="R143" s="2" t="s">
        <v>720</v>
      </c>
      <c r="S143" s="2" t="s">
        <v>129</v>
      </c>
      <c r="T143" s="35" t="s">
        <v>721</v>
      </c>
      <c r="U143" s="2" t="s">
        <v>720</v>
      </c>
      <c r="V143" s="36" t="s">
        <v>723</v>
      </c>
    </row>
    <row r="144">
      <c r="J144" s="2" t="s">
        <v>724</v>
      </c>
      <c r="K144" s="2" t="s">
        <v>129</v>
      </c>
      <c r="L144" s="34" t="s">
        <v>725</v>
      </c>
      <c r="M144" s="2" t="s">
        <v>147</v>
      </c>
      <c r="N144" t="s">
        <v>726</v>
      </c>
      <c r="R144" s="2" t="s">
        <v>724</v>
      </c>
      <c r="S144" s="2" t="s">
        <v>129</v>
      </c>
      <c r="T144" s="35" t="s">
        <v>725</v>
      </c>
      <c r="V144" s="36" t="s">
        <v>727</v>
      </c>
    </row>
    <row r="145">
      <c r="J145" s="2" t="s">
        <v>728</v>
      </c>
      <c r="K145" s="2" t="s">
        <v>129</v>
      </c>
      <c r="L145" s="34" t="s">
        <v>729</v>
      </c>
      <c r="M145" s="2" t="s">
        <v>147</v>
      </c>
      <c r="N145" t="s">
        <v>730</v>
      </c>
      <c r="R145" s="2" t="s">
        <v>728</v>
      </c>
      <c r="S145" s="2" t="s">
        <v>129</v>
      </c>
      <c r="T145" s="35" t="s">
        <v>729</v>
      </c>
      <c r="U145" s="2" t="s">
        <v>728</v>
      </c>
      <c r="V145" s="36" t="s">
        <v>731</v>
      </c>
    </row>
    <row r="146">
      <c r="J146" s="2" t="s">
        <v>732</v>
      </c>
      <c r="K146" s="2" t="s">
        <v>129</v>
      </c>
      <c r="L146" s="2"/>
      <c r="M146" s="2" t="s">
        <v>147</v>
      </c>
      <c r="N146" t="s">
        <v>733</v>
      </c>
      <c r="R146" s="2" t="s">
        <v>732</v>
      </c>
      <c r="S146" s="2" t="s">
        <v>129</v>
      </c>
      <c r="T146" s="36"/>
      <c r="V146" s="36" t="s">
        <v>734</v>
      </c>
    </row>
    <row r="147">
      <c r="J147" s="2" t="s">
        <v>735</v>
      </c>
      <c r="K147" s="2" t="s">
        <v>129</v>
      </c>
      <c r="L147" s="34" t="s">
        <v>736</v>
      </c>
      <c r="M147" s="2" t="s">
        <v>147</v>
      </c>
      <c r="N147" t="s">
        <v>737</v>
      </c>
      <c r="R147" s="2" t="s">
        <v>735</v>
      </c>
      <c r="S147" s="2" t="s">
        <v>129</v>
      </c>
      <c r="T147" s="35" t="s">
        <v>736</v>
      </c>
      <c r="V147" s="36" t="s">
        <v>738</v>
      </c>
    </row>
    <row r="148">
      <c r="J148" s="2" t="s">
        <v>739</v>
      </c>
      <c r="K148" s="2" t="s">
        <v>129</v>
      </c>
      <c r="L148" s="34" t="s">
        <v>740</v>
      </c>
      <c r="M148" s="2" t="s">
        <v>147</v>
      </c>
      <c r="N148" t="s">
        <v>741</v>
      </c>
      <c r="R148" s="2" t="s">
        <v>739</v>
      </c>
      <c r="S148" s="2" t="s">
        <v>129</v>
      </c>
      <c r="T148" s="35" t="s">
        <v>740</v>
      </c>
      <c r="V148" s="36" t="s">
        <v>742</v>
      </c>
    </row>
    <row r="149">
      <c r="J149" s="2" t="s">
        <v>743</v>
      </c>
      <c r="K149" s="2" t="s">
        <v>129</v>
      </c>
      <c r="L149" s="34" t="s">
        <v>744</v>
      </c>
      <c r="M149" s="65" t="s">
        <v>745</v>
      </c>
      <c r="N149" t="s">
        <v>746</v>
      </c>
      <c r="R149" s="2" t="s">
        <v>743</v>
      </c>
      <c r="S149" s="2" t="s">
        <v>129</v>
      </c>
      <c r="T149" s="35" t="s">
        <v>744</v>
      </c>
      <c r="V149" s="36" t="s">
        <v>747</v>
      </c>
    </row>
    <row r="150">
      <c r="J150" s="2" t="s">
        <v>748</v>
      </c>
      <c r="K150" s="2" t="s">
        <v>129</v>
      </c>
      <c r="L150" s="34" t="s">
        <v>749</v>
      </c>
      <c r="M150" s="2" t="s">
        <v>147</v>
      </c>
      <c r="N150" t="s">
        <v>750</v>
      </c>
      <c r="R150" s="2" t="s">
        <v>748</v>
      </c>
      <c r="S150" s="2" t="s">
        <v>129</v>
      </c>
      <c r="T150" s="35" t="s">
        <v>749</v>
      </c>
      <c r="V150" s="36" t="s">
        <v>751</v>
      </c>
    </row>
    <row r="151">
      <c r="J151" s="2" t="s">
        <v>752</v>
      </c>
      <c r="K151" s="2" t="s">
        <v>129</v>
      </c>
      <c r="L151" s="34" t="s">
        <v>482</v>
      </c>
      <c r="M151" s="2" t="s">
        <v>147</v>
      </c>
      <c r="N151" t="s">
        <v>753</v>
      </c>
      <c r="R151" s="2" t="s">
        <v>752</v>
      </c>
      <c r="S151" s="2" t="s">
        <v>129</v>
      </c>
      <c r="T151" s="35" t="s">
        <v>482</v>
      </c>
      <c r="V151" s="36" t="s">
        <v>754</v>
      </c>
    </row>
    <row r="152">
      <c r="J152" s="66" t="s">
        <v>755</v>
      </c>
      <c r="K152" s="67" t="s">
        <v>129</v>
      </c>
      <c r="L152" s="66"/>
      <c r="M152" s="2" t="s">
        <v>147</v>
      </c>
      <c r="N152" t="s">
        <v>756</v>
      </c>
      <c r="R152" s="66" t="s">
        <v>755</v>
      </c>
      <c r="S152" s="67" t="s">
        <v>129</v>
      </c>
      <c r="T152" s="68"/>
      <c r="U152" s="66"/>
      <c r="V152" s="36" t="s">
        <v>757</v>
      </c>
    </row>
    <row r="153">
      <c r="J153" s="69">
        <v>1091.0</v>
      </c>
      <c r="K153" s="66" t="s">
        <v>129</v>
      </c>
      <c r="L153" s="70" t="s">
        <v>758</v>
      </c>
      <c r="M153" s="2" t="s">
        <v>147</v>
      </c>
      <c r="N153" t="s">
        <v>759</v>
      </c>
      <c r="R153" s="69">
        <v>1091.0</v>
      </c>
      <c r="S153" s="66" t="s">
        <v>129</v>
      </c>
      <c r="T153" s="71" t="s">
        <v>758</v>
      </c>
      <c r="U153" s="66"/>
      <c r="V153" s="36" t="s">
        <v>760</v>
      </c>
    </row>
    <row r="154">
      <c r="J154" s="66" t="s">
        <v>761</v>
      </c>
      <c r="K154" s="67" t="s">
        <v>129</v>
      </c>
      <c r="L154" s="66"/>
      <c r="M154" s="2" t="s">
        <v>147</v>
      </c>
      <c r="N154" t="s">
        <v>762</v>
      </c>
      <c r="R154" s="66" t="s">
        <v>761</v>
      </c>
      <c r="S154" s="67" t="s">
        <v>129</v>
      </c>
      <c r="T154" s="68"/>
      <c r="U154" s="66"/>
      <c r="V154" s="36" t="s">
        <v>763</v>
      </c>
    </row>
    <row r="155">
      <c r="J155" s="66" t="s">
        <v>745</v>
      </c>
      <c r="K155" s="67" t="s">
        <v>129</v>
      </c>
      <c r="L155" s="66"/>
      <c r="M155" s="65" t="s">
        <v>745</v>
      </c>
      <c r="N155" t="s">
        <v>764</v>
      </c>
      <c r="R155" s="66" t="s">
        <v>745</v>
      </c>
      <c r="S155" s="67" t="s">
        <v>129</v>
      </c>
      <c r="T155" s="68"/>
      <c r="U155" s="66"/>
      <c r="V155" s="36" t="s">
        <v>765</v>
      </c>
    </row>
    <row r="156">
      <c r="J156" s="66" t="s">
        <v>766</v>
      </c>
      <c r="K156" s="66" t="s">
        <v>129</v>
      </c>
      <c r="L156" s="70" t="s">
        <v>767</v>
      </c>
      <c r="M156" s="2" t="s">
        <v>147</v>
      </c>
      <c r="N156" t="s">
        <v>768</v>
      </c>
      <c r="R156" s="66" t="s">
        <v>766</v>
      </c>
      <c r="S156" s="66" t="s">
        <v>129</v>
      </c>
      <c r="T156" s="71" t="s">
        <v>767</v>
      </c>
      <c r="U156" s="72" t="s">
        <v>743</v>
      </c>
      <c r="V156" s="36" t="s">
        <v>769</v>
      </c>
    </row>
    <row r="157">
      <c r="J157" s="66" t="s">
        <v>770</v>
      </c>
      <c r="K157" s="66" t="s">
        <v>129</v>
      </c>
      <c r="L157" s="70" t="s">
        <v>771</v>
      </c>
      <c r="M157" s="2" t="s">
        <v>147</v>
      </c>
      <c r="N157" t="s">
        <v>772</v>
      </c>
      <c r="R157" s="66" t="s">
        <v>770</v>
      </c>
      <c r="S157" s="66" t="s">
        <v>129</v>
      </c>
      <c r="T157" s="71" t="s">
        <v>771</v>
      </c>
      <c r="U157" s="72" t="s">
        <v>773</v>
      </c>
      <c r="V157" s="36" t="s">
        <v>774</v>
      </c>
    </row>
    <row r="158">
      <c r="J158" s="66" t="s">
        <v>775</v>
      </c>
      <c r="K158" s="66" t="s">
        <v>129</v>
      </c>
      <c r="L158" s="70" t="s">
        <v>776</v>
      </c>
      <c r="M158" s="2" t="s">
        <v>147</v>
      </c>
      <c r="N158" t="s">
        <v>777</v>
      </c>
      <c r="R158" s="66" t="s">
        <v>775</v>
      </c>
      <c r="S158" s="66" t="s">
        <v>129</v>
      </c>
      <c r="T158" s="71" t="s">
        <v>776</v>
      </c>
      <c r="U158" s="66"/>
      <c r="V158" s="36" t="s">
        <v>778</v>
      </c>
    </row>
    <row r="159">
      <c r="J159" s="66" t="s">
        <v>779</v>
      </c>
      <c r="K159" s="66" t="s">
        <v>129</v>
      </c>
      <c r="L159" s="70" t="s">
        <v>780</v>
      </c>
      <c r="M159" s="2" t="s">
        <v>147</v>
      </c>
      <c r="N159" t="s">
        <v>781</v>
      </c>
      <c r="R159" s="66" t="s">
        <v>779</v>
      </c>
      <c r="S159" s="66" t="s">
        <v>129</v>
      </c>
      <c r="T159" s="71" t="s">
        <v>780</v>
      </c>
      <c r="U159" s="66"/>
      <c r="V159" s="36" t="s">
        <v>782</v>
      </c>
    </row>
    <row r="160">
      <c r="J160" s="66" t="s">
        <v>783</v>
      </c>
      <c r="K160" s="66" t="s">
        <v>129</v>
      </c>
      <c r="L160" s="70" t="s">
        <v>784</v>
      </c>
      <c r="M160" s="2" t="s">
        <v>147</v>
      </c>
      <c r="N160" t="s">
        <v>785</v>
      </c>
      <c r="R160" s="66" t="s">
        <v>783</v>
      </c>
      <c r="S160" s="66" t="s">
        <v>129</v>
      </c>
      <c r="T160" s="71" t="s">
        <v>784</v>
      </c>
      <c r="U160" s="66"/>
      <c r="V160" s="36" t="s">
        <v>786</v>
      </c>
    </row>
    <row r="161">
      <c r="J161" s="66" t="s">
        <v>787</v>
      </c>
      <c r="K161" s="67" t="s">
        <v>129</v>
      </c>
      <c r="L161" s="66"/>
      <c r="M161" s="2" t="s">
        <v>147</v>
      </c>
      <c r="N161" t="s">
        <v>788</v>
      </c>
      <c r="R161" s="66" t="s">
        <v>787</v>
      </c>
      <c r="S161" s="67" t="s">
        <v>129</v>
      </c>
      <c r="T161" s="68"/>
      <c r="U161" s="66"/>
      <c r="V161" s="36" t="s">
        <v>789</v>
      </c>
    </row>
    <row r="162">
      <c r="J162" s="66" t="s">
        <v>790</v>
      </c>
      <c r="K162" s="66" t="s">
        <v>129</v>
      </c>
      <c r="L162" s="70" t="s">
        <v>791</v>
      </c>
      <c r="M162" s="2" t="s">
        <v>147</v>
      </c>
      <c r="N162" t="s">
        <v>792</v>
      </c>
      <c r="R162" s="66" t="s">
        <v>790</v>
      </c>
      <c r="S162" s="66" t="s">
        <v>129</v>
      </c>
      <c r="T162" s="71" t="s">
        <v>791</v>
      </c>
      <c r="U162" s="66"/>
      <c r="V162" s="36" t="s">
        <v>793</v>
      </c>
    </row>
    <row r="163">
      <c r="J163" s="66" t="s">
        <v>794</v>
      </c>
      <c r="K163" s="67" t="s">
        <v>129</v>
      </c>
      <c r="L163" s="66"/>
      <c r="M163" s="2" t="s">
        <v>147</v>
      </c>
      <c r="N163" t="s">
        <v>795</v>
      </c>
      <c r="R163" s="66" t="s">
        <v>794</v>
      </c>
      <c r="S163" s="67" t="s">
        <v>129</v>
      </c>
      <c r="T163" s="68"/>
      <c r="U163" s="72" t="s">
        <v>794</v>
      </c>
      <c r="V163" s="36" t="s">
        <v>796</v>
      </c>
    </row>
    <row r="164">
      <c r="J164" s="66" t="s">
        <v>797</v>
      </c>
      <c r="K164" s="66" t="s">
        <v>129</v>
      </c>
      <c r="L164" s="70" t="s">
        <v>798</v>
      </c>
      <c r="M164" s="2" t="s">
        <v>147</v>
      </c>
      <c r="N164" t="s">
        <v>799</v>
      </c>
      <c r="R164" s="66" t="s">
        <v>797</v>
      </c>
      <c r="S164" s="66" t="s">
        <v>129</v>
      </c>
      <c r="T164" s="71" t="s">
        <v>798</v>
      </c>
      <c r="U164" s="72" t="s">
        <v>797</v>
      </c>
      <c r="V164" s="36" t="s">
        <v>800</v>
      </c>
    </row>
    <row r="165">
      <c r="J165" s="66" t="s">
        <v>801</v>
      </c>
      <c r="K165" s="66" t="s">
        <v>129</v>
      </c>
      <c r="L165" s="70" t="s">
        <v>802</v>
      </c>
      <c r="M165" s="2" t="s">
        <v>147</v>
      </c>
      <c r="N165" t="s">
        <v>803</v>
      </c>
      <c r="R165" s="66" t="s">
        <v>801</v>
      </c>
      <c r="S165" s="66" t="s">
        <v>129</v>
      </c>
      <c r="T165" s="71" t="s">
        <v>802</v>
      </c>
      <c r="U165" s="66"/>
      <c r="V165" s="36" t="s">
        <v>804</v>
      </c>
    </row>
    <row r="166">
      <c r="J166" s="66" t="s">
        <v>805</v>
      </c>
      <c r="K166" s="67" t="s">
        <v>129</v>
      </c>
      <c r="L166" s="66"/>
      <c r="M166" s="72" t="s">
        <v>147</v>
      </c>
      <c r="N166" t="s">
        <v>806</v>
      </c>
      <c r="R166" s="66" t="s">
        <v>805</v>
      </c>
      <c r="S166" s="67" t="s">
        <v>129</v>
      </c>
      <c r="T166" s="68"/>
      <c r="U166" s="66"/>
      <c r="V166" s="36" t="s">
        <v>807</v>
      </c>
    </row>
    <row r="167">
      <c r="J167" s="66" t="s">
        <v>808</v>
      </c>
      <c r="K167" s="66" t="s">
        <v>129</v>
      </c>
      <c r="L167" s="70" t="s">
        <v>809</v>
      </c>
      <c r="M167" s="72" t="s">
        <v>147</v>
      </c>
      <c r="N167" t="s">
        <v>810</v>
      </c>
      <c r="R167" s="66" t="s">
        <v>808</v>
      </c>
      <c r="S167" s="66" t="s">
        <v>129</v>
      </c>
      <c r="T167" s="71" t="s">
        <v>809</v>
      </c>
      <c r="U167" s="66"/>
      <c r="V167" s="36" t="s">
        <v>811</v>
      </c>
    </row>
    <row r="168">
      <c r="J168" s="66" t="s">
        <v>812</v>
      </c>
      <c r="K168" s="66" t="s">
        <v>129</v>
      </c>
      <c r="L168" s="70" t="s">
        <v>813</v>
      </c>
      <c r="M168" s="72" t="s">
        <v>147</v>
      </c>
      <c r="N168" t="s">
        <v>814</v>
      </c>
      <c r="R168" s="66" t="s">
        <v>812</v>
      </c>
      <c r="S168" s="66" t="s">
        <v>129</v>
      </c>
      <c r="T168" s="71" t="s">
        <v>813</v>
      </c>
      <c r="U168" s="66"/>
      <c r="V168" s="36" t="s">
        <v>815</v>
      </c>
    </row>
    <row r="169">
      <c r="J169" s="66" t="s">
        <v>816</v>
      </c>
      <c r="K169" s="66" t="s">
        <v>129</v>
      </c>
      <c r="L169" s="70" t="s">
        <v>817</v>
      </c>
      <c r="M169" s="72" t="s">
        <v>147</v>
      </c>
      <c r="N169" t="s">
        <v>818</v>
      </c>
      <c r="R169" s="66" t="s">
        <v>816</v>
      </c>
      <c r="S169" s="66" t="s">
        <v>129</v>
      </c>
      <c r="T169" s="71" t="s">
        <v>817</v>
      </c>
      <c r="U169" s="66"/>
      <c r="V169" s="36" t="s">
        <v>819</v>
      </c>
    </row>
    <row r="170">
      <c r="J170" s="66" t="s">
        <v>820</v>
      </c>
      <c r="K170" s="66" t="s">
        <v>129</v>
      </c>
      <c r="L170" s="70" t="s">
        <v>821</v>
      </c>
      <c r="M170" s="72" t="s">
        <v>147</v>
      </c>
      <c r="N170" t="s">
        <v>822</v>
      </c>
      <c r="R170" s="66" t="s">
        <v>820</v>
      </c>
      <c r="S170" s="66" t="s">
        <v>129</v>
      </c>
      <c r="T170" s="71" t="s">
        <v>821</v>
      </c>
      <c r="U170" s="66"/>
      <c r="V170" s="36" t="s">
        <v>823</v>
      </c>
    </row>
    <row r="171">
      <c r="J171" s="72" t="s">
        <v>824</v>
      </c>
      <c r="K171" s="73" t="s">
        <v>129</v>
      </c>
      <c r="L171" s="74" t="s">
        <v>825</v>
      </c>
      <c r="M171" s="72" t="s">
        <v>147</v>
      </c>
      <c r="N171" s="2" t="s">
        <v>826</v>
      </c>
      <c r="R171" s="72" t="s">
        <v>824</v>
      </c>
      <c r="S171" s="67" t="s">
        <v>129</v>
      </c>
      <c r="T171" s="75" t="s">
        <v>825</v>
      </c>
      <c r="U171" s="66"/>
      <c r="V171" s="36" t="s">
        <v>827</v>
      </c>
    </row>
    <row r="172">
      <c r="J172" s="2" t="s">
        <v>828</v>
      </c>
      <c r="K172" s="73" t="s">
        <v>129</v>
      </c>
      <c r="L172" s="76" t="s">
        <v>829</v>
      </c>
      <c r="M172" s="2" t="s">
        <v>147</v>
      </c>
      <c r="N172" s="2" t="s">
        <v>830</v>
      </c>
      <c r="R172" s="2" t="s">
        <v>828</v>
      </c>
      <c r="S172" s="67" t="s">
        <v>129</v>
      </c>
      <c r="T172" s="77" t="s">
        <v>829</v>
      </c>
      <c r="U172" s="2"/>
      <c r="V172" s="36" t="s">
        <v>831</v>
      </c>
    </row>
    <row r="173">
      <c r="J173" s="2" t="s">
        <v>832</v>
      </c>
      <c r="K173" s="73" t="s">
        <v>129</v>
      </c>
      <c r="L173" s="2"/>
      <c r="M173" s="2" t="s">
        <v>147</v>
      </c>
      <c r="N173" t="s">
        <v>833</v>
      </c>
      <c r="R173" s="2" t="s">
        <v>832</v>
      </c>
      <c r="S173" s="73" t="s">
        <v>129</v>
      </c>
      <c r="T173" s="2"/>
      <c r="U173" s="2"/>
      <c r="V173" s="2" t="s">
        <v>834</v>
      </c>
    </row>
    <row r="174">
      <c r="J174" s="2" t="s">
        <v>835</v>
      </c>
      <c r="K174" s="73" t="s">
        <v>129</v>
      </c>
      <c r="L174" s="2"/>
      <c r="M174" s="2" t="s">
        <v>147</v>
      </c>
      <c r="N174" t="s">
        <v>836</v>
      </c>
      <c r="R174" s="2" t="s">
        <v>835</v>
      </c>
      <c r="S174" s="73" t="s">
        <v>129</v>
      </c>
      <c r="T174" s="2"/>
      <c r="U174" s="2"/>
      <c r="V174" s="2" t="s">
        <v>837</v>
      </c>
    </row>
    <row r="175">
      <c r="J175" s="2" t="s">
        <v>838</v>
      </c>
      <c r="K175" s="73" t="s">
        <v>129</v>
      </c>
      <c r="L175" s="34" t="s">
        <v>839</v>
      </c>
      <c r="M175" s="2" t="s">
        <v>147</v>
      </c>
      <c r="N175" t="s">
        <v>840</v>
      </c>
      <c r="R175" s="2" t="s">
        <v>838</v>
      </c>
      <c r="S175" s="73" t="s">
        <v>129</v>
      </c>
      <c r="T175" s="34" t="s">
        <v>839</v>
      </c>
      <c r="U175" s="2"/>
      <c r="V175" s="2" t="s">
        <v>841</v>
      </c>
    </row>
    <row r="176">
      <c r="J176" s="2" t="s">
        <v>842</v>
      </c>
      <c r="K176" s="73" t="s">
        <v>129</v>
      </c>
      <c r="L176" s="2"/>
      <c r="M176" s="2" t="s">
        <v>147</v>
      </c>
      <c r="N176" t="s">
        <v>843</v>
      </c>
      <c r="R176" s="2" t="s">
        <v>842</v>
      </c>
      <c r="S176" s="73" t="s">
        <v>129</v>
      </c>
      <c r="T176" s="2"/>
      <c r="U176" s="2"/>
      <c r="V176" s="2" t="s">
        <v>844</v>
      </c>
    </row>
    <row r="177">
      <c r="J177" s="2" t="s">
        <v>845</v>
      </c>
      <c r="K177" s="73" t="s">
        <v>129</v>
      </c>
      <c r="L177" s="2"/>
      <c r="M177" s="2" t="s">
        <v>147</v>
      </c>
      <c r="N177" t="s">
        <v>846</v>
      </c>
      <c r="R177" s="2" t="s">
        <v>845</v>
      </c>
      <c r="S177" s="73" t="s">
        <v>129</v>
      </c>
      <c r="T177" s="2"/>
      <c r="U177" s="2"/>
      <c r="V177" s="2" t="s">
        <v>847</v>
      </c>
    </row>
    <row r="178">
      <c r="J178" s="2" t="s">
        <v>848</v>
      </c>
      <c r="K178" s="73" t="s">
        <v>129</v>
      </c>
      <c r="L178" s="2"/>
      <c r="M178" s="2" t="s">
        <v>147</v>
      </c>
      <c r="N178" t="s">
        <v>849</v>
      </c>
      <c r="R178" s="2" t="s">
        <v>848</v>
      </c>
      <c r="S178" s="73" t="s">
        <v>129</v>
      </c>
      <c r="T178" s="2"/>
      <c r="U178" s="2"/>
      <c r="V178" s="2" t="s">
        <v>850</v>
      </c>
    </row>
    <row r="179">
      <c r="J179" s="2" t="s">
        <v>851</v>
      </c>
      <c r="K179" s="73" t="s">
        <v>129</v>
      </c>
      <c r="L179" s="2"/>
      <c r="M179" s="2" t="s">
        <v>147</v>
      </c>
      <c r="N179" s="2" t="s">
        <v>852</v>
      </c>
      <c r="R179" s="2" t="s">
        <v>851</v>
      </c>
      <c r="S179" s="73" t="s">
        <v>129</v>
      </c>
      <c r="T179" s="2"/>
      <c r="U179" s="2"/>
      <c r="V179" s="2" t="s">
        <v>853</v>
      </c>
    </row>
    <row r="180">
      <c r="J180" s="2" t="s">
        <v>854</v>
      </c>
      <c r="K180" s="73" t="s">
        <v>129</v>
      </c>
      <c r="L180" s="2"/>
      <c r="M180" s="2" t="s">
        <v>147</v>
      </c>
      <c r="N180" s="2" t="s">
        <v>855</v>
      </c>
      <c r="R180" s="2" t="s">
        <v>854</v>
      </c>
      <c r="S180" s="73" t="s">
        <v>129</v>
      </c>
      <c r="T180" s="2"/>
      <c r="U180" s="2"/>
      <c r="V180" s="2" t="s">
        <v>856</v>
      </c>
    </row>
    <row r="181">
      <c r="J181" s="2" t="s">
        <v>857</v>
      </c>
      <c r="K181" s="73" t="s">
        <v>129</v>
      </c>
      <c r="L181" s="2"/>
      <c r="M181" s="2" t="s">
        <v>147</v>
      </c>
      <c r="N181" t="s">
        <v>858</v>
      </c>
      <c r="R181" s="2" t="s">
        <v>857</v>
      </c>
      <c r="S181" s="73" t="s">
        <v>129</v>
      </c>
      <c r="T181" s="2"/>
      <c r="U181" s="2"/>
      <c r="V181" s="2" t="s">
        <v>859</v>
      </c>
    </row>
    <row r="182">
      <c r="J182" s="2" t="s">
        <v>860</v>
      </c>
      <c r="K182" s="73" t="s">
        <v>129</v>
      </c>
      <c r="L182" s="2"/>
      <c r="M182" s="2" t="s">
        <v>147</v>
      </c>
      <c r="N182" s="2" t="s">
        <v>861</v>
      </c>
      <c r="R182" s="2" t="s">
        <v>860</v>
      </c>
      <c r="S182" s="73" t="s">
        <v>129</v>
      </c>
      <c r="T182" s="2"/>
      <c r="U182" s="2"/>
      <c r="V182" s="2" t="s">
        <v>862</v>
      </c>
    </row>
    <row r="183">
      <c r="J183" s="2" t="s">
        <v>863</v>
      </c>
      <c r="K183" s="2" t="s">
        <v>129</v>
      </c>
      <c r="L183" s="34" t="s">
        <v>864</v>
      </c>
      <c r="M183" s="2" t="s">
        <v>863</v>
      </c>
      <c r="N183" s="2" t="s">
        <v>865</v>
      </c>
      <c r="R183" s="2" t="s">
        <v>863</v>
      </c>
      <c r="S183" s="73" t="s">
        <v>129</v>
      </c>
      <c r="T183" s="34" t="s">
        <v>864</v>
      </c>
      <c r="U183" s="2" t="s">
        <v>863</v>
      </c>
      <c r="V183" s="36" t="s">
        <v>866</v>
      </c>
    </row>
    <row r="184">
      <c r="J184" s="2" t="s">
        <v>867</v>
      </c>
      <c r="K184" s="2" t="s">
        <v>129</v>
      </c>
      <c r="L184" s="52" t="s">
        <v>868</v>
      </c>
      <c r="M184" s="2" t="s">
        <v>147</v>
      </c>
      <c r="N184" s="2" t="s">
        <v>869</v>
      </c>
      <c r="R184" s="2" t="s">
        <v>867</v>
      </c>
      <c r="S184" s="2" t="s">
        <v>129</v>
      </c>
      <c r="T184" s="54" t="s">
        <v>868</v>
      </c>
      <c r="U184" s="2"/>
      <c r="V184" s="2" t="s">
        <v>870</v>
      </c>
    </row>
    <row r="185">
      <c r="J185" s="78" t="s">
        <v>871</v>
      </c>
      <c r="K185" s="78" t="s">
        <v>129</v>
      </c>
      <c r="L185" s="78"/>
      <c r="M185" s="78" t="s">
        <v>147</v>
      </c>
      <c r="N185" s="79" t="s">
        <v>872</v>
      </c>
      <c r="O185" s="79"/>
      <c r="P185" s="79"/>
      <c r="Q185" s="79"/>
      <c r="R185" s="78" t="s">
        <v>871</v>
      </c>
      <c r="S185" s="78" t="s">
        <v>129</v>
      </c>
      <c r="T185" s="78"/>
      <c r="U185" s="78"/>
      <c r="V185" s="36" t="s">
        <v>873</v>
      </c>
    </row>
    <row r="186">
      <c r="J186" s="78" t="s">
        <v>874</v>
      </c>
      <c r="K186" s="78" t="s">
        <v>129</v>
      </c>
      <c r="L186" s="80" t="s">
        <v>875</v>
      </c>
      <c r="M186" s="78" t="s">
        <v>147</v>
      </c>
      <c r="N186" s="79" t="s">
        <v>876</v>
      </c>
      <c r="O186" s="79"/>
      <c r="P186" s="79"/>
      <c r="Q186" s="79"/>
      <c r="R186" s="78" t="s">
        <v>874</v>
      </c>
      <c r="S186" s="78" t="s">
        <v>129</v>
      </c>
      <c r="T186" s="80" t="s">
        <v>875</v>
      </c>
      <c r="U186" s="78" t="s">
        <v>147</v>
      </c>
      <c r="V186" s="36" t="s">
        <v>877</v>
      </c>
    </row>
    <row r="187">
      <c r="J187" s="78" t="s">
        <v>878</v>
      </c>
      <c r="K187" s="78" t="s">
        <v>129</v>
      </c>
      <c r="L187" s="80" t="s">
        <v>879</v>
      </c>
      <c r="M187" s="78" t="s">
        <v>147</v>
      </c>
      <c r="N187" s="79" t="s">
        <v>880</v>
      </c>
      <c r="O187" s="79"/>
      <c r="P187" s="79"/>
      <c r="Q187" s="79"/>
      <c r="R187" s="78" t="s">
        <v>878</v>
      </c>
      <c r="S187" s="78" t="s">
        <v>129</v>
      </c>
      <c r="T187" s="80" t="s">
        <v>879</v>
      </c>
      <c r="U187" s="78" t="s">
        <v>147</v>
      </c>
      <c r="V187" s="36" t="s">
        <v>881</v>
      </c>
    </row>
    <row r="188">
      <c r="J188" s="2" t="s">
        <v>882</v>
      </c>
      <c r="K188" s="78" t="s">
        <v>129</v>
      </c>
      <c r="L188" s="52" t="s">
        <v>883</v>
      </c>
      <c r="M188" s="78" t="s">
        <v>147</v>
      </c>
      <c r="N188" s="2" t="s">
        <v>884</v>
      </c>
      <c r="R188" s="2" t="s">
        <v>882</v>
      </c>
      <c r="S188" s="78" t="s">
        <v>129</v>
      </c>
      <c r="T188" s="52" t="s">
        <v>883</v>
      </c>
      <c r="U188" s="78" t="s">
        <v>147</v>
      </c>
      <c r="V188" s="36" t="s">
        <v>885</v>
      </c>
    </row>
    <row r="189">
      <c r="J189" s="78" t="s">
        <v>886</v>
      </c>
      <c r="K189" s="78" t="s">
        <v>129</v>
      </c>
      <c r="L189" s="81" t="s">
        <v>887</v>
      </c>
      <c r="M189" s="78" t="s">
        <v>147</v>
      </c>
      <c r="N189" s="79" t="s">
        <v>888</v>
      </c>
      <c r="R189" s="78" t="s">
        <v>886</v>
      </c>
      <c r="S189" s="78" t="s">
        <v>129</v>
      </c>
      <c r="T189" s="81" t="s">
        <v>889</v>
      </c>
      <c r="U189" s="78" t="s">
        <v>147</v>
      </c>
      <c r="V189" s="82" t="s">
        <v>890</v>
      </c>
    </row>
    <row r="190">
      <c r="J190" s="78" t="s">
        <v>891</v>
      </c>
      <c r="K190" s="78" t="s">
        <v>129</v>
      </c>
      <c r="L190" s="83" t="s">
        <v>892</v>
      </c>
      <c r="M190" s="78" t="s">
        <v>147</v>
      </c>
      <c r="N190" s="79" t="s">
        <v>893</v>
      </c>
      <c r="R190" s="78" t="s">
        <v>891</v>
      </c>
      <c r="S190" s="78" t="s">
        <v>129</v>
      </c>
      <c r="T190" s="80" t="s">
        <v>892</v>
      </c>
      <c r="U190" s="78" t="s">
        <v>147</v>
      </c>
      <c r="V190" s="82" t="s">
        <v>894</v>
      </c>
    </row>
    <row r="191">
      <c r="J191" s="78" t="s">
        <v>895</v>
      </c>
      <c r="K191" s="78" t="s">
        <v>129</v>
      </c>
      <c r="L191" s="80" t="s">
        <v>896</v>
      </c>
      <c r="M191" s="78" t="s">
        <v>147</v>
      </c>
      <c r="N191" s="79" t="s">
        <v>897</v>
      </c>
      <c r="R191" s="78" t="s">
        <v>895</v>
      </c>
      <c r="S191" s="78" t="s">
        <v>129</v>
      </c>
      <c r="T191" s="80" t="s">
        <v>896</v>
      </c>
      <c r="U191" s="78" t="s">
        <v>147</v>
      </c>
      <c r="V191" s="82" t="s">
        <v>898</v>
      </c>
    </row>
    <row r="192">
      <c r="J192" s="78" t="s">
        <v>899</v>
      </c>
      <c r="K192" s="78" t="s">
        <v>129</v>
      </c>
      <c r="L192" s="80" t="s">
        <v>900</v>
      </c>
      <c r="M192" s="78" t="s">
        <v>147</v>
      </c>
      <c r="N192" s="79" t="s">
        <v>901</v>
      </c>
      <c r="R192" s="78" t="s">
        <v>899</v>
      </c>
      <c r="S192" s="78" t="s">
        <v>129</v>
      </c>
      <c r="T192" s="80" t="s">
        <v>900</v>
      </c>
      <c r="U192" s="78" t="s">
        <v>147</v>
      </c>
      <c r="V192" s="82" t="s">
        <v>902</v>
      </c>
    </row>
    <row r="193">
      <c r="J193" s="78" t="s">
        <v>903</v>
      </c>
      <c r="K193" s="78" t="s">
        <v>129</v>
      </c>
      <c r="L193" s="78" t="s">
        <v>904</v>
      </c>
      <c r="M193" s="78" t="s">
        <v>147</v>
      </c>
      <c r="N193" s="79" t="s">
        <v>905</v>
      </c>
      <c r="R193" s="65" t="s">
        <v>903</v>
      </c>
      <c r="S193" s="65" t="s">
        <v>129</v>
      </c>
      <c r="T193" s="84" t="s">
        <v>904</v>
      </c>
      <c r="U193" s="65" t="s">
        <v>147</v>
      </c>
      <c r="V193" s="36" t="s">
        <v>906</v>
      </c>
    </row>
    <row r="194">
      <c r="J194" s="79" t="s">
        <v>907</v>
      </c>
      <c r="K194" s="79" t="s">
        <v>129</v>
      </c>
      <c r="L194" s="79"/>
      <c r="M194" s="79" t="s">
        <v>147</v>
      </c>
      <c r="N194" s="79" t="s">
        <v>908</v>
      </c>
      <c r="R194" t="s">
        <v>907</v>
      </c>
      <c r="S194" t="s">
        <v>129</v>
      </c>
      <c r="T194" s="85"/>
      <c r="U194" t="s">
        <v>147</v>
      </c>
      <c r="V194" s="36" t="s">
        <v>909</v>
      </c>
    </row>
    <row r="195">
      <c r="J195" s="79" t="s">
        <v>910</v>
      </c>
      <c r="K195" s="79" t="s">
        <v>129</v>
      </c>
      <c r="L195" s="79" t="s">
        <v>911</v>
      </c>
      <c r="M195" s="79" t="s">
        <v>147</v>
      </c>
      <c r="N195" s="79" t="s">
        <v>912</v>
      </c>
      <c r="R195" t="s">
        <v>910</v>
      </c>
      <c r="S195" t="s">
        <v>129</v>
      </c>
      <c r="T195" s="85" t="s">
        <v>911</v>
      </c>
      <c r="U195" t="s">
        <v>147</v>
      </c>
      <c r="V195" s="36" t="s">
        <v>913</v>
      </c>
    </row>
    <row r="196">
      <c r="J196" s="2" t="s">
        <v>914</v>
      </c>
      <c r="K196" s="79" t="s">
        <v>129</v>
      </c>
      <c r="M196" s="79" t="s">
        <v>147</v>
      </c>
      <c r="N196" s="2" t="s">
        <v>915</v>
      </c>
      <c r="R196" s="2" t="s">
        <v>914</v>
      </c>
      <c r="S196" t="s">
        <v>129</v>
      </c>
      <c r="T196" s="85"/>
      <c r="U196" t="s">
        <v>147</v>
      </c>
      <c r="V196" s="36" t="s">
        <v>916</v>
      </c>
    </row>
    <row r="197">
      <c r="J197" s="2" t="s">
        <v>773</v>
      </c>
      <c r="K197" s="79" t="s">
        <v>129</v>
      </c>
      <c r="L197" s="34" t="s">
        <v>917</v>
      </c>
      <c r="M197" s="79" t="s">
        <v>147</v>
      </c>
      <c r="N197" s="2" t="s">
        <v>918</v>
      </c>
      <c r="R197" s="2" t="s">
        <v>773</v>
      </c>
      <c r="S197" t="s">
        <v>129</v>
      </c>
      <c r="T197" s="36" t="s">
        <v>917</v>
      </c>
      <c r="U197" t="s">
        <v>147</v>
      </c>
      <c r="V197" s="36" t="s">
        <v>919</v>
      </c>
    </row>
    <row r="198">
      <c r="J198" s="2" t="s">
        <v>920</v>
      </c>
      <c r="K198" s="79" t="s">
        <v>129</v>
      </c>
      <c r="L198" s="34" t="s">
        <v>921</v>
      </c>
      <c r="M198" s="79" t="s">
        <v>147</v>
      </c>
      <c r="N198" s="2" t="s">
        <v>922</v>
      </c>
      <c r="R198" s="2" t="s">
        <v>920</v>
      </c>
      <c r="S198" t="s">
        <v>129</v>
      </c>
      <c r="T198" s="36" t="s">
        <v>921</v>
      </c>
      <c r="U198" t="s">
        <v>147</v>
      </c>
      <c r="V198" s="36" t="s">
        <v>923</v>
      </c>
    </row>
    <row r="199">
      <c r="J199" s="2" t="s">
        <v>924</v>
      </c>
      <c r="K199" s="79" t="s">
        <v>129</v>
      </c>
      <c r="L199" s="34" t="s">
        <v>925</v>
      </c>
      <c r="M199" s="79" t="s">
        <v>147</v>
      </c>
      <c r="N199" s="2" t="s">
        <v>926</v>
      </c>
      <c r="R199" s="2" t="s">
        <v>924</v>
      </c>
      <c r="S199" t="s">
        <v>129</v>
      </c>
      <c r="T199" s="36" t="s">
        <v>925</v>
      </c>
      <c r="U199" t="s">
        <v>147</v>
      </c>
      <c r="V199" s="36" t="s">
        <v>927</v>
      </c>
    </row>
    <row r="200">
      <c r="J200" s="2" t="s">
        <v>928</v>
      </c>
      <c r="K200" s="79" t="s">
        <v>129</v>
      </c>
      <c r="L200" s="34" t="s">
        <v>929</v>
      </c>
      <c r="M200" s="79" t="s">
        <v>147</v>
      </c>
      <c r="N200" s="2" t="s">
        <v>930</v>
      </c>
      <c r="R200" s="2" t="s">
        <v>928</v>
      </c>
      <c r="S200" t="s">
        <v>129</v>
      </c>
      <c r="T200" s="36" t="s">
        <v>929</v>
      </c>
      <c r="U200" t="s">
        <v>147</v>
      </c>
      <c r="V200" s="36" t="s">
        <v>931</v>
      </c>
    </row>
    <row r="201">
      <c r="J201" s="2" t="s">
        <v>932</v>
      </c>
      <c r="K201" s="79" t="s">
        <v>129</v>
      </c>
      <c r="M201" s="79" t="s">
        <v>147</v>
      </c>
      <c r="N201" s="2" t="s">
        <v>933</v>
      </c>
      <c r="R201" s="2" t="s">
        <v>932</v>
      </c>
      <c r="S201" t="s">
        <v>129</v>
      </c>
      <c r="T201" s="85"/>
      <c r="U201" t="s">
        <v>147</v>
      </c>
      <c r="V201" s="36" t="s">
        <v>934</v>
      </c>
    </row>
    <row r="202">
      <c r="J202" s="2" t="s">
        <v>935</v>
      </c>
      <c r="K202" s="79" t="s">
        <v>129</v>
      </c>
      <c r="L202" s="34" t="s">
        <v>776</v>
      </c>
      <c r="M202" s="79" t="s">
        <v>147</v>
      </c>
      <c r="N202" s="2" t="s">
        <v>936</v>
      </c>
      <c r="R202" s="2" t="s">
        <v>935</v>
      </c>
      <c r="S202" t="s">
        <v>129</v>
      </c>
      <c r="T202" s="36" t="s">
        <v>776</v>
      </c>
      <c r="U202" t="s">
        <v>147</v>
      </c>
      <c r="V202" s="36" t="s">
        <v>937</v>
      </c>
    </row>
    <row r="203">
      <c r="J203" s="2" t="s">
        <v>938</v>
      </c>
      <c r="K203" s="79" t="s">
        <v>129</v>
      </c>
      <c r="L203" s="34" t="s">
        <v>939</v>
      </c>
      <c r="M203" s="79" t="s">
        <v>147</v>
      </c>
      <c r="N203" s="2" t="s">
        <v>940</v>
      </c>
      <c r="R203" s="2" t="s">
        <v>938</v>
      </c>
      <c r="S203" t="s">
        <v>129</v>
      </c>
      <c r="T203" s="36" t="s">
        <v>939</v>
      </c>
      <c r="U203" t="s">
        <v>147</v>
      </c>
      <c r="V203" s="36" t="s">
        <v>941</v>
      </c>
    </row>
    <row r="204">
      <c r="J204" s="2" t="s">
        <v>942</v>
      </c>
      <c r="K204" s="79" t="s">
        <v>129</v>
      </c>
      <c r="L204" s="34" t="s">
        <v>943</v>
      </c>
      <c r="M204" s="79" t="s">
        <v>147</v>
      </c>
      <c r="N204" s="2" t="s">
        <v>944</v>
      </c>
      <c r="R204" s="2" t="s">
        <v>942</v>
      </c>
      <c r="S204" t="s">
        <v>129</v>
      </c>
      <c r="T204" s="36" t="s">
        <v>943</v>
      </c>
      <c r="U204" t="s">
        <v>147</v>
      </c>
      <c r="V204" s="2" t="s">
        <v>945</v>
      </c>
    </row>
    <row r="205">
      <c r="J205" s="2" t="s">
        <v>946</v>
      </c>
      <c r="K205" s="79" t="s">
        <v>129</v>
      </c>
      <c r="L205" s="34" t="s">
        <v>947</v>
      </c>
      <c r="M205" s="79" t="s">
        <v>147</v>
      </c>
      <c r="N205" s="2" t="s">
        <v>948</v>
      </c>
      <c r="R205" s="2" t="s">
        <v>946</v>
      </c>
      <c r="S205" t="s">
        <v>129</v>
      </c>
      <c r="T205" s="36" t="s">
        <v>947</v>
      </c>
      <c r="U205" t="s">
        <v>147</v>
      </c>
      <c r="V205" s="36" t="s">
        <v>949</v>
      </c>
    </row>
    <row r="206">
      <c r="J206" s="2" t="s">
        <v>950</v>
      </c>
      <c r="K206" s="79" t="s">
        <v>129</v>
      </c>
      <c r="L206" s="34" t="s">
        <v>951</v>
      </c>
      <c r="M206" s="79" t="s">
        <v>147</v>
      </c>
      <c r="N206" s="2" t="s">
        <v>952</v>
      </c>
      <c r="R206" s="2" t="s">
        <v>950</v>
      </c>
      <c r="S206" t="s">
        <v>129</v>
      </c>
      <c r="T206" s="36" t="s">
        <v>951</v>
      </c>
      <c r="U206" t="s">
        <v>147</v>
      </c>
      <c r="V206" s="36" t="s">
        <v>953</v>
      </c>
    </row>
    <row r="207">
      <c r="J207" s="2" t="s">
        <v>954</v>
      </c>
      <c r="K207" s="79" t="s">
        <v>129</v>
      </c>
      <c r="M207" s="79" t="s">
        <v>147</v>
      </c>
      <c r="N207" s="2" t="s">
        <v>955</v>
      </c>
      <c r="R207" s="2" t="s">
        <v>954</v>
      </c>
      <c r="S207" t="s">
        <v>129</v>
      </c>
      <c r="T207" s="85"/>
      <c r="U207" t="s">
        <v>147</v>
      </c>
      <c r="V207" s="36" t="s">
        <v>956</v>
      </c>
    </row>
    <row r="208">
      <c r="J208" s="2" t="s">
        <v>957</v>
      </c>
      <c r="K208" s="79" t="s">
        <v>129</v>
      </c>
      <c r="M208" s="79" t="s">
        <v>147</v>
      </c>
      <c r="N208" s="2" t="s">
        <v>958</v>
      </c>
      <c r="R208" s="2" t="s">
        <v>957</v>
      </c>
      <c r="S208" t="s">
        <v>129</v>
      </c>
      <c r="T208" s="85"/>
      <c r="U208" t="s">
        <v>147</v>
      </c>
      <c r="V208" s="36" t="s">
        <v>959</v>
      </c>
    </row>
    <row r="209">
      <c r="J209" s="79" t="s">
        <v>960</v>
      </c>
      <c r="K209" s="79" t="s">
        <v>129</v>
      </c>
      <c r="L209" s="86" t="s">
        <v>961</v>
      </c>
      <c r="M209" s="79" t="s">
        <v>147</v>
      </c>
      <c r="N209" s="82" t="s">
        <v>962</v>
      </c>
      <c r="O209" s="79"/>
      <c r="P209" s="79"/>
      <c r="Q209" s="79"/>
      <c r="R209" s="79" t="s">
        <v>960</v>
      </c>
      <c r="S209" s="79" t="s">
        <v>129</v>
      </c>
      <c r="T209" s="86" t="s">
        <v>961</v>
      </c>
      <c r="U209" s="79" t="s">
        <v>147</v>
      </c>
      <c r="V209" s="85"/>
    </row>
    <row r="210">
      <c r="J210" s="79" t="s">
        <v>963</v>
      </c>
      <c r="K210" s="79" t="s">
        <v>129</v>
      </c>
      <c r="L210" s="86" t="s">
        <v>964</v>
      </c>
      <c r="M210" s="79" t="s">
        <v>147</v>
      </c>
      <c r="N210" s="82" t="s">
        <v>965</v>
      </c>
      <c r="O210" s="79"/>
      <c r="P210" s="79"/>
      <c r="Q210" s="79"/>
      <c r="R210" s="79" t="s">
        <v>963</v>
      </c>
      <c r="S210" s="79" t="s">
        <v>129</v>
      </c>
      <c r="T210" s="86" t="s">
        <v>964</v>
      </c>
      <c r="U210" s="79" t="s">
        <v>147</v>
      </c>
      <c r="V210" s="85"/>
    </row>
    <row r="211">
      <c r="J211" s="79" t="s">
        <v>966</v>
      </c>
      <c r="K211" s="79" t="s">
        <v>129</v>
      </c>
      <c r="L211" s="79"/>
      <c r="M211" s="79" t="s">
        <v>147</v>
      </c>
      <c r="N211" s="82" t="s">
        <v>967</v>
      </c>
      <c r="O211" s="79"/>
      <c r="P211" s="79"/>
      <c r="Q211" s="79"/>
      <c r="R211" s="79" t="s">
        <v>966</v>
      </c>
      <c r="S211" s="79" t="s">
        <v>129</v>
      </c>
      <c r="T211" s="79"/>
      <c r="U211" s="79" t="s">
        <v>147</v>
      </c>
      <c r="V211" s="85"/>
    </row>
    <row r="212">
      <c r="J212" s="78" t="s">
        <v>968</v>
      </c>
      <c r="K212" s="79" t="s">
        <v>129</v>
      </c>
      <c r="L212" s="79"/>
      <c r="M212" s="79" t="s">
        <v>147</v>
      </c>
      <c r="N212" s="79" t="s">
        <v>969</v>
      </c>
      <c r="O212" s="79"/>
      <c r="R212" s="2" t="s">
        <v>968</v>
      </c>
      <c r="S212" s="79" t="s">
        <v>129</v>
      </c>
      <c r="T212" s="85"/>
      <c r="U212" s="79" t="s">
        <v>147</v>
      </c>
      <c r="V212" s="85"/>
    </row>
    <row r="213">
      <c r="J213" s="79" t="s">
        <v>970</v>
      </c>
      <c r="K213" s="79" t="s">
        <v>129</v>
      </c>
      <c r="L213" s="79"/>
      <c r="M213" s="79" t="s">
        <v>147</v>
      </c>
      <c r="N213" s="79" t="s">
        <v>971</v>
      </c>
      <c r="O213" s="79"/>
      <c r="R213" s="79" t="s">
        <v>970</v>
      </c>
      <c r="S213" s="79" t="s">
        <v>129</v>
      </c>
      <c r="T213" s="79"/>
      <c r="U213" s="79" t="s">
        <v>147</v>
      </c>
      <c r="V213" s="85"/>
    </row>
    <row r="214">
      <c r="J214" s="79" t="s">
        <v>972</v>
      </c>
      <c r="K214" s="79" t="s">
        <v>129</v>
      </c>
      <c r="L214" s="86" t="s">
        <v>973</v>
      </c>
      <c r="M214" s="79" t="s">
        <v>147</v>
      </c>
      <c r="N214" s="79" t="s">
        <v>974</v>
      </c>
      <c r="O214" s="79"/>
      <c r="R214" s="79" t="s">
        <v>972</v>
      </c>
      <c r="S214" s="79" t="s">
        <v>129</v>
      </c>
      <c r="T214" s="86" t="s">
        <v>973</v>
      </c>
      <c r="U214" s="79" t="s">
        <v>147</v>
      </c>
      <c r="V214" s="85"/>
    </row>
    <row r="215">
      <c r="J215" s="79" t="s">
        <v>975</v>
      </c>
      <c r="K215" s="79" t="s">
        <v>129</v>
      </c>
      <c r="L215" s="79"/>
      <c r="M215" s="79" t="s">
        <v>147</v>
      </c>
      <c r="N215" s="79" t="s">
        <v>976</v>
      </c>
      <c r="O215" s="79"/>
      <c r="P215" s="79"/>
      <c r="Q215" s="79"/>
      <c r="R215" s="79" t="s">
        <v>975</v>
      </c>
      <c r="S215" s="79" t="s">
        <v>129</v>
      </c>
      <c r="T215" s="79"/>
      <c r="U215" s="79" t="s">
        <v>147</v>
      </c>
      <c r="V215" s="85"/>
    </row>
    <row r="216">
      <c r="J216" s="79" t="s">
        <v>977</v>
      </c>
      <c r="K216" s="79" t="s">
        <v>129</v>
      </c>
      <c r="L216" s="86" t="s">
        <v>978</v>
      </c>
      <c r="M216" s="79" t="s">
        <v>147</v>
      </c>
      <c r="N216" s="79" t="s">
        <v>979</v>
      </c>
      <c r="O216" s="79"/>
      <c r="P216" s="79"/>
      <c r="Q216" s="79"/>
      <c r="R216" s="79" t="s">
        <v>977</v>
      </c>
      <c r="S216" s="79" t="s">
        <v>129</v>
      </c>
      <c r="T216" s="86" t="s">
        <v>978</v>
      </c>
      <c r="U216" s="79" t="s">
        <v>147</v>
      </c>
      <c r="V216" s="85"/>
    </row>
    <row r="217">
      <c r="J217" s="79" t="s">
        <v>980</v>
      </c>
      <c r="K217" s="79" t="s">
        <v>129</v>
      </c>
      <c r="L217" s="79"/>
      <c r="M217" s="79" t="s">
        <v>147</v>
      </c>
      <c r="N217" s="79" t="s">
        <v>981</v>
      </c>
      <c r="O217" s="79"/>
      <c r="P217" s="79"/>
      <c r="Q217" s="79"/>
      <c r="R217" s="79" t="s">
        <v>980</v>
      </c>
      <c r="S217" s="79" t="s">
        <v>129</v>
      </c>
      <c r="T217" s="79"/>
      <c r="U217" s="79" t="s">
        <v>147</v>
      </c>
      <c r="V217" s="79"/>
    </row>
    <row r="218">
      <c r="J218" s="79" t="s">
        <v>982</v>
      </c>
      <c r="K218" s="79" t="s">
        <v>129</v>
      </c>
      <c r="L218" s="86" t="s">
        <v>983</v>
      </c>
      <c r="M218" s="79" t="s">
        <v>147</v>
      </c>
      <c r="N218" s="79" t="s">
        <v>984</v>
      </c>
      <c r="O218" s="79"/>
      <c r="P218" s="79"/>
      <c r="Q218" s="79"/>
      <c r="R218" s="79" t="s">
        <v>982</v>
      </c>
      <c r="S218" s="79" t="s">
        <v>129</v>
      </c>
      <c r="T218" s="86" t="s">
        <v>983</v>
      </c>
      <c r="U218" s="79" t="s">
        <v>147</v>
      </c>
      <c r="V218" s="79"/>
    </row>
    <row r="219">
      <c r="J219" s="79" t="s">
        <v>985</v>
      </c>
      <c r="K219" s="79" t="s">
        <v>129</v>
      </c>
      <c r="L219" s="86" t="s">
        <v>986</v>
      </c>
      <c r="M219" s="79" t="s">
        <v>147</v>
      </c>
      <c r="N219" s="79" t="s">
        <v>987</v>
      </c>
      <c r="R219" s="79" t="s">
        <v>985</v>
      </c>
      <c r="S219" s="79" t="s">
        <v>129</v>
      </c>
      <c r="T219" s="86" t="s">
        <v>986</v>
      </c>
      <c r="U219" s="79" t="s">
        <v>147</v>
      </c>
      <c r="V219" s="79"/>
    </row>
    <row r="220">
      <c r="J220" s="2" t="s">
        <v>988</v>
      </c>
      <c r="K220" s="79" t="s">
        <v>129</v>
      </c>
      <c r="L220" s="52" t="s">
        <v>989</v>
      </c>
      <c r="M220" s="79" t="s">
        <v>147</v>
      </c>
      <c r="N220" s="2" t="s">
        <v>990</v>
      </c>
      <c r="R220" s="2" t="s">
        <v>988</v>
      </c>
      <c r="S220" s="79" t="s">
        <v>129</v>
      </c>
      <c r="T220" s="52" t="s">
        <v>989</v>
      </c>
      <c r="U220" s="79" t="s">
        <v>147</v>
      </c>
      <c r="V220" s="85"/>
    </row>
    <row r="221">
      <c r="J221" s="79" t="s">
        <v>991</v>
      </c>
      <c r="K221" s="79" t="s">
        <v>129</v>
      </c>
      <c r="L221" s="79" t="s">
        <v>992</v>
      </c>
      <c r="M221" s="79" t="s">
        <v>147</v>
      </c>
      <c r="N221" s="79" t="s">
        <v>993</v>
      </c>
      <c r="R221" s="79" t="s">
        <v>991</v>
      </c>
      <c r="S221" s="79" t="s">
        <v>129</v>
      </c>
      <c r="T221" s="79" t="s">
        <v>992</v>
      </c>
      <c r="U221" s="79" t="s">
        <v>147</v>
      </c>
      <c r="V221" s="79"/>
    </row>
    <row r="222">
      <c r="J222" s="79" t="s">
        <v>994</v>
      </c>
      <c r="K222" s="79" t="s">
        <v>129</v>
      </c>
      <c r="L222" s="86" t="s">
        <v>995</v>
      </c>
      <c r="M222" s="79" t="s">
        <v>147</v>
      </c>
      <c r="N222" s="79" t="s">
        <v>996</v>
      </c>
      <c r="R222" s="79" t="s">
        <v>994</v>
      </c>
      <c r="S222" s="79" t="s">
        <v>129</v>
      </c>
      <c r="T222" s="86" t="s">
        <v>995</v>
      </c>
      <c r="U222" s="79" t="s">
        <v>147</v>
      </c>
      <c r="V222" s="79"/>
    </row>
    <row r="223">
      <c r="J223" s="79" t="s">
        <v>997</v>
      </c>
      <c r="K223" s="79" t="s">
        <v>129</v>
      </c>
      <c r="L223" s="79"/>
      <c r="M223" s="79" t="s">
        <v>147</v>
      </c>
      <c r="N223" s="79" t="s">
        <v>998</v>
      </c>
      <c r="R223" s="79" t="s">
        <v>997</v>
      </c>
      <c r="S223" s="79" t="s">
        <v>129</v>
      </c>
      <c r="T223" s="79"/>
      <c r="U223" s="79" t="s">
        <v>147</v>
      </c>
      <c r="V223" s="79"/>
    </row>
    <row r="224">
      <c r="J224" s="30" t="s">
        <v>999</v>
      </c>
      <c r="K224" s="79" t="s">
        <v>129</v>
      </c>
      <c r="L224" s="87" t="s">
        <v>1000</v>
      </c>
      <c r="M224" s="79" t="s">
        <v>147</v>
      </c>
      <c r="N224" s="30" t="s">
        <v>1001</v>
      </c>
      <c r="R224" s="30" t="s">
        <v>999</v>
      </c>
      <c r="S224" s="79" t="s">
        <v>129</v>
      </c>
      <c r="T224" s="87" t="s">
        <v>1000</v>
      </c>
      <c r="U224" s="79" t="s">
        <v>147</v>
      </c>
      <c r="V224" s="30"/>
    </row>
    <row r="225">
      <c r="J225" s="30" t="s">
        <v>1002</v>
      </c>
      <c r="K225" s="79" t="s">
        <v>129</v>
      </c>
      <c r="L225" s="88" t="s">
        <v>1003</v>
      </c>
      <c r="M225" s="79" t="s">
        <v>147</v>
      </c>
      <c r="N225" s="30" t="s">
        <v>1004</v>
      </c>
      <c r="R225" s="30" t="s">
        <v>1002</v>
      </c>
      <c r="S225" s="79" t="s">
        <v>129</v>
      </c>
      <c r="T225" s="88" t="s">
        <v>1003</v>
      </c>
      <c r="U225" s="79" t="s">
        <v>147</v>
      </c>
      <c r="V225" s="30"/>
    </row>
    <row r="226">
      <c r="J226" s="79" t="s">
        <v>1005</v>
      </c>
      <c r="K226" s="79" t="s">
        <v>129</v>
      </c>
      <c r="L226" s="86" t="s">
        <v>1006</v>
      </c>
      <c r="M226" s="79" t="s">
        <v>147</v>
      </c>
      <c r="N226" s="79" t="s">
        <v>1007</v>
      </c>
      <c r="R226" s="79" t="s">
        <v>1005</v>
      </c>
      <c r="S226" s="79" t="s">
        <v>129</v>
      </c>
      <c r="T226" s="86" t="s">
        <v>1006</v>
      </c>
      <c r="U226" s="79" t="s">
        <v>147</v>
      </c>
      <c r="V226" s="79"/>
    </row>
    <row r="227">
      <c r="J227" s="79" t="s">
        <v>1008</v>
      </c>
      <c r="K227" s="79" t="s">
        <v>129</v>
      </c>
      <c r="L227" s="86" t="s">
        <v>1009</v>
      </c>
      <c r="M227" s="79" t="s">
        <v>147</v>
      </c>
      <c r="N227" s="79" t="s">
        <v>1010</v>
      </c>
      <c r="R227" s="79" t="s">
        <v>1008</v>
      </c>
      <c r="S227" s="79" t="s">
        <v>129</v>
      </c>
      <c r="T227" s="86" t="s">
        <v>1009</v>
      </c>
      <c r="U227" s="79" t="s">
        <v>147</v>
      </c>
      <c r="V227" s="79"/>
    </row>
    <row r="228">
      <c r="J228" s="23" t="s">
        <v>1011</v>
      </c>
      <c r="K228" s="79" t="s">
        <v>129</v>
      </c>
      <c r="L228" s="89" t="s">
        <v>1012</v>
      </c>
      <c r="M228" s="23" t="s">
        <v>157</v>
      </c>
      <c r="N228" s="23" t="s">
        <v>1013</v>
      </c>
      <c r="O228" s="30"/>
      <c r="P228" s="30"/>
      <c r="Q228" s="30"/>
      <c r="R228" s="30" t="s">
        <v>1011</v>
      </c>
      <c r="S228" s="79" t="s">
        <v>129</v>
      </c>
      <c r="T228" s="88" t="s">
        <v>1012</v>
      </c>
      <c r="U228" s="30" t="s">
        <v>157</v>
      </c>
      <c r="V228" s="85"/>
    </row>
    <row r="229">
      <c r="J229" s="30" t="s">
        <v>1014</v>
      </c>
      <c r="K229" s="79" t="s">
        <v>129</v>
      </c>
      <c r="L229" s="88" t="s">
        <v>1015</v>
      </c>
      <c r="M229" s="79" t="s">
        <v>147</v>
      </c>
      <c r="N229" s="30" t="s">
        <v>1016</v>
      </c>
      <c r="O229" s="30"/>
      <c r="P229" s="30"/>
      <c r="Q229" s="30"/>
      <c r="R229" s="30" t="s">
        <v>1014</v>
      </c>
      <c r="S229" s="79" t="s">
        <v>129</v>
      </c>
      <c r="T229" s="88" t="s">
        <v>1015</v>
      </c>
      <c r="U229" s="79" t="s">
        <v>147</v>
      </c>
      <c r="V229" s="85"/>
    </row>
    <row r="230">
      <c r="J230" s="30" t="s">
        <v>1017</v>
      </c>
      <c r="K230" s="79" t="s">
        <v>129</v>
      </c>
      <c r="L230" s="88" t="s">
        <v>1018</v>
      </c>
      <c r="M230" s="79" t="s">
        <v>147</v>
      </c>
      <c r="N230" s="30" t="s">
        <v>1019</v>
      </c>
      <c r="R230" s="30" t="s">
        <v>1017</v>
      </c>
      <c r="S230" s="79" t="s">
        <v>129</v>
      </c>
      <c r="T230" s="88" t="s">
        <v>1018</v>
      </c>
      <c r="U230" s="79" t="s">
        <v>147</v>
      </c>
      <c r="V230" s="30"/>
    </row>
    <row r="231">
      <c r="J231" s="30" t="s">
        <v>1020</v>
      </c>
      <c r="K231" s="79" t="s">
        <v>129</v>
      </c>
      <c r="L231" s="88" t="s">
        <v>1021</v>
      </c>
      <c r="M231" s="79" t="s">
        <v>147</v>
      </c>
      <c r="N231" s="30" t="s">
        <v>1022</v>
      </c>
      <c r="R231" s="30" t="s">
        <v>1020</v>
      </c>
      <c r="S231" s="79" t="s">
        <v>129</v>
      </c>
      <c r="T231" s="88" t="s">
        <v>1021</v>
      </c>
      <c r="U231" s="79" t="s">
        <v>147</v>
      </c>
      <c r="V231" s="30"/>
    </row>
    <row r="232">
      <c r="J232" s="30" t="s">
        <v>1023</v>
      </c>
      <c r="K232" s="79" t="s">
        <v>129</v>
      </c>
      <c r="L232" s="88" t="s">
        <v>1024</v>
      </c>
      <c r="M232" s="79" t="s">
        <v>147</v>
      </c>
      <c r="N232" s="30" t="s">
        <v>1025</v>
      </c>
      <c r="R232" s="30" t="s">
        <v>1023</v>
      </c>
      <c r="S232" s="79" t="s">
        <v>129</v>
      </c>
      <c r="T232" s="88" t="s">
        <v>1024</v>
      </c>
      <c r="U232" s="79" t="s">
        <v>147</v>
      </c>
      <c r="V232" s="30"/>
    </row>
    <row r="233">
      <c r="J233" s="30" t="s">
        <v>1026</v>
      </c>
      <c r="K233" s="79" t="s">
        <v>129</v>
      </c>
      <c r="L233" s="88" t="s">
        <v>1027</v>
      </c>
      <c r="M233" s="79" t="s">
        <v>147</v>
      </c>
      <c r="N233" s="30" t="s">
        <v>1028</v>
      </c>
      <c r="O233" s="30"/>
      <c r="P233" s="30"/>
      <c r="Q233" s="30"/>
      <c r="R233" s="30" t="s">
        <v>1026</v>
      </c>
      <c r="S233" s="79" t="s">
        <v>129</v>
      </c>
      <c r="T233" s="88" t="s">
        <v>1027</v>
      </c>
      <c r="U233" s="79" t="s">
        <v>147</v>
      </c>
      <c r="V233" s="85"/>
    </row>
    <row r="234">
      <c r="J234" s="30" t="s">
        <v>1029</v>
      </c>
      <c r="K234" s="79" t="s">
        <v>129</v>
      </c>
      <c r="L234" s="30"/>
      <c r="M234" s="79" t="s">
        <v>147</v>
      </c>
      <c r="N234" s="30" t="s">
        <v>1030</v>
      </c>
      <c r="O234" s="30"/>
      <c r="P234" s="30"/>
      <c r="Q234" s="30"/>
      <c r="R234" s="30" t="s">
        <v>1029</v>
      </c>
      <c r="S234" s="79" t="s">
        <v>129</v>
      </c>
      <c r="T234" s="30"/>
      <c r="U234" s="79" t="s">
        <v>147</v>
      </c>
      <c r="V234" s="85"/>
    </row>
    <row r="235">
      <c r="J235" s="30" t="s">
        <v>1031</v>
      </c>
      <c r="K235" s="79" t="s">
        <v>129</v>
      </c>
      <c r="L235" s="30"/>
      <c r="M235" s="79" t="s">
        <v>147</v>
      </c>
      <c r="N235" s="30" t="s">
        <v>1032</v>
      </c>
      <c r="R235" s="30" t="s">
        <v>1031</v>
      </c>
      <c r="S235" s="79" t="s">
        <v>129</v>
      </c>
      <c r="T235" s="30"/>
      <c r="U235" s="79" t="s">
        <v>147</v>
      </c>
      <c r="V235" s="30"/>
    </row>
    <row r="236">
      <c r="J236" s="30" t="s">
        <v>1033</v>
      </c>
      <c r="K236" s="79" t="s">
        <v>129</v>
      </c>
      <c r="L236" s="88" t="s">
        <v>1034</v>
      </c>
      <c r="M236" s="79" t="s">
        <v>147</v>
      </c>
      <c r="N236" s="30" t="s">
        <v>1035</v>
      </c>
      <c r="R236" s="30" t="s">
        <v>1033</v>
      </c>
      <c r="S236" s="79" t="s">
        <v>129</v>
      </c>
      <c r="T236" s="88" t="s">
        <v>1034</v>
      </c>
      <c r="U236" s="79" t="s">
        <v>147</v>
      </c>
      <c r="V236" s="30"/>
    </row>
    <row r="237">
      <c r="J237" s="25" t="s">
        <v>484</v>
      </c>
      <c r="K237" s="79" t="s">
        <v>129</v>
      </c>
      <c r="L237" s="90" t="s">
        <v>1036</v>
      </c>
      <c r="M237" s="79" t="s">
        <v>147</v>
      </c>
      <c r="N237" s="25" t="s">
        <v>1037</v>
      </c>
      <c r="R237" s="25" t="s">
        <v>484</v>
      </c>
      <c r="S237" s="79" t="s">
        <v>129</v>
      </c>
      <c r="T237" s="90" t="s">
        <v>1036</v>
      </c>
      <c r="U237" s="79" t="s">
        <v>147</v>
      </c>
      <c r="V237" s="85"/>
    </row>
    <row r="238">
      <c r="J238" s="25" t="s">
        <v>1038</v>
      </c>
      <c r="K238" s="79" t="s">
        <v>129</v>
      </c>
      <c r="L238" s="90" t="s">
        <v>1039</v>
      </c>
      <c r="M238" s="79" t="s">
        <v>147</v>
      </c>
      <c r="N238" s="25" t="s">
        <v>1040</v>
      </c>
      <c r="R238" s="25" t="s">
        <v>1038</v>
      </c>
      <c r="S238" s="79" t="s">
        <v>129</v>
      </c>
      <c r="T238" s="90" t="s">
        <v>1039</v>
      </c>
      <c r="U238" s="79" t="s">
        <v>147</v>
      </c>
      <c r="V238" s="85"/>
    </row>
    <row r="239">
      <c r="J239" s="25" t="s">
        <v>1041</v>
      </c>
      <c r="K239" s="79" t="s">
        <v>129</v>
      </c>
      <c r="L239" s="56"/>
      <c r="M239" s="79" t="s">
        <v>147</v>
      </c>
      <c r="N239" s="25" t="s">
        <v>1042</v>
      </c>
      <c r="R239" s="25" t="s">
        <v>1041</v>
      </c>
      <c r="S239" s="79" t="s">
        <v>129</v>
      </c>
      <c r="T239" s="85"/>
      <c r="U239" s="79" t="s">
        <v>147</v>
      </c>
      <c r="V239" s="85"/>
    </row>
    <row r="240">
      <c r="J240" s="23" t="s">
        <v>1043</v>
      </c>
      <c r="K240" s="79" t="s">
        <v>129</v>
      </c>
      <c r="L240" s="90" t="s">
        <v>1044</v>
      </c>
      <c r="M240" s="79" t="s">
        <v>147</v>
      </c>
      <c r="N240" s="23" t="s">
        <v>1045</v>
      </c>
      <c r="O240" s="30"/>
      <c r="P240" s="30"/>
      <c r="Q240" s="30"/>
      <c r="R240" s="30" t="s">
        <v>1043</v>
      </c>
      <c r="S240" s="79" t="s">
        <v>129</v>
      </c>
      <c r="T240" s="91" t="s">
        <v>1044</v>
      </c>
      <c r="U240" s="79" t="s">
        <v>147</v>
      </c>
      <c r="V240" s="85"/>
    </row>
    <row r="241">
      <c r="J241" s="2" t="s">
        <v>1046</v>
      </c>
      <c r="K241" s="79" t="s">
        <v>129</v>
      </c>
      <c r="L241" s="34" t="s">
        <v>1047</v>
      </c>
      <c r="M241" s="79" t="s">
        <v>147</v>
      </c>
      <c r="N241" s="2" t="s">
        <v>1048</v>
      </c>
      <c r="R241" s="2" t="s">
        <v>1046</v>
      </c>
      <c r="S241" s="79" t="s">
        <v>129</v>
      </c>
      <c r="T241" s="34" t="s">
        <v>1047</v>
      </c>
      <c r="U241" s="79" t="s">
        <v>147</v>
      </c>
      <c r="V241" s="85"/>
    </row>
    <row r="242">
      <c r="J242" s="30" t="s">
        <v>1049</v>
      </c>
      <c r="K242" s="79" t="s">
        <v>129</v>
      </c>
      <c r="L242" s="30"/>
      <c r="M242" s="79" t="s">
        <v>147</v>
      </c>
      <c r="N242" s="30" t="s">
        <v>1050</v>
      </c>
      <c r="R242" s="30" t="s">
        <v>1049</v>
      </c>
      <c r="S242" s="79" t="s">
        <v>129</v>
      </c>
      <c r="T242" s="85"/>
      <c r="U242" s="79" t="s">
        <v>147</v>
      </c>
      <c r="V242" s="85"/>
    </row>
    <row r="243">
      <c r="J243" s="30" t="s">
        <v>1051</v>
      </c>
      <c r="K243" s="79" t="s">
        <v>129</v>
      </c>
      <c r="L243" s="30"/>
      <c r="M243" s="79" t="s">
        <v>147</v>
      </c>
      <c r="N243" s="30" t="s">
        <v>1052</v>
      </c>
      <c r="R243" s="30" t="s">
        <v>1051</v>
      </c>
      <c r="S243" s="79" t="s">
        <v>129</v>
      </c>
      <c r="T243" s="85"/>
      <c r="U243" s="79" t="s">
        <v>147</v>
      </c>
      <c r="V243" s="85"/>
    </row>
    <row r="244">
      <c r="J244" s="30" t="s">
        <v>1053</v>
      </c>
      <c r="K244" s="79" t="s">
        <v>129</v>
      </c>
      <c r="L244" s="30"/>
      <c r="M244" s="79" t="s">
        <v>147</v>
      </c>
      <c r="N244" s="30" t="s">
        <v>1054</v>
      </c>
      <c r="R244" s="30" t="s">
        <v>1053</v>
      </c>
      <c r="S244" s="79" t="s">
        <v>129</v>
      </c>
      <c r="T244" s="85"/>
      <c r="U244" s="79" t="s">
        <v>147</v>
      </c>
      <c r="V244" s="85"/>
    </row>
    <row r="245">
      <c r="J245" s="25" t="s">
        <v>1055</v>
      </c>
      <c r="K245" s="79" t="s">
        <v>129</v>
      </c>
      <c r="L245" s="90" t="s">
        <v>1056</v>
      </c>
      <c r="M245" s="79" t="s">
        <v>147</v>
      </c>
      <c r="N245" s="25" t="s">
        <v>1057</v>
      </c>
      <c r="R245" s="2" t="s">
        <v>1055</v>
      </c>
      <c r="S245" s="79" t="s">
        <v>129</v>
      </c>
      <c r="T245" s="90" t="s">
        <v>1056</v>
      </c>
      <c r="U245" s="79" t="s">
        <v>147</v>
      </c>
      <c r="V245" s="85"/>
    </row>
    <row r="246">
      <c r="J246" s="30" t="s">
        <v>1058</v>
      </c>
      <c r="K246" s="79" t="s">
        <v>129</v>
      </c>
      <c r="L246" s="88" t="s">
        <v>1059</v>
      </c>
      <c r="M246" s="79" t="s">
        <v>147</v>
      </c>
      <c r="N246" s="30" t="s">
        <v>1060</v>
      </c>
      <c r="O246" s="30"/>
      <c r="P246" s="30"/>
      <c r="Q246" s="30"/>
      <c r="R246" s="30" t="s">
        <v>1058</v>
      </c>
      <c r="S246" s="79" t="s">
        <v>129</v>
      </c>
      <c r="T246" s="91" t="s">
        <v>1059</v>
      </c>
      <c r="U246" s="79" t="s">
        <v>147</v>
      </c>
      <c r="V246" s="85"/>
    </row>
    <row r="247">
      <c r="J247" s="30" t="s">
        <v>1061</v>
      </c>
      <c r="K247" s="79" t="s">
        <v>129</v>
      </c>
      <c r="L247" s="30"/>
      <c r="M247" s="79" t="s">
        <v>147</v>
      </c>
      <c r="N247" s="30" t="s">
        <v>1062</v>
      </c>
      <c r="O247" s="30"/>
      <c r="P247" s="30"/>
      <c r="Q247" s="30"/>
      <c r="R247" s="30" t="s">
        <v>1061</v>
      </c>
      <c r="S247" s="79" t="s">
        <v>129</v>
      </c>
      <c r="T247" s="30"/>
      <c r="U247" s="79" t="s">
        <v>147</v>
      </c>
      <c r="V247" s="85"/>
    </row>
    <row r="248">
      <c r="J248" s="30" t="s">
        <v>1063</v>
      </c>
      <c r="K248" s="79" t="s">
        <v>129</v>
      </c>
      <c r="L248" s="30"/>
      <c r="M248" s="79" t="s">
        <v>147</v>
      </c>
      <c r="N248" s="30" t="s">
        <v>1064</v>
      </c>
      <c r="O248" s="30"/>
      <c r="P248" s="30"/>
      <c r="Q248" s="30"/>
      <c r="R248" s="30" t="s">
        <v>1063</v>
      </c>
      <c r="S248" s="79" t="s">
        <v>129</v>
      </c>
      <c r="T248" s="30"/>
      <c r="U248" s="79" t="s">
        <v>147</v>
      </c>
      <c r="V248" s="85"/>
    </row>
    <row r="249">
      <c r="J249" s="30" t="s">
        <v>1065</v>
      </c>
      <c r="K249" s="79" t="s">
        <v>129</v>
      </c>
      <c r="L249" s="30"/>
      <c r="M249" s="79" t="s">
        <v>147</v>
      </c>
      <c r="N249" s="30" t="s">
        <v>1066</v>
      </c>
      <c r="O249" s="30"/>
      <c r="P249" s="30"/>
      <c r="Q249" s="30"/>
      <c r="R249" s="30" t="s">
        <v>1065</v>
      </c>
      <c r="S249" s="79" t="s">
        <v>129</v>
      </c>
      <c r="T249" s="30"/>
      <c r="U249" s="79" t="s">
        <v>147</v>
      </c>
      <c r="V249" s="85"/>
    </row>
    <row r="250">
      <c r="J250" s="30" t="s">
        <v>1067</v>
      </c>
      <c r="K250" s="79" t="s">
        <v>129</v>
      </c>
      <c r="L250" s="30"/>
      <c r="M250" s="79" t="s">
        <v>147</v>
      </c>
      <c r="N250" s="30" t="s">
        <v>1068</v>
      </c>
      <c r="O250" s="30"/>
      <c r="P250" s="30"/>
      <c r="Q250" s="30"/>
      <c r="R250" s="30" t="s">
        <v>1067</v>
      </c>
      <c r="S250" s="79" t="s">
        <v>129</v>
      </c>
      <c r="T250" s="30"/>
      <c r="U250" s="79" t="s">
        <v>147</v>
      </c>
      <c r="V250" s="85"/>
    </row>
    <row r="251">
      <c r="J251" s="30" t="s">
        <v>1069</v>
      </c>
      <c r="K251" s="79" t="s">
        <v>129</v>
      </c>
      <c r="L251" s="88" t="s">
        <v>1070</v>
      </c>
      <c r="M251" s="79" t="s">
        <v>147</v>
      </c>
      <c r="N251" s="30" t="s">
        <v>1071</v>
      </c>
      <c r="O251" s="30"/>
      <c r="P251" s="30"/>
      <c r="Q251" s="30"/>
      <c r="R251" s="30" t="s">
        <v>1069</v>
      </c>
      <c r="S251" s="79" t="s">
        <v>129</v>
      </c>
      <c r="T251" s="88" t="s">
        <v>1070</v>
      </c>
      <c r="U251" s="79" t="s">
        <v>147</v>
      </c>
      <c r="V251" s="85"/>
    </row>
    <row r="252">
      <c r="A252" s="30"/>
      <c r="B252" s="30"/>
      <c r="C252" s="30"/>
      <c r="D252" s="30"/>
      <c r="E252" s="30"/>
      <c r="F252" s="30"/>
      <c r="G252" s="30"/>
      <c r="H252" s="30"/>
      <c r="I252" s="30"/>
      <c r="J252" s="30" t="s">
        <v>1072</v>
      </c>
      <c r="K252" s="79" t="s">
        <v>129</v>
      </c>
      <c r="L252" s="88" t="s">
        <v>1073</v>
      </c>
      <c r="M252" s="79" t="s">
        <v>147</v>
      </c>
      <c r="N252" s="30" t="s">
        <v>1074</v>
      </c>
      <c r="O252" s="30"/>
      <c r="R252" s="30" t="s">
        <v>1072</v>
      </c>
      <c r="S252" s="79" t="s">
        <v>129</v>
      </c>
      <c r="T252" s="88" t="s">
        <v>1073</v>
      </c>
      <c r="U252" s="79" t="s">
        <v>147</v>
      </c>
      <c r="V252" s="85"/>
    </row>
    <row r="253">
      <c r="A253" s="30"/>
      <c r="B253" s="30"/>
      <c r="C253" s="30"/>
      <c r="D253" s="30"/>
      <c r="E253" s="30"/>
      <c r="F253" s="30"/>
      <c r="G253" s="30"/>
      <c r="H253" s="30"/>
      <c r="I253" s="30"/>
      <c r="J253" s="30" t="s">
        <v>1075</v>
      </c>
      <c r="K253" s="79" t="s">
        <v>129</v>
      </c>
      <c r="L253" s="88" t="s">
        <v>1076</v>
      </c>
      <c r="M253" s="79" t="s">
        <v>147</v>
      </c>
      <c r="N253" s="30" t="s">
        <v>1077</v>
      </c>
      <c r="O253" s="30"/>
      <c r="R253" s="30" t="s">
        <v>1075</v>
      </c>
      <c r="S253" s="79" t="s">
        <v>129</v>
      </c>
      <c r="T253" s="88" t="s">
        <v>1076</v>
      </c>
      <c r="U253" s="79" t="s">
        <v>147</v>
      </c>
      <c r="V253" s="85"/>
    </row>
    <row r="254">
      <c r="A254" s="30"/>
      <c r="B254" s="30"/>
      <c r="C254" s="30"/>
      <c r="D254" s="30"/>
      <c r="E254" s="30"/>
      <c r="F254" s="30"/>
      <c r="G254" s="30"/>
      <c r="H254" s="30"/>
      <c r="I254" s="30"/>
      <c r="J254" s="30" t="s">
        <v>1078</v>
      </c>
      <c r="K254" s="79" t="s">
        <v>129</v>
      </c>
      <c r="L254" s="88" t="s">
        <v>1079</v>
      </c>
      <c r="M254" s="79" t="s">
        <v>147</v>
      </c>
      <c r="N254" s="30" t="s">
        <v>1080</v>
      </c>
      <c r="O254" s="30"/>
      <c r="R254" s="30" t="s">
        <v>1078</v>
      </c>
      <c r="S254" s="79" t="s">
        <v>129</v>
      </c>
      <c r="T254" s="88" t="s">
        <v>1079</v>
      </c>
      <c r="U254" s="79" t="s">
        <v>147</v>
      </c>
      <c r="V254" s="85"/>
    </row>
    <row r="255">
      <c r="A255" s="30"/>
      <c r="B255" s="30"/>
      <c r="C255" s="30"/>
      <c r="D255" s="30"/>
      <c r="E255" s="30"/>
      <c r="F255" s="30"/>
      <c r="G255" s="30"/>
      <c r="H255" s="30"/>
      <c r="I255" s="30"/>
      <c r="J255" s="30" t="s">
        <v>1081</v>
      </c>
      <c r="K255" s="79" t="s">
        <v>129</v>
      </c>
      <c r="L255" s="30"/>
      <c r="M255" s="79" t="s">
        <v>147</v>
      </c>
      <c r="N255" s="30" t="s">
        <v>1082</v>
      </c>
      <c r="O255" s="30"/>
      <c r="R255" s="30" t="s">
        <v>1081</v>
      </c>
      <c r="S255" s="79" t="s">
        <v>129</v>
      </c>
      <c r="U255" s="79" t="s">
        <v>147</v>
      </c>
      <c r="V255" s="85"/>
    </row>
    <row r="256">
      <c r="A256" s="30"/>
      <c r="B256" s="30"/>
      <c r="C256" s="30"/>
      <c r="D256" s="30"/>
      <c r="E256" s="30"/>
      <c r="F256" s="30"/>
      <c r="G256" s="30"/>
      <c r="H256" s="30"/>
      <c r="I256" s="30"/>
      <c r="J256" s="30" t="s">
        <v>1083</v>
      </c>
      <c r="K256" s="79" t="s">
        <v>129</v>
      </c>
      <c r="L256" s="30"/>
      <c r="M256" s="79" t="s">
        <v>147</v>
      </c>
      <c r="N256" s="30" t="s">
        <v>1084</v>
      </c>
      <c r="O256" s="30"/>
      <c r="R256" s="30" t="s">
        <v>1083</v>
      </c>
      <c r="S256" s="79" t="s">
        <v>129</v>
      </c>
      <c r="T256" s="30"/>
      <c r="U256" s="79" t="s">
        <v>147</v>
      </c>
      <c r="V256" s="85"/>
    </row>
    <row r="257">
      <c r="A257" s="30"/>
      <c r="B257" s="30"/>
      <c r="C257" s="30"/>
      <c r="D257" s="30"/>
      <c r="E257" s="30"/>
      <c r="F257" s="30"/>
      <c r="G257" s="30"/>
      <c r="H257" s="30"/>
      <c r="I257" s="30"/>
      <c r="J257" s="30" t="s">
        <v>1085</v>
      </c>
      <c r="K257" s="79" t="s">
        <v>129</v>
      </c>
      <c r="L257" s="34" t="s">
        <v>1086</v>
      </c>
      <c r="M257" s="79" t="s">
        <v>147</v>
      </c>
      <c r="N257" s="30" t="s">
        <v>1087</v>
      </c>
      <c r="O257" s="30"/>
      <c r="R257" s="30" t="s">
        <v>1085</v>
      </c>
      <c r="S257" s="79" t="s">
        <v>129</v>
      </c>
      <c r="T257" s="88" t="s">
        <v>1086</v>
      </c>
      <c r="U257" s="79" t="s">
        <v>147</v>
      </c>
      <c r="V257" s="85"/>
    </row>
    <row r="258">
      <c r="J258" s="30" t="s">
        <v>1088</v>
      </c>
      <c r="K258" s="79" t="s">
        <v>129</v>
      </c>
      <c r="L258" s="88" t="s">
        <v>1089</v>
      </c>
      <c r="M258" s="79" t="s">
        <v>147</v>
      </c>
      <c r="N258" s="30" t="s">
        <v>1090</v>
      </c>
      <c r="O258" s="30"/>
      <c r="P258" s="30"/>
      <c r="Q258" s="30"/>
      <c r="R258" s="30" t="s">
        <v>1088</v>
      </c>
      <c r="S258" s="79" t="s">
        <v>129</v>
      </c>
      <c r="T258" s="91" t="s">
        <v>1089</v>
      </c>
      <c r="U258" s="79" t="s">
        <v>147</v>
      </c>
      <c r="V258" s="85"/>
    </row>
    <row r="259">
      <c r="J259" s="30" t="s">
        <v>1091</v>
      </c>
      <c r="K259" s="79" t="s">
        <v>129</v>
      </c>
      <c r="L259" s="88" t="s">
        <v>1092</v>
      </c>
      <c r="M259" s="79" t="s">
        <v>147</v>
      </c>
      <c r="N259" s="30" t="s">
        <v>1093</v>
      </c>
      <c r="O259" s="30"/>
      <c r="P259" s="30"/>
      <c r="Q259" s="30"/>
      <c r="R259" s="30" t="s">
        <v>1091</v>
      </c>
      <c r="S259" s="79" t="s">
        <v>129</v>
      </c>
      <c r="T259" s="91" t="s">
        <v>1092</v>
      </c>
      <c r="U259" s="79" t="s">
        <v>147</v>
      </c>
      <c r="V259" s="85"/>
    </row>
    <row r="260">
      <c r="J260" s="25" t="s">
        <v>1094</v>
      </c>
      <c r="K260" s="79" t="s">
        <v>129</v>
      </c>
      <c r="L260" s="88"/>
      <c r="M260" s="79" t="s">
        <v>147</v>
      </c>
      <c r="N260" s="25" t="s">
        <v>1095</v>
      </c>
      <c r="O260" s="30"/>
      <c r="R260" s="2" t="s">
        <v>1094</v>
      </c>
      <c r="S260" s="79" t="s">
        <v>129</v>
      </c>
      <c r="T260" s="85"/>
      <c r="U260" s="79" t="s">
        <v>147</v>
      </c>
      <c r="V260" s="85"/>
    </row>
    <row r="261">
      <c r="J261" s="25" t="s">
        <v>1096</v>
      </c>
      <c r="K261" s="79" t="s">
        <v>129</v>
      </c>
      <c r="L261" s="88"/>
      <c r="M261" s="79" t="s">
        <v>147</v>
      </c>
      <c r="N261" s="2" t="s">
        <v>1097</v>
      </c>
      <c r="R261" s="2" t="s">
        <v>1096</v>
      </c>
      <c r="S261" t="s">
        <v>129</v>
      </c>
      <c r="T261" s="85"/>
      <c r="U261" t="s">
        <v>147</v>
      </c>
      <c r="V261" s="36"/>
    </row>
    <row r="262">
      <c r="J262" s="25" t="s">
        <v>1098</v>
      </c>
      <c r="K262" s="79" t="s">
        <v>129</v>
      </c>
      <c r="L262" s="90" t="s">
        <v>1099</v>
      </c>
      <c r="M262" s="79" t="s">
        <v>147</v>
      </c>
      <c r="N262" s="2" t="s">
        <v>1100</v>
      </c>
      <c r="R262" s="25" t="s">
        <v>1098</v>
      </c>
      <c r="S262" t="s">
        <v>129</v>
      </c>
      <c r="T262" s="90" t="s">
        <v>1099</v>
      </c>
      <c r="U262" t="s">
        <v>147</v>
      </c>
      <c r="V262" s="85"/>
    </row>
    <row r="263">
      <c r="J263" s="25" t="s">
        <v>1101</v>
      </c>
      <c r="K263" s="79" t="s">
        <v>129</v>
      </c>
      <c r="L263" s="90" t="s">
        <v>1102</v>
      </c>
      <c r="M263" s="79" t="s">
        <v>147</v>
      </c>
      <c r="N263" s="2" t="s">
        <v>1103</v>
      </c>
      <c r="R263" s="25" t="s">
        <v>1101</v>
      </c>
      <c r="S263" t="s">
        <v>129</v>
      </c>
      <c r="T263" s="90" t="s">
        <v>1102</v>
      </c>
      <c r="U263" t="s">
        <v>147</v>
      </c>
      <c r="V263" s="85"/>
    </row>
    <row r="264">
      <c r="J264" s="25" t="s">
        <v>1104</v>
      </c>
      <c r="K264" s="79" t="s">
        <v>129</v>
      </c>
      <c r="L264" s="90" t="s">
        <v>1105</v>
      </c>
      <c r="M264" s="79" t="s">
        <v>147</v>
      </c>
      <c r="N264" s="2" t="s">
        <v>1106</v>
      </c>
      <c r="R264" s="25" t="s">
        <v>1104</v>
      </c>
      <c r="S264" t="s">
        <v>129</v>
      </c>
      <c r="T264" s="90" t="s">
        <v>1105</v>
      </c>
      <c r="U264" t="s">
        <v>147</v>
      </c>
      <c r="V264" s="85"/>
    </row>
    <row r="265">
      <c r="J265" s="23" t="s">
        <v>1107</v>
      </c>
      <c r="K265" s="79" t="s">
        <v>129</v>
      </c>
      <c r="L265" s="89" t="s">
        <v>1108</v>
      </c>
      <c r="M265" s="79" t="s">
        <v>147</v>
      </c>
      <c r="N265" s="30" t="s">
        <v>1109</v>
      </c>
      <c r="O265" s="30"/>
      <c r="P265" s="30"/>
      <c r="Q265" s="30"/>
      <c r="R265" s="30" t="s">
        <v>1107</v>
      </c>
      <c r="S265" s="79" t="s">
        <v>129</v>
      </c>
      <c r="T265" s="88" t="s">
        <v>1108</v>
      </c>
      <c r="U265" s="30" t="s">
        <v>147</v>
      </c>
      <c r="V265" s="85"/>
    </row>
    <row r="266">
      <c r="J266" s="23" t="s">
        <v>1110</v>
      </c>
      <c r="K266" s="79" t="s">
        <v>129</v>
      </c>
      <c r="L266" s="89" t="s">
        <v>1111</v>
      </c>
      <c r="M266" s="79" t="s">
        <v>147</v>
      </c>
      <c r="N266" s="30" t="s">
        <v>1112</v>
      </c>
      <c r="O266" s="30"/>
      <c r="P266" s="30"/>
      <c r="Q266" s="30"/>
      <c r="R266" s="30" t="s">
        <v>1110</v>
      </c>
      <c r="S266" s="79" t="s">
        <v>129</v>
      </c>
      <c r="T266" s="88" t="s">
        <v>1111</v>
      </c>
      <c r="U266" s="30" t="s">
        <v>147</v>
      </c>
      <c r="V266" s="85"/>
    </row>
    <row r="267">
      <c r="J267" s="23" t="s">
        <v>1113</v>
      </c>
      <c r="K267" s="79" t="s">
        <v>129</v>
      </c>
      <c r="L267" s="89" t="s">
        <v>1114</v>
      </c>
      <c r="M267" s="79" t="s">
        <v>147</v>
      </c>
      <c r="N267" s="30" t="s">
        <v>1115</v>
      </c>
      <c r="O267" s="30"/>
      <c r="P267" s="30"/>
      <c r="Q267" s="30"/>
      <c r="R267" s="30" t="s">
        <v>1113</v>
      </c>
      <c r="S267" s="79" t="s">
        <v>129</v>
      </c>
      <c r="T267" s="88" t="s">
        <v>1114</v>
      </c>
      <c r="U267" s="30" t="s">
        <v>147</v>
      </c>
      <c r="V267" s="85"/>
    </row>
    <row r="268">
      <c r="J268" s="25" t="s">
        <v>1116</v>
      </c>
      <c r="K268" s="79" t="s">
        <v>129</v>
      </c>
      <c r="L268" s="90" t="s">
        <v>1117</v>
      </c>
      <c r="M268" s="79" t="s">
        <v>147</v>
      </c>
      <c r="N268" s="25" t="s">
        <v>1118</v>
      </c>
      <c r="O268" s="30"/>
      <c r="R268" s="25" t="s">
        <v>1116</v>
      </c>
      <c r="S268" s="79" t="s">
        <v>129</v>
      </c>
      <c r="T268" s="90" t="s">
        <v>1117</v>
      </c>
      <c r="U268" s="30" t="s">
        <v>147</v>
      </c>
      <c r="V268" s="85"/>
    </row>
    <row r="269">
      <c r="J269" s="25" t="s">
        <v>1119</v>
      </c>
      <c r="K269" s="79" t="s">
        <v>129</v>
      </c>
      <c r="L269" s="90" t="s">
        <v>1120</v>
      </c>
      <c r="M269" s="79" t="s">
        <v>147</v>
      </c>
      <c r="N269" s="25" t="s">
        <v>1121</v>
      </c>
      <c r="O269" s="30"/>
      <c r="R269" s="25" t="s">
        <v>1119</v>
      </c>
      <c r="S269" s="79" t="s">
        <v>129</v>
      </c>
      <c r="T269" s="90" t="s">
        <v>1120</v>
      </c>
      <c r="U269" s="30" t="s">
        <v>147</v>
      </c>
      <c r="V269" s="85"/>
    </row>
    <row r="270">
      <c r="J270" s="25" t="s">
        <v>1122</v>
      </c>
      <c r="K270" s="79" t="s">
        <v>129</v>
      </c>
      <c r="L270" s="89"/>
      <c r="M270" s="79" t="s">
        <v>147</v>
      </c>
      <c r="N270" s="25" t="s">
        <v>1123</v>
      </c>
      <c r="O270" s="30"/>
      <c r="R270" s="25" t="s">
        <v>1122</v>
      </c>
      <c r="S270" s="79" t="s">
        <v>129</v>
      </c>
      <c r="T270" s="85"/>
      <c r="U270" s="30" t="s">
        <v>147</v>
      </c>
      <c r="V270" s="85"/>
    </row>
    <row r="271">
      <c r="J271" s="30" t="s">
        <v>1124</v>
      </c>
      <c r="K271" s="79" t="s">
        <v>129</v>
      </c>
      <c r="L271" s="88" t="s">
        <v>1125</v>
      </c>
      <c r="M271" s="79" t="s">
        <v>147</v>
      </c>
      <c r="N271" s="30" t="s">
        <v>1126</v>
      </c>
      <c r="O271" s="30"/>
      <c r="P271" s="30"/>
      <c r="Q271" s="30"/>
      <c r="R271" s="30" t="s">
        <v>1124</v>
      </c>
      <c r="S271" s="79" t="s">
        <v>129</v>
      </c>
      <c r="T271" s="91" t="s">
        <v>1125</v>
      </c>
      <c r="U271" s="30" t="s">
        <v>147</v>
      </c>
      <c r="V271" s="85"/>
    </row>
    <row r="272">
      <c r="J272" s="30" t="s">
        <v>1127</v>
      </c>
      <c r="K272" s="79" t="s">
        <v>129</v>
      </c>
      <c r="L272" s="88" t="s">
        <v>1128</v>
      </c>
      <c r="M272" s="79" t="s">
        <v>147</v>
      </c>
      <c r="N272" s="30" t="s">
        <v>1129</v>
      </c>
      <c r="O272" s="30"/>
      <c r="P272" s="30"/>
      <c r="Q272" s="30"/>
      <c r="R272" s="30" t="s">
        <v>1127</v>
      </c>
      <c r="S272" s="79" t="s">
        <v>129</v>
      </c>
      <c r="T272" s="91" t="s">
        <v>1128</v>
      </c>
      <c r="U272" s="30" t="s">
        <v>147</v>
      </c>
      <c r="V272" s="85"/>
    </row>
    <row r="273">
      <c r="J273" s="30" t="s">
        <v>1130</v>
      </c>
      <c r="K273" s="79" t="s">
        <v>129</v>
      </c>
      <c r="L273" s="88" t="s">
        <v>1131</v>
      </c>
      <c r="M273" s="79" t="s">
        <v>147</v>
      </c>
      <c r="N273" s="30" t="s">
        <v>1132</v>
      </c>
      <c r="O273" s="30"/>
      <c r="P273" s="30"/>
      <c r="Q273" s="30"/>
      <c r="R273" s="30" t="s">
        <v>1130</v>
      </c>
      <c r="S273" s="79" t="s">
        <v>129</v>
      </c>
      <c r="T273" s="91" t="s">
        <v>1131</v>
      </c>
      <c r="U273" s="30" t="s">
        <v>147</v>
      </c>
      <c r="V273" s="30"/>
    </row>
    <row r="274">
      <c r="J274" s="30" t="s">
        <v>1133</v>
      </c>
      <c r="K274" s="79" t="s">
        <v>129</v>
      </c>
      <c r="L274" s="88" t="s">
        <v>1134</v>
      </c>
      <c r="M274" s="79" t="s">
        <v>147</v>
      </c>
      <c r="N274" s="30" t="s">
        <v>1135</v>
      </c>
      <c r="O274" s="30"/>
      <c r="P274" s="30"/>
      <c r="Q274" s="30"/>
      <c r="R274" s="30" t="s">
        <v>1133</v>
      </c>
      <c r="S274" s="79" t="s">
        <v>129</v>
      </c>
      <c r="T274" s="91" t="s">
        <v>1134</v>
      </c>
      <c r="U274" s="30" t="s">
        <v>147</v>
      </c>
      <c r="V274" s="30"/>
    </row>
    <row r="275">
      <c r="J275" s="30" t="s">
        <v>1136</v>
      </c>
      <c r="K275" s="79" t="s">
        <v>129</v>
      </c>
      <c r="L275" s="30"/>
      <c r="M275" s="79" t="s">
        <v>147</v>
      </c>
      <c r="N275" s="30" t="s">
        <v>1137</v>
      </c>
      <c r="O275" s="30"/>
      <c r="P275" s="30"/>
      <c r="Q275" s="30"/>
      <c r="R275" s="30" t="s">
        <v>1136</v>
      </c>
      <c r="S275" s="79" t="s">
        <v>129</v>
      </c>
      <c r="T275" s="30"/>
      <c r="U275" s="30" t="s">
        <v>147</v>
      </c>
      <c r="V275" s="30"/>
    </row>
    <row r="276">
      <c r="J276" s="30" t="s">
        <v>1138</v>
      </c>
      <c r="K276" s="79" t="s">
        <v>129</v>
      </c>
      <c r="L276" s="88" t="s">
        <v>1139</v>
      </c>
      <c r="M276" s="79" t="s">
        <v>147</v>
      </c>
      <c r="N276" s="30" t="s">
        <v>1140</v>
      </c>
      <c r="O276" s="30"/>
      <c r="P276" s="30"/>
      <c r="Q276" s="30"/>
      <c r="R276" s="30" t="s">
        <v>1138</v>
      </c>
      <c r="S276" s="79" t="s">
        <v>129</v>
      </c>
      <c r="T276" s="91" t="s">
        <v>1139</v>
      </c>
      <c r="U276" s="30" t="s">
        <v>147</v>
      </c>
      <c r="V276" s="30"/>
    </row>
    <row r="277">
      <c r="J277" s="25" t="s">
        <v>1141</v>
      </c>
      <c r="K277" s="79" t="s">
        <v>129</v>
      </c>
      <c r="L277" s="88"/>
      <c r="M277" s="79" t="s">
        <v>147</v>
      </c>
      <c r="N277" s="25" t="s">
        <v>1142</v>
      </c>
      <c r="O277" s="30"/>
      <c r="R277" s="25" t="s">
        <v>1141</v>
      </c>
      <c r="S277" s="79" t="s">
        <v>129</v>
      </c>
      <c r="T277" s="85"/>
      <c r="V277" s="85"/>
    </row>
    <row r="278">
      <c r="T278" s="85"/>
      <c r="V278" s="85"/>
    </row>
    <row r="279">
      <c r="T279" s="85"/>
      <c r="V279" s="85"/>
    </row>
    <row r="280">
      <c r="T280" s="85"/>
      <c r="V280" s="85"/>
    </row>
    <row r="281">
      <c r="T281" s="85"/>
      <c r="V281" s="85"/>
    </row>
    <row r="282">
      <c r="T282" s="85"/>
      <c r="V282" s="85"/>
    </row>
    <row r="283">
      <c r="T283" s="85"/>
      <c r="V283" s="85"/>
    </row>
    <row r="284">
      <c r="T284" s="85"/>
      <c r="V284" s="85"/>
    </row>
    <row r="285">
      <c r="T285" s="85"/>
      <c r="V285" s="85"/>
    </row>
    <row r="286">
      <c r="T286" s="85"/>
      <c r="V286" s="85"/>
    </row>
    <row r="287">
      <c r="T287" s="85"/>
      <c r="V287" s="85"/>
    </row>
    <row r="288">
      <c r="T288" s="85"/>
      <c r="V288" s="85"/>
    </row>
    <row r="289">
      <c r="T289" s="85"/>
      <c r="V289" s="85"/>
    </row>
    <row r="290">
      <c r="T290" s="85"/>
      <c r="V290" s="85"/>
    </row>
    <row r="291">
      <c r="T291" s="85"/>
      <c r="V291" s="85"/>
    </row>
    <row r="292">
      <c r="T292" s="85"/>
      <c r="V292" s="85"/>
    </row>
    <row r="293">
      <c r="T293" s="85"/>
      <c r="V293" s="85"/>
    </row>
    <row r="294">
      <c r="T294" s="85"/>
      <c r="V294" s="85"/>
    </row>
    <row r="295">
      <c r="T295" s="85"/>
      <c r="V295" s="85"/>
    </row>
    <row r="296">
      <c r="T296" s="85"/>
      <c r="V296" s="85"/>
    </row>
    <row r="297">
      <c r="T297" s="85"/>
      <c r="V297" s="85"/>
    </row>
    <row r="298">
      <c r="T298" s="85"/>
      <c r="V298" s="85"/>
    </row>
    <row r="299">
      <c r="T299" s="85"/>
      <c r="V299" s="85"/>
    </row>
    <row r="300">
      <c r="T300" s="85"/>
      <c r="V300" s="85"/>
    </row>
    <row r="301">
      <c r="T301" s="85"/>
      <c r="V301" s="85"/>
    </row>
    <row r="302">
      <c r="T302" s="85"/>
      <c r="V302" s="85"/>
    </row>
    <row r="303">
      <c r="T303" s="85"/>
      <c r="V303" s="85"/>
    </row>
    <row r="304">
      <c r="T304" s="85"/>
      <c r="V304" s="85"/>
    </row>
    <row r="305">
      <c r="T305" s="85"/>
      <c r="V305" s="85"/>
    </row>
    <row r="306">
      <c r="T306" s="85"/>
      <c r="V306" s="85"/>
    </row>
    <row r="307">
      <c r="T307" s="85"/>
      <c r="V307" s="85"/>
    </row>
    <row r="308">
      <c r="T308" s="85"/>
      <c r="V308" s="85"/>
    </row>
    <row r="309">
      <c r="T309" s="85"/>
      <c r="V309" s="85"/>
    </row>
    <row r="310">
      <c r="T310" s="85"/>
      <c r="V310" s="85"/>
    </row>
    <row r="311">
      <c r="T311" s="85"/>
      <c r="V311" s="85"/>
    </row>
    <row r="312">
      <c r="T312" s="85"/>
      <c r="V312" s="85"/>
    </row>
    <row r="313">
      <c r="T313" s="85"/>
      <c r="V313" s="85"/>
    </row>
    <row r="314">
      <c r="T314" s="85"/>
      <c r="V314" s="85"/>
    </row>
    <row r="315">
      <c r="T315" s="85"/>
      <c r="V315" s="85"/>
    </row>
    <row r="316">
      <c r="T316" s="85"/>
      <c r="V316" s="85"/>
    </row>
    <row r="317">
      <c r="T317" s="85"/>
      <c r="V317" s="85"/>
    </row>
    <row r="318">
      <c r="T318" s="85"/>
      <c r="V318" s="85"/>
    </row>
    <row r="319">
      <c r="T319" s="85"/>
      <c r="V319" s="85"/>
    </row>
    <row r="320">
      <c r="T320" s="85"/>
      <c r="V320" s="85"/>
    </row>
    <row r="321">
      <c r="T321" s="85"/>
      <c r="V321" s="85"/>
    </row>
    <row r="322">
      <c r="T322" s="85"/>
      <c r="V322" s="85"/>
    </row>
    <row r="323">
      <c r="T323" s="85"/>
      <c r="V323" s="85"/>
    </row>
    <row r="324">
      <c r="T324" s="85"/>
      <c r="V324" s="85"/>
    </row>
    <row r="325">
      <c r="T325" s="85"/>
      <c r="V325" s="85"/>
    </row>
    <row r="326">
      <c r="T326" s="85"/>
      <c r="V326" s="85"/>
    </row>
    <row r="327">
      <c r="T327" s="85"/>
      <c r="V327" s="85"/>
    </row>
    <row r="328">
      <c r="T328" s="85"/>
      <c r="V328" s="85"/>
    </row>
    <row r="329">
      <c r="T329" s="85"/>
      <c r="V329" s="85"/>
    </row>
    <row r="330">
      <c r="T330" s="85"/>
      <c r="V330" s="85"/>
    </row>
    <row r="331">
      <c r="T331" s="85"/>
      <c r="V331" s="85"/>
    </row>
    <row r="332">
      <c r="T332" s="85"/>
      <c r="V332" s="85"/>
    </row>
    <row r="333">
      <c r="T333" s="85"/>
      <c r="V333" s="85"/>
    </row>
    <row r="334">
      <c r="T334" s="85"/>
      <c r="V334" s="85"/>
    </row>
    <row r="335">
      <c r="T335" s="85"/>
      <c r="V335" s="85"/>
    </row>
    <row r="336">
      <c r="T336" s="85"/>
      <c r="V336" s="85"/>
    </row>
    <row r="337">
      <c r="T337" s="85"/>
      <c r="V337" s="85"/>
    </row>
    <row r="338">
      <c r="T338" s="85"/>
      <c r="V338" s="85"/>
    </row>
    <row r="339">
      <c r="T339" s="85"/>
      <c r="V339" s="85"/>
    </row>
    <row r="340">
      <c r="T340" s="85"/>
      <c r="V340" s="85"/>
    </row>
    <row r="341">
      <c r="T341" s="85"/>
      <c r="V341" s="85"/>
    </row>
    <row r="342">
      <c r="T342" s="85"/>
      <c r="V342" s="85"/>
    </row>
    <row r="343">
      <c r="T343" s="85"/>
      <c r="V343" s="85"/>
    </row>
    <row r="344">
      <c r="T344" s="85"/>
      <c r="V344" s="85"/>
    </row>
    <row r="345">
      <c r="T345" s="85"/>
      <c r="V345" s="85"/>
    </row>
    <row r="346">
      <c r="T346" s="85"/>
      <c r="V346" s="85"/>
    </row>
    <row r="347">
      <c r="T347" s="85"/>
      <c r="V347" s="85"/>
    </row>
    <row r="348">
      <c r="T348" s="85"/>
      <c r="V348" s="85"/>
    </row>
    <row r="349">
      <c r="T349" s="85"/>
      <c r="V349" s="85"/>
    </row>
    <row r="350">
      <c r="T350" s="85"/>
      <c r="V350" s="85"/>
    </row>
    <row r="351">
      <c r="T351" s="85"/>
      <c r="V351" s="85"/>
    </row>
    <row r="352">
      <c r="T352" s="85"/>
      <c r="V352" s="85"/>
    </row>
    <row r="353">
      <c r="T353" s="85"/>
      <c r="V353" s="85"/>
    </row>
    <row r="354">
      <c r="T354" s="85"/>
      <c r="V354" s="85"/>
    </row>
    <row r="355">
      <c r="T355" s="85"/>
      <c r="V355" s="85"/>
    </row>
    <row r="356">
      <c r="T356" s="85"/>
      <c r="V356" s="85"/>
    </row>
    <row r="357">
      <c r="T357" s="85"/>
      <c r="V357" s="85"/>
    </row>
    <row r="358">
      <c r="T358" s="85"/>
      <c r="V358" s="85"/>
    </row>
    <row r="359">
      <c r="T359" s="85"/>
      <c r="V359" s="85"/>
    </row>
    <row r="360">
      <c r="T360" s="85"/>
      <c r="V360" s="85"/>
    </row>
    <row r="361">
      <c r="T361" s="85"/>
      <c r="V361" s="85"/>
    </row>
    <row r="362">
      <c r="T362" s="85"/>
      <c r="V362" s="85"/>
    </row>
    <row r="363">
      <c r="T363" s="85"/>
      <c r="V363" s="85"/>
    </row>
    <row r="364">
      <c r="T364" s="85"/>
      <c r="V364" s="85"/>
    </row>
    <row r="365">
      <c r="T365" s="85"/>
      <c r="V365" s="85"/>
    </row>
    <row r="366">
      <c r="T366" s="85"/>
      <c r="V366" s="85"/>
    </row>
    <row r="367">
      <c r="T367" s="85"/>
      <c r="V367" s="85"/>
    </row>
    <row r="368">
      <c r="T368" s="85"/>
      <c r="V368" s="85"/>
    </row>
    <row r="369">
      <c r="T369" s="85"/>
      <c r="V369" s="85"/>
    </row>
    <row r="370">
      <c r="T370" s="85"/>
      <c r="V370" s="85"/>
    </row>
    <row r="371">
      <c r="T371" s="85"/>
      <c r="V371" s="85"/>
    </row>
    <row r="372">
      <c r="T372" s="85"/>
      <c r="V372" s="85"/>
    </row>
    <row r="373">
      <c r="T373" s="85"/>
      <c r="V373" s="85"/>
    </row>
    <row r="374">
      <c r="T374" s="85"/>
      <c r="V374" s="85"/>
    </row>
    <row r="375">
      <c r="T375" s="85"/>
      <c r="V375" s="85"/>
    </row>
    <row r="376">
      <c r="T376" s="85"/>
      <c r="V376" s="85"/>
    </row>
    <row r="377">
      <c r="T377" s="85"/>
      <c r="V377" s="85"/>
    </row>
    <row r="378">
      <c r="T378" s="85"/>
      <c r="V378" s="85"/>
    </row>
    <row r="379">
      <c r="T379" s="85"/>
      <c r="V379" s="85"/>
    </row>
    <row r="380">
      <c r="T380" s="85"/>
      <c r="V380" s="85"/>
    </row>
    <row r="381">
      <c r="T381" s="85"/>
      <c r="V381" s="85"/>
    </row>
    <row r="382">
      <c r="T382" s="85"/>
      <c r="V382" s="85"/>
    </row>
    <row r="383">
      <c r="T383" s="85"/>
      <c r="V383" s="85"/>
    </row>
    <row r="384">
      <c r="T384" s="85"/>
      <c r="V384" s="85"/>
    </row>
    <row r="385">
      <c r="T385" s="85"/>
      <c r="V385" s="85"/>
    </row>
    <row r="386">
      <c r="T386" s="85"/>
      <c r="V386" s="85"/>
    </row>
    <row r="387">
      <c r="T387" s="85"/>
      <c r="V387" s="85"/>
    </row>
    <row r="388">
      <c r="T388" s="85"/>
      <c r="V388" s="85"/>
    </row>
    <row r="389">
      <c r="T389" s="85"/>
      <c r="V389" s="85"/>
    </row>
    <row r="390">
      <c r="T390" s="85"/>
      <c r="V390" s="85"/>
    </row>
    <row r="391">
      <c r="T391" s="85"/>
      <c r="V391" s="85"/>
    </row>
    <row r="392">
      <c r="T392" s="85"/>
      <c r="V392" s="85"/>
    </row>
    <row r="393">
      <c r="T393" s="85"/>
      <c r="V393" s="85"/>
    </row>
    <row r="394">
      <c r="T394" s="85"/>
      <c r="V394" s="85"/>
    </row>
    <row r="395">
      <c r="T395" s="85"/>
      <c r="V395" s="85"/>
    </row>
    <row r="396">
      <c r="T396" s="85"/>
      <c r="V396" s="85"/>
    </row>
    <row r="397">
      <c r="T397" s="85"/>
      <c r="V397" s="85"/>
    </row>
    <row r="398">
      <c r="T398" s="85"/>
      <c r="V398" s="85"/>
    </row>
    <row r="399">
      <c r="T399" s="85"/>
      <c r="V399" s="85"/>
    </row>
    <row r="400">
      <c r="T400" s="85"/>
      <c r="V400" s="85"/>
    </row>
    <row r="401">
      <c r="T401" s="85"/>
      <c r="V401" s="85"/>
    </row>
    <row r="402">
      <c r="T402" s="85"/>
      <c r="V402" s="85"/>
    </row>
    <row r="403">
      <c r="T403" s="85"/>
      <c r="V403" s="85"/>
    </row>
    <row r="404">
      <c r="T404" s="85"/>
      <c r="V404" s="85"/>
    </row>
    <row r="405">
      <c r="T405" s="85"/>
      <c r="V405" s="85"/>
    </row>
    <row r="406">
      <c r="T406" s="85"/>
      <c r="V406" s="85"/>
    </row>
    <row r="407">
      <c r="T407" s="85"/>
      <c r="V407" s="85"/>
    </row>
    <row r="408">
      <c r="T408" s="85"/>
      <c r="V408" s="85"/>
    </row>
    <row r="409">
      <c r="T409" s="85"/>
      <c r="V409" s="85"/>
    </row>
    <row r="410">
      <c r="T410" s="85"/>
      <c r="V410" s="85"/>
    </row>
    <row r="411">
      <c r="T411" s="85"/>
      <c r="V411" s="85"/>
    </row>
    <row r="412">
      <c r="T412" s="85"/>
      <c r="V412" s="85"/>
    </row>
    <row r="413">
      <c r="T413" s="85"/>
      <c r="V413" s="85"/>
    </row>
    <row r="414">
      <c r="T414" s="85"/>
      <c r="V414" s="85"/>
    </row>
    <row r="415">
      <c r="T415" s="85"/>
      <c r="V415" s="85"/>
    </row>
    <row r="416">
      <c r="T416" s="85"/>
      <c r="V416" s="85"/>
    </row>
    <row r="417">
      <c r="T417" s="85"/>
      <c r="V417" s="85"/>
    </row>
    <row r="418">
      <c r="T418" s="85"/>
      <c r="V418" s="85"/>
    </row>
    <row r="419">
      <c r="T419" s="85"/>
      <c r="V419" s="85"/>
    </row>
    <row r="420">
      <c r="T420" s="85"/>
      <c r="V420" s="85"/>
    </row>
    <row r="421">
      <c r="T421" s="85"/>
      <c r="V421" s="85"/>
    </row>
    <row r="422">
      <c r="T422" s="85"/>
      <c r="V422" s="85"/>
    </row>
    <row r="423">
      <c r="T423" s="85"/>
      <c r="V423" s="85"/>
    </row>
    <row r="424">
      <c r="T424" s="85"/>
      <c r="V424" s="85"/>
    </row>
    <row r="425">
      <c r="T425" s="85"/>
      <c r="V425" s="85"/>
    </row>
    <row r="426">
      <c r="T426" s="85"/>
      <c r="V426" s="85"/>
    </row>
    <row r="427">
      <c r="T427" s="85"/>
      <c r="V427" s="85"/>
    </row>
    <row r="428">
      <c r="T428" s="85"/>
      <c r="V428" s="85"/>
    </row>
    <row r="429">
      <c r="T429" s="85"/>
      <c r="V429" s="85"/>
    </row>
    <row r="430">
      <c r="T430" s="85"/>
      <c r="V430" s="85"/>
    </row>
    <row r="431">
      <c r="T431" s="85"/>
      <c r="V431" s="85"/>
    </row>
    <row r="432">
      <c r="T432" s="85"/>
      <c r="V432" s="85"/>
    </row>
    <row r="433">
      <c r="T433" s="85"/>
      <c r="V433" s="85"/>
    </row>
    <row r="434">
      <c r="T434" s="85"/>
      <c r="V434" s="85"/>
    </row>
    <row r="435">
      <c r="T435" s="85"/>
      <c r="V435" s="85"/>
    </row>
    <row r="436">
      <c r="T436" s="85"/>
      <c r="V436" s="85"/>
    </row>
    <row r="437">
      <c r="T437" s="85"/>
      <c r="V437" s="85"/>
    </row>
    <row r="438">
      <c r="T438" s="85"/>
      <c r="V438" s="85"/>
    </row>
    <row r="439">
      <c r="T439" s="85"/>
      <c r="V439" s="85"/>
    </row>
    <row r="440">
      <c r="T440" s="85"/>
      <c r="V440" s="85"/>
    </row>
    <row r="441">
      <c r="T441" s="85"/>
      <c r="V441" s="85"/>
    </row>
    <row r="442">
      <c r="T442" s="85"/>
      <c r="V442" s="85"/>
    </row>
    <row r="443">
      <c r="T443" s="85"/>
      <c r="V443" s="85"/>
    </row>
    <row r="444">
      <c r="T444" s="85"/>
      <c r="V444" s="85"/>
    </row>
    <row r="445">
      <c r="T445" s="85"/>
      <c r="V445" s="85"/>
    </row>
    <row r="446">
      <c r="T446" s="85"/>
      <c r="V446" s="85"/>
    </row>
    <row r="447">
      <c r="T447" s="85"/>
      <c r="V447" s="85"/>
    </row>
    <row r="448">
      <c r="T448" s="85"/>
      <c r="V448" s="85"/>
    </row>
    <row r="449">
      <c r="T449" s="85"/>
      <c r="V449" s="85"/>
    </row>
    <row r="450">
      <c r="T450" s="85"/>
      <c r="V450" s="85"/>
    </row>
    <row r="451">
      <c r="T451" s="85"/>
      <c r="V451" s="85"/>
    </row>
    <row r="452">
      <c r="T452" s="85"/>
      <c r="V452" s="85"/>
    </row>
    <row r="453">
      <c r="T453" s="85"/>
      <c r="V453" s="85"/>
    </row>
    <row r="454">
      <c r="T454" s="85"/>
      <c r="V454" s="85"/>
    </row>
    <row r="455">
      <c r="T455" s="85"/>
      <c r="V455" s="85"/>
    </row>
    <row r="456">
      <c r="T456" s="85"/>
      <c r="V456" s="85"/>
    </row>
    <row r="457">
      <c r="T457" s="85"/>
      <c r="V457" s="85"/>
    </row>
    <row r="458">
      <c r="T458" s="85"/>
      <c r="V458" s="85"/>
    </row>
    <row r="459">
      <c r="T459" s="85"/>
      <c r="V459" s="85"/>
    </row>
    <row r="460">
      <c r="T460" s="85"/>
      <c r="V460" s="85"/>
    </row>
    <row r="461">
      <c r="T461" s="85"/>
      <c r="V461" s="85"/>
    </row>
    <row r="462">
      <c r="T462" s="85"/>
      <c r="V462" s="85"/>
    </row>
    <row r="463">
      <c r="T463" s="85"/>
      <c r="V463" s="85"/>
    </row>
    <row r="464">
      <c r="T464" s="85"/>
      <c r="V464" s="85"/>
    </row>
    <row r="465">
      <c r="T465" s="85"/>
      <c r="V465" s="85"/>
    </row>
    <row r="466">
      <c r="T466" s="85"/>
      <c r="V466" s="85"/>
    </row>
    <row r="467">
      <c r="T467" s="85"/>
      <c r="V467" s="85"/>
    </row>
    <row r="468">
      <c r="T468" s="85"/>
      <c r="V468" s="85"/>
    </row>
    <row r="469">
      <c r="T469" s="85"/>
      <c r="V469" s="85"/>
    </row>
    <row r="470">
      <c r="T470" s="85"/>
      <c r="V470" s="85"/>
    </row>
    <row r="471">
      <c r="T471" s="85"/>
      <c r="V471" s="85"/>
    </row>
    <row r="472">
      <c r="T472" s="85"/>
      <c r="V472" s="85"/>
    </row>
    <row r="473">
      <c r="T473" s="85"/>
      <c r="V473" s="85"/>
    </row>
    <row r="474">
      <c r="T474" s="85"/>
      <c r="V474" s="85"/>
    </row>
    <row r="475">
      <c r="T475" s="85"/>
      <c r="V475" s="85"/>
    </row>
    <row r="476">
      <c r="T476" s="85"/>
      <c r="V476" s="85"/>
    </row>
    <row r="477">
      <c r="T477" s="85"/>
      <c r="V477" s="85"/>
    </row>
    <row r="478">
      <c r="T478" s="85"/>
      <c r="V478" s="85"/>
    </row>
    <row r="479">
      <c r="T479" s="85"/>
      <c r="V479" s="85"/>
    </row>
    <row r="480">
      <c r="T480" s="85"/>
      <c r="V480" s="85"/>
    </row>
    <row r="481">
      <c r="T481" s="85"/>
      <c r="V481" s="85"/>
    </row>
    <row r="482">
      <c r="T482" s="85"/>
      <c r="V482" s="85"/>
    </row>
    <row r="483">
      <c r="T483" s="85"/>
      <c r="V483" s="85"/>
    </row>
    <row r="484">
      <c r="T484" s="85"/>
      <c r="V484" s="85"/>
    </row>
    <row r="485">
      <c r="T485" s="85"/>
      <c r="V485" s="85"/>
    </row>
    <row r="486">
      <c r="T486" s="85"/>
      <c r="V486" s="85"/>
    </row>
    <row r="487">
      <c r="T487" s="85"/>
      <c r="V487" s="85"/>
    </row>
    <row r="488">
      <c r="T488" s="85"/>
      <c r="V488" s="85"/>
    </row>
    <row r="489">
      <c r="T489" s="85"/>
      <c r="V489" s="85"/>
    </row>
    <row r="490">
      <c r="T490" s="85"/>
      <c r="V490" s="85"/>
    </row>
    <row r="491">
      <c r="T491" s="85"/>
      <c r="V491" s="85"/>
    </row>
    <row r="492">
      <c r="T492" s="85"/>
      <c r="V492" s="85"/>
    </row>
    <row r="493">
      <c r="T493" s="85"/>
      <c r="V493" s="85"/>
    </row>
    <row r="494">
      <c r="T494" s="85"/>
      <c r="V494" s="85"/>
    </row>
    <row r="495">
      <c r="T495" s="85"/>
      <c r="V495" s="85"/>
    </row>
    <row r="496">
      <c r="T496" s="85"/>
      <c r="V496" s="85"/>
    </row>
    <row r="497">
      <c r="T497" s="85"/>
      <c r="V497" s="85"/>
    </row>
    <row r="498">
      <c r="T498" s="85"/>
      <c r="V498" s="85"/>
    </row>
    <row r="499">
      <c r="T499" s="85"/>
      <c r="V499" s="85"/>
    </row>
    <row r="500">
      <c r="T500" s="85"/>
      <c r="V500" s="85"/>
    </row>
    <row r="501">
      <c r="T501" s="85"/>
      <c r="V501" s="85"/>
    </row>
    <row r="502">
      <c r="T502" s="85"/>
      <c r="V502" s="85"/>
    </row>
    <row r="503">
      <c r="T503" s="85"/>
      <c r="V503" s="85"/>
    </row>
    <row r="504">
      <c r="T504" s="85"/>
      <c r="V504" s="85"/>
    </row>
    <row r="505">
      <c r="T505" s="85"/>
      <c r="V505" s="85"/>
    </row>
    <row r="506">
      <c r="T506" s="85"/>
      <c r="V506" s="85"/>
    </row>
    <row r="507">
      <c r="T507" s="85"/>
      <c r="V507" s="85"/>
    </row>
    <row r="508">
      <c r="T508" s="85"/>
      <c r="V508" s="85"/>
    </row>
    <row r="509">
      <c r="T509" s="85"/>
      <c r="V509" s="85"/>
    </row>
    <row r="510">
      <c r="T510" s="85"/>
      <c r="V510" s="85"/>
    </row>
    <row r="511">
      <c r="T511" s="85"/>
      <c r="V511" s="85"/>
    </row>
    <row r="512">
      <c r="T512" s="85"/>
      <c r="V512" s="85"/>
    </row>
    <row r="513">
      <c r="T513" s="85"/>
      <c r="V513" s="85"/>
    </row>
    <row r="514">
      <c r="T514" s="85"/>
      <c r="V514" s="85"/>
    </row>
    <row r="515">
      <c r="T515" s="85"/>
      <c r="V515" s="85"/>
    </row>
    <row r="516">
      <c r="T516" s="85"/>
      <c r="V516" s="85"/>
    </row>
    <row r="517">
      <c r="T517" s="85"/>
      <c r="V517" s="85"/>
    </row>
    <row r="518">
      <c r="T518" s="85"/>
      <c r="V518" s="85"/>
    </row>
    <row r="519">
      <c r="T519" s="85"/>
      <c r="V519" s="85"/>
    </row>
    <row r="520">
      <c r="T520" s="85"/>
      <c r="V520" s="85"/>
    </row>
    <row r="521">
      <c r="T521" s="85"/>
      <c r="V521" s="85"/>
    </row>
    <row r="522">
      <c r="T522" s="85"/>
      <c r="V522" s="85"/>
    </row>
    <row r="523">
      <c r="T523" s="85"/>
      <c r="V523" s="85"/>
    </row>
    <row r="524">
      <c r="T524" s="85"/>
      <c r="V524" s="85"/>
    </row>
    <row r="525">
      <c r="T525" s="85"/>
      <c r="V525" s="85"/>
    </row>
    <row r="526">
      <c r="T526" s="85"/>
      <c r="V526" s="85"/>
    </row>
    <row r="527">
      <c r="T527" s="85"/>
      <c r="V527" s="85"/>
    </row>
    <row r="528">
      <c r="T528" s="85"/>
      <c r="V528" s="85"/>
    </row>
    <row r="529">
      <c r="T529" s="85"/>
      <c r="V529" s="85"/>
    </row>
    <row r="530">
      <c r="T530" s="85"/>
      <c r="V530" s="85"/>
    </row>
    <row r="531">
      <c r="T531" s="85"/>
      <c r="V531" s="85"/>
    </row>
    <row r="532">
      <c r="T532" s="85"/>
      <c r="V532" s="85"/>
    </row>
    <row r="533">
      <c r="T533" s="85"/>
      <c r="V533" s="85"/>
    </row>
    <row r="534">
      <c r="T534" s="85"/>
      <c r="V534" s="85"/>
    </row>
    <row r="535">
      <c r="T535" s="85"/>
      <c r="V535" s="85"/>
    </row>
    <row r="536">
      <c r="T536" s="85"/>
      <c r="V536" s="85"/>
    </row>
    <row r="537">
      <c r="T537" s="85"/>
      <c r="V537" s="85"/>
    </row>
    <row r="538">
      <c r="T538" s="85"/>
      <c r="V538" s="85"/>
    </row>
    <row r="539">
      <c r="T539" s="85"/>
      <c r="V539" s="85"/>
    </row>
    <row r="540">
      <c r="T540" s="85"/>
      <c r="V540" s="85"/>
    </row>
    <row r="541">
      <c r="T541" s="85"/>
      <c r="V541" s="85"/>
    </row>
    <row r="542">
      <c r="T542" s="85"/>
      <c r="V542" s="85"/>
    </row>
    <row r="543">
      <c r="T543" s="85"/>
      <c r="V543" s="85"/>
    </row>
    <row r="544">
      <c r="T544" s="85"/>
      <c r="V544" s="85"/>
    </row>
    <row r="545">
      <c r="T545" s="85"/>
      <c r="V545" s="85"/>
    </row>
    <row r="546">
      <c r="T546" s="85"/>
      <c r="V546" s="85"/>
    </row>
    <row r="547">
      <c r="T547" s="85"/>
      <c r="V547" s="85"/>
    </row>
    <row r="548">
      <c r="T548" s="85"/>
      <c r="V548" s="85"/>
    </row>
    <row r="549">
      <c r="T549" s="85"/>
      <c r="V549" s="85"/>
    </row>
    <row r="550">
      <c r="T550" s="85"/>
      <c r="V550" s="85"/>
    </row>
    <row r="551">
      <c r="T551" s="85"/>
      <c r="V551" s="85"/>
    </row>
    <row r="552">
      <c r="T552" s="85"/>
      <c r="V552" s="85"/>
    </row>
    <row r="553">
      <c r="T553" s="85"/>
      <c r="V553" s="85"/>
    </row>
    <row r="554">
      <c r="T554" s="85"/>
      <c r="V554" s="85"/>
    </row>
    <row r="555">
      <c r="T555" s="85"/>
      <c r="V555" s="85"/>
    </row>
    <row r="556">
      <c r="T556" s="85"/>
      <c r="V556" s="85"/>
    </row>
    <row r="557">
      <c r="T557" s="85"/>
      <c r="V557" s="85"/>
    </row>
    <row r="558">
      <c r="T558" s="85"/>
      <c r="V558" s="85"/>
    </row>
    <row r="559">
      <c r="T559" s="85"/>
      <c r="V559" s="85"/>
    </row>
    <row r="560">
      <c r="T560" s="85"/>
      <c r="V560" s="85"/>
    </row>
    <row r="561">
      <c r="T561" s="85"/>
      <c r="V561" s="85"/>
    </row>
    <row r="562">
      <c r="T562" s="85"/>
      <c r="V562" s="85"/>
    </row>
    <row r="563">
      <c r="T563" s="85"/>
      <c r="V563" s="85"/>
    </row>
    <row r="564">
      <c r="T564" s="85"/>
      <c r="V564" s="85"/>
    </row>
    <row r="565">
      <c r="T565" s="85"/>
      <c r="V565" s="85"/>
    </row>
    <row r="566">
      <c r="T566" s="85"/>
      <c r="V566" s="85"/>
    </row>
    <row r="567">
      <c r="T567" s="85"/>
      <c r="V567" s="85"/>
    </row>
    <row r="568">
      <c r="T568" s="85"/>
      <c r="V568" s="85"/>
    </row>
    <row r="569">
      <c r="T569" s="85"/>
      <c r="V569" s="85"/>
    </row>
    <row r="570">
      <c r="T570" s="85"/>
      <c r="V570" s="85"/>
    </row>
    <row r="571">
      <c r="T571" s="85"/>
      <c r="V571" s="85"/>
    </row>
    <row r="572">
      <c r="T572" s="85"/>
      <c r="V572" s="85"/>
    </row>
    <row r="573">
      <c r="T573" s="85"/>
      <c r="V573" s="85"/>
    </row>
    <row r="574">
      <c r="T574" s="85"/>
      <c r="V574" s="85"/>
    </row>
    <row r="575">
      <c r="T575" s="85"/>
      <c r="V575" s="85"/>
    </row>
    <row r="576">
      <c r="T576" s="85"/>
      <c r="V576" s="85"/>
    </row>
    <row r="577">
      <c r="T577" s="85"/>
      <c r="V577" s="85"/>
    </row>
    <row r="578">
      <c r="T578" s="85"/>
      <c r="V578" s="85"/>
    </row>
    <row r="579">
      <c r="T579" s="85"/>
      <c r="V579" s="85"/>
    </row>
    <row r="580">
      <c r="T580" s="85"/>
      <c r="V580" s="85"/>
    </row>
    <row r="581">
      <c r="T581" s="85"/>
      <c r="V581" s="85"/>
    </row>
    <row r="582">
      <c r="T582" s="85"/>
      <c r="V582" s="85"/>
    </row>
    <row r="583">
      <c r="T583" s="85"/>
      <c r="V583" s="85"/>
    </row>
    <row r="584">
      <c r="T584" s="85"/>
      <c r="V584" s="85"/>
    </row>
    <row r="585">
      <c r="T585" s="85"/>
      <c r="V585" s="85"/>
    </row>
    <row r="586">
      <c r="T586" s="85"/>
      <c r="V586" s="85"/>
    </row>
    <row r="587">
      <c r="T587" s="85"/>
      <c r="V587" s="85"/>
    </row>
    <row r="588">
      <c r="T588" s="85"/>
      <c r="V588" s="85"/>
    </row>
    <row r="589">
      <c r="T589" s="85"/>
      <c r="V589" s="85"/>
    </row>
    <row r="590">
      <c r="T590" s="85"/>
      <c r="V590" s="85"/>
    </row>
    <row r="591">
      <c r="T591" s="85"/>
      <c r="V591" s="85"/>
    </row>
    <row r="592">
      <c r="T592" s="85"/>
      <c r="V592" s="85"/>
    </row>
    <row r="593">
      <c r="T593" s="85"/>
      <c r="V593" s="85"/>
    </row>
    <row r="594">
      <c r="T594" s="85"/>
      <c r="V594" s="85"/>
    </row>
    <row r="595">
      <c r="T595" s="85"/>
      <c r="V595" s="85"/>
    </row>
    <row r="596">
      <c r="T596" s="85"/>
      <c r="V596" s="85"/>
    </row>
    <row r="597">
      <c r="T597" s="85"/>
      <c r="V597" s="85"/>
    </row>
    <row r="598">
      <c r="T598" s="85"/>
      <c r="V598" s="85"/>
    </row>
    <row r="599">
      <c r="T599" s="85"/>
      <c r="V599" s="85"/>
    </row>
    <row r="600">
      <c r="T600" s="85"/>
      <c r="V600" s="85"/>
    </row>
    <row r="601">
      <c r="T601" s="85"/>
      <c r="V601" s="85"/>
    </row>
    <row r="602">
      <c r="T602" s="85"/>
      <c r="V602" s="85"/>
    </row>
    <row r="603">
      <c r="T603" s="85"/>
      <c r="V603" s="85"/>
    </row>
    <row r="604">
      <c r="T604" s="85"/>
      <c r="V604" s="85"/>
    </row>
    <row r="605">
      <c r="T605" s="85"/>
      <c r="V605" s="85"/>
    </row>
    <row r="606">
      <c r="T606" s="85"/>
      <c r="V606" s="85"/>
    </row>
    <row r="607">
      <c r="T607" s="85"/>
      <c r="V607" s="85"/>
    </row>
    <row r="608">
      <c r="T608" s="85"/>
      <c r="V608" s="85"/>
    </row>
    <row r="609">
      <c r="T609" s="85"/>
      <c r="V609" s="85"/>
    </row>
    <row r="610">
      <c r="T610" s="85"/>
      <c r="V610" s="85"/>
    </row>
    <row r="611">
      <c r="T611" s="85"/>
      <c r="V611" s="85"/>
    </row>
    <row r="612">
      <c r="T612" s="85"/>
      <c r="V612" s="85"/>
    </row>
    <row r="613">
      <c r="T613" s="85"/>
      <c r="V613" s="85"/>
    </row>
    <row r="614">
      <c r="T614" s="85"/>
      <c r="V614" s="85"/>
    </row>
    <row r="615">
      <c r="T615" s="85"/>
      <c r="V615" s="85"/>
    </row>
    <row r="616">
      <c r="T616" s="85"/>
      <c r="V616" s="85"/>
    </row>
    <row r="617">
      <c r="T617" s="85"/>
      <c r="V617" s="85"/>
    </row>
    <row r="618">
      <c r="T618" s="85"/>
      <c r="V618" s="85"/>
    </row>
    <row r="619">
      <c r="T619" s="85"/>
      <c r="V619" s="85"/>
    </row>
    <row r="620">
      <c r="T620" s="85"/>
      <c r="V620" s="85"/>
    </row>
    <row r="621">
      <c r="T621" s="85"/>
      <c r="V621" s="85"/>
    </row>
    <row r="622">
      <c r="T622" s="85"/>
      <c r="V622" s="85"/>
    </row>
    <row r="623">
      <c r="T623" s="85"/>
      <c r="V623" s="85"/>
    </row>
    <row r="624">
      <c r="T624" s="85"/>
      <c r="V624" s="85"/>
    </row>
    <row r="625">
      <c r="T625" s="85"/>
      <c r="V625" s="85"/>
    </row>
    <row r="626">
      <c r="T626" s="85"/>
      <c r="V626" s="85"/>
    </row>
    <row r="627">
      <c r="T627" s="85"/>
      <c r="V627" s="85"/>
    </row>
    <row r="628">
      <c r="T628" s="85"/>
      <c r="V628" s="85"/>
    </row>
    <row r="629">
      <c r="T629" s="85"/>
      <c r="V629" s="85"/>
    </row>
    <row r="630">
      <c r="T630" s="85"/>
      <c r="V630" s="85"/>
    </row>
    <row r="631">
      <c r="T631" s="85"/>
      <c r="V631" s="85"/>
    </row>
    <row r="632">
      <c r="T632" s="85"/>
      <c r="V632" s="85"/>
    </row>
    <row r="633">
      <c r="T633" s="85"/>
      <c r="V633" s="85"/>
    </row>
    <row r="634">
      <c r="T634" s="85"/>
      <c r="V634" s="85"/>
    </row>
    <row r="635">
      <c r="T635" s="85"/>
      <c r="V635" s="85"/>
    </row>
    <row r="636">
      <c r="T636" s="85"/>
      <c r="V636" s="85"/>
    </row>
    <row r="637">
      <c r="T637" s="85"/>
      <c r="V637" s="85"/>
    </row>
    <row r="638">
      <c r="T638" s="85"/>
      <c r="V638" s="85"/>
    </row>
    <row r="639">
      <c r="T639" s="85"/>
      <c r="V639" s="85"/>
    </row>
    <row r="640">
      <c r="T640" s="85"/>
      <c r="V640" s="85"/>
    </row>
    <row r="641">
      <c r="T641" s="85"/>
      <c r="V641" s="85"/>
    </row>
    <row r="642">
      <c r="T642" s="85"/>
      <c r="V642" s="85"/>
    </row>
    <row r="643">
      <c r="T643" s="85"/>
      <c r="V643" s="85"/>
    </row>
    <row r="644">
      <c r="T644" s="85"/>
      <c r="V644" s="85"/>
    </row>
    <row r="645">
      <c r="T645" s="85"/>
      <c r="V645" s="85"/>
    </row>
    <row r="646">
      <c r="T646" s="85"/>
      <c r="V646" s="85"/>
    </row>
    <row r="647">
      <c r="T647" s="85"/>
      <c r="V647" s="85"/>
    </row>
    <row r="648">
      <c r="T648" s="85"/>
      <c r="V648" s="85"/>
    </row>
    <row r="649">
      <c r="T649" s="85"/>
      <c r="V649" s="85"/>
    </row>
    <row r="650">
      <c r="T650" s="85"/>
      <c r="V650" s="85"/>
    </row>
    <row r="651">
      <c r="T651" s="85"/>
      <c r="V651" s="85"/>
    </row>
    <row r="652">
      <c r="T652" s="85"/>
      <c r="V652" s="85"/>
    </row>
    <row r="653">
      <c r="T653" s="85"/>
      <c r="V653" s="85"/>
    </row>
    <row r="654">
      <c r="T654" s="85"/>
      <c r="V654" s="85"/>
    </row>
    <row r="655">
      <c r="T655" s="85"/>
      <c r="V655" s="85"/>
    </row>
    <row r="656">
      <c r="T656" s="85"/>
      <c r="V656" s="85"/>
    </row>
    <row r="657">
      <c r="T657" s="85"/>
      <c r="V657" s="85"/>
    </row>
    <row r="658">
      <c r="T658" s="85"/>
      <c r="V658" s="85"/>
    </row>
    <row r="659">
      <c r="T659" s="85"/>
      <c r="V659" s="85"/>
    </row>
    <row r="660">
      <c r="T660" s="85"/>
      <c r="V660" s="85"/>
    </row>
    <row r="661">
      <c r="T661" s="85"/>
      <c r="V661" s="85"/>
    </row>
    <row r="662">
      <c r="T662" s="85"/>
      <c r="V662" s="85"/>
    </row>
    <row r="663">
      <c r="T663" s="85"/>
      <c r="V663" s="85"/>
    </row>
    <row r="664">
      <c r="T664" s="85"/>
      <c r="V664" s="85"/>
    </row>
    <row r="665">
      <c r="T665" s="85"/>
      <c r="V665" s="85"/>
    </row>
    <row r="666">
      <c r="T666" s="85"/>
      <c r="V666" s="85"/>
    </row>
    <row r="667">
      <c r="T667" s="85"/>
      <c r="V667" s="85"/>
    </row>
    <row r="668">
      <c r="T668" s="85"/>
      <c r="V668" s="85"/>
    </row>
    <row r="669">
      <c r="T669" s="85"/>
      <c r="V669" s="85"/>
    </row>
    <row r="670">
      <c r="T670" s="85"/>
      <c r="V670" s="85"/>
    </row>
    <row r="671">
      <c r="T671" s="85"/>
      <c r="V671" s="85"/>
    </row>
    <row r="672">
      <c r="T672" s="85"/>
      <c r="V672" s="85"/>
    </row>
    <row r="673">
      <c r="T673" s="85"/>
      <c r="V673" s="85"/>
    </row>
    <row r="674">
      <c r="T674" s="85"/>
      <c r="V674" s="85"/>
    </row>
    <row r="675">
      <c r="T675" s="85"/>
      <c r="V675" s="85"/>
    </row>
    <row r="676">
      <c r="T676" s="85"/>
      <c r="V676" s="85"/>
    </row>
    <row r="677">
      <c r="T677" s="85"/>
      <c r="V677" s="85"/>
    </row>
    <row r="678">
      <c r="T678" s="85"/>
      <c r="V678" s="85"/>
    </row>
    <row r="679">
      <c r="T679" s="85"/>
      <c r="V679" s="85"/>
    </row>
    <row r="680">
      <c r="T680" s="85"/>
      <c r="V680" s="85"/>
    </row>
    <row r="681">
      <c r="T681" s="85"/>
      <c r="V681" s="85"/>
    </row>
    <row r="682">
      <c r="T682" s="85"/>
      <c r="V682" s="85"/>
    </row>
    <row r="683">
      <c r="T683" s="85"/>
      <c r="V683" s="85"/>
    </row>
    <row r="684">
      <c r="T684" s="85"/>
      <c r="V684" s="85"/>
    </row>
    <row r="685">
      <c r="T685" s="85"/>
      <c r="V685" s="85"/>
    </row>
    <row r="686">
      <c r="T686" s="85"/>
      <c r="V686" s="85"/>
    </row>
    <row r="687">
      <c r="T687" s="85"/>
      <c r="V687" s="85"/>
    </row>
    <row r="688">
      <c r="T688" s="85"/>
      <c r="V688" s="85"/>
    </row>
    <row r="689">
      <c r="T689" s="85"/>
      <c r="V689" s="85"/>
    </row>
    <row r="690">
      <c r="T690" s="85"/>
      <c r="V690" s="85"/>
    </row>
    <row r="691">
      <c r="T691" s="85"/>
      <c r="V691" s="85"/>
    </row>
    <row r="692">
      <c r="T692" s="85"/>
      <c r="V692" s="85"/>
    </row>
    <row r="693">
      <c r="T693" s="85"/>
      <c r="V693" s="85"/>
    </row>
    <row r="694">
      <c r="T694" s="85"/>
      <c r="V694" s="85"/>
    </row>
    <row r="695">
      <c r="T695" s="85"/>
      <c r="V695" s="85"/>
    </row>
    <row r="696">
      <c r="T696" s="85"/>
      <c r="V696" s="85"/>
    </row>
    <row r="697">
      <c r="T697" s="85"/>
      <c r="V697" s="85"/>
    </row>
    <row r="698">
      <c r="T698" s="85"/>
      <c r="V698" s="85"/>
    </row>
    <row r="699">
      <c r="T699" s="85"/>
      <c r="V699" s="85"/>
    </row>
    <row r="700">
      <c r="T700" s="85"/>
      <c r="V700" s="85"/>
    </row>
    <row r="701">
      <c r="T701" s="85"/>
      <c r="V701" s="85"/>
    </row>
    <row r="702">
      <c r="T702" s="85"/>
      <c r="V702" s="85"/>
    </row>
    <row r="703">
      <c r="T703" s="85"/>
      <c r="V703" s="85"/>
    </row>
    <row r="704">
      <c r="T704" s="85"/>
      <c r="V704" s="85"/>
    </row>
    <row r="705">
      <c r="T705" s="85"/>
      <c r="V705" s="85"/>
    </row>
    <row r="706">
      <c r="T706" s="85"/>
      <c r="V706" s="85"/>
    </row>
    <row r="707">
      <c r="T707" s="85"/>
      <c r="V707" s="85"/>
    </row>
    <row r="708">
      <c r="T708" s="85"/>
      <c r="V708" s="85"/>
    </row>
    <row r="709">
      <c r="T709" s="85"/>
      <c r="V709" s="85"/>
    </row>
    <row r="710">
      <c r="T710" s="85"/>
      <c r="V710" s="85"/>
    </row>
    <row r="711">
      <c r="T711" s="85"/>
      <c r="V711" s="85"/>
    </row>
    <row r="712">
      <c r="T712" s="85"/>
      <c r="V712" s="85"/>
    </row>
    <row r="713">
      <c r="T713" s="85"/>
      <c r="V713" s="85"/>
    </row>
    <row r="714">
      <c r="T714" s="85"/>
      <c r="V714" s="85"/>
    </row>
    <row r="715">
      <c r="T715" s="85"/>
      <c r="V715" s="85"/>
    </row>
    <row r="716">
      <c r="T716" s="85"/>
      <c r="V716" s="85"/>
    </row>
    <row r="717">
      <c r="T717" s="85"/>
      <c r="V717" s="85"/>
    </row>
    <row r="718">
      <c r="T718" s="85"/>
      <c r="V718" s="85"/>
    </row>
    <row r="719">
      <c r="T719" s="85"/>
      <c r="V719" s="85"/>
    </row>
    <row r="720">
      <c r="T720" s="85"/>
      <c r="V720" s="85"/>
    </row>
    <row r="721">
      <c r="T721" s="85"/>
      <c r="V721" s="85"/>
    </row>
    <row r="722">
      <c r="T722" s="85"/>
      <c r="V722" s="85"/>
    </row>
    <row r="723">
      <c r="T723" s="85"/>
      <c r="V723" s="85"/>
    </row>
    <row r="724">
      <c r="T724" s="85"/>
      <c r="V724" s="85"/>
    </row>
    <row r="725">
      <c r="T725" s="85"/>
      <c r="V725" s="85"/>
    </row>
    <row r="726">
      <c r="T726" s="85"/>
      <c r="V726" s="85"/>
    </row>
    <row r="727">
      <c r="T727" s="85"/>
      <c r="V727" s="85"/>
    </row>
    <row r="728">
      <c r="T728" s="85"/>
      <c r="V728" s="85"/>
    </row>
    <row r="729">
      <c r="T729" s="85"/>
      <c r="V729" s="85"/>
    </row>
    <row r="730">
      <c r="T730" s="85"/>
      <c r="V730" s="85"/>
    </row>
    <row r="731">
      <c r="T731" s="85"/>
      <c r="V731" s="85"/>
    </row>
    <row r="732">
      <c r="T732" s="85"/>
      <c r="V732" s="85"/>
    </row>
    <row r="733">
      <c r="T733" s="85"/>
      <c r="V733" s="85"/>
    </row>
    <row r="734">
      <c r="T734" s="85"/>
      <c r="V734" s="85"/>
    </row>
    <row r="735">
      <c r="T735" s="85"/>
      <c r="V735" s="85"/>
    </row>
    <row r="736">
      <c r="T736" s="85"/>
      <c r="V736" s="85"/>
    </row>
    <row r="737">
      <c r="T737" s="85"/>
      <c r="V737" s="85"/>
    </row>
    <row r="738">
      <c r="T738" s="85"/>
      <c r="V738" s="85"/>
    </row>
    <row r="739">
      <c r="T739" s="85"/>
      <c r="V739" s="85"/>
    </row>
    <row r="740">
      <c r="T740" s="85"/>
      <c r="V740" s="85"/>
    </row>
    <row r="741">
      <c r="T741" s="85"/>
      <c r="V741" s="85"/>
    </row>
    <row r="742">
      <c r="T742" s="85"/>
      <c r="V742" s="85"/>
    </row>
    <row r="743">
      <c r="T743" s="85"/>
      <c r="V743" s="85"/>
    </row>
    <row r="744">
      <c r="T744" s="85"/>
      <c r="V744" s="85"/>
    </row>
    <row r="745">
      <c r="T745" s="85"/>
      <c r="V745" s="85"/>
    </row>
    <row r="746">
      <c r="T746" s="85"/>
      <c r="V746" s="85"/>
    </row>
    <row r="747">
      <c r="T747" s="85"/>
      <c r="V747" s="85"/>
    </row>
    <row r="748">
      <c r="T748" s="85"/>
      <c r="V748" s="85"/>
    </row>
    <row r="749">
      <c r="T749" s="85"/>
      <c r="V749" s="85"/>
    </row>
    <row r="750">
      <c r="T750" s="85"/>
      <c r="V750" s="85"/>
    </row>
    <row r="751">
      <c r="T751" s="85"/>
      <c r="V751" s="85"/>
    </row>
    <row r="752">
      <c r="T752" s="85"/>
      <c r="V752" s="85"/>
    </row>
    <row r="753">
      <c r="T753" s="85"/>
      <c r="V753" s="85"/>
    </row>
    <row r="754">
      <c r="T754" s="85"/>
      <c r="V754" s="85"/>
    </row>
    <row r="755">
      <c r="T755" s="85"/>
      <c r="V755" s="85"/>
    </row>
    <row r="756">
      <c r="T756" s="85"/>
      <c r="V756" s="85"/>
    </row>
    <row r="757">
      <c r="T757" s="85"/>
      <c r="V757" s="85"/>
    </row>
    <row r="758">
      <c r="T758" s="85"/>
      <c r="V758" s="85"/>
    </row>
    <row r="759">
      <c r="T759" s="85"/>
      <c r="V759" s="85"/>
    </row>
    <row r="760">
      <c r="T760" s="85"/>
      <c r="V760" s="85"/>
    </row>
    <row r="761">
      <c r="T761" s="85"/>
      <c r="V761" s="85"/>
    </row>
    <row r="762">
      <c r="T762" s="85"/>
      <c r="V762" s="85"/>
    </row>
    <row r="763">
      <c r="T763" s="85"/>
      <c r="V763" s="85"/>
    </row>
    <row r="764">
      <c r="T764" s="85"/>
      <c r="V764" s="85"/>
    </row>
    <row r="765">
      <c r="T765" s="85"/>
      <c r="V765" s="85"/>
    </row>
    <row r="766">
      <c r="T766" s="85"/>
      <c r="V766" s="85"/>
    </row>
    <row r="767">
      <c r="T767" s="85"/>
      <c r="V767" s="85"/>
    </row>
    <row r="768">
      <c r="T768" s="85"/>
      <c r="V768" s="85"/>
    </row>
    <row r="769">
      <c r="T769" s="85"/>
      <c r="V769" s="85"/>
    </row>
    <row r="770">
      <c r="T770" s="85"/>
      <c r="V770" s="85"/>
    </row>
    <row r="771">
      <c r="T771" s="85"/>
      <c r="V771" s="85"/>
    </row>
    <row r="772">
      <c r="T772" s="85"/>
      <c r="V772" s="85"/>
    </row>
    <row r="773">
      <c r="T773" s="85"/>
      <c r="V773" s="85"/>
    </row>
    <row r="774">
      <c r="T774" s="85"/>
      <c r="V774" s="85"/>
    </row>
    <row r="775">
      <c r="T775" s="85"/>
      <c r="V775" s="85"/>
    </row>
    <row r="776">
      <c r="T776" s="85"/>
      <c r="V776" s="85"/>
    </row>
    <row r="777">
      <c r="T777" s="85"/>
      <c r="V777" s="85"/>
    </row>
    <row r="778">
      <c r="T778" s="85"/>
      <c r="V778" s="85"/>
    </row>
    <row r="779">
      <c r="T779" s="85"/>
      <c r="V779" s="85"/>
    </row>
    <row r="780">
      <c r="T780" s="85"/>
      <c r="V780" s="85"/>
    </row>
    <row r="781">
      <c r="T781" s="85"/>
      <c r="V781" s="85"/>
    </row>
    <row r="782">
      <c r="T782" s="85"/>
      <c r="V782" s="85"/>
    </row>
    <row r="783">
      <c r="T783" s="85"/>
      <c r="V783" s="85"/>
    </row>
    <row r="784">
      <c r="T784" s="85"/>
      <c r="V784" s="85"/>
    </row>
    <row r="785">
      <c r="T785" s="85"/>
      <c r="V785" s="85"/>
    </row>
    <row r="786">
      <c r="T786" s="85"/>
      <c r="V786" s="85"/>
    </row>
    <row r="787">
      <c r="T787" s="85"/>
      <c r="V787" s="85"/>
    </row>
    <row r="788">
      <c r="T788" s="85"/>
      <c r="V788" s="85"/>
    </row>
    <row r="789">
      <c r="T789" s="85"/>
      <c r="V789" s="85"/>
    </row>
    <row r="790">
      <c r="T790" s="85"/>
      <c r="V790" s="85"/>
    </row>
    <row r="791">
      <c r="T791" s="85"/>
      <c r="V791" s="85"/>
    </row>
    <row r="792">
      <c r="T792" s="85"/>
      <c r="V792" s="85"/>
    </row>
    <row r="793">
      <c r="T793" s="85"/>
      <c r="V793" s="85"/>
    </row>
    <row r="794">
      <c r="T794" s="85"/>
      <c r="V794" s="85"/>
    </row>
    <row r="795">
      <c r="T795" s="85"/>
      <c r="V795" s="85"/>
    </row>
    <row r="796">
      <c r="T796" s="85"/>
      <c r="V796" s="85"/>
    </row>
    <row r="797">
      <c r="T797" s="85"/>
      <c r="V797" s="85"/>
    </row>
    <row r="798">
      <c r="T798" s="85"/>
      <c r="V798" s="85"/>
    </row>
    <row r="799">
      <c r="T799" s="85"/>
      <c r="V799" s="85"/>
    </row>
    <row r="800">
      <c r="T800" s="85"/>
      <c r="V800" s="85"/>
    </row>
    <row r="801">
      <c r="T801" s="85"/>
      <c r="V801" s="85"/>
    </row>
    <row r="802">
      <c r="T802" s="85"/>
      <c r="V802" s="85"/>
    </row>
    <row r="803">
      <c r="T803" s="85"/>
      <c r="V803" s="85"/>
    </row>
    <row r="804">
      <c r="T804" s="85"/>
      <c r="V804" s="85"/>
    </row>
    <row r="805">
      <c r="T805" s="85"/>
      <c r="V805" s="85"/>
    </row>
    <row r="806">
      <c r="T806" s="85"/>
      <c r="V806" s="85"/>
    </row>
    <row r="807">
      <c r="T807" s="85"/>
      <c r="V807" s="85"/>
    </row>
    <row r="808">
      <c r="T808" s="85"/>
      <c r="V808" s="85"/>
    </row>
    <row r="809">
      <c r="T809" s="85"/>
      <c r="V809" s="85"/>
    </row>
    <row r="810">
      <c r="T810" s="85"/>
      <c r="V810" s="85"/>
    </row>
    <row r="811">
      <c r="T811" s="85"/>
      <c r="V811" s="85"/>
    </row>
    <row r="812">
      <c r="T812" s="85"/>
      <c r="V812" s="85"/>
    </row>
    <row r="813">
      <c r="T813" s="85"/>
      <c r="V813" s="85"/>
    </row>
    <row r="814">
      <c r="T814" s="85"/>
      <c r="V814" s="85"/>
    </row>
    <row r="815">
      <c r="T815" s="85"/>
      <c r="V815" s="85"/>
    </row>
    <row r="816">
      <c r="T816" s="85"/>
      <c r="V816" s="85"/>
    </row>
    <row r="817">
      <c r="T817" s="85"/>
      <c r="V817" s="85"/>
    </row>
    <row r="818">
      <c r="T818" s="85"/>
      <c r="V818" s="85"/>
    </row>
    <row r="819">
      <c r="T819" s="85"/>
      <c r="V819" s="85"/>
    </row>
    <row r="820">
      <c r="T820" s="85"/>
      <c r="V820" s="85"/>
    </row>
    <row r="821">
      <c r="T821" s="85"/>
      <c r="V821" s="85"/>
    </row>
    <row r="822">
      <c r="T822" s="85"/>
      <c r="V822" s="85"/>
    </row>
    <row r="823">
      <c r="T823" s="85"/>
      <c r="V823" s="85"/>
    </row>
    <row r="824">
      <c r="T824" s="85"/>
      <c r="V824" s="85"/>
    </row>
    <row r="825">
      <c r="T825" s="85"/>
      <c r="V825" s="85"/>
    </row>
    <row r="826">
      <c r="T826" s="85"/>
      <c r="V826" s="85"/>
    </row>
    <row r="827">
      <c r="T827" s="85"/>
      <c r="V827" s="85"/>
    </row>
    <row r="828">
      <c r="T828" s="85"/>
      <c r="V828" s="85"/>
    </row>
    <row r="829">
      <c r="T829" s="85"/>
      <c r="V829" s="85"/>
    </row>
    <row r="830">
      <c r="T830" s="85"/>
      <c r="V830" s="85"/>
    </row>
    <row r="831">
      <c r="T831" s="85"/>
      <c r="V831" s="85"/>
    </row>
    <row r="832">
      <c r="T832" s="85"/>
      <c r="V832" s="85"/>
    </row>
    <row r="833">
      <c r="T833" s="85"/>
      <c r="V833" s="85"/>
    </row>
    <row r="834">
      <c r="T834" s="85"/>
      <c r="V834" s="85"/>
    </row>
    <row r="835">
      <c r="T835" s="85"/>
      <c r="V835" s="85"/>
    </row>
    <row r="836">
      <c r="T836" s="85"/>
      <c r="V836" s="85"/>
    </row>
    <row r="837">
      <c r="T837" s="85"/>
      <c r="V837" s="85"/>
    </row>
    <row r="838">
      <c r="T838" s="85"/>
      <c r="V838" s="85"/>
    </row>
    <row r="839">
      <c r="T839" s="85"/>
      <c r="V839" s="85"/>
    </row>
    <row r="840">
      <c r="T840" s="85"/>
      <c r="V840" s="85"/>
    </row>
    <row r="841">
      <c r="T841" s="85"/>
      <c r="V841" s="85"/>
    </row>
    <row r="842">
      <c r="T842" s="85"/>
      <c r="V842" s="85"/>
    </row>
    <row r="843">
      <c r="T843" s="85"/>
      <c r="V843" s="85"/>
    </row>
    <row r="844">
      <c r="T844" s="85"/>
      <c r="V844" s="85"/>
    </row>
    <row r="845">
      <c r="T845" s="85"/>
      <c r="V845" s="85"/>
    </row>
    <row r="846">
      <c r="T846" s="85"/>
      <c r="V846" s="85"/>
    </row>
    <row r="847">
      <c r="T847" s="85"/>
      <c r="V847" s="85"/>
    </row>
    <row r="848">
      <c r="T848" s="85"/>
      <c r="V848" s="85"/>
    </row>
    <row r="849">
      <c r="T849" s="85"/>
      <c r="V849" s="85"/>
    </row>
    <row r="850">
      <c r="T850" s="85"/>
      <c r="V850" s="85"/>
    </row>
    <row r="851">
      <c r="T851" s="85"/>
      <c r="V851" s="85"/>
    </row>
    <row r="852">
      <c r="T852" s="85"/>
      <c r="V852" s="85"/>
    </row>
    <row r="853">
      <c r="T853" s="85"/>
      <c r="V853" s="85"/>
    </row>
    <row r="854">
      <c r="T854" s="85"/>
      <c r="V854" s="85"/>
    </row>
    <row r="855">
      <c r="T855" s="85"/>
      <c r="V855" s="85"/>
    </row>
    <row r="856">
      <c r="T856" s="85"/>
      <c r="V856" s="85"/>
    </row>
    <row r="857">
      <c r="T857" s="85"/>
      <c r="V857" s="85"/>
    </row>
    <row r="858">
      <c r="T858" s="85"/>
      <c r="V858" s="85"/>
    </row>
    <row r="859">
      <c r="T859" s="85"/>
      <c r="V859" s="85"/>
    </row>
    <row r="860">
      <c r="T860" s="85"/>
      <c r="V860" s="85"/>
    </row>
    <row r="861">
      <c r="T861" s="85"/>
      <c r="V861" s="85"/>
    </row>
    <row r="862">
      <c r="T862" s="85"/>
      <c r="V862" s="85"/>
    </row>
    <row r="863">
      <c r="T863" s="85"/>
      <c r="V863" s="85"/>
    </row>
    <row r="864">
      <c r="T864" s="85"/>
      <c r="V864" s="85"/>
    </row>
    <row r="865">
      <c r="T865" s="85"/>
      <c r="V865" s="85"/>
    </row>
    <row r="866">
      <c r="T866" s="85"/>
      <c r="V866" s="85"/>
    </row>
    <row r="867">
      <c r="T867" s="85"/>
      <c r="V867" s="85"/>
    </row>
    <row r="868">
      <c r="T868" s="85"/>
      <c r="V868" s="85"/>
    </row>
    <row r="869">
      <c r="T869" s="85"/>
      <c r="V869" s="85"/>
    </row>
    <row r="870">
      <c r="T870" s="85"/>
      <c r="V870" s="85"/>
    </row>
    <row r="871">
      <c r="T871" s="85"/>
      <c r="V871" s="85"/>
    </row>
    <row r="872">
      <c r="T872" s="85"/>
      <c r="V872" s="85"/>
    </row>
    <row r="873">
      <c r="T873" s="85"/>
      <c r="V873" s="85"/>
    </row>
    <row r="874">
      <c r="T874" s="85"/>
      <c r="V874" s="85"/>
    </row>
    <row r="875">
      <c r="T875" s="85"/>
      <c r="V875" s="85"/>
    </row>
    <row r="876">
      <c r="T876" s="85"/>
      <c r="V876" s="85"/>
    </row>
    <row r="877">
      <c r="T877" s="85"/>
      <c r="V877" s="85"/>
    </row>
    <row r="878">
      <c r="T878" s="85"/>
      <c r="V878" s="85"/>
    </row>
    <row r="879">
      <c r="T879" s="85"/>
      <c r="V879" s="85"/>
    </row>
    <row r="880">
      <c r="T880" s="85"/>
      <c r="V880" s="85"/>
    </row>
    <row r="881">
      <c r="T881" s="85"/>
      <c r="V881" s="85"/>
    </row>
    <row r="882">
      <c r="T882" s="85"/>
      <c r="V882" s="85"/>
    </row>
    <row r="883">
      <c r="T883" s="85"/>
      <c r="V883" s="85"/>
    </row>
    <row r="884">
      <c r="T884" s="85"/>
      <c r="V884" s="85"/>
    </row>
    <row r="885">
      <c r="T885" s="85"/>
      <c r="V885" s="85"/>
    </row>
    <row r="886">
      <c r="T886" s="85"/>
      <c r="V886" s="85"/>
    </row>
    <row r="887">
      <c r="T887" s="85"/>
      <c r="V887" s="85"/>
    </row>
    <row r="888">
      <c r="T888" s="85"/>
      <c r="V888" s="85"/>
    </row>
    <row r="889">
      <c r="T889" s="85"/>
      <c r="V889" s="85"/>
    </row>
    <row r="890">
      <c r="T890" s="85"/>
      <c r="V890" s="85"/>
    </row>
    <row r="891">
      <c r="T891" s="85"/>
      <c r="V891" s="85"/>
    </row>
    <row r="892">
      <c r="T892" s="85"/>
      <c r="V892" s="85"/>
    </row>
    <row r="893">
      <c r="T893" s="85"/>
      <c r="V893" s="85"/>
    </row>
    <row r="894">
      <c r="T894" s="85"/>
      <c r="V894" s="85"/>
    </row>
    <row r="895">
      <c r="T895" s="85"/>
      <c r="V895" s="85"/>
    </row>
    <row r="896">
      <c r="T896" s="85"/>
      <c r="V896" s="85"/>
    </row>
    <row r="897">
      <c r="T897" s="85"/>
      <c r="V897" s="85"/>
    </row>
    <row r="898">
      <c r="T898" s="85"/>
      <c r="V898" s="85"/>
    </row>
    <row r="899">
      <c r="T899" s="85"/>
      <c r="V899" s="85"/>
    </row>
    <row r="900">
      <c r="T900" s="85"/>
      <c r="V900" s="85"/>
    </row>
    <row r="901">
      <c r="T901" s="85"/>
      <c r="V901" s="85"/>
    </row>
    <row r="902">
      <c r="T902" s="85"/>
      <c r="V902" s="85"/>
    </row>
    <row r="903">
      <c r="T903" s="85"/>
      <c r="V903" s="85"/>
    </row>
    <row r="904">
      <c r="T904" s="85"/>
      <c r="V904" s="85"/>
    </row>
    <row r="905">
      <c r="T905" s="85"/>
      <c r="V905" s="85"/>
    </row>
    <row r="906">
      <c r="T906" s="85"/>
      <c r="V906" s="85"/>
    </row>
    <row r="907">
      <c r="T907" s="85"/>
      <c r="V907" s="85"/>
    </row>
    <row r="908">
      <c r="T908" s="85"/>
      <c r="V908" s="85"/>
    </row>
    <row r="909">
      <c r="T909" s="85"/>
      <c r="V909" s="85"/>
    </row>
    <row r="910">
      <c r="T910" s="85"/>
      <c r="V910" s="85"/>
    </row>
    <row r="911">
      <c r="T911" s="85"/>
      <c r="V911" s="85"/>
    </row>
    <row r="912">
      <c r="T912" s="85"/>
      <c r="V912" s="85"/>
    </row>
    <row r="913">
      <c r="T913" s="85"/>
      <c r="V913" s="85"/>
    </row>
    <row r="914">
      <c r="T914" s="85"/>
      <c r="V914" s="85"/>
    </row>
    <row r="915">
      <c r="T915" s="85"/>
      <c r="V915" s="85"/>
    </row>
    <row r="916">
      <c r="T916" s="85"/>
      <c r="V916" s="85"/>
    </row>
    <row r="917">
      <c r="T917" s="85"/>
      <c r="V917" s="85"/>
    </row>
    <row r="918">
      <c r="T918" s="85"/>
      <c r="V918" s="85"/>
    </row>
    <row r="919">
      <c r="T919" s="85"/>
      <c r="V919" s="85"/>
    </row>
    <row r="920">
      <c r="T920" s="85"/>
      <c r="V920" s="85"/>
    </row>
    <row r="921">
      <c r="T921" s="85"/>
      <c r="V921" s="85"/>
    </row>
    <row r="922">
      <c r="T922" s="85"/>
      <c r="V922" s="85"/>
    </row>
    <row r="923">
      <c r="T923" s="85"/>
      <c r="V923" s="85"/>
    </row>
    <row r="924">
      <c r="T924" s="85"/>
      <c r="V924" s="85"/>
    </row>
    <row r="925">
      <c r="T925" s="85"/>
      <c r="V925" s="85"/>
    </row>
    <row r="926">
      <c r="T926" s="85"/>
      <c r="V926" s="85"/>
    </row>
    <row r="927">
      <c r="T927" s="85"/>
      <c r="V927" s="85"/>
    </row>
    <row r="928">
      <c r="T928" s="85"/>
      <c r="V928" s="85"/>
    </row>
    <row r="929">
      <c r="T929" s="85"/>
      <c r="V929" s="85"/>
    </row>
    <row r="930">
      <c r="T930" s="85"/>
      <c r="V930" s="85"/>
    </row>
    <row r="931">
      <c r="T931" s="85"/>
      <c r="V931" s="85"/>
    </row>
    <row r="932">
      <c r="T932" s="85"/>
      <c r="V932" s="85"/>
    </row>
    <row r="933">
      <c r="T933" s="85"/>
      <c r="V933" s="85"/>
    </row>
    <row r="934">
      <c r="T934" s="85"/>
      <c r="V934" s="85"/>
    </row>
    <row r="935">
      <c r="T935" s="85"/>
      <c r="V935" s="85"/>
    </row>
    <row r="936">
      <c r="T936" s="85"/>
      <c r="V936" s="85"/>
    </row>
    <row r="937">
      <c r="T937" s="85"/>
      <c r="V937" s="85"/>
    </row>
    <row r="938">
      <c r="T938" s="85"/>
      <c r="V938" s="85"/>
    </row>
    <row r="939">
      <c r="T939" s="85"/>
      <c r="V939" s="85"/>
    </row>
    <row r="940">
      <c r="T940" s="85"/>
      <c r="V940" s="85"/>
    </row>
    <row r="941">
      <c r="T941" s="85"/>
      <c r="V941" s="85"/>
    </row>
    <row r="942">
      <c r="T942" s="85"/>
      <c r="V942" s="85"/>
    </row>
    <row r="943">
      <c r="T943" s="85"/>
      <c r="V943" s="85"/>
    </row>
    <row r="944">
      <c r="T944" s="85"/>
      <c r="V944" s="85"/>
    </row>
    <row r="945">
      <c r="T945" s="85"/>
      <c r="V945" s="85"/>
    </row>
    <row r="946">
      <c r="T946" s="85"/>
      <c r="V946" s="85"/>
    </row>
    <row r="947">
      <c r="T947" s="85"/>
      <c r="V947" s="85"/>
    </row>
    <row r="948">
      <c r="T948" s="85"/>
      <c r="V948" s="85"/>
    </row>
    <row r="949">
      <c r="T949" s="85"/>
      <c r="V949" s="85"/>
    </row>
    <row r="950">
      <c r="T950" s="85"/>
      <c r="V950" s="85"/>
    </row>
    <row r="951">
      <c r="T951" s="85"/>
      <c r="V951" s="85"/>
    </row>
    <row r="952">
      <c r="T952" s="85"/>
      <c r="V952" s="85"/>
    </row>
    <row r="953">
      <c r="T953" s="85"/>
      <c r="V953" s="85"/>
    </row>
    <row r="954">
      <c r="T954" s="85"/>
      <c r="V954" s="85"/>
    </row>
    <row r="955">
      <c r="T955" s="85"/>
      <c r="V955" s="85"/>
    </row>
    <row r="956">
      <c r="T956" s="85"/>
      <c r="V956" s="85"/>
    </row>
    <row r="957">
      <c r="T957" s="85"/>
      <c r="V957" s="85"/>
    </row>
    <row r="958">
      <c r="T958" s="85"/>
      <c r="V958" s="85"/>
    </row>
    <row r="959">
      <c r="T959" s="85"/>
      <c r="V959" s="85"/>
    </row>
    <row r="960">
      <c r="T960" s="85"/>
      <c r="V960" s="85"/>
    </row>
    <row r="961">
      <c r="T961" s="85"/>
      <c r="V961" s="85"/>
    </row>
    <row r="962">
      <c r="T962" s="85"/>
      <c r="V962" s="85"/>
    </row>
    <row r="963">
      <c r="T963" s="85"/>
      <c r="V963" s="85"/>
    </row>
    <row r="964">
      <c r="T964" s="85"/>
      <c r="V964" s="85"/>
    </row>
    <row r="965">
      <c r="T965" s="85"/>
      <c r="V965" s="85"/>
    </row>
    <row r="966">
      <c r="T966" s="85"/>
      <c r="V966" s="85"/>
    </row>
    <row r="967">
      <c r="T967" s="85"/>
      <c r="V967" s="85"/>
    </row>
    <row r="968">
      <c r="T968" s="85"/>
      <c r="V968" s="85"/>
    </row>
    <row r="969">
      <c r="T969" s="85"/>
      <c r="V969" s="85"/>
    </row>
    <row r="970">
      <c r="T970" s="85"/>
      <c r="V970" s="85"/>
    </row>
    <row r="971">
      <c r="T971" s="85"/>
      <c r="V971" s="85"/>
    </row>
    <row r="972">
      <c r="T972" s="85"/>
      <c r="V972" s="85"/>
    </row>
    <row r="973">
      <c r="T973" s="85"/>
      <c r="V973" s="85"/>
    </row>
    <row r="974">
      <c r="T974" s="85"/>
      <c r="V974" s="85"/>
    </row>
    <row r="975">
      <c r="T975" s="85"/>
      <c r="V975" s="85"/>
    </row>
    <row r="976">
      <c r="T976" s="85"/>
      <c r="V976" s="85"/>
    </row>
    <row r="977">
      <c r="T977" s="85"/>
      <c r="V977" s="85"/>
    </row>
    <row r="978">
      <c r="T978" s="85"/>
      <c r="V978" s="85"/>
    </row>
    <row r="979">
      <c r="T979" s="85"/>
      <c r="V979" s="85"/>
    </row>
    <row r="980">
      <c r="T980" s="85"/>
      <c r="V980" s="85"/>
    </row>
    <row r="981">
      <c r="T981" s="85"/>
      <c r="V981" s="85"/>
    </row>
    <row r="982">
      <c r="T982" s="85"/>
      <c r="V982" s="85"/>
    </row>
    <row r="983">
      <c r="T983" s="85"/>
      <c r="V983" s="85"/>
    </row>
    <row r="984">
      <c r="T984" s="85"/>
      <c r="V984" s="85"/>
    </row>
    <row r="985">
      <c r="T985" s="85"/>
      <c r="V985" s="85"/>
    </row>
    <row r="986">
      <c r="T986" s="85"/>
      <c r="V986" s="85"/>
    </row>
    <row r="987">
      <c r="T987" s="85"/>
      <c r="V987" s="85"/>
    </row>
    <row r="988">
      <c r="T988" s="85"/>
      <c r="V988" s="85"/>
    </row>
    <row r="989">
      <c r="T989" s="85"/>
      <c r="V989" s="85"/>
    </row>
  </sheetData>
  <autoFilter ref="$A$1:$O$277"/>
  <hyperlinks>
    <hyperlink r:id="rId4" ref="L2"/>
    <hyperlink r:id="rId5" ref="T2"/>
    <hyperlink r:id="rId6" ref="L3"/>
    <hyperlink r:id="rId7" ref="T3"/>
    <hyperlink r:id="rId8" ref="L4"/>
    <hyperlink r:id="rId9" ref="T4"/>
    <hyperlink r:id="rId10" ref="L5"/>
    <hyperlink r:id="rId11" ref="T5"/>
    <hyperlink r:id="rId12" ref="L6"/>
    <hyperlink r:id="rId13" ref="T6"/>
    <hyperlink r:id="rId14" ref="L7"/>
    <hyperlink r:id="rId15" ref="T7"/>
    <hyperlink r:id="rId16" ref="L8"/>
    <hyperlink r:id="rId17" ref="T8"/>
    <hyperlink r:id="rId18" ref="L9"/>
    <hyperlink r:id="rId19" ref="T9"/>
    <hyperlink r:id="rId20" ref="L11"/>
    <hyperlink r:id="rId21" ref="T11"/>
    <hyperlink r:id="rId22" ref="L14"/>
    <hyperlink r:id="rId23" ref="T14"/>
    <hyperlink r:id="rId24" ref="L15"/>
    <hyperlink r:id="rId25" ref="T15"/>
    <hyperlink r:id="rId26" ref="L16"/>
    <hyperlink r:id="rId27" ref="T16"/>
    <hyperlink r:id="rId28" ref="L17"/>
    <hyperlink r:id="rId29" ref="T17"/>
    <hyperlink r:id="rId30" ref="L18"/>
    <hyperlink r:id="rId31" ref="T18"/>
    <hyperlink r:id="rId32" ref="L19"/>
    <hyperlink r:id="rId33" ref="T19"/>
    <hyperlink r:id="rId34" ref="L20"/>
    <hyperlink r:id="rId35" ref="T20"/>
    <hyperlink r:id="rId36" ref="L22"/>
    <hyperlink r:id="rId37" ref="T22"/>
    <hyperlink r:id="rId38" ref="L23"/>
    <hyperlink r:id="rId39" ref="T23"/>
    <hyperlink r:id="rId40" ref="L24"/>
    <hyperlink r:id="rId41" ref="T24"/>
    <hyperlink r:id="rId42" ref="L25"/>
    <hyperlink r:id="rId43" ref="T25"/>
    <hyperlink r:id="rId44" ref="L26"/>
    <hyperlink r:id="rId45" ref="T26"/>
    <hyperlink r:id="rId46" ref="L27"/>
    <hyperlink r:id="rId47" ref="T27"/>
    <hyperlink r:id="rId48" ref="L28"/>
    <hyperlink r:id="rId49" ref="T28"/>
    <hyperlink r:id="rId50" ref="L29"/>
    <hyperlink r:id="rId51" ref="T29"/>
    <hyperlink r:id="rId52" ref="L30"/>
    <hyperlink r:id="rId53" ref="T30"/>
    <hyperlink r:id="rId54" ref="L31"/>
    <hyperlink r:id="rId55" ref="T31"/>
    <hyperlink r:id="rId56" ref="L32"/>
    <hyperlink r:id="rId57" ref="T32"/>
    <hyperlink r:id="rId58" ref="L35"/>
    <hyperlink r:id="rId59" ref="T35"/>
    <hyperlink r:id="rId60" ref="L37"/>
    <hyperlink r:id="rId61" ref="T37"/>
    <hyperlink r:id="rId62" ref="L38"/>
    <hyperlink r:id="rId63" ref="T38"/>
    <hyperlink r:id="rId64" ref="L39"/>
    <hyperlink r:id="rId65" ref="T39"/>
    <hyperlink r:id="rId66" ref="L41"/>
    <hyperlink r:id="rId67" ref="T41"/>
    <hyperlink r:id="rId68" ref="L42"/>
    <hyperlink r:id="rId69" ref="T42"/>
    <hyperlink r:id="rId70" ref="L43"/>
    <hyperlink r:id="rId71" ref="T43"/>
    <hyperlink r:id="rId72" ref="L44"/>
    <hyperlink r:id="rId73" ref="T44"/>
    <hyperlink r:id="rId74" ref="L45"/>
    <hyperlink r:id="rId75" ref="T45"/>
    <hyperlink r:id="rId76" ref="L46"/>
    <hyperlink r:id="rId77" ref="T46"/>
    <hyperlink r:id="rId78" ref="L47"/>
    <hyperlink r:id="rId79" ref="T47"/>
    <hyperlink r:id="rId80" ref="L48"/>
    <hyperlink r:id="rId81" ref="T48"/>
    <hyperlink r:id="rId82" ref="L49"/>
    <hyperlink r:id="rId83" ref="T49"/>
    <hyperlink r:id="rId84" ref="L50"/>
    <hyperlink r:id="rId85" ref="T50"/>
    <hyperlink r:id="rId86" ref="L51"/>
    <hyperlink r:id="rId87" ref="T51"/>
    <hyperlink r:id="rId88" ref="L52"/>
    <hyperlink r:id="rId89" ref="T52"/>
    <hyperlink r:id="rId90" ref="L53"/>
    <hyperlink r:id="rId91" ref="T53"/>
    <hyperlink r:id="rId92" ref="L55"/>
    <hyperlink r:id="rId93" ref="T55"/>
    <hyperlink r:id="rId94" ref="L56"/>
    <hyperlink r:id="rId95" ref="T56"/>
    <hyperlink r:id="rId96" ref="L57"/>
    <hyperlink r:id="rId97" ref="T57"/>
    <hyperlink r:id="rId98" ref="L58"/>
    <hyperlink r:id="rId99" ref="T58"/>
    <hyperlink r:id="rId100" ref="L59"/>
    <hyperlink r:id="rId101" ref="T59"/>
    <hyperlink r:id="rId102" ref="L60"/>
    <hyperlink r:id="rId103" ref="T60"/>
    <hyperlink r:id="rId104" ref="L61"/>
    <hyperlink r:id="rId105" ref="T61"/>
    <hyperlink r:id="rId106" ref="L62"/>
    <hyperlink r:id="rId107" ref="T62"/>
    <hyperlink r:id="rId108" ref="L64"/>
    <hyperlink r:id="rId109" ref="T64"/>
    <hyperlink r:id="rId110" ref="L65"/>
    <hyperlink r:id="rId111" ref="T65"/>
    <hyperlink r:id="rId112" ref="L66"/>
    <hyperlink r:id="rId113" ref="T66"/>
    <hyperlink r:id="rId114" ref="L68"/>
    <hyperlink r:id="rId115" ref="T68"/>
    <hyperlink r:id="rId116" ref="L69"/>
    <hyperlink r:id="rId117" ref="T69"/>
    <hyperlink r:id="rId118" ref="L70"/>
    <hyperlink r:id="rId119" ref="T70"/>
    <hyperlink r:id="rId120" ref="L71"/>
    <hyperlink r:id="rId121" ref="T71"/>
    <hyperlink r:id="rId122" ref="L72"/>
    <hyperlink r:id="rId123" ref="T72"/>
    <hyperlink r:id="rId124" ref="L73"/>
    <hyperlink r:id="rId125" ref="T73"/>
    <hyperlink r:id="rId126" ref="L74"/>
    <hyperlink r:id="rId127" ref="T74"/>
    <hyperlink r:id="rId128" ref="L75"/>
    <hyperlink r:id="rId129" ref="T75"/>
    <hyperlink r:id="rId130" ref="L77"/>
    <hyperlink r:id="rId131" ref="T77"/>
    <hyperlink r:id="rId132" ref="L78"/>
    <hyperlink r:id="rId133" ref="T78"/>
    <hyperlink r:id="rId134" ref="L80"/>
    <hyperlink r:id="rId135" ref="T80"/>
    <hyperlink r:id="rId136" ref="L81"/>
    <hyperlink r:id="rId137" ref="T81"/>
    <hyperlink r:id="rId138" ref="L83"/>
    <hyperlink r:id="rId139" ref="T83"/>
    <hyperlink r:id="rId140" ref="L84"/>
    <hyperlink r:id="rId141" ref="T84"/>
    <hyperlink r:id="rId142" ref="L85"/>
    <hyperlink r:id="rId143" ref="T85"/>
    <hyperlink r:id="rId144" ref="L87"/>
    <hyperlink r:id="rId145" ref="T87"/>
    <hyperlink r:id="rId146" ref="L90"/>
    <hyperlink r:id="rId147" ref="T90"/>
    <hyperlink r:id="rId148" ref="L91"/>
    <hyperlink r:id="rId149" ref="T91"/>
    <hyperlink r:id="rId150" ref="L92"/>
    <hyperlink r:id="rId151" ref="T92"/>
    <hyperlink r:id="rId152" ref="L93"/>
    <hyperlink r:id="rId153" ref="T93"/>
    <hyperlink r:id="rId154" ref="L95"/>
    <hyperlink r:id="rId155" ref="T95"/>
    <hyperlink r:id="rId156" ref="L96"/>
    <hyperlink r:id="rId157" ref="T96"/>
    <hyperlink r:id="rId158" ref="L97"/>
    <hyperlink r:id="rId159" ref="T97"/>
    <hyperlink r:id="rId160" ref="L98"/>
    <hyperlink r:id="rId161" ref="T98"/>
    <hyperlink r:id="rId162" ref="L99"/>
    <hyperlink r:id="rId163" ref="T99"/>
    <hyperlink r:id="rId164" ref="L101"/>
    <hyperlink r:id="rId165" ref="T101"/>
    <hyperlink r:id="rId166" ref="L104"/>
    <hyperlink r:id="rId167" ref="T104"/>
    <hyperlink r:id="rId168" ref="L105"/>
    <hyperlink r:id="rId169" ref="T105"/>
    <hyperlink r:id="rId170" ref="L107"/>
    <hyperlink r:id="rId171" ref="T107"/>
    <hyperlink r:id="rId172" ref="L108"/>
    <hyperlink r:id="rId173" ref="T108"/>
    <hyperlink r:id="rId174" ref="L109"/>
    <hyperlink r:id="rId175" ref="T109"/>
    <hyperlink r:id="rId176" ref="L110"/>
    <hyperlink r:id="rId177" ref="T110"/>
    <hyperlink r:id="rId178" ref="L111"/>
    <hyperlink r:id="rId179" ref="T111"/>
    <hyperlink r:id="rId180" ref="L112"/>
    <hyperlink r:id="rId181" ref="T112"/>
    <hyperlink r:id="rId182" ref="L115"/>
    <hyperlink r:id="rId183" ref="T115"/>
    <hyperlink r:id="rId184" ref="L117"/>
    <hyperlink r:id="rId185" ref="T117"/>
    <hyperlink r:id="rId186" ref="L118"/>
    <hyperlink r:id="rId187" ref="T118"/>
    <hyperlink r:id="rId188" ref="L119"/>
    <hyperlink r:id="rId189" ref="T119"/>
    <hyperlink r:id="rId190" ref="L120"/>
    <hyperlink r:id="rId191" ref="T120"/>
    <hyperlink r:id="rId192" ref="L121"/>
    <hyperlink r:id="rId193" ref="T121"/>
    <hyperlink r:id="rId194" ref="L123"/>
    <hyperlink r:id="rId195" ref="T123"/>
    <hyperlink r:id="rId196" ref="L124"/>
    <hyperlink r:id="rId197" ref="T124"/>
    <hyperlink r:id="rId198" ref="L125"/>
    <hyperlink r:id="rId199" ref="T125"/>
    <hyperlink r:id="rId200" ref="L126"/>
    <hyperlink r:id="rId201" ref="T126"/>
    <hyperlink r:id="rId202" ref="L127"/>
    <hyperlink r:id="rId203" ref="T127"/>
    <hyperlink r:id="rId204" ref="L128"/>
    <hyperlink r:id="rId205" ref="T128"/>
    <hyperlink r:id="rId206" ref="L129"/>
    <hyperlink r:id="rId207" ref="T129"/>
    <hyperlink r:id="rId208" ref="L130"/>
    <hyperlink r:id="rId209" ref="T130"/>
    <hyperlink r:id="rId210" ref="L131"/>
    <hyperlink r:id="rId211" ref="T131"/>
    <hyperlink r:id="rId212" ref="L132"/>
    <hyperlink r:id="rId213" ref="T132"/>
    <hyperlink r:id="rId214" ref="L133"/>
    <hyperlink r:id="rId215" ref="T133"/>
    <hyperlink r:id="rId216" ref="L134"/>
    <hyperlink r:id="rId217" ref="T134"/>
    <hyperlink r:id="rId218" ref="L135"/>
    <hyperlink r:id="rId219" ref="T135"/>
    <hyperlink r:id="rId220" ref="L136"/>
    <hyperlink r:id="rId221" ref="T136"/>
    <hyperlink r:id="rId222" ref="L137"/>
    <hyperlink r:id="rId223" ref="T137"/>
    <hyperlink r:id="rId224" ref="L138"/>
    <hyperlink r:id="rId225" ref="T138"/>
    <hyperlink r:id="rId226" ref="L139"/>
    <hyperlink r:id="rId227" ref="T139"/>
    <hyperlink r:id="rId228" ref="L140"/>
    <hyperlink r:id="rId229" ref="T140"/>
    <hyperlink r:id="rId230" ref="L141"/>
    <hyperlink r:id="rId231" ref="T141"/>
    <hyperlink r:id="rId232" ref="L142"/>
    <hyperlink r:id="rId233" ref="T142"/>
    <hyperlink r:id="rId234" ref="L143"/>
    <hyperlink r:id="rId235" ref="T143"/>
    <hyperlink r:id="rId236" ref="L144"/>
    <hyperlink r:id="rId237" ref="T144"/>
    <hyperlink r:id="rId238" ref="L145"/>
    <hyperlink r:id="rId239" ref="T145"/>
    <hyperlink r:id="rId240" ref="L147"/>
    <hyperlink r:id="rId241" ref="T147"/>
    <hyperlink r:id="rId242" ref="L148"/>
    <hyperlink r:id="rId243" ref="T148"/>
    <hyperlink r:id="rId244" ref="L149"/>
    <hyperlink r:id="rId245" ref="T149"/>
    <hyperlink r:id="rId246" ref="L150"/>
    <hyperlink r:id="rId247" ref="T150"/>
    <hyperlink r:id="rId248" ref="L151"/>
    <hyperlink r:id="rId249" ref="T151"/>
    <hyperlink r:id="rId250" ref="L153"/>
    <hyperlink r:id="rId251" ref="T153"/>
    <hyperlink r:id="rId252" ref="L156"/>
    <hyperlink r:id="rId253" ref="T156"/>
    <hyperlink r:id="rId254" ref="L157"/>
    <hyperlink r:id="rId255" ref="T157"/>
    <hyperlink r:id="rId256" ref="L158"/>
    <hyperlink r:id="rId257" ref="T158"/>
    <hyperlink r:id="rId258" ref="L159"/>
    <hyperlink r:id="rId259" ref="T159"/>
    <hyperlink r:id="rId260" ref="L160"/>
    <hyperlink r:id="rId261" ref="T160"/>
    <hyperlink r:id="rId262" ref="L162"/>
    <hyperlink r:id="rId263" ref="T162"/>
    <hyperlink r:id="rId264" ref="L164"/>
    <hyperlink r:id="rId265" ref="T164"/>
    <hyperlink r:id="rId266" ref="L165"/>
    <hyperlink r:id="rId267" ref="T165"/>
    <hyperlink r:id="rId268" ref="L167"/>
    <hyperlink r:id="rId269" ref="T167"/>
    <hyperlink r:id="rId270" ref="L168"/>
    <hyperlink r:id="rId271" ref="T168"/>
    <hyperlink r:id="rId272" ref="L169"/>
    <hyperlink r:id="rId273" ref="T169"/>
    <hyperlink r:id="rId274" ref="L170"/>
    <hyperlink r:id="rId275" ref="T170"/>
    <hyperlink r:id="rId276" ref="L171"/>
    <hyperlink r:id="rId277" ref="T171"/>
    <hyperlink r:id="rId278" ref="L172"/>
    <hyperlink r:id="rId279" ref="T172"/>
    <hyperlink r:id="rId280" ref="L175"/>
    <hyperlink r:id="rId281" ref="T175"/>
    <hyperlink r:id="rId282" ref="L183"/>
    <hyperlink r:id="rId283" ref="T183"/>
    <hyperlink r:id="rId284" ref="L184"/>
    <hyperlink r:id="rId285" ref="T184"/>
    <hyperlink r:id="rId286" ref="L186"/>
    <hyperlink r:id="rId287" ref="T186"/>
    <hyperlink r:id="rId288" ref="L187"/>
    <hyperlink r:id="rId289" ref="T187"/>
    <hyperlink r:id="rId290" ref="L188"/>
    <hyperlink r:id="rId291" ref="T188"/>
    <hyperlink r:id="rId292" ref="L189"/>
    <hyperlink r:id="rId293" ref="T189"/>
    <hyperlink r:id="rId294" ref="L190"/>
    <hyperlink r:id="rId295" ref="T190"/>
    <hyperlink r:id="rId296" ref="L191"/>
    <hyperlink r:id="rId297" ref="T191"/>
    <hyperlink r:id="rId298" ref="L192"/>
    <hyperlink r:id="rId299" ref="T192"/>
    <hyperlink r:id="rId300" ref="L197"/>
    <hyperlink r:id="rId301" ref="L198"/>
    <hyperlink r:id="rId302" ref="L199"/>
    <hyperlink r:id="rId303" ref="L200"/>
    <hyperlink r:id="rId304" ref="L202"/>
    <hyperlink r:id="rId305" ref="L203"/>
    <hyperlink r:id="rId306" ref="L204"/>
    <hyperlink r:id="rId307" ref="L205"/>
    <hyperlink r:id="rId308" ref="L206"/>
    <hyperlink r:id="rId309" ref="L209"/>
    <hyperlink r:id="rId310" ref="T209"/>
    <hyperlink r:id="rId311" ref="L210"/>
    <hyperlink r:id="rId312" ref="T210"/>
    <hyperlink r:id="rId313" ref="L214"/>
    <hyperlink r:id="rId314" ref="T214"/>
    <hyperlink r:id="rId315" ref="L216"/>
    <hyperlink r:id="rId316" ref="T216"/>
    <hyperlink r:id="rId317" ref="L218"/>
    <hyperlink r:id="rId318" ref="T218"/>
    <hyperlink r:id="rId319" ref="L219"/>
    <hyperlink r:id="rId320" ref="T219"/>
    <hyperlink r:id="rId321" ref="L220"/>
    <hyperlink r:id="rId322" ref="T220"/>
    <hyperlink r:id="rId323" ref="L222"/>
    <hyperlink r:id="rId324" ref="T222"/>
    <hyperlink r:id="rId325" ref="L224"/>
    <hyperlink r:id="rId326" ref="T224"/>
    <hyperlink r:id="rId327" ref="L225"/>
    <hyperlink r:id="rId328" ref="T225"/>
    <hyperlink r:id="rId329" ref="L226"/>
    <hyperlink r:id="rId330" ref="T226"/>
    <hyperlink r:id="rId331" ref="L227"/>
    <hyperlink r:id="rId332" ref="T227"/>
    <hyperlink r:id="rId333" ref="L228"/>
    <hyperlink r:id="rId334" ref="T228"/>
    <hyperlink r:id="rId335" ref="L229"/>
    <hyperlink r:id="rId336" ref="T229"/>
    <hyperlink r:id="rId337" ref="L230"/>
    <hyperlink r:id="rId338" ref="T230"/>
    <hyperlink r:id="rId339" ref="L231"/>
    <hyperlink r:id="rId340" ref="T231"/>
    <hyperlink r:id="rId341" ref="L232"/>
    <hyperlink r:id="rId342" ref="T232"/>
    <hyperlink r:id="rId343" ref="L233"/>
    <hyperlink r:id="rId344" ref="T233"/>
    <hyperlink r:id="rId345" ref="L236"/>
    <hyperlink r:id="rId346" ref="T236"/>
    <hyperlink r:id="rId347" ref="L237"/>
    <hyperlink r:id="rId348" ref="T237"/>
    <hyperlink r:id="rId349" ref="L238"/>
    <hyperlink r:id="rId350" ref="T238"/>
    <hyperlink r:id="rId351" ref="L240"/>
    <hyperlink r:id="rId352" ref="T240"/>
    <hyperlink r:id="rId353" ref="L241"/>
    <hyperlink r:id="rId354" ref="T241"/>
    <hyperlink r:id="rId355" ref="L245"/>
    <hyperlink r:id="rId356" ref="T245"/>
    <hyperlink r:id="rId357" ref="L246"/>
    <hyperlink r:id="rId358" ref="T246"/>
    <hyperlink r:id="rId359" ref="L251"/>
    <hyperlink r:id="rId360" ref="T251"/>
    <hyperlink r:id="rId361" ref="L252"/>
    <hyperlink r:id="rId362" ref="T252"/>
    <hyperlink r:id="rId363" ref="L253"/>
    <hyperlink r:id="rId364" ref="T253"/>
    <hyperlink r:id="rId365" ref="L254"/>
    <hyperlink r:id="rId366" ref="T254"/>
    <hyperlink r:id="rId367" ref="L257"/>
    <hyperlink r:id="rId368" ref="T257"/>
    <hyperlink r:id="rId369" ref="L258"/>
    <hyperlink r:id="rId370" ref="T258"/>
    <hyperlink r:id="rId371" ref="L259"/>
    <hyperlink r:id="rId372" ref="T259"/>
    <hyperlink r:id="rId373" ref="L262"/>
    <hyperlink r:id="rId374" ref="T262"/>
    <hyperlink r:id="rId375" ref="L263"/>
    <hyperlink r:id="rId376" ref="T263"/>
    <hyperlink r:id="rId377" ref="L264"/>
    <hyperlink r:id="rId378" ref="T264"/>
    <hyperlink r:id="rId379" ref="L265"/>
    <hyperlink r:id="rId380" ref="T265"/>
    <hyperlink r:id="rId381" ref="L266"/>
    <hyperlink r:id="rId382" ref="T266"/>
    <hyperlink r:id="rId383" ref="L267"/>
    <hyperlink r:id="rId384" ref="T267"/>
    <hyperlink r:id="rId385" ref="L268"/>
    <hyperlink r:id="rId386" ref="T268"/>
    <hyperlink r:id="rId387" ref="L269"/>
    <hyperlink r:id="rId388" ref="T269"/>
    <hyperlink r:id="rId389" ref="L271"/>
    <hyperlink r:id="rId390" ref="T271"/>
    <hyperlink r:id="rId391" ref="L272"/>
    <hyperlink r:id="rId392" ref="T272"/>
    <hyperlink r:id="rId393" ref="L273"/>
    <hyperlink r:id="rId394" ref="T273"/>
    <hyperlink r:id="rId395" ref="L274"/>
    <hyperlink r:id="rId396" ref="T274"/>
    <hyperlink r:id="rId397" ref="L276"/>
    <hyperlink r:id="rId398" ref="T276"/>
  </hyperlinks>
  <drawing r:id="rId399"/>
  <legacyDrawing r:id="rId400"/>
</worksheet>
</file>